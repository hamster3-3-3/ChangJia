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/>
  <xr:revisionPtr revIDLastSave="0" documentId="13_ncr:1_{9C881F35-EC8B-4B39-A784-84173ED058D3}" xr6:coauthVersionLast="47" xr6:coauthVersionMax="47" xr10:uidLastSave="{00000000-0000-0000-0000-000000000000}"/>
  <bookViews>
    <workbookView xWindow="-120" yWindow="-120" windowWidth="29040" windowHeight="15720" tabRatio="745" firstSheet="45" activeTab="49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301總" sheetId="293" r:id="rId5"/>
    <sheet name="0301" sheetId="294" r:id="rId6"/>
    <sheet name="0302總 " sheetId="295" r:id="rId7"/>
    <sheet name="0302" sheetId="296" r:id="rId8"/>
    <sheet name="0303總" sheetId="297" r:id="rId9"/>
    <sheet name="0303" sheetId="298" r:id="rId10"/>
    <sheet name="0304總 " sheetId="299" r:id="rId11"/>
    <sheet name="0304" sheetId="300" r:id="rId12"/>
    <sheet name="0305總 " sheetId="301" r:id="rId13"/>
    <sheet name="0305" sheetId="302" r:id="rId14"/>
    <sheet name="0306總" sheetId="303" r:id="rId15"/>
    <sheet name="0306" sheetId="304" r:id="rId16"/>
    <sheet name="0307總 " sheetId="305" r:id="rId17"/>
    <sheet name="0307" sheetId="306" r:id="rId18"/>
    <sheet name="0308總" sheetId="307" r:id="rId19"/>
    <sheet name="0308" sheetId="308" r:id="rId20"/>
    <sheet name="0309總" sheetId="309" r:id="rId21"/>
    <sheet name="0309" sheetId="310" r:id="rId22"/>
    <sheet name="0310總" sheetId="311" r:id="rId23"/>
    <sheet name="0310" sheetId="312" r:id="rId24"/>
    <sheet name="0311總" sheetId="313" r:id="rId25"/>
    <sheet name="0311" sheetId="314" r:id="rId26"/>
    <sheet name="0312總" sheetId="315" r:id="rId27"/>
    <sheet name="0312" sheetId="316" r:id="rId28"/>
    <sheet name="0313總" sheetId="319" r:id="rId29"/>
    <sheet name="0313" sheetId="320" r:id="rId30"/>
    <sheet name="0314總" sheetId="321" r:id="rId31"/>
    <sheet name="0314" sheetId="322" r:id="rId32"/>
    <sheet name="0315總" sheetId="323" r:id="rId33"/>
    <sheet name="0315" sheetId="324" r:id="rId34"/>
    <sheet name="0316總" sheetId="325" r:id="rId35"/>
    <sheet name="0316" sheetId="326" r:id="rId36"/>
    <sheet name="0317總" sheetId="327" r:id="rId37"/>
    <sheet name="0317" sheetId="328" r:id="rId38"/>
    <sheet name="0318總" sheetId="329" r:id="rId39"/>
    <sheet name="0318" sheetId="330" r:id="rId40"/>
    <sheet name="0319總" sheetId="331" r:id="rId41"/>
    <sheet name="0319" sheetId="332" r:id="rId42"/>
    <sheet name="0320總" sheetId="333" r:id="rId43"/>
    <sheet name="0320" sheetId="334" r:id="rId44"/>
    <sheet name="0321總" sheetId="335" r:id="rId45"/>
    <sheet name="0321" sheetId="336" r:id="rId46"/>
    <sheet name="0322總" sheetId="337" r:id="rId47"/>
    <sheet name="0322" sheetId="338" r:id="rId48"/>
    <sheet name="0323總" sheetId="339" r:id="rId49"/>
    <sheet name="0323" sheetId="340" r:id="rId50"/>
    <sheet name="0324總 " sheetId="341" r:id="rId51"/>
    <sheet name="0324" sheetId="342" r:id="rId52"/>
    <sheet name="0325總 " sheetId="343" r:id="rId53"/>
    <sheet name="0325" sheetId="344" r:id="rId54"/>
    <sheet name="0326總" sheetId="345" r:id="rId55"/>
    <sheet name="0326" sheetId="346" r:id="rId56"/>
    <sheet name="0327總" sheetId="347" r:id="rId57"/>
    <sheet name="0327" sheetId="348" r:id="rId58"/>
    <sheet name="0328總" sheetId="349" r:id="rId59"/>
    <sheet name="0328" sheetId="350" r:id="rId60"/>
    <sheet name="0329總" sheetId="351" r:id="rId61"/>
    <sheet name="0329" sheetId="352" r:id="rId62"/>
    <sheet name="0330總 " sheetId="353" r:id="rId63"/>
    <sheet name="0330" sheetId="354" r:id="rId64"/>
    <sheet name="0331總" sheetId="355" r:id="rId65"/>
    <sheet name="0331" sheetId="356" r:id="rId66"/>
  </sheets>
  <externalReferences>
    <externalReference r:id="rId67"/>
  </externalReferences>
  <definedNames>
    <definedName name="_xlnm._FilterDatabase" localSheetId="5">'0301'!$A$4:$AJ$79</definedName>
    <definedName name="_xlnm._FilterDatabase" localSheetId="4">'0301總'!$B$10:$J$25</definedName>
    <definedName name="_xlnm._FilterDatabase" localSheetId="7">'0302'!$A$4:$AJ$79</definedName>
    <definedName name="_xlnm._FilterDatabase" localSheetId="6">'0302總 '!$B$10:$J$25</definedName>
    <definedName name="_xlnm._FilterDatabase" localSheetId="9">'0303'!$A$4:$AJ$79</definedName>
    <definedName name="_xlnm._FilterDatabase" localSheetId="8">'0303總'!$B$10:$J$25</definedName>
    <definedName name="_xlnm._FilterDatabase" localSheetId="11">'0304'!$A$4:$AJ$79</definedName>
    <definedName name="_xlnm._FilterDatabase" localSheetId="10">'0304總 '!$B$10:$J$25</definedName>
    <definedName name="_xlnm._FilterDatabase" localSheetId="13">'0305'!$A$4:$AJ$79</definedName>
    <definedName name="_xlnm._FilterDatabase" localSheetId="12">'0305總 '!$B$10:$J$25</definedName>
    <definedName name="_xlnm._FilterDatabase" localSheetId="15">'0306'!$A$4:$AJ$79</definedName>
    <definedName name="_xlnm._FilterDatabase" localSheetId="14">'0306總'!$B$10:$J$25</definedName>
    <definedName name="_xlnm._FilterDatabase" localSheetId="17">'0307'!$A$4:$AJ$79</definedName>
    <definedName name="_xlnm._FilterDatabase" localSheetId="16">'0307總 '!$B$10:$J$25</definedName>
    <definedName name="_xlnm._FilterDatabase" localSheetId="19">'0308'!$A$4:$AJ$79</definedName>
    <definedName name="_xlnm._FilterDatabase" localSheetId="18">'0308總'!$B$10:$J$25</definedName>
    <definedName name="_xlnm._FilterDatabase" localSheetId="21">'0309'!$A$4:$AJ$79</definedName>
    <definedName name="_xlnm._FilterDatabase" localSheetId="20">'0309總'!$B$10:$J$25</definedName>
    <definedName name="_xlnm._FilterDatabase" localSheetId="23">'0310'!$A$4:$AJ$79</definedName>
    <definedName name="_xlnm._FilterDatabase" localSheetId="22">'0310總'!$B$10:$J$25</definedName>
    <definedName name="_xlnm._FilterDatabase" localSheetId="25">'0311'!$A$4:$AJ$79</definedName>
    <definedName name="_xlnm._FilterDatabase" localSheetId="24">'0311總'!$B$10:$J$25</definedName>
    <definedName name="_xlnm._FilterDatabase" localSheetId="27">'0312'!$A$4:$AJ$79</definedName>
    <definedName name="_xlnm._FilterDatabase" localSheetId="26">'0312總'!$B$10:$J$25</definedName>
    <definedName name="_xlnm._FilterDatabase" localSheetId="29">'0313'!$A$4:$AJ$79</definedName>
    <definedName name="_xlnm._FilterDatabase" localSheetId="28">'0313總'!$B$10:$J$25</definedName>
    <definedName name="_xlnm._FilterDatabase" localSheetId="31">'0314'!$A$4:$AJ$79</definedName>
    <definedName name="_xlnm._FilterDatabase" localSheetId="30">'0314總'!$B$10:$J$25</definedName>
    <definedName name="_xlnm._FilterDatabase" localSheetId="33">'0315'!$A$4:$AJ$79</definedName>
    <definedName name="_xlnm._FilterDatabase" localSheetId="32">'0315總'!$B$10:$J$25</definedName>
    <definedName name="_xlnm._FilterDatabase" localSheetId="35">'0316'!$A$4:$AJ$79</definedName>
    <definedName name="_xlnm._FilterDatabase" localSheetId="34">'0316總'!$B$10:$J$25</definedName>
    <definedName name="_xlnm._FilterDatabase" localSheetId="37">'0317'!$A$4:$AJ$79</definedName>
    <definedName name="_xlnm._FilterDatabase" localSheetId="36">'0317總'!$B$10:$J$25</definedName>
    <definedName name="_xlnm._FilterDatabase" localSheetId="39">'0318'!$A$4:$AJ$79</definedName>
    <definedName name="_xlnm._FilterDatabase" localSheetId="38">'0318總'!$B$10:$J$25</definedName>
    <definedName name="_xlnm._FilterDatabase" localSheetId="41">'0319'!$A$4:$AJ$79</definedName>
    <definedName name="_xlnm._FilterDatabase" localSheetId="40">'0319總'!$B$10:$J$25</definedName>
    <definedName name="_xlnm._FilterDatabase" localSheetId="43">'0320'!$A$4:$AJ$79</definedName>
    <definedName name="_xlnm._FilterDatabase" localSheetId="42">'0320總'!$B$10:$J$25</definedName>
    <definedName name="_xlnm._FilterDatabase" localSheetId="45">'0321'!$A$4:$AJ$79</definedName>
    <definedName name="_xlnm._FilterDatabase" localSheetId="44">'0321總'!$B$10:$J$25</definedName>
    <definedName name="_xlnm._FilterDatabase" localSheetId="47">'0322'!$A$4:$AJ$79</definedName>
    <definedName name="_xlnm._FilterDatabase" localSheetId="46">'0322總'!$B$10:$J$25</definedName>
    <definedName name="_xlnm._FilterDatabase" localSheetId="49">'0323'!$A$4:$AJ$79</definedName>
    <definedName name="_xlnm._FilterDatabase" localSheetId="48">'0323總'!$B$10:$J$25</definedName>
    <definedName name="_xlnm._FilterDatabase" localSheetId="51">'0324'!$A$4:$AJ$79</definedName>
    <definedName name="_xlnm._FilterDatabase" localSheetId="50">'0324總 '!$B$10:$J$25</definedName>
    <definedName name="_xlnm._FilterDatabase" localSheetId="53">'0325'!$A$4:$AJ$79</definedName>
    <definedName name="_xlnm._FilterDatabase" localSheetId="52">'0325總 '!$B$10:$J$25</definedName>
    <definedName name="_xlnm._FilterDatabase" localSheetId="55">'0326'!$A$4:$AJ$79</definedName>
    <definedName name="_xlnm._FilterDatabase" localSheetId="54">'0326總'!$B$10:$J$25</definedName>
    <definedName name="_xlnm._FilterDatabase" localSheetId="57">'0327'!$A$4:$AJ$79</definedName>
    <definedName name="_xlnm._FilterDatabase" localSheetId="56">'0327總'!$B$10:$J$25</definedName>
    <definedName name="_xlnm._FilterDatabase" localSheetId="59">'0328'!$A$4:$AJ$79</definedName>
    <definedName name="_xlnm._FilterDatabase" localSheetId="58">'0328總'!$B$10:$J$25</definedName>
    <definedName name="_xlnm._FilterDatabase" localSheetId="61">'0329'!$A$4:$AJ$79</definedName>
    <definedName name="_xlnm._FilterDatabase" localSheetId="60">'0329總'!$B$10:$J$25</definedName>
    <definedName name="_xlnm._FilterDatabase" localSheetId="63">'0330'!$A$4:$AJ$79</definedName>
    <definedName name="_xlnm._FilterDatabase" localSheetId="62">'0330總 '!$B$10:$J$25</definedName>
    <definedName name="_xlnm._FilterDatabase" localSheetId="65">'0331'!$A$4:$AJ$79</definedName>
    <definedName name="_xlnm._FilterDatabase" localSheetId="64">'0331總'!$B$10:$J$25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'0301'!$A$1:$AH$79</definedName>
    <definedName name="_xlnm.Print_Area" localSheetId="7">'0302'!$A$1:$AH$79</definedName>
    <definedName name="_xlnm.Print_Area" localSheetId="9">'0303'!$A$1:$AH$79</definedName>
    <definedName name="_xlnm.Print_Area" localSheetId="11">'0304'!$A$1:$AH$79</definedName>
    <definedName name="_xlnm.Print_Area" localSheetId="13">'0305'!$A$1:$AH$79</definedName>
    <definedName name="_xlnm.Print_Area" localSheetId="15">'0306'!$A$1:$AH$79</definedName>
    <definedName name="_xlnm.Print_Area" localSheetId="17">'0307'!$A$1:$AH$79</definedName>
    <definedName name="_xlnm.Print_Area" localSheetId="19">'0308'!$A$1:$AH$79</definedName>
    <definedName name="_xlnm.Print_Area" localSheetId="21">'0309'!$A$1:$AH$79</definedName>
    <definedName name="_xlnm.Print_Area" localSheetId="23">'0310'!$A$1:$AH$79</definedName>
    <definedName name="_xlnm.Print_Area" localSheetId="25">'0311'!$A$1:$AH$79</definedName>
    <definedName name="_xlnm.Print_Area" localSheetId="27">'0312'!$A$1:$AH$79</definedName>
    <definedName name="_xlnm.Print_Area" localSheetId="29">'0313'!$A$1:$AH$79</definedName>
    <definedName name="_xlnm.Print_Area" localSheetId="31">'0314'!$A$1:$AH$79</definedName>
    <definedName name="_xlnm.Print_Area" localSheetId="33">'0315'!$A$1:$AH$79</definedName>
    <definedName name="_xlnm.Print_Area" localSheetId="35">'0316'!$A$1:$AH$79</definedName>
    <definedName name="_xlnm.Print_Area" localSheetId="37">'0317'!$A$1:$AH$79</definedName>
    <definedName name="_xlnm.Print_Area" localSheetId="39">'0318'!$A$1:$AH$79</definedName>
    <definedName name="_xlnm.Print_Area" localSheetId="41">'0319'!$A$1:$AH$79</definedName>
    <definedName name="_xlnm.Print_Area" localSheetId="43">'0320'!$A$1:$AH$79</definedName>
    <definedName name="_xlnm.Print_Area" localSheetId="45">'0321'!$A$1:$AH$79</definedName>
    <definedName name="_xlnm.Print_Area" localSheetId="47">'0322'!$A$1:$AH$79</definedName>
    <definedName name="_xlnm.Print_Area" localSheetId="49">'0323'!$A$1:$AH$79</definedName>
    <definedName name="_xlnm.Print_Area" localSheetId="51">'0324'!$A$1:$AH$79</definedName>
    <definedName name="_xlnm.Print_Area" localSheetId="53">'0325'!$A$1:$AH$79</definedName>
    <definedName name="_xlnm.Print_Area" localSheetId="55">'0326'!$A$1:$AH$79</definedName>
    <definedName name="_xlnm.Print_Area" localSheetId="57">'0327'!$A$1:$AH$79</definedName>
    <definedName name="_xlnm.Print_Area" localSheetId="59">'0328'!$A$1:$AH$79</definedName>
    <definedName name="_xlnm.Print_Area" localSheetId="61">'0329'!$A$1:$AH$79</definedName>
    <definedName name="_xlnm.Print_Area" localSheetId="63">'0330'!$A$1:$AH$79</definedName>
    <definedName name="_xlnm.Print_Area" localSheetId="65">'0331'!$A$1:$AH$79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55" l="1"/>
  <c r="J16" i="355"/>
  <c r="I16" i="355"/>
  <c r="H16" i="355"/>
  <c r="G16" i="355"/>
  <c r="F16" i="355"/>
  <c r="E16" i="355"/>
  <c r="D16" i="355"/>
  <c r="O8" i="355"/>
  <c r="N8" i="355"/>
  <c r="M8" i="355"/>
  <c r="L8" i="355"/>
  <c r="O7" i="355"/>
  <c r="N7" i="355"/>
  <c r="M7" i="355"/>
  <c r="L7" i="355"/>
  <c r="AE79" i="354"/>
  <c r="AD79" i="354"/>
  <c r="AA79" i="354"/>
  <c r="J18" i="353" s="1"/>
  <c r="Z79" i="354"/>
  <c r="M79" i="354"/>
  <c r="P79" i="354" s="1"/>
  <c r="W78" i="354"/>
  <c r="H78" i="354"/>
  <c r="W77" i="354"/>
  <c r="H77" i="354"/>
  <c r="W76" i="354"/>
  <c r="H76" i="354"/>
  <c r="W75" i="354"/>
  <c r="H75" i="354"/>
  <c r="W74" i="354"/>
  <c r="W73" i="354"/>
  <c r="W72" i="354"/>
  <c r="W71" i="354"/>
  <c r="V71" i="354"/>
  <c r="P71" i="354"/>
  <c r="O71" i="354"/>
  <c r="N71" i="354"/>
  <c r="L71" i="354"/>
  <c r="K71" i="354"/>
  <c r="K79" i="354" s="1"/>
  <c r="J71" i="354"/>
  <c r="J79" i="354" s="1"/>
  <c r="H71" i="354"/>
  <c r="F71" i="354"/>
  <c r="W70" i="354"/>
  <c r="P70" i="354"/>
  <c r="N70" i="354"/>
  <c r="L70" i="354"/>
  <c r="L79" i="354" s="1"/>
  <c r="J13" i="353" s="1"/>
  <c r="F70" i="354"/>
  <c r="H70" i="354" s="1"/>
  <c r="AE69" i="354"/>
  <c r="I21" i="353" s="1"/>
  <c r="AD69" i="354"/>
  <c r="I20" i="353" s="1"/>
  <c r="AA69" i="354"/>
  <c r="Z69" i="354"/>
  <c r="I18" i="353" s="1"/>
  <c r="M69" i="354"/>
  <c r="J69" i="354"/>
  <c r="P69" i="354" s="1"/>
  <c r="W68" i="354"/>
  <c r="H68" i="354"/>
  <c r="W67" i="354"/>
  <c r="W66" i="354"/>
  <c r="W65" i="354"/>
  <c r="W64" i="354"/>
  <c r="W63" i="354"/>
  <c r="V63" i="354"/>
  <c r="P63" i="354"/>
  <c r="O63" i="354"/>
  <c r="N63" i="354"/>
  <c r="L63" i="354"/>
  <c r="K63" i="354"/>
  <c r="J63" i="354"/>
  <c r="F63" i="354"/>
  <c r="H63" i="354" s="1"/>
  <c r="W62" i="354"/>
  <c r="V62" i="354"/>
  <c r="P62" i="354"/>
  <c r="O62" i="354"/>
  <c r="N62" i="354"/>
  <c r="L62" i="354"/>
  <c r="K62" i="354"/>
  <c r="J62" i="354"/>
  <c r="H62" i="354"/>
  <c r="F62" i="354"/>
  <c r="W61" i="354"/>
  <c r="N61" i="354" s="1"/>
  <c r="V61" i="354"/>
  <c r="P61" i="354"/>
  <c r="O61" i="354"/>
  <c r="K61" i="354"/>
  <c r="L61" i="354" s="1"/>
  <c r="J61" i="354"/>
  <c r="H61" i="354"/>
  <c r="F61" i="354"/>
  <c r="W60" i="354"/>
  <c r="V60" i="354"/>
  <c r="P60" i="354"/>
  <c r="N60" i="354"/>
  <c r="K60" i="354"/>
  <c r="L60" i="354" s="1"/>
  <c r="J60" i="354"/>
  <c r="H60" i="354"/>
  <c r="F60" i="354"/>
  <c r="W59" i="354"/>
  <c r="N59" i="354" s="1"/>
  <c r="K59" i="354"/>
  <c r="J59" i="354"/>
  <c r="P59" i="354" s="1"/>
  <c r="F59" i="354"/>
  <c r="H59" i="354" s="1"/>
  <c r="AE58" i="354"/>
  <c r="AD58" i="354"/>
  <c r="H20" i="353" s="1"/>
  <c r="AA58" i="354"/>
  <c r="Z58" i="354"/>
  <c r="H18" i="353" s="1"/>
  <c r="N58" i="354"/>
  <c r="M58" i="354"/>
  <c r="H22" i="353" s="1"/>
  <c r="K58" i="354"/>
  <c r="W57" i="354"/>
  <c r="W56" i="354"/>
  <c r="W55" i="354"/>
  <c r="W54" i="354"/>
  <c r="AG53" i="354"/>
  <c r="AF53" i="354"/>
  <c r="W53" i="354"/>
  <c r="AG52" i="354"/>
  <c r="AF52" i="354"/>
  <c r="W52" i="354"/>
  <c r="V52" i="354"/>
  <c r="W51" i="354"/>
  <c r="V51" i="354"/>
  <c r="O51" i="354"/>
  <c r="N51" i="354"/>
  <c r="J51" i="354"/>
  <c r="F51" i="354"/>
  <c r="H51" i="354" s="1"/>
  <c r="W50" i="354"/>
  <c r="V50" i="354"/>
  <c r="P50" i="354"/>
  <c r="N50" i="354"/>
  <c r="L50" i="354"/>
  <c r="J50" i="354"/>
  <c r="H50" i="354"/>
  <c r="F50" i="354"/>
  <c r="W49" i="354"/>
  <c r="N49" i="354" s="1"/>
  <c r="Q49" i="354"/>
  <c r="P49" i="354"/>
  <c r="O49" i="354"/>
  <c r="R49" i="354" s="1"/>
  <c r="L49" i="354"/>
  <c r="H49" i="354"/>
  <c r="F49" i="354"/>
  <c r="AE48" i="354"/>
  <c r="AD48" i="354"/>
  <c r="AA48" i="354"/>
  <c r="Z48" i="354"/>
  <c r="W48" i="354"/>
  <c r="M48" i="354"/>
  <c r="G22" i="353" s="1"/>
  <c r="K48" i="354"/>
  <c r="J48" i="354"/>
  <c r="P48" i="354" s="1"/>
  <c r="W47" i="354"/>
  <c r="H47" i="354"/>
  <c r="W46" i="354"/>
  <c r="W45" i="354"/>
  <c r="W44" i="354"/>
  <c r="W43" i="354"/>
  <c r="W42" i="354"/>
  <c r="AG41" i="354"/>
  <c r="AF41" i="354"/>
  <c r="W41" i="354"/>
  <c r="W40" i="354"/>
  <c r="N40" i="354" s="1"/>
  <c r="V40" i="354"/>
  <c r="P40" i="354"/>
  <c r="K40" i="354"/>
  <c r="L40" i="354" s="1"/>
  <c r="J40" i="354"/>
  <c r="F40" i="354"/>
  <c r="H40" i="354" s="1"/>
  <c r="W39" i="354"/>
  <c r="N39" i="354" s="1"/>
  <c r="O39" i="354" s="1"/>
  <c r="V39" i="354"/>
  <c r="P39" i="354"/>
  <c r="K39" i="354"/>
  <c r="L39" i="354" s="1"/>
  <c r="J39" i="354"/>
  <c r="H39" i="354"/>
  <c r="F39" i="354"/>
  <c r="W38" i="354"/>
  <c r="O38" i="354"/>
  <c r="N38" i="354"/>
  <c r="J38" i="354"/>
  <c r="P38" i="354" s="1"/>
  <c r="H38" i="354"/>
  <c r="F38" i="354"/>
  <c r="AE37" i="354"/>
  <c r="AD37" i="354"/>
  <c r="AA37" i="354"/>
  <c r="Z37" i="354"/>
  <c r="P37" i="354"/>
  <c r="M37" i="354"/>
  <c r="K37" i="354"/>
  <c r="J37" i="354"/>
  <c r="W36" i="354"/>
  <c r="H36" i="354"/>
  <c r="W35" i="354"/>
  <c r="W34" i="354"/>
  <c r="W33" i="354"/>
  <c r="W32" i="354"/>
  <c r="AG31" i="354"/>
  <c r="AF31" i="354"/>
  <c r="W31" i="354"/>
  <c r="AG30" i="354"/>
  <c r="AF30" i="354"/>
  <c r="W30" i="354"/>
  <c r="AG29" i="354"/>
  <c r="AF29" i="354"/>
  <c r="W29" i="354"/>
  <c r="AG28" i="354"/>
  <c r="W28" i="354"/>
  <c r="N28" i="354" s="1"/>
  <c r="O28" i="354" s="1"/>
  <c r="V28" i="354"/>
  <c r="K28" i="354"/>
  <c r="L28" i="354" s="1"/>
  <c r="J28" i="354"/>
  <c r="P28" i="354" s="1"/>
  <c r="F28" i="354"/>
  <c r="H28" i="354" s="1"/>
  <c r="W27" i="354"/>
  <c r="N27" i="354" s="1"/>
  <c r="L27" i="354"/>
  <c r="J27" i="354"/>
  <c r="P27" i="354" s="1"/>
  <c r="H27" i="354"/>
  <c r="F27" i="354"/>
  <c r="AE26" i="354"/>
  <c r="AD26" i="354"/>
  <c r="AA26" i="354"/>
  <c r="E19" i="353" s="1"/>
  <c r="Z26" i="354"/>
  <c r="M26" i="354"/>
  <c r="W25" i="354"/>
  <c r="H25" i="354"/>
  <c r="W24" i="354"/>
  <c r="H24" i="354"/>
  <c r="W23" i="354"/>
  <c r="W21" i="354"/>
  <c r="W20" i="354"/>
  <c r="AG19" i="354"/>
  <c r="AF19" i="354"/>
  <c r="W19" i="354"/>
  <c r="N19" i="354" s="1"/>
  <c r="O19" i="354" s="1"/>
  <c r="V19" i="354"/>
  <c r="J19" i="354"/>
  <c r="L19" i="354" s="1"/>
  <c r="Q19" i="354" s="1"/>
  <c r="H19" i="354"/>
  <c r="F19" i="354"/>
  <c r="AG18" i="354"/>
  <c r="AF18" i="354"/>
  <c r="W18" i="354"/>
  <c r="N18" i="354" s="1"/>
  <c r="V18" i="354"/>
  <c r="O18" i="354"/>
  <c r="J18" i="354"/>
  <c r="P18" i="354" s="1"/>
  <c r="F18" i="354"/>
  <c r="H18" i="354" s="1"/>
  <c r="AG17" i="354"/>
  <c r="AF17" i="354"/>
  <c r="W17" i="354"/>
  <c r="V17" i="354"/>
  <c r="N17" i="354"/>
  <c r="O17" i="354" s="1"/>
  <c r="L17" i="354"/>
  <c r="R17" i="354" s="1"/>
  <c r="J17" i="354"/>
  <c r="P17" i="354" s="1"/>
  <c r="F17" i="354"/>
  <c r="H17" i="354" s="1"/>
  <c r="W16" i="354"/>
  <c r="N16" i="354" s="1"/>
  <c r="K16" i="354"/>
  <c r="J16" i="354"/>
  <c r="F16" i="354"/>
  <c r="H16" i="354" s="1"/>
  <c r="AE15" i="354"/>
  <c r="AD15" i="354"/>
  <c r="AA15" i="354"/>
  <c r="Z15" i="354"/>
  <c r="D18" i="353" s="1"/>
  <c r="L6" i="353" s="1"/>
  <c r="M15" i="354"/>
  <c r="K15" i="354"/>
  <c r="J15" i="354"/>
  <c r="W14" i="354"/>
  <c r="W13" i="354"/>
  <c r="W12" i="354"/>
  <c r="AG11" i="354"/>
  <c r="AF11" i="354"/>
  <c r="W11" i="354"/>
  <c r="AG10" i="354"/>
  <c r="AF10" i="354"/>
  <c r="W10" i="354"/>
  <c r="AG9" i="354"/>
  <c r="AF9" i="354"/>
  <c r="W9" i="354"/>
  <c r="AG8" i="354"/>
  <c r="AF8" i="354"/>
  <c r="W8" i="354"/>
  <c r="AG7" i="354"/>
  <c r="W7" i="354"/>
  <c r="V7" i="354"/>
  <c r="P7" i="354"/>
  <c r="N7" i="354"/>
  <c r="O7" i="354" s="1"/>
  <c r="J7" i="354"/>
  <c r="L7" i="354" s="1"/>
  <c r="F7" i="354"/>
  <c r="H7" i="354" s="1"/>
  <c r="AG6" i="354"/>
  <c r="AF6" i="354"/>
  <c r="W6" i="354"/>
  <c r="N6" i="354" s="1"/>
  <c r="O6" i="354" s="1"/>
  <c r="V6" i="354"/>
  <c r="L6" i="354"/>
  <c r="J6" i="354"/>
  <c r="P6" i="354" s="1"/>
  <c r="F6" i="354"/>
  <c r="H6" i="354" s="1"/>
  <c r="W5" i="354"/>
  <c r="N5" i="354" s="1"/>
  <c r="P5" i="354"/>
  <c r="L5" i="354"/>
  <c r="L15" i="354" s="1"/>
  <c r="D13" i="353" s="1"/>
  <c r="F5" i="354"/>
  <c r="H5" i="354" s="1"/>
  <c r="I2" i="354"/>
  <c r="E1" i="354"/>
  <c r="I22" i="353"/>
  <c r="F22" i="353"/>
  <c r="E22" i="353"/>
  <c r="J21" i="353"/>
  <c r="H21" i="353"/>
  <c r="G21" i="353"/>
  <c r="F21" i="353"/>
  <c r="E21" i="353"/>
  <c r="J20" i="353"/>
  <c r="G20" i="353"/>
  <c r="F20" i="353"/>
  <c r="D20" i="353"/>
  <c r="J19" i="353"/>
  <c r="I19" i="353"/>
  <c r="H19" i="353"/>
  <c r="G19" i="353"/>
  <c r="F19" i="353"/>
  <c r="G18" i="353"/>
  <c r="F18" i="353"/>
  <c r="E18" i="353"/>
  <c r="J16" i="353"/>
  <c r="I16" i="353"/>
  <c r="H16" i="353"/>
  <c r="G16" i="353"/>
  <c r="F16" i="353"/>
  <c r="E16" i="353"/>
  <c r="D16" i="353"/>
  <c r="O8" i="353"/>
  <c r="N8" i="353"/>
  <c r="M8" i="353"/>
  <c r="L8" i="353"/>
  <c r="O7" i="353"/>
  <c r="N7" i="353"/>
  <c r="M7" i="353"/>
  <c r="L7" i="353"/>
  <c r="G3" i="353"/>
  <c r="AE79" i="352"/>
  <c r="AD79" i="352"/>
  <c r="J20" i="351" s="1"/>
  <c r="AA79" i="352"/>
  <c r="Z79" i="352"/>
  <c r="P79" i="352"/>
  <c r="M79" i="352"/>
  <c r="W78" i="352"/>
  <c r="H78" i="352"/>
  <c r="W77" i="352"/>
  <c r="H77" i="352"/>
  <c r="W76" i="352"/>
  <c r="H76" i="352"/>
  <c r="W75" i="352"/>
  <c r="H75" i="352"/>
  <c r="W74" i="352"/>
  <c r="W73" i="352"/>
  <c r="W72" i="352"/>
  <c r="V72" i="352"/>
  <c r="N72" i="352"/>
  <c r="K72" i="352"/>
  <c r="L72" i="352" s="1"/>
  <c r="J72" i="352"/>
  <c r="P72" i="352" s="1"/>
  <c r="F72" i="352"/>
  <c r="H72" i="352" s="1"/>
  <c r="W71" i="352"/>
  <c r="V71" i="352"/>
  <c r="N71" i="352"/>
  <c r="O71" i="352" s="1"/>
  <c r="K71" i="352"/>
  <c r="J71" i="352"/>
  <c r="J79" i="352" s="1"/>
  <c r="H71" i="352"/>
  <c r="F71" i="352"/>
  <c r="AG70" i="352"/>
  <c r="AF70" i="352"/>
  <c r="W70" i="352"/>
  <c r="P70" i="352"/>
  <c r="O70" i="352"/>
  <c r="N70" i="352"/>
  <c r="L70" i="352"/>
  <c r="H70" i="352"/>
  <c r="F70" i="352"/>
  <c r="AE69" i="352"/>
  <c r="AD69" i="352"/>
  <c r="AA69" i="352"/>
  <c r="Z69" i="352"/>
  <c r="M69" i="352"/>
  <c r="W68" i="352"/>
  <c r="H68" i="352"/>
  <c r="W67" i="352"/>
  <c r="W66" i="352"/>
  <c r="W65" i="352"/>
  <c r="W64" i="352"/>
  <c r="N64" i="352" s="1"/>
  <c r="V64" i="352"/>
  <c r="O64" i="352"/>
  <c r="K64" i="352"/>
  <c r="J64" i="352"/>
  <c r="H64" i="352"/>
  <c r="F64" i="352"/>
  <c r="W63" i="352"/>
  <c r="N63" i="352" s="1"/>
  <c r="V63" i="352"/>
  <c r="O63" i="352"/>
  <c r="K63" i="352"/>
  <c r="J63" i="352"/>
  <c r="F63" i="352"/>
  <c r="H63" i="352" s="1"/>
  <c r="AG62" i="352"/>
  <c r="AF62" i="352"/>
  <c r="W62" i="352"/>
  <c r="N62" i="352" s="1"/>
  <c r="V62" i="352"/>
  <c r="O62" i="352"/>
  <c r="K62" i="352"/>
  <c r="L62" i="352" s="1"/>
  <c r="J62" i="352"/>
  <c r="P62" i="352" s="1"/>
  <c r="H62" i="352"/>
  <c r="F62" i="352"/>
  <c r="W61" i="352"/>
  <c r="N61" i="352" s="1"/>
  <c r="V61" i="352"/>
  <c r="K61" i="352"/>
  <c r="J61" i="352"/>
  <c r="P61" i="352" s="1"/>
  <c r="H61" i="352"/>
  <c r="F61" i="352"/>
  <c r="W60" i="352"/>
  <c r="V60" i="352"/>
  <c r="P60" i="352"/>
  <c r="N60" i="352"/>
  <c r="O60" i="352" s="1"/>
  <c r="K60" i="352"/>
  <c r="L60" i="352" s="1"/>
  <c r="J60" i="352"/>
  <c r="H60" i="352"/>
  <c r="F60" i="352"/>
  <c r="W59" i="352"/>
  <c r="N59" i="352" s="1"/>
  <c r="O59" i="352" s="1"/>
  <c r="P59" i="352"/>
  <c r="K59" i="352"/>
  <c r="L59" i="352" s="1"/>
  <c r="J59" i="352"/>
  <c r="H59" i="352"/>
  <c r="F59" i="352"/>
  <c r="AE58" i="352"/>
  <c r="AD58" i="352"/>
  <c r="AA58" i="352"/>
  <c r="H19" i="351" s="1"/>
  <c r="Z58" i="352"/>
  <c r="M58" i="352"/>
  <c r="K58" i="352"/>
  <c r="W57" i="352"/>
  <c r="W56" i="352"/>
  <c r="W55" i="352"/>
  <c r="W54" i="352"/>
  <c r="AG53" i="352"/>
  <c r="AF53" i="352"/>
  <c r="W53" i="352"/>
  <c r="AG52" i="352"/>
  <c r="AF52" i="352"/>
  <c r="W52" i="352"/>
  <c r="V52" i="352"/>
  <c r="W51" i="352"/>
  <c r="V51" i="352"/>
  <c r="N51" i="352"/>
  <c r="J51" i="352"/>
  <c r="L51" i="352" s="1"/>
  <c r="H51" i="352"/>
  <c r="F51" i="352"/>
  <c r="AF50" i="352"/>
  <c r="W50" i="352"/>
  <c r="N50" i="352" s="1"/>
  <c r="O50" i="352" s="1"/>
  <c r="V50" i="352"/>
  <c r="J50" i="352"/>
  <c r="F50" i="352"/>
  <c r="H50" i="352" s="1"/>
  <c r="W49" i="352"/>
  <c r="N49" i="352" s="1"/>
  <c r="P49" i="352"/>
  <c r="L49" i="352"/>
  <c r="H49" i="352"/>
  <c r="F49" i="352"/>
  <c r="AE48" i="352"/>
  <c r="AD48" i="352"/>
  <c r="AA48" i="352"/>
  <c r="Z48" i="352"/>
  <c r="G18" i="351" s="1"/>
  <c r="W48" i="352"/>
  <c r="M48" i="352"/>
  <c r="K48" i="352"/>
  <c r="W47" i="352"/>
  <c r="H47" i="352"/>
  <c r="W46" i="352"/>
  <c r="W45" i="352"/>
  <c r="W44" i="352"/>
  <c r="W43" i="352"/>
  <c r="W42" i="352"/>
  <c r="AG41" i="352"/>
  <c r="AF41" i="352"/>
  <c r="W41" i="352"/>
  <c r="AG40" i="352"/>
  <c r="AF40" i="352"/>
  <c r="W40" i="352"/>
  <c r="V40" i="352"/>
  <c r="P40" i="352"/>
  <c r="N40" i="352"/>
  <c r="O40" i="352" s="1"/>
  <c r="L40" i="352"/>
  <c r="K40" i="352"/>
  <c r="J40" i="352"/>
  <c r="F40" i="352"/>
  <c r="H40" i="352" s="1"/>
  <c r="AF39" i="352"/>
  <c r="W39" i="352"/>
  <c r="V39" i="352"/>
  <c r="O39" i="352"/>
  <c r="N39" i="352"/>
  <c r="AG39" i="352" s="1"/>
  <c r="K39" i="352"/>
  <c r="J39" i="352"/>
  <c r="F39" i="352"/>
  <c r="H39" i="352" s="1"/>
  <c r="AG38" i="352"/>
  <c r="AF38" i="352"/>
  <c r="W38" i="352"/>
  <c r="N38" i="352" s="1"/>
  <c r="O38" i="352" s="1"/>
  <c r="J38" i="352"/>
  <c r="F38" i="352"/>
  <c r="H38" i="352" s="1"/>
  <c r="AE37" i="352"/>
  <c r="AD37" i="352"/>
  <c r="F20" i="351" s="1"/>
  <c r="AA37" i="352"/>
  <c r="F19" i="351" s="1"/>
  <c r="Z37" i="352"/>
  <c r="M37" i="352"/>
  <c r="W36" i="352"/>
  <c r="H36" i="352"/>
  <c r="W35" i="352"/>
  <c r="W34" i="352"/>
  <c r="W33" i="352"/>
  <c r="W32" i="352"/>
  <c r="AG31" i="352"/>
  <c r="AF31" i="352"/>
  <c r="W31" i="352"/>
  <c r="AG30" i="352"/>
  <c r="AF30" i="352"/>
  <c r="W30" i="352"/>
  <c r="AG29" i="352"/>
  <c r="AF29" i="352"/>
  <c r="W29" i="352"/>
  <c r="AG28" i="352"/>
  <c r="AF28" i="352"/>
  <c r="W28" i="352"/>
  <c r="V28" i="352"/>
  <c r="P28" i="352"/>
  <c r="O28" i="352"/>
  <c r="N28" i="352"/>
  <c r="L28" i="352"/>
  <c r="K28" i="352"/>
  <c r="K37" i="352" s="1"/>
  <c r="J28" i="352"/>
  <c r="F28" i="352"/>
  <c r="H28" i="352" s="1"/>
  <c r="W27" i="352"/>
  <c r="N27" i="352" s="1"/>
  <c r="J27" i="352"/>
  <c r="F27" i="352"/>
  <c r="H27" i="352" s="1"/>
  <c r="AE26" i="352"/>
  <c r="AD26" i="352"/>
  <c r="AA26" i="352"/>
  <c r="Z26" i="352"/>
  <c r="M26" i="352"/>
  <c r="K26" i="352"/>
  <c r="W25" i="352"/>
  <c r="H25" i="352"/>
  <c r="W24" i="352"/>
  <c r="H24" i="352"/>
  <c r="W23" i="352"/>
  <c r="W21" i="352"/>
  <c r="W20" i="352"/>
  <c r="W19" i="352"/>
  <c r="V19" i="352"/>
  <c r="P19" i="352"/>
  <c r="N19" i="352"/>
  <c r="J19" i="352"/>
  <c r="L19" i="352" s="1"/>
  <c r="H19" i="352"/>
  <c r="F19" i="352"/>
  <c r="W18" i="352"/>
  <c r="N18" i="352" s="1"/>
  <c r="AF18" i="352" s="1"/>
  <c r="V18" i="352"/>
  <c r="O18" i="352"/>
  <c r="J18" i="352"/>
  <c r="F18" i="352"/>
  <c r="H18" i="352" s="1"/>
  <c r="AF17" i="352"/>
  <c r="W17" i="352"/>
  <c r="N17" i="352" s="1"/>
  <c r="V17" i="352"/>
  <c r="P17" i="352"/>
  <c r="L17" i="352"/>
  <c r="J17" i="352"/>
  <c r="H17" i="352"/>
  <c r="F17" i="352"/>
  <c r="AG16" i="352"/>
  <c r="AF16" i="352"/>
  <c r="W16" i="352"/>
  <c r="N16" i="352" s="1"/>
  <c r="O16" i="352"/>
  <c r="L16" i="352"/>
  <c r="K16" i="352"/>
  <c r="J16" i="352"/>
  <c r="P16" i="352" s="1"/>
  <c r="F16" i="352"/>
  <c r="H16" i="352" s="1"/>
  <c r="AE15" i="352"/>
  <c r="D21" i="351" s="1"/>
  <c r="AD15" i="352"/>
  <c r="AA15" i="352"/>
  <c r="Z15" i="352"/>
  <c r="M15" i="352"/>
  <c r="K15" i="352"/>
  <c r="W14" i="352"/>
  <c r="W13" i="352"/>
  <c r="W12" i="352"/>
  <c r="AG11" i="352"/>
  <c r="AF11" i="352"/>
  <c r="W11" i="352"/>
  <c r="AG10" i="352"/>
  <c r="AF10" i="352"/>
  <c r="W10" i="352"/>
  <c r="AG9" i="352"/>
  <c r="AF9" i="352"/>
  <c r="W9" i="352"/>
  <c r="AG8" i="352"/>
  <c r="AF8" i="352"/>
  <c r="W8" i="352"/>
  <c r="W7" i="352"/>
  <c r="V7" i="352"/>
  <c r="O7" i="352"/>
  <c r="N7" i="352"/>
  <c r="J7" i="352"/>
  <c r="H7" i="352"/>
  <c r="F7" i="352"/>
  <c r="AG6" i="352"/>
  <c r="W6" i="352"/>
  <c r="N6" i="352" s="1"/>
  <c r="AF6" i="352" s="1"/>
  <c r="V6" i="352"/>
  <c r="R6" i="352"/>
  <c r="Q6" i="352"/>
  <c r="P6" i="352"/>
  <c r="O6" i="352"/>
  <c r="L6" i="352"/>
  <c r="J6" i="352"/>
  <c r="F6" i="352"/>
  <c r="H6" i="352" s="1"/>
  <c r="W5" i="352"/>
  <c r="P5" i="352"/>
  <c r="O5" i="352"/>
  <c r="N5" i="352"/>
  <c r="L5" i="352"/>
  <c r="H5" i="352"/>
  <c r="F5" i="352"/>
  <c r="I2" i="352"/>
  <c r="I1" i="352"/>
  <c r="E1" i="352"/>
  <c r="J22" i="351"/>
  <c r="I22" i="351"/>
  <c r="H22" i="351"/>
  <c r="G22" i="351"/>
  <c r="E22" i="351"/>
  <c r="J21" i="351"/>
  <c r="I21" i="351"/>
  <c r="H21" i="351"/>
  <c r="G21" i="351"/>
  <c r="E21" i="351"/>
  <c r="I20" i="351"/>
  <c r="H20" i="351"/>
  <c r="G20" i="351"/>
  <c r="D20" i="351"/>
  <c r="J19" i="351"/>
  <c r="I19" i="351"/>
  <c r="G19" i="351"/>
  <c r="D19" i="351"/>
  <c r="J18" i="351"/>
  <c r="I18" i="351"/>
  <c r="H18" i="351"/>
  <c r="F18" i="351"/>
  <c r="D18" i="351"/>
  <c r="J16" i="351"/>
  <c r="I16" i="351"/>
  <c r="H16" i="351"/>
  <c r="G16" i="351"/>
  <c r="F16" i="351"/>
  <c r="E16" i="351"/>
  <c r="D16" i="351"/>
  <c r="O8" i="351"/>
  <c r="N8" i="351"/>
  <c r="M8" i="351"/>
  <c r="L8" i="351"/>
  <c r="O7" i="351"/>
  <c r="N7" i="351"/>
  <c r="M7" i="351"/>
  <c r="L7" i="351"/>
  <c r="G3" i="351"/>
  <c r="AE79" i="350"/>
  <c r="J21" i="349" s="1"/>
  <c r="AD79" i="350"/>
  <c r="AA79" i="350"/>
  <c r="Z79" i="350"/>
  <c r="M79" i="350"/>
  <c r="K79" i="350"/>
  <c r="W78" i="350"/>
  <c r="H78" i="350"/>
  <c r="W77" i="350"/>
  <c r="H77" i="350"/>
  <c r="W76" i="350"/>
  <c r="H76" i="350"/>
  <c r="W75" i="350"/>
  <c r="H75" i="350"/>
  <c r="W74" i="350"/>
  <c r="W73" i="350"/>
  <c r="W72" i="350"/>
  <c r="N72" i="350" s="1"/>
  <c r="O72" i="350" s="1"/>
  <c r="V72" i="350"/>
  <c r="K72" i="350"/>
  <c r="J72" i="350"/>
  <c r="F72" i="350"/>
  <c r="H72" i="350" s="1"/>
  <c r="W71" i="350"/>
  <c r="N71" i="350" s="1"/>
  <c r="O71" i="350" s="1"/>
  <c r="V71" i="350"/>
  <c r="P71" i="350"/>
  <c r="K71" i="350"/>
  <c r="J71" i="350"/>
  <c r="L71" i="350" s="1"/>
  <c r="F71" i="350"/>
  <c r="H71" i="350" s="1"/>
  <c r="W70" i="350"/>
  <c r="P70" i="350"/>
  <c r="N70" i="350"/>
  <c r="L70" i="350"/>
  <c r="H70" i="350"/>
  <c r="F70" i="350"/>
  <c r="AE69" i="350"/>
  <c r="I21" i="349" s="1"/>
  <c r="AD69" i="350"/>
  <c r="I20" i="349" s="1"/>
  <c r="AA69" i="350"/>
  <c r="Z69" i="350"/>
  <c r="I18" i="349" s="1"/>
  <c r="M69" i="350"/>
  <c r="W68" i="350"/>
  <c r="H68" i="350"/>
  <c r="W67" i="350"/>
  <c r="W66" i="350"/>
  <c r="W65" i="350"/>
  <c r="W64" i="350"/>
  <c r="W63" i="350"/>
  <c r="V63" i="350"/>
  <c r="N63" i="350"/>
  <c r="O63" i="350" s="1"/>
  <c r="K63" i="350"/>
  <c r="J63" i="350"/>
  <c r="P63" i="350" s="1"/>
  <c r="F63" i="350"/>
  <c r="H63" i="350" s="1"/>
  <c r="W62" i="350"/>
  <c r="N62" i="350" s="1"/>
  <c r="V62" i="350"/>
  <c r="K62" i="350"/>
  <c r="J62" i="350"/>
  <c r="F62" i="350"/>
  <c r="H62" i="350" s="1"/>
  <c r="AG61" i="350"/>
  <c r="AF61" i="350"/>
  <c r="W61" i="350"/>
  <c r="N61" i="350" s="1"/>
  <c r="O61" i="350" s="1"/>
  <c r="V61" i="350"/>
  <c r="K61" i="350"/>
  <c r="J61" i="350"/>
  <c r="F61" i="350"/>
  <c r="H61" i="350" s="1"/>
  <c r="AG60" i="350"/>
  <c r="AF60" i="350"/>
  <c r="W60" i="350"/>
  <c r="N60" i="350" s="1"/>
  <c r="O60" i="350" s="1"/>
  <c r="V60" i="350"/>
  <c r="K60" i="350"/>
  <c r="J60" i="350"/>
  <c r="H60" i="350"/>
  <c r="F60" i="350"/>
  <c r="W59" i="350"/>
  <c r="N59" i="350" s="1"/>
  <c r="P59" i="350"/>
  <c r="K59" i="350"/>
  <c r="J59" i="350"/>
  <c r="F59" i="350"/>
  <c r="H59" i="350" s="1"/>
  <c r="AE58" i="350"/>
  <c r="AD58" i="350"/>
  <c r="AA58" i="350"/>
  <c r="Z58" i="350"/>
  <c r="H18" i="349" s="1"/>
  <c r="M58" i="350"/>
  <c r="H22" i="349" s="1"/>
  <c r="W57" i="350"/>
  <c r="W56" i="350"/>
  <c r="W55" i="350"/>
  <c r="W54" i="350"/>
  <c r="W53" i="350"/>
  <c r="N53" i="350" s="1"/>
  <c r="V53" i="350"/>
  <c r="O53" i="350"/>
  <c r="L53" i="350"/>
  <c r="K53" i="350"/>
  <c r="J53" i="350"/>
  <c r="P53" i="350" s="1"/>
  <c r="H53" i="350"/>
  <c r="F53" i="350"/>
  <c r="AG52" i="350"/>
  <c r="W52" i="350"/>
  <c r="N52" i="350" s="1"/>
  <c r="V52" i="350"/>
  <c r="L52" i="350"/>
  <c r="J52" i="350"/>
  <c r="P52" i="350" s="1"/>
  <c r="F52" i="350"/>
  <c r="H52" i="350" s="1"/>
  <c r="W51" i="350"/>
  <c r="N51" i="350" s="1"/>
  <c r="V51" i="350"/>
  <c r="J51" i="350"/>
  <c r="H51" i="350"/>
  <c r="F51" i="350"/>
  <c r="AG50" i="350"/>
  <c r="AF50" i="350"/>
  <c r="W50" i="350"/>
  <c r="V50" i="350"/>
  <c r="Q50" i="350"/>
  <c r="P50" i="350"/>
  <c r="O50" i="350"/>
  <c r="R50" i="350" s="1"/>
  <c r="N50" i="350"/>
  <c r="L50" i="350"/>
  <c r="H50" i="350"/>
  <c r="F50" i="350"/>
  <c r="W49" i="350"/>
  <c r="N49" i="350" s="1"/>
  <c r="P49" i="350"/>
  <c r="L49" i="350"/>
  <c r="J49" i="350"/>
  <c r="F49" i="350"/>
  <c r="H49" i="350" s="1"/>
  <c r="AE48" i="350"/>
  <c r="AD48" i="350"/>
  <c r="G20" i="349" s="1"/>
  <c r="AA48" i="350"/>
  <c r="Z48" i="350"/>
  <c r="G18" i="349" s="1"/>
  <c r="W48" i="350"/>
  <c r="M48" i="350"/>
  <c r="J48" i="350"/>
  <c r="W47" i="350"/>
  <c r="H47" i="350"/>
  <c r="W46" i="350"/>
  <c r="W45" i="350"/>
  <c r="W44" i="350"/>
  <c r="W43" i="350"/>
  <c r="W42" i="350"/>
  <c r="AG41" i="350"/>
  <c r="AF41" i="350"/>
  <c r="W41" i="350"/>
  <c r="AG40" i="350"/>
  <c r="AF40" i="350"/>
  <c r="W40" i="350"/>
  <c r="AG39" i="350"/>
  <c r="AF39" i="350"/>
  <c r="W39" i="350"/>
  <c r="N39" i="350" s="1"/>
  <c r="O39" i="350" s="1"/>
  <c r="V39" i="350"/>
  <c r="K39" i="350"/>
  <c r="J39" i="350"/>
  <c r="P39" i="350" s="1"/>
  <c r="H39" i="350"/>
  <c r="F39" i="350"/>
  <c r="W38" i="350"/>
  <c r="N38" i="350" s="1"/>
  <c r="L38" i="350"/>
  <c r="J38" i="350"/>
  <c r="P38" i="350" s="1"/>
  <c r="H38" i="350"/>
  <c r="F38" i="350"/>
  <c r="AE37" i="350"/>
  <c r="F21" i="349" s="1"/>
  <c r="AD37" i="350"/>
  <c r="AA37" i="350"/>
  <c r="Z37" i="350"/>
  <c r="M37" i="350"/>
  <c r="J37" i="350"/>
  <c r="W36" i="350"/>
  <c r="H36" i="350"/>
  <c r="W35" i="350"/>
  <c r="W34" i="350"/>
  <c r="W33" i="350"/>
  <c r="W32" i="350"/>
  <c r="AG31" i="350"/>
  <c r="AF31" i="350"/>
  <c r="W31" i="350"/>
  <c r="AG30" i="350"/>
  <c r="AF30" i="350"/>
  <c r="W30" i="350"/>
  <c r="AG29" i="350"/>
  <c r="AF29" i="350"/>
  <c r="W29" i="350"/>
  <c r="W28" i="350"/>
  <c r="V28" i="350"/>
  <c r="N28" i="350"/>
  <c r="K28" i="350"/>
  <c r="J28" i="350"/>
  <c r="P28" i="350" s="1"/>
  <c r="H28" i="350"/>
  <c r="F28" i="350"/>
  <c r="AG27" i="350"/>
  <c r="W27" i="350"/>
  <c r="N27" i="350" s="1"/>
  <c r="AF27" i="350" s="1"/>
  <c r="O27" i="350"/>
  <c r="J27" i="350"/>
  <c r="P27" i="350" s="1"/>
  <c r="F27" i="350"/>
  <c r="H27" i="350" s="1"/>
  <c r="AE26" i="350"/>
  <c r="AD26" i="350"/>
  <c r="AA26" i="350"/>
  <c r="Z26" i="350"/>
  <c r="M26" i="350"/>
  <c r="E22" i="349" s="1"/>
  <c r="L26" i="350"/>
  <c r="E13" i="349" s="1"/>
  <c r="K26" i="350"/>
  <c r="W25" i="350"/>
  <c r="H25" i="350"/>
  <c r="W24" i="350"/>
  <c r="H24" i="350"/>
  <c r="W23" i="350"/>
  <c r="W21" i="350"/>
  <c r="W20" i="350"/>
  <c r="AG19" i="350"/>
  <c r="AF19" i="350"/>
  <c r="W19" i="350"/>
  <c r="W18" i="350"/>
  <c r="N18" i="350" s="1"/>
  <c r="V18" i="350"/>
  <c r="L18" i="350"/>
  <c r="J18" i="350"/>
  <c r="P18" i="350" s="1"/>
  <c r="H18" i="350"/>
  <c r="F18" i="350"/>
  <c r="W17" i="350"/>
  <c r="N17" i="350" s="1"/>
  <c r="V17" i="350"/>
  <c r="P17" i="350"/>
  <c r="L17" i="350"/>
  <c r="J17" i="350"/>
  <c r="H17" i="350"/>
  <c r="F17" i="350"/>
  <c r="AG16" i="350"/>
  <c r="W16" i="350"/>
  <c r="N16" i="350" s="1"/>
  <c r="AF16" i="350" s="1"/>
  <c r="R16" i="350"/>
  <c r="P16" i="350"/>
  <c r="O16" i="350"/>
  <c r="Q16" i="350" s="1"/>
  <c r="L16" i="350"/>
  <c r="K16" i="350"/>
  <c r="J16" i="350"/>
  <c r="H16" i="350"/>
  <c r="F16" i="350"/>
  <c r="AE15" i="350"/>
  <c r="D21" i="349" s="1"/>
  <c r="AD15" i="350"/>
  <c r="AA15" i="350"/>
  <c r="Z15" i="350"/>
  <c r="M15" i="350"/>
  <c r="K15" i="350"/>
  <c r="J15" i="350"/>
  <c r="P15" i="350" s="1"/>
  <c r="W14" i="350"/>
  <c r="W13" i="350"/>
  <c r="W12" i="350"/>
  <c r="AG11" i="350"/>
  <c r="AF11" i="350"/>
  <c r="W11" i="350"/>
  <c r="AG10" i="350"/>
  <c r="AF10" i="350"/>
  <c r="W10" i="350"/>
  <c r="AG9" i="350"/>
  <c r="AF9" i="350"/>
  <c r="W9" i="350"/>
  <c r="AG8" i="350"/>
  <c r="AF8" i="350"/>
  <c r="W8" i="350"/>
  <c r="AG7" i="350"/>
  <c r="AF7" i="350"/>
  <c r="W7" i="350"/>
  <c r="W6" i="350"/>
  <c r="V6" i="350"/>
  <c r="P6" i="350"/>
  <c r="O6" i="350"/>
  <c r="N6" i="350"/>
  <c r="L6" i="350"/>
  <c r="L15" i="350" s="1"/>
  <c r="D13" i="349" s="1"/>
  <c r="J6" i="350"/>
  <c r="H6" i="350"/>
  <c r="F6" i="350"/>
  <c r="W5" i="350"/>
  <c r="P5" i="350"/>
  <c r="N5" i="350"/>
  <c r="L5" i="350"/>
  <c r="H5" i="350"/>
  <c r="F5" i="350"/>
  <c r="I2" i="350"/>
  <c r="I1" i="350"/>
  <c r="E1" i="350"/>
  <c r="J22" i="349"/>
  <c r="I22" i="349"/>
  <c r="G22" i="349"/>
  <c r="D22" i="349"/>
  <c r="H21" i="349"/>
  <c r="G21" i="349"/>
  <c r="E21" i="349"/>
  <c r="J20" i="349"/>
  <c r="H20" i="349"/>
  <c r="F20" i="349"/>
  <c r="E20" i="349"/>
  <c r="J19" i="349"/>
  <c r="I19" i="349"/>
  <c r="H19" i="349"/>
  <c r="G19" i="349"/>
  <c r="F19" i="349"/>
  <c r="E19" i="349"/>
  <c r="J18" i="349"/>
  <c r="F18" i="349"/>
  <c r="E18" i="349"/>
  <c r="D18" i="349"/>
  <c r="J16" i="349"/>
  <c r="I16" i="349"/>
  <c r="H16" i="349"/>
  <c r="G16" i="349"/>
  <c r="F16" i="349"/>
  <c r="E16" i="349"/>
  <c r="D16" i="349"/>
  <c r="O8" i="349"/>
  <c r="N8" i="349"/>
  <c r="M8" i="349"/>
  <c r="L8" i="349"/>
  <c r="O7" i="349"/>
  <c r="N7" i="349"/>
  <c r="M7" i="349"/>
  <c r="L7" i="349"/>
  <c r="G3" i="349"/>
  <c r="AE79" i="348"/>
  <c r="AD79" i="348"/>
  <c r="J20" i="347" s="1"/>
  <c r="AA79" i="348"/>
  <c r="Z79" i="348"/>
  <c r="M79" i="348"/>
  <c r="J79" i="348"/>
  <c r="W78" i="348"/>
  <c r="H78" i="348"/>
  <c r="W77" i="348"/>
  <c r="H77" i="348"/>
  <c r="W76" i="348"/>
  <c r="H76" i="348"/>
  <c r="W75" i="348"/>
  <c r="H75" i="348"/>
  <c r="W74" i="348"/>
  <c r="W73" i="348"/>
  <c r="W72" i="348"/>
  <c r="N72" i="348" s="1"/>
  <c r="O72" i="348" s="1"/>
  <c r="V72" i="348"/>
  <c r="L72" i="348"/>
  <c r="K72" i="348"/>
  <c r="J72" i="348"/>
  <c r="P72" i="348" s="1"/>
  <c r="H72" i="348"/>
  <c r="F72" i="348"/>
  <c r="W71" i="348"/>
  <c r="V71" i="348"/>
  <c r="N71" i="348"/>
  <c r="O71" i="348" s="1"/>
  <c r="K71" i="348"/>
  <c r="L71" i="348" s="1"/>
  <c r="L79" i="348" s="1"/>
  <c r="J13" i="347" s="1"/>
  <c r="J71" i="348"/>
  <c r="P71" i="348" s="1"/>
  <c r="H71" i="348"/>
  <c r="F71" i="348"/>
  <c r="W70" i="348"/>
  <c r="P70" i="348"/>
  <c r="N70" i="348"/>
  <c r="L70" i="348"/>
  <c r="F70" i="348"/>
  <c r="H70" i="348" s="1"/>
  <c r="AE69" i="348"/>
  <c r="AD69" i="348"/>
  <c r="AA69" i="348"/>
  <c r="Z69" i="348"/>
  <c r="I18" i="347" s="1"/>
  <c r="M69" i="348"/>
  <c r="P69" i="348" s="1"/>
  <c r="L69" i="348"/>
  <c r="I13" i="347" s="1"/>
  <c r="J6" i="347" s="1"/>
  <c r="W68" i="348"/>
  <c r="H68" i="348"/>
  <c r="W67" i="348"/>
  <c r="W66" i="348"/>
  <c r="W65" i="348"/>
  <c r="W64" i="348"/>
  <c r="W63" i="348"/>
  <c r="W62" i="348"/>
  <c r="V62" i="348"/>
  <c r="N62" i="348"/>
  <c r="AG62" i="348" s="1"/>
  <c r="L62" i="348"/>
  <c r="K62" i="348"/>
  <c r="J62" i="348"/>
  <c r="P62" i="348" s="1"/>
  <c r="H62" i="348"/>
  <c r="F62" i="348"/>
  <c r="W61" i="348"/>
  <c r="V61" i="348"/>
  <c r="P61" i="348"/>
  <c r="O61" i="348"/>
  <c r="R61" i="348" s="1"/>
  <c r="N61" i="348"/>
  <c r="L61" i="348"/>
  <c r="K61" i="348"/>
  <c r="J61" i="348"/>
  <c r="H61" i="348"/>
  <c r="F61" i="348"/>
  <c r="W60" i="348"/>
  <c r="V60" i="348"/>
  <c r="R60" i="348"/>
  <c r="P60" i="348"/>
  <c r="O60" i="348"/>
  <c r="Q60" i="348" s="1"/>
  <c r="N60" i="348"/>
  <c r="L60" i="348"/>
  <c r="K60" i="348"/>
  <c r="J60" i="348"/>
  <c r="J69" i="348" s="1"/>
  <c r="H60" i="348"/>
  <c r="F60" i="348"/>
  <c r="W59" i="348"/>
  <c r="N59" i="348" s="1"/>
  <c r="P59" i="348"/>
  <c r="L59" i="348"/>
  <c r="K59" i="348"/>
  <c r="J59" i="348"/>
  <c r="F59" i="348"/>
  <c r="H59" i="348" s="1"/>
  <c r="AE58" i="348"/>
  <c r="AD58" i="348"/>
  <c r="H20" i="347" s="1"/>
  <c r="AA58" i="348"/>
  <c r="H19" i="347" s="1"/>
  <c r="Z58" i="348"/>
  <c r="H18" i="347" s="1"/>
  <c r="M58" i="348"/>
  <c r="K58" i="348"/>
  <c r="W57" i="348"/>
  <c r="W56" i="348"/>
  <c r="W55" i="348"/>
  <c r="W54" i="348"/>
  <c r="AG53" i="348"/>
  <c r="AF53" i="348"/>
  <c r="W53" i="348"/>
  <c r="AG52" i="348"/>
  <c r="AF52" i="348"/>
  <c r="W52" i="348"/>
  <c r="N52" i="348" s="1"/>
  <c r="V52" i="348"/>
  <c r="P52" i="348"/>
  <c r="O52" i="348"/>
  <c r="L52" i="348"/>
  <c r="J52" i="348"/>
  <c r="F52" i="348"/>
  <c r="H52" i="348" s="1"/>
  <c r="AG51" i="348"/>
  <c r="AF51" i="348"/>
  <c r="W51" i="348"/>
  <c r="N51" i="348" s="1"/>
  <c r="O51" i="348" s="1"/>
  <c r="V51" i="348"/>
  <c r="R51" i="348"/>
  <c r="Q51" i="348"/>
  <c r="P51" i="348"/>
  <c r="L51" i="348"/>
  <c r="J51" i="348"/>
  <c r="H51" i="348"/>
  <c r="F51" i="348"/>
  <c r="AG50" i="348"/>
  <c r="AF50" i="348"/>
  <c r="W50" i="348"/>
  <c r="N50" i="348" s="1"/>
  <c r="O50" i="348" s="1"/>
  <c r="R50" i="348" s="1"/>
  <c r="V50" i="348"/>
  <c r="Q50" i="348"/>
  <c r="P50" i="348"/>
  <c r="L50" i="348"/>
  <c r="F50" i="348"/>
  <c r="H50" i="348" s="1"/>
  <c r="AG49" i="348"/>
  <c r="AF49" i="348"/>
  <c r="W49" i="348"/>
  <c r="N49" i="348" s="1"/>
  <c r="J49" i="348"/>
  <c r="F49" i="348"/>
  <c r="H49" i="348" s="1"/>
  <c r="AE48" i="348"/>
  <c r="AD48" i="348"/>
  <c r="G20" i="347" s="1"/>
  <c r="AA48" i="348"/>
  <c r="Z48" i="348"/>
  <c r="W48" i="348"/>
  <c r="M48" i="348"/>
  <c r="K48" i="348"/>
  <c r="J48" i="348"/>
  <c r="W47" i="348"/>
  <c r="H47" i="348"/>
  <c r="W46" i="348"/>
  <c r="W45" i="348"/>
  <c r="W44" i="348"/>
  <c r="W43" i="348"/>
  <c r="W42" i="348"/>
  <c r="AG41" i="348"/>
  <c r="AF41" i="348"/>
  <c r="W41" i="348"/>
  <c r="AG40" i="348"/>
  <c r="AF40" i="348"/>
  <c r="W40" i="348"/>
  <c r="W39" i="348"/>
  <c r="V39" i="348"/>
  <c r="P39" i="348"/>
  <c r="O39" i="348"/>
  <c r="N39" i="348"/>
  <c r="K39" i="348"/>
  <c r="L39" i="348" s="1"/>
  <c r="J39" i="348"/>
  <c r="F39" i="348"/>
  <c r="H39" i="348" s="1"/>
  <c r="W38" i="348"/>
  <c r="N38" i="348" s="1"/>
  <c r="P38" i="348"/>
  <c r="J38" i="348"/>
  <c r="L38" i="348" s="1"/>
  <c r="F38" i="348"/>
  <c r="H38" i="348" s="1"/>
  <c r="AE37" i="348"/>
  <c r="F21" i="347" s="1"/>
  <c r="AD37" i="348"/>
  <c r="F20" i="347" s="1"/>
  <c r="AA37" i="348"/>
  <c r="F19" i="347" s="1"/>
  <c r="Z37" i="348"/>
  <c r="M37" i="348"/>
  <c r="K37" i="348"/>
  <c r="J37" i="348"/>
  <c r="W36" i="348"/>
  <c r="H36" i="348"/>
  <c r="W35" i="348"/>
  <c r="W34" i="348"/>
  <c r="W33" i="348"/>
  <c r="W32" i="348"/>
  <c r="AG31" i="348"/>
  <c r="AF31" i="348"/>
  <c r="W31" i="348"/>
  <c r="AG30" i="348"/>
  <c r="AF30" i="348"/>
  <c r="W30" i="348"/>
  <c r="W29" i="348"/>
  <c r="N29" i="348" s="1"/>
  <c r="O29" i="348" s="1"/>
  <c r="V29" i="348"/>
  <c r="L29" i="348"/>
  <c r="R29" i="348" s="1"/>
  <c r="K29" i="348"/>
  <c r="J29" i="348"/>
  <c r="P29" i="348" s="1"/>
  <c r="F29" i="348"/>
  <c r="H29" i="348" s="1"/>
  <c r="W28" i="348"/>
  <c r="N28" i="348" s="1"/>
  <c r="V28" i="348"/>
  <c r="K28" i="348"/>
  <c r="L28" i="348" s="1"/>
  <c r="J28" i="348"/>
  <c r="P28" i="348" s="1"/>
  <c r="H28" i="348"/>
  <c r="F28" i="348"/>
  <c r="AF27" i="348"/>
  <c r="W27" i="348"/>
  <c r="P27" i="348"/>
  <c r="N27" i="348"/>
  <c r="J27" i="348"/>
  <c r="L27" i="348" s="1"/>
  <c r="H27" i="348"/>
  <c r="F27" i="348"/>
  <c r="AE26" i="348"/>
  <c r="E21" i="347" s="1"/>
  <c r="AD26" i="348"/>
  <c r="AA26" i="348"/>
  <c r="E19" i="347" s="1"/>
  <c r="Z26" i="348"/>
  <c r="M26" i="348"/>
  <c r="J26" i="348"/>
  <c r="W25" i="348"/>
  <c r="H25" i="348"/>
  <c r="W24" i="348"/>
  <c r="H24" i="348"/>
  <c r="W23" i="348"/>
  <c r="W21" i="348"/>
  <c r="W20" i="348"/>
  <c r="W19" i="348"/>
  <c r="N19" i="348" s="1"/>
  <c r="V19" i="348"/>
  <c r="P19" i="348"/>
  <c r="L19" i="348"/>
  <c r="J19" i="348"/>
  <c r="F19" i="348"/>
  <c r="H19" i="348" s="1"/>
  <c r="AG18" i="348"/>
  <c r="W18" i="348"/>
  <c r="V18" i="348"/>
  <c r="N18" i="348"/>
  <c r="O18" i="348" s="1"/>
  <c r="J18" i="348"/>
  <c r="P18" i="348" s="1"/>
  <c r="F18" i="348"/>
  <c r="H18" i="348" s="1"/>
  <c r="W17" i="348"/>
  <c r="N17" i="348" s="1"/>
  <c r="V17" i="348"/>
  <c r="J17" i="348"/>
  <c r="P17" i="348" s="1"/>
  <c r="F17" i="348"/>
  <c r="H17" i="348" s="1"/>
  <c r="AG16" i="348"/>
  <c r="AF16" i="348"/>
  <c r="W16" i="348"/>
  <c r="N16" i="348" s="1"/>
  <c r="P16" i="348"/>
  <c r="O16" i="348"/>
  <c r="K16" i="348"/>
  <c r="K26" i="348" s="1"/>
  <c r="J16" i="348"/>
  <c r="H16" i="348"/>
  <c r="F16" i="348"/>
  <c r="AF15" i="348"/>
  <c r="AE15" i="348"/>
  <c r="AD15" i="348"/>
  <c r="AA15" i="348"/>
  <c r="Z15" i="348"/>
  <c r="N15" i="348"/>
  <c r="AG15" i="348" s="1"/>
  <c r="AH5" i="348" s="1"/>
  <c r="M15" i="348"/>
  <c r="P15" i="348" s="1"/>
  <c r="L15" i="348"/>
  <c r="D13" i="347" s="1"/>
  <c r="K15" i="348"/>
  <c r="J15" i="348"/>
  <c r="W14" i="348"/>
  <c r="W13" i="348"/>
  <c r="W12" i="348"/>
  <c r="AG11" i="348"/>
  <c r="AF11" i="348"/>
  <c r="W11" i="348"/>
  <c r="AG10" i="348"/>
  <c r="AF10" i="348"/>
  <c r="W10" i="348"/>
  <c r="AG9" i="348"/>
  <c r="AF9" i="348"/>
  <c r="W9" i="348"/>
  <c r="AG8" i="348"/>
  <c r="AF8" i="348"/>
  <c r="W8" i="348"/>
  <c r="AG7" i="348"/>
  <c r="W7" i="348"/>
  <c r="V7" i="348"/>
  <c r="P7" i="348"/>
  <c r="O7" i="348"/>
  <c r="R7" i="348" s="1"/>
  <c r="N7" i="348"/>
  <c r="AF7" i="348" s="1"/>
  <c r="L7" i="348"/>
  <c r="J7" i="348"/>
  <c r="F7" i="348"/>
  <c r="H7" i="348" s="1"/>
  <c r="W6" i="348"/>
  <c r="V6" i="348"/>
  <c r="P6" i="348"/>
  <c r="O6" i="348"/>
  <c r="N6" i="348"/>
  <c r="L6" i="348"/>
  <c r="J6" i="348"/>
  <c r="H6" i="348"/>
  <c r="F6" i="348"/>
  <c r="W5" i="348"/>
  <c r="N5" i="348" s="1"/>
  <c r="P5" i="348"/>
  <c r="O5" i="348"/>
  <c r="L5" i="348"/>
  <c r="H5" i="348"/>
  <c r="F5" i="348"/>
  <c r="I2" i="348"/>
  <c r="E1" i="348"/>
  <c r="I22" i="347"/>
  <c r="G22" i="347"/>
  <c r="F22" i="347"/>
  <c r="J21" i="347"/>
  <c r="I21" i="347"/>
  <c r="H21" i="347"/>
  <c r="G21" i="347"/>
  <c r="I20" i="347"/>
  <c r="D20" i="347"/>
  <c r="J19" i="347"/>
  <c r="I19" i="347"/>
  <c r="G19" i="347"/>
  <c r="D19" i="347"/>
  <c r="J18" i="347"/>
  <c r="G18" i="347"/>
  <c r="F18" i="347"/>
  <c r="E18" i="347"/>
  <c r="D18" i="347"/>
  <c r="J16" i="347"/>
  <c r="I16" i="347"/>
  <c r="H16" i="347"/>
  <c r="G16" i="347"/>
  <c r="F16" i="347"/>
  <c r="E16" i="347"/>
  <c r="D16" i="347"/>
  <c r="O8" i="347"/>
  <c r="N8" i="347"/>
  <c r="M8" i="347"/>
  <c r="L8" i="347"/>
  <c r="O7" i="347"/>
  <c r="N7" i="347"/>
  <c r="M7" i="347"/>
  <c r="L7" i="347"/>
  <c r="G3" i="347"/>
  <c r="AE79" i="346"/>
  <c r="J21" i="345" s="1"/>
  <c r="AD79" i="346"/>
  <c r="AA79" i="346"/>
  <c r="J18" i="345" s="1"/>
  <c r="Z79" i="346"/>
  <c r="M79" i="346"/>
  <c r="K79" i="346"/>
  <c r="J79" i="346"/>
  <c r="W78" i="346"/>
  <c r="H78" i="346"/>
  <c r="W77" i="346"/>
  <c r="H77" i="346"/>
  <c r="W76" i="346"/>
  <c r="H76" i="346"/>
  <c r="W75" i="346"/>
  <c r="H75" i="346"/>
  <c r="W74" i="346"/>
  <c r="W73" i="346"/>
  <c r="W72" i="346"/>
  <c r="W71" i="346"/>
  <c r="N71" i="346" s="1"/>
  <c r="O71" i="346" s="1"/>
  <c r="V71" i="346"/>
  <c r="K71" i="346"/>
  <c r="L71" i="346" s="1"/>
  <c r="J71" i="346"/>
  <c r="P71" i="346" s="1"/>
  <c r="F71" i="346"/>
  <c r="H71" i="346" s="1"/>
  <c r="W70" i="346"/>
  <c r="N70" i="346" s="1"/>
  <c r="P70" i="346"/>
  <c r="L70" i="346"/>
  <c r="H70" i="346"/>
  <c r="F70" i="346"/>
  <c r="AE69" i="346"/>
  <c r="AD69" i="346"/>
  <c r="AA69" i="346"/>
  <c r="Z69" i="346"/>
  <c r="I18" i="345" s="1"/>
  <c r="N69" i="346"/>
  <c r="M69" i="346"/>
  <c r="W68" i="346"/>
  <c r="H68" i="346"/>
  <c r="W67" i="346"/>
  <c r="W66" i="346"/>
  <c r="W65" i="346"/>
  <c r="W64" i="346"/>
  <c r="W63" i="346"/>
  <c r="V63" i="346"/>
  <c r="O63" i="346"/>
  <c r="N63" i="346"/>
  <c r="K63" i="346"/>
  <c r="J63" i="346"/>
  <c r="F63" i="346"/>
  <c r="H63" i="346" s="1"/>
  <c r="W62" i="346"/>
  <c r="N62" i="346"/>
  <c r="K62" i="346"/>
  <c r="J62" i="346"/>
  <c r="H62" i="346"/>
  <c r="F62" i="346"/>
  <c r="AF61" i="346"/>
  <c r="W61" i="346"/>
  <c r="N61" i="346" s="1"/>
  <c r="V61" i="346"/>
  <c r="P61" i="346"/>
  <c r="L61" i="346"/>
  <c r="K61" i="346"/>
  <c r="J61" i="346"/>
  <c r="F61" i="346"/>
  <c r="H61" i="346" s="1"/>
  <c r="AG60" i="346"/>
  <c r="AF60" i="346"/>
  <c r="W60" i="346"/>
  <c r="N60" i="346" s="1"/>
  <c r="O60" i="346" s="1"/>
  <c r="V60" i="346"/>
  <c r="K60" i="346"/>
  <c r="J60" i="346"/>
  <c r="P60" i="346" s="1"/>
  <c r="F60" i="346"/>
  <c r="H60" i="346" s="1"/>
  <c r="W59" i="346"/>
  <c r="N59" i="346" s="1"/>
  <c r="O59" i="346" s="1"/>
  <c r="K59" i="346"/>
  <c r="K69" i="346" s="1"/>
  <c r="AG69" i="346" s="1"/>
  <c r="AH59" i="346" s="1"/>
  <c r="J59" i="346"/>
  <c r="P59" i="346" s="1"/>
  <c r="F59" i="346"/>
  <c r="H59" i="346" s="1"/>
  <c r="AE58" i="346"/>
  <c r="AD58" i="346"/>
  <c r="AA58" i="346"/>
  <c r="Z58" i="346"/>
  <c r="M58" i="346"/>
  <c r="W57" i="346"/>
  <c r="W56" i="346"/>
  <c r="W55" i="346"/>
  <c r="W54" i="346"/>
  <c r="AG53" i="346"/>
  <c r="AF53" i="346"/>
  <c r="W53" i="346"/>
  <c r="W52" i="346"/>
  <c r="N52" i="346" s="1"/>
  <c r="V52" i="346"/>
  <c r="O52" i="346"/>
  <c r="J52" i="346"/>
  <c r="F52" i="346"/>
  <c r="H52" i="346" s="1"/>
  <c r="W51" i="346"/>
  <c r="N51" i="346" s="1"/>
  <c r="V51" i="346"/>
  <c r="J51" i="346"/>
  <c r="H51" i="346"/>
  <c r="F51" i="346"/>
  <c r="AG50" i="346"/>
  <c r="AF50" i="346"/>
  <c r="W50" i="346"/>
  <c r="N50" i="346" s="1"/>
  <c r="V50" i="346"/>
  <c r="P50" i="346"/>
  <c r="O50" i="346"/>
  <c r="L50" i="346"/>
  <c r="H50" i="346"/>
  <c r="F50" i="346"/>
  <c r="W49" i="346"/>
  <c r="N49" i="346" s="1"/>
  <c r="K49" i="346"/>
  <c r="AF49" i="346" s="1"/>
  <c r="J49" i="346"/>
  <c r="H49" i="346"/>
  <c r="F49" i="346"/>
  <c r="AE48" i="346"/>
  <c r="AD48" i="346"/>
  <c r="AA48" i="346"/>
  <c r="G19" i="345" s="1"/>
  <c r="Z48" i="346"/>
  <c r="W48" i="346"/>
  <c r="P48" i="346"/>
  <c r="M48" i="346"/>
  <c r="G22" i="345" s="1"/>
  <c r="W47" i="346"/>
  <c r="H47" i="346"/>
  <c r="W46" i="346"/>
  <c r="W45" i="346"/>
  <c r="W44" i="346"/>
  <c r="W43" i="346"/>
  <c r="W42" i="346"/>
  <c r="AG41" i="346"/>
  <c r="AF41" i="346"/>
  <c r="W41" i="346"/>
  <c r="W40" i="346"/>
  <c r="V40" i="346"/>
  <c r="P40" i="346"/>
  <c r="N40" i="346"/>
  <c r="K40" i="346"/>
  <c r="L40" i="346" s="1"/>
  <c r="J40" i="346"/>
  <c r="H40" i="346"/>
  <c r="F40" i="346"/>
  <c r="AG39" i="346"/>
  <c r="W39" i="346"/>
  <c r="V39" i="346"/>
  <c r="R39" i="346"/>
  <c r="P39" i="346"/>
  <c r="O39" i="346"/>
  <c r="Q39" i="346" s="1"/>
  <c r="N39" i="346"/>
  <c r="AF39" i="346" s="1"/>
  <c r="L39" i="346"/>
  <c r="K39" i="346"/>
  <c r="J39" i="346"/>
  <c r="H39" i="346"/>
  <c r="F39" i="346"/>
  <c r="W38" i="346"/>
  <c r="N38" i="346" s="1"/>
  <c r="P38" i="346"/>
  <c r="L38" i="346"/>
  <c r="K38" i="346"/>
  <c r="J38" i="346"/>
  <c r="J48" i="346" s="1"/>
  <c r="H38" i="346"/>
  <c r="F38" i="346"/>
  <c r="AE37" i="346"/>
  <c r="AD37" i="346"/>
  <c r="F20" i="345" s="1"/>
  <c r="AA37" i="346"/>
  <c r="F19" i="345" s="1"/>
  <c r="Z37" i="346"/>
  <c r="M37" i="346"/>
  <c r="K37" i="346"/>
  <c r="W36" i="346"/>
  <c r="H36" i="346"/>
  <c r="W35" i="346"/>
  <c r="W34" i="346"/>
  <c r="W33" i="346"/>
  <c r="W32" i="346"/>
  <c r="AG31" i="346"/>
  <c r="AF31" i="346"/>
  <c r="W31" i="346"/>
  <c r="AG30" i="346"/>
  <c r="AF30" i="346"/>
  <c r="W30" i="346"/>
  <c r="W29" i="346"/>
  <c r="V29" i="346"/>
  <c r="O29" i="346"/>
  <c r="N29" i="346"/>
  <c r="L29" i="346"/>
  <c r="K29" i="346"/>
  <c r="AG29" i="346" s="1"/>
  <c r="J29" i="346"/>
  <c r="P29" i="346" s="1"/>
  <c r="H29" i="346"/>
  <c r="F29" i="346"/>
  <c r="W28" i="346"/>
  <c r="V28" i="346"/>
  <c r="N28" i="346"/>
  <c r="K28" i="346"/>
  <c r="J28" i="346"/>
  <c r="H28" i="346"/>
  <c r="F28" i="346"/>
  <c r="W27" i="346"/>
  <c r="N27" i="346" s="1"/>
  <c r="P27" i="346"/>
  <c r="L27" i="346"/>
  <c r="J27" i="346"/>
  <c r="H27" i="346"/>
  <c r="F27" i="346"/>
  <c r="AE26" i="346"/>
  <c r="AD26" i="346"/>
  <c r="E20" i="345" s="1"/>
  <c r="AA26" i="346"/>
  <c r="E19" i="345" s="1"/>
  <c r="Z26" i="346"/>
  <c r="E18" i="345" s="1"/>
  <c r="M26" i="346"/>
  <c r="W25" i="346"/>
  <c r="H25" i="346"/>
  <c r="W24" i="346"/>
  <c r="H24" i="346"/>
  <c r="W23" i="346"/>
  <c r="W21" i="346"/>
  <c r="W20" i="346"/>
  <c r="AG19" i="346"/>
  <c r="AF19" i="346"/>
  <c r="W19" i="346"/>
  <c r="W18" i="346"/>
  <c r="N18" i="346" s="1"/>
  <c r="O18" i="346" s="1"/>
  <c r="R18" i="346" s="1"/>
  <c r="V18" i="346"/>
  <c r="Q18" i="346"/>
  <c r="P18" i="346"/>
  <c r="L18" i="346"/>
  <c r="K18" i="346"/>
  <c r="J18" i="346"/>
  <c r="F18" i="346"/>
  <c r="H18" i="346" s="1"/>
  <c r="W17" i="346"/>
  <c r="N17" i="346" s="1"/>
  <c r="AG17" i="346" s="1"/>
  <c r="V17" i="346"/>
  <c r="O17" i="346"/>
  <c r="K17" i="346"/>
  <c r="J17" i="346"/>
  <c r="P17" i="346" s="1"/>
  <c r="H17" i="346"/>
  <c r="F17" i="346"/>
  <c r="AG16" i="346"/>
  <c r="AF16" i="346"/>
  <c r="W16" i="346"/>
  <c r="O16" i="346"/>
  <c r="N16" i="346"/>
  <c r="K16" i="346"/>
  <c r="K26" i="346" s="1"/>
  <c r="J16" i="346"/>
  <c r="P16" i="346" s="1"/>
  <c r="H16" i="346"/>
  <c r="F16" i="346"/>
  <c r="AE15" i="346"/>
  <c r="AD15" i="346"/>
  <c r="AD2" i="346" s="1"/>
  <c r="AA15" i="346"/>
  <c r="D19" i="345" s="1"/>
  <c r="Z15" i="346"/>
  <c r="M15" i="346"/>
  <c r="K15" i="346"/>
  <c r="W14" i="346"/>
  <c r="W13" i="346"/>
  <c r="W12" i="346"/>
  <c r="AG11" i="346"/>
  <c r="AF11" i="346"/>
  <c r="W11" i="346"/>
  <c r="AG10" i="346"/>
  <c r="AF10" i="346"/>
  <c r="W10" i="346"/>
  <c r="AG9" i="346"/>
  <c r="AF9" i="346"/>
  <c r="W9" i="346"/>
  <c r="AG8" i="346"/>
  <c r="AF8" i="346"/>
  <c r="W8" i="346"/>
  <c r="AG7" i="346"/>
  <c r="AF7" i="346"/>
  <c r="W7" i="346"/>
  <c r="W6" i="346"/>
  <c r="V6" i="346"/>
  <c r="N6" i="346"/>
  <c r="J6" i="346"/>
  <c r="H6" i="346"/>
  <c r="F6" i="346"/>
  <c r="W5" i="346"/>
  <c r="P5" i="346"/>
  <c r="N5" i="346"/>
  <c r="N15" i="346" s="1"/>
  <c r="L5" i="346"/>
  <c r="F5" i="346"/>
  <c r="H5" i="346" s="1"/>
  <c r="AE2" i="346"/>
  <c r="I2" i="346"/>
  <c r="E1" i="346"/>
  <c r="J22" i="345"/>
  <c r="I22" i="345"/>
  <c r="H22" i="345"/>
  <c r="E22" i="345"/>
  <c r="I21" i="345"/>
  <c r="H21" i="345"/>
  <c r="G21" i="345"/>
  <c r="F21" i="345"/>
  <c r="E21" i="345"/>
  <c r="D21" i="345"/>
  <c r="J20" i="345"/>
  <c r="I20" i="345"/>
  <c r="H20" i="345"/>
  <c r="G20" i="345"/>
  <c r="D20" i="345"/>
  <c r="J19" i="345"/>
  <c r="I19" i="345"/>
  <c r="H19" i="345"/>
  <c r="H18" i="345"/>
  <c r="G18" i="345"/>
  <c r="F18" i="345"/>
  <c r="J16" i="345"/>
  <c r="I16" i="345"/>
  <c r="H16" i="345"/>
  <c r="G16" i="345"/>
  <c r="F16" i="345"/>
  <c r="E16" i="345"/>
  <c r="D16" i="345"/>
  <c r="O8" i="345"/>
  <c r="N8" i="345"/>
  <c r="M8" i="345"/>
  <c r="L8" i="345"/>
  <c r="O7" i="345"/>
  <c r="N7" i="345"/>
  <c r="M7" i="345"/>
  <c r="L7" i="345"/>
  <c r="G3" i="345"/>
  <c r="AE79" i="344"/>
  <c r="AD79" i="344"/>
  <c r="AA79" i="344"/>
  <c r="Z79" i="344"/>
  <c r="M79" i="344"/>
  <c r="W78" i="344"/>
  <c r="H78" i="344"/>
  <c r="W77" i="344"/>
  <c r="H77" i="344"/>
  <c r="W76" i="344"/>
  <c r="H76" i="344"/>
  <c r="W75" i="344"/>
  <c r="H75" i="344"/>
  <c r="W74" i="344"/>
  <c r="W73" i="344"/>
  <c r="W72" i="344"/>
  <c r="W71" i="344"/>
  <c r="V71" i="344"/>
  <c r="N71" i="344"/>
  <c r="O71" i="344" s="1"/>
  <c r="L71" i="344"/>
  <c r="K71" i="344"/>
  <c r="K79" i="344" s="1"/>
  <c r="J71" i="344"/>
  <c r="H71" i="344"/>
  <c r="F71" i="344"/>
  <c r="W70" i="344"/>
  <c r="P70" i="344"/>
  <c r="N70" i="344"/>
  <c r="L70" i="344"/>
  <c r="H70" i="344"/>
  <c r="F70" i="344"/>
  <c r="AE69" i="344"/>
  <c r="I21" i="343" s="1"/>
  <c r="AD69" i="344"/>
  <c r="AA69" i="344"/>
  <c r="Z69" i="344"/>
  <c r="M69" i="344"/>
  <c r="W68" i="344"/>
  <c r="H68" i="344"/>
  <c r="W67" i="344"/>
  <c r="W66" i="344"/>
  <c r="W65" i="344"/>
  <c r="W64" i="344"/>
  <c r="W63" i="344"/>
  <c r="V63" i="344"/>
  <c r="Q63" i="344"/>
  <c r="N63" i="344"/>
  <c r="O63" i="344" s="1"/>
  <c r="K63" i="344"/>
  <c r="L63" i="344" s="1"/>
  <c r="J63" i="344"/>
  <c r="P63" i="344" s="1"/>
  <c r="F63" i="344"/>
  <c r="H63" i="344" s="1"/>
  <c r="W62" i="344"/>
  <c r="O62" i="344"/>
  <c r="N62" i="344"/>
  <c r="K62" i="344"/>
  <c r="J62" i="344"/>
  <c r="P62" i="344" s="1"/>
  <c r="F62" i="344"/>
  <c r="H62" i="344" s="1"/>
  <c r="W61" i="344"/>
  <c r="V61" i="344"/>
  <c r="O61" i="344"/>
  <c r="N61" i="344"/>
  <c r="K61" i="344"/>
  <c r="J61" i="344"/>
  <c r="P61" i="344" s="1"/>
  <c r="H61" i="344"/>
  <c r="F61" i="344"/>
  <c r="AG60" i="344"/>
  <c r="W60" i="344"/>
  <c r="V60" i="344"/>
  <c r="P60" i="344"/>
  <c r="N60" i="344"/>
  <c r="L60" i="344"/>
  <c r="K60" i="344"/>
  <c r="J60" i="344"/>
  <c r="H60" i="344"/>
  <c r="F60" i="344"/>
  <c r="W59" i="344"/>
  <c r="N59" i="344" s="1"/>
  <c r="K59" i="344"/>
  <c r="J59" i="344"/>
  <c r="H59" i="344"/>
  <c r="F59" i="344"/>
  <c r="AE58" i="344"/>
  <c r="AD58" i="344"/>
  <c r="AA58" i="344"/>
  <c r="Z58" i="344"/>
  <c r="M58" i="344"/>
  <c r="K58" i="344"/>
  <c r="W57" i="344"/>
  <c r="W56" i="344"/>
  <c r="W55" i="344"/>
  <c r="W54" i="344"/>
  <c r="AG53" i="344"/>
  <c r="AF53" i="344"/>
  <c r="W53" i="344"/>
  <c r="AG52" i="344"/>
  <c r="AF52" i="344"/>
  <c r="W52" i="344"/>
  <c r="N52" i="344" s="1"/>
  <c r="O52" i="344" s="1"/>
  <c r="V52" i="344"/>
  <c r="R52" i="344"/>
  <c r="Q52" i="344"/>
  <c r="P52" i="344"/>
  <c r="L52" i="344"/>
  <c r="J52" i="344"/>
  <c r="H52" i="344"/>
  <c r="F52" i="344"/>
  <c r="W51" i="344"/>
  <c r="V51" i="344"/>
  <c r="N51" i="344"/>
  <c r="O51" i="344" s="1"/>
  <c r="J51" i="344"/>
  <c r="F51" i="344"/>
  <c r="H51" i="344" s="1"/>
  <c r="AG50" i="344"/>
  <c r="W50" i="344"/>
  <c r="V50" i="344"/>
  <c r="P50" i="344"/>
  <c r="N50" i="344"/>
  <c r="AF50" i="344" s="1"/>
  <c r="L50" i="344"/>
  <c r="H50" i="344"/>
  <c r="F50" i="344"/>
  <c r="AG49" i="344"/>
  <c r="AF49" i="344"/>
  <c r="W49" i="344"/>
  <c r="N49" i="344"/>
  <c r="O49" i="344" s="1"/>
  <c r="J49" i="344"/>
  <c r="P49" i="344" s="1"/>
  <c r="H49" i="344"/>
  <c r="F49" i="344"/>
  <c r="AE48" i="344"/>
  <c r="AD48" i="344"/>
  <c r="AA48" i="344"/>
  <c r="Z48" i="344"/>
  <c r="W48" i="344"/>
  <c r="M48" i="344"/>
  <c r="K48" i="344"/>
  <c r="W47" i="344"/>
  <c r="H47" i="344"/>
  <c r="W46" i="344"/>
  <c r="W45" i="344"/>
  <c r="W44" i="344"/>
  <c r="W43" i="344"/>
  <c r="W42" i="344"/>
  <c r="AG41" i="344"/>
  <c r="AF41" i="344"/>
  <c r="W41" i="344"/>
  <c r="W40" i="344"/>
  <c r="V40" i="344"/>
  <c r="P40" i="344"/>
  <c r="O40" i="344"/>
  <c r="N40" i="344"/>
  <c r="K40" i="344"/>
  <c r="L40" i="344" s="1"/>
  <c r="R40" i="344" s="1"/>
  <c r="J40" i="344"/>
  <c r="H40" i="344"/>
  <c r="F40" i="344"/>
  <c r="W39" i="344"/>
  <c r="N39" i="344" s="1"/>
  <c r="V39" i="344"/>
  <c r="P39" i="344"/>
  <c r="L39" i="344"/>
  <c r="K39" i="344"/>
  <c r="J39" i="344"/>
  <c r="F39" i="344"/>
  <c r="H39" i="344" s="1"/>
  <c r="AG38" i="344"/>
  <c r="AF38" i="344"/>
  <c r="W38" i="344"/>
  <c r="N38" i="344" s="1"/>
  <c r="O38" i="344"/>
  <c r="K38" i="344"/>
  <c r="J38" i="344"/>
  <c r="J48" i="344" s="1"/>
  <c r="P48" i="344" s="1"/>
  <c r="H38" i="344"/>
  <c r="F38" i="344"/>
  <c r="AE37" i="344"/>
  <c r="AD37" i="344"/>
  <c r="F20" i="343" s="1"/>
  <c r="AA37" i="344"/>
  <c r="Z37" i="344"/>
  <c r="F18" i="343" s="1"/>
  <c r="M37" i="344"/>
  <c r="F22" i="343" s="1"/>
  <c r="W36" i="344"/>
  <c r="H36" i="344"/>
  <c r="W35" i="344"/>
  <c r="W34" i="344"/>
  <c r="W33" i="344"/>
  <c r="W32" i="344"/>
  <c r="AG31" i="344"/>
  <c r="AF31" i="344"/>
  <c r="W31" i="344"/>
  <c r="AG30" i="344"/>
  <c r="AF30" i="344"/>
  <c r="W30" i="344"/>
  <c r="AG29" i="344"/>
  <c r="AF29" i="344"/>
  <c r="W29" i="344"/>
  <c r="W28" i="344"/>
  <c r="N28" i="344" s="1"/>
  <c r="V28" i="344"/>
  <c r="K28" i="344"/>
  <c r="L28" i="344" s="1"/>
  <c r="L37" i="344" s="1"/>
  <c r="F13" i="343" s="1"/>
  <c r="J28" i="344"/>
  <c r="P28" i="344" s="1"/>
  <c r="H28" i="344"/>
  <c r="F28" i="344"/>
  <c r="W27" i="344"/>
  <c r="P27" i="344"/>
  <c r="N27" i="344"/>
  <c r="L27" i="344"/>
  <c r="J27" i="344"/>
  <c r="H27" i="344"/>
  <c r="F27" i="344"/>
  <c r="AE26" i="344"/>
  <c r="AD26" i="344"/>
  <c r="AA26" i="344"/>
  <c r="Z26" i="344"/>
  <c r="M26" i="344"/>
  <c r="E22" i="343" s="1"/>
  <c r="K26" i="344"/>
  <c r="W25" i="344"/>
  <c r="H25" i="344"/>
  <c r="W24" i="344"/>
  <c r="H24" i="344"/>
  <c r="W23" i="344"/>
  <c r="W21" i="344"/>
  <c r="W20" i="344"/>
  <c r="W19" i="344"/>
  <c r="N19" i="344" s="1"/>
  <c r="V19" i="344"/>
  <c r="P19" i="344"/>
  <c r="L19" i="344"/>
  <c r="J19" i="344"/>
  <c r="F19" i="344"/>
  <c r="H19" i="344" s="1"/>
  <c r="W18" i="344"/>
  <c r="N18" i="344" s="1"/>
  <c r="V18" i="344"/>
  <c r="P18" i="344"/>
  <c r="L18" i="344"/>
  <c r="J18" i="344"/>
  <c r="H18" i="344"/>
  <c r="F18" i="344"/>
  <c r="AG17" i="344"/>
  <c r="AF17" i="344"/>
  <c r="W17" i="344"/>
  <c r="N17" i="344" s="1"/>
  <c r="V17" i="344"/>
  <c r="R17" i="344"/>
  <c r="P17" i="344"/>
  <c r="O17" i="344"/>
  <c r="Q17" i="344" s="1"/>
  <c r="J17" i="344"/>
  <c r="L17" i="344" s="1"/>
  <c r="H17" i="344"/>
  <c r="F17" i="344"/>
  <c r="W16" i="344"/>
  <c r="N16" i="344" s="1"/>
  <c r="K16" i="344"/>
  <c r="J16" i="344"/>
  <c r="H16" i="344"/>
  <c r="F16" i="344"/>
  <c r="AE15" i="344"/>
  <c r="D21" i="343" s="1"/>
  <c r="AD15" i="344"/>
  <c r="AA15" i="344"/>
  <c r="Z15" i="344"/>
  <c r="M15" i="344"/>
  <c r="K15" i="344"/>
  <c r="W14" i="344"/>
  <c r="W13" i="344"/>
  <c r="W12" i="344"/>
  <c r="AG11" i="344"/>
  <c r="AF11" i="344"/>
  <c r="W11" i="344"/>
  <c r="AG10" i="344"/>
  <c r="AF10" i="344"/>
  <c r="W10" i="344"/>
  <c r="AG9" i="344"/>
  <c r="AF9" i="344"/>
  <c r="W9" i="344"/>
  <c r="AG8" i="344"/>
  <c r="AF8" i="344"/>
  <c r="W8" i="344"/>
  <c r="AG7" i="344"/>
  <c r="AF7" i="344"/>
  <c r="W7" i="344"/>
  <c r="AG6" i="344"/>
  <c r="AF6" i="344"/>
  <c r="W6" i="344"/>
  <c r="N6" i="344" s="1"/>
  <c r="V6" i="344"/>
  <c r="P6" i="344"/>
  <c r="O6" i="344"/>
  <c r="J6" i="344"/>
  <c r="L6" i="344" s="1"/>
  <c r="F6" i="344"/>
  <c r="H6" i="344" s="1"/>
  <c r="AG5" i="344"/>
  <c r="W5" i="344"/>
  <c r="P5" i="344"/>
  <c r="N5" i="344"/>
  <c r="L5" i="344"/>
  <c r="L15" i="344" s="1"/>
  <c r="H5" i="344"/>
  <c r="F5" i="344"/>
  <c r="AA2" i="344"/>
  <c r="Z2" i="344"/>
  <c r="I2" i="344"/>
  <c r="E1" i="344"/>
  <c r="J22" i="343"/>
  <c r="I22" i="343"/>
  <c r="H22" i="343"/>
  <c r="G22" i="343"/>
  <c r="D22" i="343"/>
  <c r="J21" i="343"/>
  <c r="H21" i="343"/>
  <c r="F21" i="343"/>
  <c r="E21" i="343"/>
  <c r="J20" i="343"/>
  <c r="I20" i="343"/>
  <c r="H20" i="343"/>
  <c r="G20" i="343"/>
  <c r="E20" i="343"/>
  <c r="J19" i="343"/>
  <c r="I19" i="343"/>
  <c r="H19" i="343"/>
  <c r="G19" i="343"/>
  <c r="F19" i="343"/>
  <c r="E19" i="343"/>
  <c r="D19" i="343"/>
  <c r="M6" i="343" s="1"/>
  <c r="J18" i="343"/>
  <c r="I18" i="343"/>
  <c r="H18" i="343"/>
  <c r="G18" i="343"/>
  <c r="E18" i="343"/>
  <c r="D18" i="343"/>
  <c r="J16" i="343"/>
  <c r="I16" i="343"/>
  <c r="H16" i="343"/>
  <c r="G16" i="343"/>
  <c r="F16" i="343"/>
  <c r="E16" i="343"/>
  <c r="D16" i="343"/>
  <c r="D13" i="343"/>
  <c r="O8" i="343"/>
  <c r="N8" i="343"/>
  <c r="M8" i="343"/>
  <c r="L8" i="343"/>
  <c r="O7" i="343"/>
  <c r="N7" i="343"/>
  <c r="M7" i="343"/>
  <c r="L7" i="343"/>
  <c r="G3" i="343"/>
  <c r="AE79" i="342"/>
  <c r="AD79" i="342"/>
  <c r="AA79" i="342"/>
  <c r="J18" i="341" s="1"/>
  <c r="Z79" i="342"/>
  <c r="M79" i="342"/>
  <c r="P79" i="342" s="1"/>
  <c r="J79" i="342"/>
  <c r="W78" i="342"/>
  <c r="H78" i="342"/>
  <c r="W77" i="342"/>
  <c r="H77" i="342"/>
  <c r="G1" i="342" s="1"/>
  <c r="W76" i="342"/>
  <c r="H76" i="342"/>
  <c r="W75" i="342"/>
  <c r="H75" i="342"/>
  <c r="W74" i="342"/>
  <c r="W73" i="342"/>
  <c r="W72" i="342"/>
  <c r="W71" i="342"/>
  <c r="N71" i="342" s="1"/>
  <c r="O71" i="342" s="1"/>
  <c r="V71" i="342"/>
  <c r="P71" i="342"/>
  <c r="L71" i="342"/>
  <c r="K71" i="342"/>
  <c r="J71" i="342"/>
  <c r="H71" i="342"/>
  <c r="F71" i="342"/>
  <c r="AG70" i="342"/>
  <c r="AF70" i="342"/>
  <c r="W70" i="342"/>
  <c r="N70" i="342" s="1"/>
  <c r="P70" i="342"/>
  <c r="K70" i="342"/>
  <c r="K79" i="342" s="1"/>
  <c r="J70" i="342"/>
  <c r="L70" i="342" s="1"/>
  <c r="F70" i="342"/>
  <c r="H70" i="342" s="1"/>
  <c r="AE69" i="342"/>
  <c r="AD69" i="342"/>
  <c r="I20" i="341" s="1"/>
  <c r="AA69" i="342"/>
  <c r="AA2" i="342" s="1"/>
  <c r="Z69" i="342"/>
  <c r="I18" i="341" s="1"/>
  <c r="M69" i="342"/>
  <c r="W68" i="342"/>
  <c r="H68" i="342"/>
  <c r="W67" i="342"/>
  <c r="W66" i="342"/>
  <c r="W65" i="342"/>
  <c r="W64" i="342"/>
  <c r="N64" i="342" s="1"/>
  <c r="V64" i="342"/>
  <c r="P64" i="342"/>
  <c r="O64" i="342"/>
  <c r="L64" i="342"/>
  <c r="K64" i="342"/>
  <c r="J64" i="342"/>
  <c r="H64" i="342"/>
  <c r="F64" i="342"/>
  <c r="W63" i="342"/>
  <c r="N63" i="342"/>
  <c r="O63" i="342" s="1"/>
  <c r="K63" i="342"/>
  <c r="L63" i="342" s="1"/>
  <c r="J63" i="342"/>
  <c r="P63" i="342" s="1"/>
  <c r="H63" i="342"/>
  <c r="F63" i="342"/>
  <c r="AG62" i="342"/>
  <c r="W62" i="342"/>
  <c r="N62" i="342" s="1"/>
  <c r="V62" i="342"/>
  <c r="K62" i="342"/>
  <c r="J62" i="342"/>
  <c r="P62" i="342" s="1"/>
  <c r="H62" i="342"/>
  <c r="F62" i="342"/>
  <c r="W61" i="342"/>
  <c r="N61" i="342" s="1"/>
  <c r="O61" i="342" s="1"/>
  <c r="V61" i="342"/>
  <c r="P61" i="342"/>
  <c r="K61" i="342"/>
  <c r="J61" i="342"/>
  <c r="F61" i="342"/>
  <c r="H61" i="342" s="1"/>
  <c r="W60" i="342"/>
  <c r="V60" i="342"/>
  <c r="P60" i="342"/>
  <c r="O60" i="342"/>
  <c r="N60" i="342"/>
  <c r="AG60" i="342" s="1"/>
  <c r="K60" i="342"/>
  <c r="L60" i="342" s="1"/>
  <c r="J60" i="342"/>
  <c r="H60" i="342"/>
  <c r="F60" i="342"/>
  <c r="W59" i="342"/>
  <c r="N59" i="342"/>
  <c r="K59" i="342"/>
  <c r="J59" i="342"/>
  <c r="F59" i="342"/>
  <c r="H59" i="342" s="1"/>
  <c r="AE58" i="342"/>
  <c r="AD58" i="342"/>
  <c r="AA58" i="342"/>
  <c r="H19" i="341" s="1"/>
  <c r="Z58" i="342"/>
  <c r="H18" i="341" s="1"/>
  <c r="M58" i="342"/>
  <c r="K58" i="342"/>
  <c r="W57" i="342"/>
  <c r="W56" i="342"/>
  <c r="W55" i="342"/>
  <c r="W54" i="342"/>
  <c r="AG53" i="342"/>
  <c r="AF53" i="342"/>
  <c r="W53" i="342"/>
  <c r="W52" i="342"/>
  <c r="N52" i="342" s="1"/>
  <c r="V52" i="342"/>
  <c r="J52" i="342"/>
  <c r="P52" i="342" s="1"/>
  <c r="H52" i="342"/>
  <c r="F52" i="342"/>
  <c r="W51" i="342"/>
  <c r="N51" i="342" s="1"/>
  <c r="V51" i="342"/>
  <c r="J51" i="342"/>
  <c r="P51" i="342" s="1"/>
  <c r="F51" i="342"/>
  <c r="H51" i="342" s="1"/>
  <c r="AG50" i="342"/>
  <c r="W50" i="342"/>
  <c r="N50" i="342" s="1"/>
  <c r="V50" i="342"/>
  <c r="P50" i="342"/>
  <c r="L50" i="342"/>
  <c r="F50" i="342"/>
  <c r="H50" i="342" s="1"/>
  <c r="W49" i="342"/>
  <c r="N49" i="342" s="1"/>
  <c r="P49" i="342"/>
  <c r="J49" i="342"/>
  <c r="L49" i="342" s="1"/>
  <c r="F49" i="342"/>
  <c r="H49" i="342" s="1"/>
  <c r="AE48" i="342"/>
  <c r="AD48" i="342"/>
  <c r="G20" i="341" s="1"/>
  <c r="AA48" i="342"/>
  <c r="Z48" i="342"/>
  <c r="G18" i="341" s="1"/>
  <c r="W48" i="342"/>
  <c r="M48" i="342"/>
  <c r="P48" i="342" s="1"/>
  <c r="J48" i="342"/>
  <c r="W47" i="342"/>
  <c r="H47" i="342"/>
  <c r="W46" i="342"/>
  <c r="W45" i="342"/>
  <c r="W44" i="342"/>
  <c r="W43" i="342"/>
  <c r="W42" i="342"/>
  <c r="W41" i="342"/>
  <c r="W40" i="342"/>
  <c r="W39" i="342"/>
  <c r="V39" i="342"/>
  <c r="P39" i="342"/>
  <c r="N39" i="342"/>
  <c r="K39" i="342"/>
  <c r="J39" i="342"/>
  <c r="H39" i="342"/>
  <c r="F39" i="342"/>
  <c r="W38" i="342"/>
  <c r="N38" i="342" s="1"/>
  <c r="P38" i="342"/>
  <c r="L38" i="342"/>
  <c r="J38" i="342"/>
  <c r="F38" i="342"/>
  <c r="H38" i="342" s="1"/>
  <c r="AE37" i="342"/>
  <c r="F21" i="341" s="1"/>
  <c r="AD37" i="342"/>
  <c r="AA37" i="342"/>
  <c r="Z37" i="342"/>
  <c r="F18" i="341" s="1"/>
  <c r="Q37" i="342"/>
  <c r="M37" i="342"/>
  <c r="P37" i="342" s="1"/>
  <c r="K37" i="342"/>
  <c r="J37" i="342"/>
  <c r="W36" i="342"/>
  <c r="H36" i="342"/>
  <c r="W35" i="342"/>
  <c r="W34" i="342"/>
  <c r="W33" i="342"/>
  <c r="W32" i="342"/>
  <c r="W31" i="342"/>
  <c r="W30" i="342"/>
  <c r="AF29" i="342"/>
  <c r="W29" i="342"/>
  <c r="V29" i="342"/>
  <c r="P29" i="342"/>
  <c r="N29" i="342"/>
  <c r="L29" i="342"/>
  <c r="K29" i="342"/>
  <c r="J29" i="342"/>
  <c r="F29" i="342"/>
  <c r="H29" i="342" s="1"/>
  <c r="AG28" i="342"/>
  <c r="AF28" i="342"/>
  <c r="W28" i="342"/>
  <c r="V28" i="342"/>
  <c r="P28" i="342"/>
  <c r="O28" i="342"/>
  <c r="N28" i="342"/>
  <c r="K28" i="342"/>
  <c r="L28" i="342" s="1"/>
  <c r="J28" i="342"/>
  <c r="H28" i="342"/>
  <c r="F28" i="342"/>
  <c r="AG27" i="342"/>
  <c r="AF27" i="342"/>
  <c r="W27" i="342"/>
  <c r="N27" i="342" s="1"/>
  <c r="N37" i="342" s="1"/>
  <c r="AG37" i="342" s="1"/>
  <c r="AH27" i="342" s="1"/>
  <c r="P27" i="342"/>
  <c r="J27" i="342"/>
  <c r="L27" i="342" s="1"/>
  <c r="L37" i="342" s="1"/>
  <c r="F13" i="341" s="1"/>
  <c r="F27" i="342"/>
  <c r="H27" i="342" s="1"/>
  <c r="AE26" i="342"/>
  <c r="AD26" i="342"/>
  <c r="AA26" i="342"/>
  <c r="Z26" i="342"/>
  <c r="E18" i="341" s="1"/>
  <c r="M26" i="342"/>
  <c r="E22" i="341" s="1"/>
  <c r="K26" i="342"/>
  <c r="W25" i="342"/>
  <c r="H25" i="342"/>
  <c r="W24" i="342"/>
  <c r="H24" i="342"/>
  <c r="W23" i="342"/>
  <c r="W21" i="342"/>
  <c r="W20" i="342"/>
  <c r="W19" i="342"/>
  <c r="V19" i="342"/>
  <c r="N19" i="342"/>
  <c r="J19" i="342"/>
  <c r="H19" i="342"/>
  <c r="F19" i="342"/>
  <c r="W18" i="342"/>
  <c r="V18" i="342"/>
  <c r="O18" i="342"/>
  <c r="N18" i="342"/>
  <c r="J18" i="342"/>
  <c r="F18" i="342"/>
  <c r="H18" i="342" s="1"/>
  <c r="AG17" i="342"/>
  <c r="W17" i="342"/>
  <c r="V17" i="342"/>
  <c r="P17" i="342"/>
  <c r="O17" i="342"/>
  <c r="N17" i="342"/>
  <c r="AF17" i="342" s="1"/>
  <c r="L17" i="342"/>
  <c r="J17" i="342"/>
  <c r="F17" i="342"/>
  <c r="H17" i="342" s="1"/>
  <c r="W16" i="342"/>
  <c r="N16" i="342" s="1"/>
  <c r="Q16" i="342"/>
  <c r="P16" i="342"/>
  <c r="O16" i="342"/>
  <c r="K16" i="342"/>
  <c r="L16" i="342" s="1"/>
  <c r="J16" i="342"/>
  <c r="H16" i="342"/>
  <c r="F16" i="342"/>
  <c r="AE15" i="342"/>
  <c r="AD15" i="342"/>
  <c r="AA15" i="342"/>
  <c r="D19" i="341" s="1"/>
  <c r="Z15" i="342"/>
  <c r="M15" i="342"/>
  <c r="K15" i="342"/>
  <c r="W14" i="342"/>
  <c r="W13" i="342"/>
  <c r="W12" i="342"/>
  <c r="AG11" i="342"/>
  <c r="AF11" i="342"/>
  <c r="W11" i="342"/>
  <c r="AG10" i="342"/>
  <c r="AF10" i="342"/>
  <c r="W10" i="342"/>
  <c r="AG9" i="342"/>
  <c r="AF9" i="342"/>
  <c r="W9" i="342"/>
  <c r="AG8" i="342"/>
  <c r="AF8" i="342"/>
  <c r="W8" i="342"/>
  <c r="AF7" i="342"/>
  <c r="W7" i="342"/>
  <c r="V7" i="342"/>
  <c r="N7" i="342"/>
  <c r="L7" i="342"/>
  <c r="J7" i="342"/>
  <c r="P7" i="342" s="1"/>
  <c r="H7" i="342"/>
  <c r="F7" i="342"/>
  <c r="W6" i="342"/>
  <c r="V6" i="342"/>
  <c r="P6" i="342"/>
  <c r="N6" i="342"/>
  <c r="L6" i="342"/>
  <c r="L15" i="342" s="1"/>
  <c r="D13" i="341" s="1"/>
  <c r="J6" i="342"/>
  <c r="J15" i="342" s="1"/>
  <c r="F6" i="342"/>
  <c r="H6" i="342" s="1"/>
  <c r="W5" i="342"/>
  <c r="R5" i="342"/>
  <c r="P5" i="342"/>
  <c r="O5" i="342"/>
  <c r="N5" i="342"/>
  <c r="AG5" i="342" s="1"/>
  <c r="L5" i="342"/>
  <c r="F5" i="342"/>
  <c r="H5" i="342" s="1"/>
  <c r="I2" i="342"/>
  <c r="E1" i="342"/>
  <c r="J22" i="341"/>
  <c r="F22" i="341"/>
  <c r="J21" i="341"/>
  <c r="I21" i="341"/>
  <c r="H21" i="341"/>
  <c r="G21" i="341"/>
  <c r="D21" i="341"/>
  <c r="J20" i="341"/>
  <c r="H20" i="341"/>
  <c r="F20" i="341"/>
  <c r="D20" i="341"/>
  <c r="J19" i="341"/>
  <c r="I19" i="341"/>
  <c r="G19" i="341"/>
  <c r="F19" i="341"/>
  <c r="E19" i="341"/>
  <c r="D18" i="341"/>
  <c r="J16" i="341"/>
  <c r="I16" i="341"/>
  <c r="H16" i="341"/>
  <c r="G16" i="341"/>
  <c r="F16" i="341"/>
  <c r="E16" i="341"/>
  <c r="D16" i="341"/>
  <c r="O8" i="341"/>
  <c r="N8" i="341"/>
  <c r="M8" i="341"/>
  <c r="L8" i="341"/>
  <c r="O7" i="341"/>
  <c r="N7" i="341"/>
  <c r="M7" i="341"/>
  <c r="L7" i="341"/>
  <c r="G3" i="341"/>
  <c r="AE79" i="340"/>
  <c r="J21" i="339" s="1"/>
  <c r="AD79" i="340"/>
  <c r="AA79" i="340"/>
  <c r="J18" i="339" s="1"/>
  <c r="Z79" i="340"/>
  <c r="M79" i="340"/>
  <c r="W78" i="340"/>
  <c r="H78" i="340"/>
  <c r="W77" i="340"/>
  <c r="H77" i="340"/>
  <c r="W76" i="340"/>
  <c r="H76" i="340"/>
  <c r="W75" i="340"/>
  <c r="W74" i="340"/>
  <c r="N74" i="340" s="1"/>
  <c r="P74" i="340"/>
  <c r="O74" i="340"/>
  <c r="L74" i="340"/>
  <c r="F74" i="340"/>
  <c r="H74" i="340" s="1"/>
  <c r="W73" i="340"/>
  <c r="N73" i="340" s="1"/>
  <c r="O73" i="340" s="1"/>
  <c r="P73" i="340"/>
  <c r="K73" i="340"/>
  <c r="L73" i="340" s="1"/>
  <c r="J73" i="340"/>
  <c r="H73" i="340"/>
  <c r="F73" i="340"/>
  <c r="W72" i="340"/>
  <c r="N72" i="340"/>
  <c r="O72" i="340" s="1"/>
  <c r="L72" i="340"/>
  <c r="K72" i="340"/>
  <c r="J72" i="340"/>
  <c r="P72" i="340" s="1"/>
  <c r="F72" i="340"/>
  <c r="H72" i="340" s="1"/>
  <c r="W71" i="340"/>
  <c r="N71" i="340" s="1"/>
  <c r="O71" i="340" s="1"/>
  <c r="P71" i="340"/>
  <c r="K71" i="340"/>
  <c r="L71" i="340" s="1"/>
  <c r="J71" i="340"/>
  <c r="J79" i="340" s="1"/>
  <c r="P79" i="340" s="1"/>
  <c r="H71" i="340"/>
  <c r="F71" i="340"/>
  <c r="W70" i="340"/>
  <c r="N70" i="340" s="1"/>
  <c r="Q70" i="340"/>
  <c r="P70" i="340"/>
  <c r="O70" i="340"/>
  <c r="L70" i="340"/>
  <c r="F70" i="340"/>
  <c r="H70" i="340" s="1"/>
  <c r="AE69" i="340"/>
  <c r="AD69" i="340"/>
  <c r="I20" i="339" s="1"/>
  <c r="AA69" i="340"/>
  <c r="Z69" i="340"/>
  <c r="I18" i="339" s="1"/>
  <c r="M69" i="340"/>
  <c r="I22" i="339" s="1"/>
  <c r="W68" i="340"/>
  <c r="H68" i="340"/>
  <c r="W67" i="340"/>
  <c r="W66" i="340"/>
  <c r="W65" i="340"/>
  <c r="W64" i="340"/>
  <c r="W63" i="340"/>
  <c r="N63" i="340" s="1"/>
  <c r="O63" i="340" s="1"/>
  <c r="Q63" i="340" s="1"/>
  <c r="V63" i="340"/>
  <c r="K63" i="340"/>
  <c r="L63" i="340" s="1"/>
  <c r="J63" i="340"/>
  <c r="P63" i="340" s="1"/>
  <c r="F63" i="340"/>
  <c r="H63" i="340" s="1"/>
  <c r="W62" i="340"/>
  <c r="N62" i="340" s="1"/>
  <c r="V62" i="340"/>
  <c r="K62" i="340"/>
  <c r="J62" i="340"/>
  <c r="P62" i="340" s="1"/>
  <c r="H62" i="340"/>
  <c r="F62" i="340"/>
  <c r="W61" i="340"/>
  <c r="N61" i="340" s="1"/>
  <c r="O61" i="340" s="1"/>
  <c r="V61" i="340"/>
  <c r="P61" i="340"/>
  <c r="K61" i="340"/>
  <c r="J61" i="340"/>
  <c r="F61" i="340"/>
  <c r="H61" i="340" s="1"/>
  <c r="W60" i="340"/>
  <c r="V60" i="340"/>
  <c r="N60" i="340"/>
  <c r="K60" i="340"/>
  <c r="J60" i="340"/>
  <c r="P60" i="340" s="1"/>
  <c r="H60" i="340"/>
  <c r="F60" i="340"/>
  <c r="AF59" i="340"/>
  <c r="W59" i="340"/>
  <c r="N59" i="340" s="1"/>
  <c r="K59" i="340"/>
  <c r="J59" i="340"/>
  <c r="F59" i="340"/>
  <c r="H59" i="340" s="1"/>
  <c r="AE58" i="340"/>
  <c r="H21" i="339" s="1"/>
  <c r="AD58" i="340"/>
  <c r="AA58" i="340"/>
  <c r="Z58" i="340"/>
  <c r="M58" i="340"/>
  <c r="K58" i="340"/>
  <c r="J58" i="340"/>
  <c r="W57" i="340"/>
  <c r="W56" i="340"/>
  <c r="W55" i="340"/>
  <c r="W54" i="340"/>
  <c r="AG53" i="340"/>
  <c r="W53" i="340"/>
  <c r="V53" i="340"/>
  <c r="P53" i="340"/>
  <c r="O53" i="340"/>
  <c r="Q53" i="340" s="1"/>
  <c r="N53" i="340"/>
  <c r="AF53" i="340" s="1"/>
  <c r="L53" i="340"/>
  <c r="F53" i="340"/>
  <c r="H53" i="340" s="1"/>
  <c r="W52" i="340"/>
  <c r="V52" i="340"/>
  <c r="P52" i="340"/>
  <c r="N52" i="340"/>
  <c r="J52" i="340"/>
  <c r="L52" i="340" s="1"/>
  <c r="F52" i="340"/>
  <c r="H52" i="340" s="1"/>
  <c r="AG51" i="340"/>
  <c r="AF51" i="340"/>
  <c r="W51" i="340"/>
  <c r="V51" i="340"/>
  <c r="P51" i="340"/>
  <c r="O51" i="340"/>
  <c r="R51" i="340" s="1"/>
  <c r="N51" i="340"/>
  <c r="J51" i="340"/>
  <c r="L51" i="340" s="1"/>
  <c r="F51" i="340"/>
  <c r="H51" i="340" s="1"/>
  <c r="AG50" i="340"/>
  <c r="W50" i="340"/>
  <c r="N50" i="340" s="1"/>
  <c r="V50" i="340"/>
  <c r="P50" i="340"/>
  <c r="L50" i="340"/>
  <c r="F50" i="340"/>
  <c r="H50" i="340" s="1"/>
  <c r="W49" i="340"/>
  <c r="N49" i="340" s="1"/>
  <c r="O49" i="340"/>
  <c r="J49" i="340"/>
  <c r="P49" i="340" s="1"/>
  <c r="H49" i="340"/>
  <c r="F49" i="340"/>
  <c r="AE48" i="340"/>
  <c r="AD48" i="340"/>
  <c r="AA48" i="340"/>
  <c r="Z48" i="340"/>
  <c r="W48" i="340"/>
  <c r="M48" i="340"/>
  <c r="G22" i="339" s="1"/>
  <c r="K48" i="340"/>
  <c r="J48" i="340"/>
  <c r="P48" i="340" s="1"/>
  <c r="W47" i="340"/>
  <c r="H47" i="340"/>
  <c r="W46" i="340"/>
  <c r="W45" i="340"/>
  <c r="W44" i="340"/>
  <c r="W43" i="340"/>
  <c r="W42" i="340"/>
  <c r="AG41" i="340"/>
  <c r="AF41" i="340"/>
  <c r="W41" i="340"/>
  <c r="AF40" i="340"/>
  <c r="W40" i="340"/>
  <c r="V40" i="340"/>
  <c r="P40" i="340"/>
  <c r="N40" i="340"/>
  <c r="AG40" i="340" s="1"/>
  <c r="K40" i="340"/>
  <c r="J40" i="340"/>
  <c r="F40" i="340"/>
  <c r="H40" i="340" s="1"/>
  <c r="W39" i="340"/>
  <c r="N39" i="340" s="1"/>
  <c r="V39" i="340"/>
  <c r="P39" i="340"/>
  <c r="L39" i="340"/>
  <c r="K39" i="340"/>
  <c r="J39" i="340"/>
  <c r="H39" i="340"/>
  <c r="F39" i="340"/>
  <c r="AG38" i="340"/>
  <c r="W38" i="340"/>
  <c r="N38" i="340" s="1"/>
  <c r="P38" i="340"/>
  <c r="O38" i="340"/>
  <c r="L38" i="340"/>
  <c r="J38" i="340"/>
  <c r="F38" i="340"/>
  <c r="H38" i="340" s="1"/>
  <c r="AE37" i="340"/>
  <c r="AD37" i="340"/>
  <c r="AA37" i="340"/>
  <c r="AA2" i="340" s="1"/>
  <c r="Z37" i="340"/>
  <c r="M37" i="340"/>
  <c r="W36" i="340"/>
  <c r="H36" i="340"/>
  <c r="W35" i="340"/>
  <c r="W34" i="340"/>
  <c r="W33" i="340"/>
  <c r="W32" i="340"/>
  <c r="AG31" i="340"/>
  <c r="AF31" i="340"/>
  <c r="W31" i="340"/>
  <c r="AG30" i="340"/>
  <c r="AF30" i="340"/>
  <c r="W30" i="340"/>
  <c r="AG29" i="340"/>
  <c r="AF29" i="340"/>
  <c r="W29" i="340"/>
  <c r="W28" i="340"/>
  <c r="V28" i="340"/>
  <c r="P28" i="340"/>
  <c r="O28" i="340"/>
  <c r="N28" i="340"/>
  <c r="AG28" i="340" s="1"/>
  <c r="K28" i="340"/>
  <c r="J28" i="340"/>
  <c r="F28" i="340"/>
  <c r="H28" i="340" s="1"/>
  <c r="W27" i="340"/>
  <c r="N27" i="340"/>
  <c r="L27" i="340"/>
  <c r="K27" i="340"/>
  <c r="K37" i="340" s="1"/>
  <c r="J27" i="340"/>
  <c r="P27" i="340" s="1"/>
  <c r="F27" i="340"/>
  <c r="H27" i="340" s="1"/>
  <c r="AE26" i="340"/>
  <c r="AD26" i="340"/>
  <c r="AA26" i="340"/>
  <c r="Z26" i="340"/>
  <c r="M26" i="340"/>
  <c r="E22" i="339" s="1"/>
  <c r="W25" i="340"/>
  <c r="H25" i="340"/>
  <c r="W24" i="340"/>
  <c r="H24" i="340"/>
  <c r="W23" i="340"/>
  <c r="W21" i="340"/>
  <c r="W20" i="340"/>
  <c r="AF19" i="340"/>
  <c r="W19" i="340"/>
  <c r="N19" i="340" s="1"/>
  <c r="V19" i="340"/>
  <c r="L19" i="340"/>
  <c r="J19" i="340"/>
  <c r="P19" i="340" s="1"/>
  <c r="H19" i="340"/>
  <c r="F19" i="340"/>
  <c r="AG18" i="340"/>
  <c r="AF18" i="340"/>
  <c r="W18" i="340"/>
  <c r="N18" i="340" s="1"/>
  <c r="O18" i="340" s="1"/>
  <c r="V18" i="340"/>
  <c r="L18" i="340"/>
  <c r="R18" i="340" s="1"/>
  <c r="J18" i="340"/>
  <c r="P18" i="340" s="1"/>
  <c r="F18" i="340"/>
  <c r="H18" i="340" s="1"/>
  <c r="W17" i="340"/>
  <c r="N17" i="340" s="1"/>
  <c r="V17" i="340"/>
  <c r="P17" i="340"/>
  <c r="L17" i="340"/>
  <c r="J17" i="340"/>
  <c r="F17" i="340"/>
  <c r="H17" i="340" s="1"/>
  <c r="W16" i="340"/>
  <c r="O16" i="340"/>
  <c r="N16" i="340"/>
  <c r="N26" i="340" s="1"/>
  <c r="K16" i="340"/>
  <c r="J16" i="340"/>
  <c r="H16" i="340"/>
  <c r="F16" i="340"/>
  <c r="AE15" i="340"/>
  <c r="D21" i="339" s="1"/>
  <c r="AD15" i="340"/>
  <c r="AA15" i="340"/>
  <c r="D19" i="339" s="1"/>
  <c r="Z15" i="340"/>
  <c r="D18" i="339" s="1"/>
  <c r="M15" i="340"/>
  <c r="K15" i="340"/>
  <c r="J15" i="340"/>
  <c r="W14" i="340"/>
  <c r="W13" i="340"/>
  <c r="W12" i="340"/>
  <c r="AG11" i="340"/>
  <c r="AF11" i="340"/>
  <c r="W11" i="340"/>
  <c r="AG10" i="340"/>
  <c r="AF10" i="340"/>
  <c r="W10" i="340"/>
  <c r="AG9" i="340"/>
  <c r="AF9" i="340"/>
  <c r="W9" i="340"/>
  <c r="AG8" i="340"/>
  <c r="AF8" i="340"/>
  <c r="W8" i="340"/>
  <c r="W7" i="340"/>
  <c r="V7" i="340"/>
  <c r="O7" i="340"/>
  <c r="N7" i="340"/>
  <c r="J7" i="340"/>
  <c r="P7" i="340" s="1"/>
  <c r="H7" i="340"/>
  <c r="F7" i="340"/>
  <c r="W6" i="340"/>
  <c r="V6" i="340"/>
  <c r="N6" i="340"/>
  <c r="J6" i="340"/>
  <c r="F6" i="340"/>
  <c r="H6" i="340" s="1"/>
  <c r="AG5" i="340"/>
  <c r="W5" i="340"/>
  <c r="O5" i="340"/>
  <c r="N5" i="340"/>
  <c r="K5" i="340"/>
  <c r="J5" i="340"/>
  <c r="P5" i="340" s="1"/>
  <c r="F5" i="340"/>
  <c r="H5" i="340" s="1"/>
  <c r="AE2" i="340"/>
  <c r="I2" i="340"/>
  <c r="E1" i="340"/>
  <c r="J22" i="339"/>
  <c r="I21" i="339"/>
  <c r="G21" i="339"/>
  <c r="F21" i="339"/>
  <c r="E21" i="339"/>
  <c r="J20" i="339"/>
  <c r="H20" i="339"/>
  <c r="G20" i="339"/>
  <c r="F20" i="339"/>
  <c r="E20" i="339"/>
  <c r="J19" i="339"/>
  <c r="I19" i="339"/>
  <c r="H19" i="339"/>
  <c r="G19" i="339"/>
  <c r="F19" i="339"/>
  <c r="E19" i="339"/>
  <c r="H18" i="339"/>
  <c r="G18" i="339"/>
  <c r="F18" i="339"/>
  <c r="J16" i="339"/>
  <c r="I16" i="339"/>
  <c r="H16" i="339"/>
  <c r="G16" i="339"/>
  <c r="F16" i="339"/>
  <c r="E16" i="339"/>
  <c r="D16" i="339"/>
  <c r="O8" i="339"/>
  <c r="N8" i="339"/>
  <c r="M8" i="339"/>
  <c r="L8" i="339"/>
  <c r="O7" i="339"/>
  <c r="N7" i="339"/>
  <c r="M7" i="339"/>
  <c r="L7" i="339"/>
  <c r="G3" i="339"/>
  <c r="AE79" i="338"/>
  <c r="AD79" i="338"/>
  <c r="AA79" i="338"/>
  <c r="Z79" i="338"/>
  <c r="M79" i="338"/>
  <c r="W78" i="338"/>
  <c r="H78" i="338"/>
  <c r="W77" i="338"/>
  <c r="H77" i="338"/>
  <c r="W76" i="338"/>
  <c r="W75" i="338"/>
  <c r="W74" i="338"/>
  <c r="W73" i="338"/>
  <c r="N73" i="338" s="1"/>
  <c r="O73" i="338" s="1"/>
  <c r="V73" i="338"/>
  <c r="P73" i="338"/>
  <c r="L73" i="338"/>
  <c r="F73" i="338"/>
  <c r="H73" i="338" s="1"/>
  <c r="W72" i="338"/>
  <c r="V72" i="338"/>
  <c r="P72" i="338"/>
  <c r="N72" i="338"/>
  <c r="O72" i="338" s="1"/>
  <c r="K72" i="338"/>
  <c r="L72" i="338" s="1"/>
  <c r="J72" i="338"/>
  <c r="H72" i="338"/>
  <c r="F72" i="338"/>
  <c r="W71" i="338"/>
  <c r="N71" i="338" s="1"/>
  <c r="O71" i="338" s="1"/>
  <c r="V71" i="338"/>
  <c r="L71" i="338"/>
  <c r="K71" i="338"/>
  <c r="J71" i="338"/>
  <c r="P71" i="338" s="1"/>
  <c r="F71" i="338"/>
  <c r="H71" i="338" s="1"/>
  <c r="AF70" i="338"/>
  <c r="W70" i="338"/>
  <c r="N70" i="338" s="1"/>
  <c r="P70" i="338"/>
  <c r="L70" i="338"/>
  <c r="F70" i="338"/>
  <c r="H70" i="338" s="1"/>
  <c r="AE69" i="338"/>
  <c r="AD69" i="338"/>
  <c r="AA69" i="338"/>
  <c r="Z69" i="338"/>
  <c r="I18" i="337" s="1"/>
  <c r="M69" i="338"/>
  <c r="K69" i="338"/>
  <c r="W68" i="338"/>
  <c r="H68" i="338"/>
  <c r="W67" i="338"/>
  <c r="W66" i="338"/>
  <c r="W65" i="338"/>
  <c r="W64" i="338"/>
  <c r="W63" i="338"/>
  <c r="V63" i="338"/>
  <c r="N63" i="338"/>
  <c r="O63" i="338" s="1"/>
  <c r="K63" i="338"/>
  <c r="J63" i="338"/>
  <c r="P63" i="338" s="1"/>
  <c r="H63" i="338"/>
  <c r="F63" i="338"/>
  <c r="AG62" i="338"/>
  <c r="AF62" i="338"/>
  <c r="W62" i="338"/>
  <c r="V62" i="338"/>
  <c r="N62" i="338"/>
  <c r="O62" i="338" s="1"/>
  <c r="L62" i="338"/>
  <c r="K62" i="338"/>
  <c r="J62" i="338"/>
  <c r="P62" i="338" s="1"/>
  <c r="H62" i="338"/>
  <c r="F62" i="338"/>
  <c r="AG61" i="338"/>
  <c r="W61" i="338"/>
  <c r="V61" i="338"/>
  <c r="O61" i="338"/>
  <c r="N61" i="338"/>
  <c r="L61" i="338"/>
  <c r="R61" i="338" s="1"/>
  <c r="K61" i="338"/>
  <c r="J61" i="338"/>
  <c r="P61" i="338" s="1"/>
  <c r="H61" i="338"/>
  <c r="F61" i="338"/>
  <c r="W60" i="338"/>
  <c r="V60" i="338"/>
  <c r="O60" i="338"/>
  <c r="N60" i="338"/>
  <c r="L60" i="338"/>
  <c r="K60" i="338"/>
  <c r="J60" i="338"/>
  <c r="F60" i="338"/>
  <c r="H60" i="338" s="1"/>
  <c r="W59" i="338"/>
  <c r="N59" i="338" s="1"/>
  <c r="P59" i="338"/>
  <c r="L59" i="338"/>
  <c r="K59" i="338"/>
  <c r="J59" i="338"/>
  <c r="F59" i="338"/>
  <c r="H59" i="338" s="1"/>
  <c r="AE58" i="338"/>
  <c r="H21" i="337" s="1"/>
  <c r="AD58" i="338"/>
  <c r="H20" i="337" s="1"/>
  <c r="AA58" i="338"/>
  <c r="Z58" i="338"/>
  <c r="M58" i="338"/>
  <c r="K58" i="338"/>
  <c r="W57" i="338"/>
  <c r="W56" i="338"/>
  <c r="W55" i="338"/>
  <c r="W54" i="338"/>
  <c r="AG53" i="338"/>
  <c r="AF53" i="338"/>
  <c r="W53" i="338"/>
  <c r="W52" i="338"/>
  <c r="V52" i="338"/>
  <c r="N52" i="338"/>
  <c r="J52" i="338"/>
  <c r="L52" i="338" s="1"/>
  <c r="F52" i="338"/>
  <c r="W51" i="338"/>
  <c r="V51" i="338"/>
  <c r="Q51" i="338"/>
  <c r="P51" i="338"/>
  <c r="O51" i="338"/>
  <c r="N51" i="338"/>
  <c r="J51" i="338"/>
  <c r="L51" i="338" s="1"/>
  <c r="H51" i="338"/>
  <c r="F51" i="338"/>
  <c r="W50" i="338"/>
  <c r="V50" i="338"/>
  <c r="P50" i="338"/>
  <c r="N50" i="338"/>
  <c r="L50" i="338"/>
  <c r="H50" i="338"/>
  <c r="F50" i="338"/>
  <c r="W49" i="338"/>
  <c r="P49" i="338"/>
  <c r="N49" i="338"/>
  <c r="L49" i="338"/>
  <c r="J49" i="338"/>
  <c r="H49" i="338"/>
  <c r="F49" i="338"/>
  <c r="AE48" i="338"/>
  <c r="AD48" i="338"/>
  <c r="G20" i="337" s="1"/>
  <c r="AA48" i="338"/>
  <c r="Z48" i="338"/>
  <c r="W48" i="338"/>
  <c r="M48" i="338"/>
  <c r="W47" i="338"/>
  <c r="H47" i="338"/>
  <c r="W46" i="338"/>
  <c r="W45" i="338"/>
  <c r="W44" i="338"/>
  <c r="W43" i="338"/>
  <c r="W42" i="338"/>
  <c r="AG41" i="338"/>
  <c r="AF41" i="338"/>
  <c r="W41" i="338"/>
  <c r="W40" i="338"/>
  <c r="N40" i="338" s="1"/>
  <c r="V40" i="338"/>
  <c r="P40" i="338"/>
  <c r="K40" i="338"/>
  <c r="L40" i="338" s="1"/>
  <c r="J40" i="338"/>
  <c r="H40" i="338"/>
  <c r="F40" i="338"/>
  <c r="W39" i="338"/>
  <c r="N39" i="338" s="1"/>
  <c r="V39" i="338"/>
  <c r="P39" i="338"/>
  <c r="L39" i="338"/>
  <c r="K39" i="338"/>
  <c r="K48" i="338" s="1"/>
  <c r="J39" i="338"/>
  <c r="F39" i="338"/>
  <c r="H39" i="338" s="1"/>
  <c r="AG38" i="338"/>
  <c r="AF38" i="338"/>
  <c r="W38" i="338"/>
  <c r="N38" i="338"/>
  <c r="O38" i="338" s="1"/>
  <c r="J38" i="338"/>
  <c r="H38" i="338"/>
  <c r="F38" i="338"/>
  <c r="AE37" i="338"/>
  <c r="F21" i="337" s="1"/>
  <c r="AD37" i="338"/>
  <c r="F20" i="337" s="1"/>
  <c r="AA37" i="338"/>
  <c r="Z37" i="338"/>
  <c r="M37" i="338"/>
  <c r="J37" i="338"/>
  <c r="W36" i="338"/>
  <c r="H36" i="338"/>
  <c r="W35" i="338"/>
  <c r="W34" i="338"/>
  <c r="W33" i="338"/>
  <c r="W32" i="338"/>
  <c r="AG31" i="338"/>
  <c r="AF31" i="338"/>
  <c r="W31" i="338"/>
  <c r="W30" i="338"/>
  <c r="V30" i="338"/>
  <c r="R30" i="338"/>
  <c r="P30" i="338"/>
  <c r="O30" i="338"/>
  <c r="Q30" i="338" s="1"/>
  <c r="N30" i="338"/>
  <c r="L30" i="338"/>
  <c r="H30" i="338"/>
  <c r="F30" i="338"/>
  <c r="W29" i="338"/>
  <c r="V29" i="338"/>
  <c r="P29" i="338"/>
  <c r="N29" i="338"/>
  <c r="L29" i="338"/>
  <c r="L37" i="338" s="1"/>
  <c r="K29" i="338"/>
  <c r="J29" i="338"/>
  <c r="H29" i="338"/>
  <c r="F29" i="338"/>
  <c r="AF28" i="338"/>
  <c r="W28" i="338"/>
  <c r="N28" i="338" s="1"/>
  <c r="AG28" i="338" s="1"/>
  <c r="V28" i="338"/>
  <c r="P28" i="338"/>
  <c r="O28" i="338"/>
  <c r="L28" i="338"/>
  <c r="K28" i="338"/>
  <c r="J28" i="338"/>
  <c r="H28" i="338"/>
  <c r="F28" i="338"/>
  <c r="AG27" i="338"/>
  <c r="AF27" i="338"/>
  <c r="W27" i="338"/>
  <c r="N27" i="338" s="1"/>
  <c r="P27" i="338"/>
  <c r="L27" i="338"/>
  <c r="H27" i="338"/>
  <c r="F27" i="338"/>
  <c r="AE26" i="338"/>
  <c r="AD26" i="338"/>
  <c r="E20" i="337" s="1"/>
  <c r="AA26" i="338"/>
  <c r="AA2" i="338" s="1"/>
  <c r="Z26" i="338"/>
  <c r="E18" i="337" s="1"/>
  <c r="M26" i="338"/>
  <c r="K26" i="338"/>
  <c r="J26" i="338"/>
  <c r="W25" i="338"/>
  <c r="H25" i="338"/>
  <c r="W24" i="338"/>
  <c r="H24" i="338"/>
  <c r="W23" i="338"/>
  <c r="W21" i="338"/>
  <c r="W20" i="338"/>
  <c r="W19" i="338"/>
  <c r="V19" i="338"/>
  <c r="P19" i="338"/>
  <c r="N19" i="338"/>
  <c r="L19" i="338"/>
  <c r="J19" i="338"/>
  <c r="F19" i="338"/>
  <c r="H19" i="338" s="1"/>
  <c r="W18" i="338"/>
  <c r="N18" i="338" s="1"/>
  <c r="V18" i="338"/>
  <c r="P18" i="338"/>
  <c r="J18" i="338"/>
  <c r="L18" i="338" s="1"/>
  <c r="F18" i="338"/>
  <c r="H18" i="338" s="1"/>
  <c r="AG17" i="338"/>
  <c r="AF17" i="338"/>
  <c r="W17" i="338"/>
  <c r="N17" i="338" s="1"/>
  <c r="O17" i="338" s="1"/>
  <c r="R17" i="338" s="1"/>
  <c r="V17" i="338"/>
  <c r="P17" i="338"/>
  <c r="J17" i="338"/>
  <c r="L17" i="338" s="1"/>
  <c r="F17" i="338"/>
  <c r="H17" i="338" s="1"/>
  <c r="AG16" i="338"/>
  <c r="W16" i="338"/>
  <c r="N16" i="338" s="1"/>
  <c r="O16" i="338"/>
  <c r="K16" i="338"/>
  <c r="J16" i="338"/>
  <c r="H16" i="338"/>
  <c r="F16" i="338"/>
  <c r="AE15" i="338"/>
  <c r="AD15" i="338"/>
  <c r="AA15" i="338"/>
  <c r="Z15" i="338"/>
  <c r="M15" i="338"/>
  <c r="K15" i="338"/>
  <c r="J15" i="338"/>
  <c r="W14" i="338"/>
  <c r="W13" i="338"/>
  <c r="W12" i="338"/>
  <c r="AG11" i="338"/>
  <c r="AF11" i="338"/>
  <c r="W11" i="338"/>
  <c r="AG10" i="338"/>
  <c r="AF10" i="338"/>
  <c r="W10" i="338"/>
  <c r="AG9" i="338"/>
  <c r="AF9" i="338"/>
  <c r="W9" i="338"/>
  <c r="AG8" i="338"/>
  <c r="AF8" i="338"/>
  <c r="W8" i="338"/>
  <c r="W7" i="338"/>
  <c r="V7" i="338"/>
  <c r="Q7" i="338"/>
  <c r="P7" i="338"/>
  <c r="O7" i="338"/>
  <c r="R7" i="338" s="1"/>
  <c r="N7" i="338"/>
  <c r="L7" i="338"/>
  <c r="J7" i="338"/>
  <c r="H7" i="338"/>
  <c r="F7" i="338"/>
  <c r="W6" i="338"/>
  <c r="V6" i="338"/>
  <c r="P6" i="338"/>
  <c r="N6" i="338"/>
  <c r="J6" i="338"/>
  <c r="L6" i="338" s="1"/>
  <c r="H6" i="338"/>
  <c r="F6" i="338"/>
  <c r="AF5" i="338"/>
  <c r="W5" i="338"/>
  <c r="N5" i="338" s="1"/>
  <c r="P5" i="338"/>
  <c r="L5" i="338"/>
  <c r="L15" i="338" s="1"/>
  <c r="D13" i="337" s="1"/>
  <c r="H5" i="338"/>
  <c r="G1" i="338" s="1"/>
  <c r="F5" i="338"/>
  <c r="I2" i="338"/>
  <c r="E1" i="338"/>
  <c r="J22" i="337"/>
  <c r="I22" i="337"/>
  <c r="H22" i="337"/>
  <c r="G22" i="337"/>
  <c r="J21" i="337"/>
  <c r="I21" i="337"/>
  <c r="G21" i="337"/>
  <c r="E21" i="337"/>
  <c r="J20" i="337"/>
  <c r="I20" i="337"/>
  <c r="J19" i="337"/>
  <c r="I19" i="337"/>
  <c r="H19" i="337"/>
  <c r="G19" i="337"/>
  <c r="F19" i="337"/>
  <c r="E19" i="337"/>
  <c r="D19" i="337"/>
  <c r="J18" i="337"/>
  <c r="H18" i="337"/>
  <c r="G18" i="337"/>
  <c r="F18" i="337"/>
  <c r="J16" i="337"/>
  <c r="I16" i="337"/>
  <c r="H16" i="337"/>
  <c r="G16" i="337"/>
  <c r="F16" i="337"/>
  <c r="E16" i="337"/>
  <c r="D16" i="337"/>
  <c r="F13" i="337"/>
  <c r="O8" i="337"/>
  <c r="N8" i="337"/>
  <c r="M8" i="337"/>
  <c r="L8" i="337"/>
  <c r="O7" i="337"/>
  <c r="N7" i="337"/>
  <c r="M7" i="337"/>
  <c r="L7" i="337"/>
  <c r="M6" i="337"/>
  <c r="G3" i="337"/>
  <c r="AE79" i="336"/>
  <c r="AD79" i="336"/>
  <c r="AA79" i="336"/>
  <c r="Z79" i="336"/>
  <c r="N79" i="336"/>
  <c r="M79" i="336"/>
  <c r="J22" i="335" s="1"/>
  <c r="L79" i="336"/>
  <c r="J13" i="335" s="1"/>
  <c r="K79" i="336"/>
  <c r="J79" i="336"/>
  <c r="P79" i="336" s="1"/>
  <c r="W78" i="336"/>
  <c r="H78" i="336"/>
  <c r="W77" i="336"/>
  <c r="H77" i="336"/>
  <c r="W76" i="336"/>
  <c r="H76" i="336"/>
  <c r="W75" i="336"/>
  <c r="H75" i="336"/>
  <c r="W74" i="336"/>
  <c r="W73" i="336"/>
  <c r="W72" i="336"/>
  <c r="W71" i="336"/>
  <c r="N71" i="336" s="1"/>
  <c r="O71" i="336" s="1"/>
  <c r="R71" i="336" s="1"/>
  <c r="P71" i="336"/>
  <c r="L71" i="336"/>
  <c r="K71" i="336"/>
  <c r="J71" i="336"/>
  <c r="H71" i="336"/>
  <c r="F71" i="336"/>
  <c r="AF70" i="336"/>
  <c r="W70" i="336"/>
  <c r="N70" i="336" s="1"/>
  <c r="P70" i="336"/>
  <c r="L70" i="336"/>
  <c r="H70" i="336"/>
  <c r="F70" i="336"/>
  <c r="AE69" i="336"/>
  <c r="AD69" i="336"/>
  <c r="I20" i="335" s="1"/>
  <c r="AA69" i="336"/>
  <c r="I19" i="335" s="1"/>
  <c r="Z69" i="336"/>
  <c r="M69" i="336"/>
  <c r="W68" i="336"/>
  <c r="H68" i="336"/>
  <c r="W67" i="336"/>
  <c r="W66" i="336"/>
  <c r="W65" i="336"/>
  <c r="W64" i="336"/>
  <c r="W63" i="336"/>
  <c r="AF62" i="336"/>
  <c r="W62" i="336"/>
  <c r="N62" i="336" s="1"/>
  <c r="O62" i="336" s="1"/>
  <c r="Q62" i="336" s="1"/>
  <c r="V62" i="336"/>
  <c r="R62" i="336"/>
  <c r="P62" i="336"/>
  <c r="K62" i="336"/>
  <c r="L62" i="336" s="1"/>
  <c r="J62" i="336"/>
  <c r="F62" i="336"/>
  <c r="H62" i="336" s="1"/>
  <c r="AG61" i="336"/>
  <c r="AF61" i="336"/>
  <c r="W61" i="336"/>
  <c r="N61" i="336" s="1"/>
  <c r="O61" i="336" s="1"/>
  <c r="V61" i="336"/>
  <c r="K61" i="336"/>
  <c r="J61" i="336"/>
  <c r="H61" i="336"/>
  <c r="F61" i="336"/>
  <c r="AG60" i="336"/>
  <c r="W60" i="336"/>
  <c r="N60" i="336" s="1"/>
  <c r="V60" i="336"/>
  <c r="L60" i="336"/>
  <c r="K60" i="336"/>
  <c r="J60" i="336"/>
  <c r="P60" i="336" s="1"/>
  <c r="H60" i="336"/>
  <c r="F60" i="336"/>
  <c r="W59" i="336"/>
  <c r="N59" i="336" s="1"/>
  <c r="K59" i="336"/>
  <c r="K69" i="336" s="1"/>
  <c r="J59" i="336"/>
  <c r="P59" i="336" s="1"/>
  <c r="F59" i="336"/>
  <c r="H59" i="336" s="1"/>
  <c r="AE58" i="336"/>
  <c r="H21" i="335" s="1"/>
  <c r="AD58" i="336"/>
  <c r="AA58" i="336"/>
  <c r="H19" i="335" s="1"/>
  <c r="Z58" i="336"/>
  <c r="P58" i="336"/>
  <c r="M58" i="336"/>
  <c r="K58" i="336"/>
  <c r="J58" i="336"/>
  <c r="W57" i="336"/>
  <c r="W56" i="336"/>
  <c r="W55" i="336"/>
  <c r="W54" i="336"/>
  <c r="AG53" i="336"/>
  <c r="AF53" i="336"/>
  <c r="W53" i="336"/>
  <c r="AG52" i="336"/>
  <c r="W52" i="336"/>
  <c r="N52" i="336" s="1"/>
  <c r="V52" i="336"/>
  <c r="L52" i="336"/>
  <c r="J52" i="336"/>
  <c r="P52" i="336" s="1"/>
  <c r="H52" i="336"/>
  <c r="F52" i="336"/>
  <c r="AF51" i="336"/>
  <c r="W51" i="336"/>
  <c r="N51" i="336" s="1"/>
  <c r="V51" i="336"/>
  <c r="L51" i="336"/>
  <c r="J51" i="336"/>
  <c r="P51" i="336" s="1"/>
  <c r="H51" i="336"/>
  <c r="F51" i="336"/>
  <c r="W50" i="336"/>
  <c r="V50" i="336"/>
  <c r="P50" i="336"/>
  <c r="O50" i="336"/>
  <c r="N50" i="336"/>
  <c r="AG50" i="336" s="1"/>
  <c r="L50" i="336"/>
  <c r="H50" i="336"/>
  <c r="F50" i="336"/>
  <c r="W49" i="336"/>
  <c r="N49" i="336" s="1"/>
  <c r="P49" i="336"/>
  <c r="O49" i="336"/>
  <c r="L49" i="336"/>
  <c r="L58" i="336" s="1"/>
  <c r="H13" i="335" s="1"/>
  <c r="J49" i="336"/>
  <c r="F49" i="336"/>
  <c r="H49" i="336" s="1"/>
  <c r="AE48" i="336"/>
  <c r="AD48" i="336"/>
  <c r="AA48" i="336"/>
  <c r="Z48" i="336"/>
  <c r="G18" i="335" s="1"/>
  <c r="W48" i="336"/>
  <c r="M48" i="336"/>
  <c r="K48" i="336"/>
  <c r="W47" i="336"/>
  <c r="H47" i="336"/>
  <c r="W46" i="336"/>
  <c r="W45" i="336"/>
  <c r="W44" i="336"/>
  <c r="W43" i="336"/>
  <c r="W42" i="336"/>
  <c r="AG41" i="336"/>
  <c r="AF41" i="336"/>
  <c r="W41" i="336"/>
  <c r="W40" i="336"/>
  <c r="V40" i="336"/>
  <c r="P40" i="336"/>
  <c r="N40" i="336"/>
  <c r="L40" i="336"/>
  <c r="J40" i="336"/>
  <c r="H40" i="336"/>
  <c r="F40" i="336"/>
  <c r="W39" i="336"/>
  <c r="V39" i="336"/>
  <c r="O39" i="336"/>
  <c r="N39" i="336"/>
  <c r="J39" i="336"/>
  <c r="P39" i="336" s="1"/>
  <c r="F39" i="336"/>
  <c r="H39" i="336" s="1"/>
  <c r="AF38" i="336"/>
  <c r="W38" i="336"/>
  <c r="N38" i="336" s="1"/>
  <c r="P38" i="336"/>
  <c r="J38" i="336"/>
  <c r="L38" i="336" s="1"/>
  <c r="F38" i="336"/>
  <c r="H38" i="336" s="1"/>
  <c r="AE37" i="336"/>
  <c r="F21" i="335" s="1"/>
  <c r="AD37" i="336"/>
  <c r="AA37" i="336"/>
  <c r="F19" i="335" s="1"/>
  <c r="Z37" i="336"/>
  <c r="M37" i="336"/>
  <c r="W36" i="336"/>
  <c r="H36" i="336"/>
  <c r="W35" i="336"/>
  <c r="W34" i="336"/>
  <c r="W33" i="336"/>
  <c r="W32" i="336"/>
  <c r="AG31" i="336"/>
  <c r="AF31" i="336"/>
  <c r="W31" i="336"/>
  <c r="AG30" i="336"/>
  <c r="AF30" i="336"/>
  <c r="W30" i="336"/>
  <c r="AG29" i="336"/>
  <c r="AF29" i="336"/>
  <c r="W29" i="336"/>
  <c r="AF28" i="336"/>
  <c r="W28" i="336"/>
  <c r="V28" i="336"/>
  <c r="P28" i="336"/>
  <c r="O28" i="336"/>
  <c r="N28" i="336"/>
  <c r="K28" i="336"/>
  <c r="AG28" i="336" s="1"/>
  <c r="J28" i="336"/>
  <c r="J37" i="336" s="1"/>
  <c r="H28" i="336"/>
  <c r="F28" i="336"/>
  <c r="W27" i="336"/>
  <c r="N27" i="336"/>
  <c r="L27" i="336"/>
  <c r="J27" i="336"/>
  <c r="P27" i="336" s="1"/>
  <c r="F27" i="336"/>
  <c r="H27" i="336" s="1"/>
  <c r="AE26" i="336"/>
  <c r="AD26" i="336"/>
  <c r="AA26" i="336"/>
  <c r="E19" i="335" s="1"/>
  <c r="Z26" i="336"/>
  <c r="E18" i="335" s="1"/>
  <c r="M26" i="336"/>
  <c r="K26" i="336"/>
  <c r="J26" i="336"/>
  <c r="P26" i="336" s="1"/>
  <c r="W25" i="336"/>
  <c r="H25" i="336"/>
  <c r="W24" i="336"/>
  <c r="H24" i="336"/>
  <c r="W23" i="336"/>
  <c r="W21" i="336"/>
  <c r="W20" i="336"/>
  <c r="W19" i="336"/>
  <c r="V19" i="336"/>
  <c r="P19" i="336"/>
  <c r="N19" i="336"/>
  <c r="L19" i="336"/>
  <c r="J19" i="336"/>
  <c r="H19" i="336"/>
  <c r="F19" i="336"/>
  <c r="W18" i="336"/>
  <c r="V18" i="336"/>
  <c r="O18" i="336"/>
  <c r="N18" i="336"/>
  <c r="J18" i="336"/>
  <c r="P18" i="336" s="1"/>
  <c r="F18" i="336"/>
  <c r="H18" i="336" s="1"/>
  <c r="W17" i="336"/>
  <c r="V17" i="336"/>
  <c r="P17" i="336"/>
  <c r="N17" i="336"/>
  <c r="L17" i="336"/>
  <c r="J17" i="336"/>
  <c r="H17" i="336"/>
  <c r="F17" i="336"/>
  <c r="W16" i="336"/>
  <c r="N16" i="336" s="1"/>
  <c r="O16" i="336"/>
  <c r="K16" i="336"/>
  <c r="J16" i="336"/>
  <c r="L16" i="336" s="1"/>
  <c r="F16" i="336"/>
  <c r="H16" i="336" s="1"/>
  <c r="AE15" i="336"/>
  <c r="AD15" i="336"/>
  <c r="D20" i="335" s="1"/>
  <c r="AA15" i="336"/>
  <c r="Z15" i="336"/>
  <c r="D18" i="335" s="1"/>
  <c r="M15" i="336"/>
  <c r="K15" i="336"/>
  <c r="W14" i="336"/>
  <c r="W13" i="336"/>
  <c r="W12" i="336"/>
  <c r="AG11" i="336"/>
  <c r="AF11" i="336"/>
  <c r="W11" i="336"/>
  <c r="AG10" i="336"/>
  <c r="AF10" i="336"/>
  <c r="W10" i="336"/>
  <c r="AG9" i="336"/>
  <c r="AF9" i="336"/>
  <c r="W9" i="336"/>
  <c r="AG8" i="336"/>
  <c r="AF8" i="336"/>
  <c r="W8" i="336"/>
  <c r="W7" i="336"/>
  <c r="V7" i="336"/>
  <c r="N7" i="336"/>
  <c r="L7" i="336"/>
  <c r="J7" i="336"/>
  <c r="P7" i="336" s="1"/>
  <c r="H7" i="336"/>
  <c r="F7" i="336"/>
  <c r="W6" i="336"/>
  <c r="N6" i="336" s="1"/>
  <c r="V6" i="336"/>
  <c r="J6" i="336"/>
  <c r="F6" i="336"/>
  <c r="H6" i="336" s="1"/>
  <c r="AF5" i="336"/>
  <c r="W5" i="336"/>
  <c r="N5" i="336" s="1"/>
  <c r="P5" i="336"/>
  <c r="O5" i="336"/>
  <c r="K5" i="336"/>
  <c r="L5" i="336" s="1"/>
  <c r="J5" i="336"/>
  <c r="F5" i="336"/>
  <c r="H5" i="336" s="1"/>
  <c r="AD2" i="336"/>
  <c r="Z2" i="336"/>
  <c r="I2" i="336"/>
  <c r="E1" i="336"/>
  <c r="I22" i="335"/>
  <c r="H22" i="335"/>
  <c r="G22" i="335"/>
  <c r="E22" i="335"/>
  <c r="J21" i="335"/>
  <c r="I21" i="335"/>
  <c r="G21" i="335"/>
  <c r="D21" i="335"/>
  <c r="J20" i="335"/>
  <c r="N6" i="335" s="1"/>
  <c r="H20" i="335"/>
  <c r="G20" i="335"/>
  <c r="F20" i="335"/>
  <c r="E20" i="335"/>
  <c r="J19" i="335"/>
  <c r="G19" i="335"/>
  <c r="D19" i="335"/>
  <c r="M6" i="335" s="1"/>
  <c r="J18" i="335"/>
  <c r="I18" i="335"/>
  <c r="H18" i="335"/>
  <c r="F18" i="335"/>
  <c r="J16" i="335"/>
  <c r="I16" i="335"/>
  <c r="H16" i="335"/>
  <c r="G16" i="335"/>
  <c r="F16" i="335"/>
  <c r="E16" i="335"/>
  <c r="D16" i="335"/>
  <c r="O8" i="335"/>
  <c r="N8" i="335"/>
  <c r="M8" i="335"/>
  <c r="L8" i="335"/>
  <c r="O7" i="335"/>
  <c r="N7" i="335"/>
  <c r="M7" i="335"/>
  <c r="L7" i="335"/>
  <c r="G3" i="335"/>
  <c r="AE79" i="334"/>
  <c r="J21" i="333" s="1"/>
  <c r="AD79" i="334"/>
  <c r="J20" i="333" s="1"/>
  <c r="AA79" i="334"/>
  <c r="J18" i="333" s="1"/>
  <c r="Z79" i="334"/>
  <c r="M79" i="334"/>
  <c r="K79" i="334"/>
  <c r="J79" i="334"/>
  <c r="W78" i="334"/>
  <c r="H78" i="334"/>
  <c r="W77" i="334"/>
  <c r="H77" i="334"/>
  <c r="W76" i="334"/>
  <c r="W75" i="334"/>
  <c r="W74" i="334"/>
  <c r="W73" i="334"/>
  <c r="W72" i="334"/>
  <c r="W71" i="334"/>
  <c r="R71" i="334"/>
  <c r="Q71" i="334"/>
  <c r="P71" i="334"/>
  <c r="N71" i="334"/>
  <c r="O71" i="334" s="1"/>
  <c r="L71" i="334"/>
  <c r="L79" i="334" s="1"/>
  <c r="J13" i="333" s="1"/>
  <c r="K71" i="334"/>
  <c r="J71" i="334"/>
  <c r="F71" i="334"/>
  <c r="H71" i="334" s="1"/>
  <c r="AG70" i="334"/>
  <c r="W70" i="334"/>
  <c r="N70" i="334" s="1"/>
  <c r="P70" i="334"/>
  <c r="L70" i="334"/>
  <c r="F70" i="334"/>
  <c r="H70" i="334" s="1"/>
  <c r="AE69" i="334"/>
  <c r="I21" i="333" s="1"/>
  <c r="AD69" i="334"/>
  <c r="AA69" i="334"/>
  <c r="I19" i="333" s="1"/>
  <c r="Z69" i="334"/>
  <c r="M69" i="334"/>
  <c r="W68" i="334"/>
  <c r="H68" i="334"/>
  <c r="W67" i="334"/>
  <c r="W66" i="334"/>
  <c r="W65" i="334"/>
  <c r="W64" i="334"/>
  <c r="W63" i="334"/>
  <c r="AF62" i="334"/>
  <c r="W62" i="334"/>
  <c r="P62" i="334"/>
  <c r="N62" i="334"/>
  <c r="L62" i="334"/>
  <c r="K62" i="334"/>
  <c r="J62" i="334"/>
  <c r="F62" i="334"/>
  <c r="H62" i="334" s="1"/>
  <c r="W61" i="334"/>
  <c r="N61" i="334" s="1"/>
  <c r="AG61" i="334" s="1"/>
  <c r="V61" i="334"/>
  <c r="P61" i="334"/>
  <c r="O61" i="334"/>
  <c r="K61" i="334"/>
  <c r="J61" i="334"/>
  <c r="L61" i="334" s="1"/>
  <c r="F61" i="334"/>
  <c r="H61" i="334" s="1"/>
  <c r="AF60" i="334"/>
  <c r="W60" i="334"/>
  <c r="N60" i="334" s="1"/>
  <c r="V60" i="334"/>
  <c r="K60" i="334"/>
  <c r="L60" i="334" s="1"/>
  <c r="J60" i="334"/>
  <c r="P60" i="334" s="1"/>
  <c r="H60" i="334"/>
  <c r="F60" i="334"/>
  <c r="W59" i="334"/>
  <c r="N59" i="334" s="1"/>
  <c r="L59" i="334"/>
  <c r="L69" i="334" s="1"/>
  <c r="I13" i="333" s="1"/>
  <c r="J6" i="333" s="1"/>
  <c r="K59" i="334"/>
  <c r="K69" i="334" s="1"/>
  <c r="J59" i="334"/>
  <c r="F59" i="334"/>
  <c r="H59" i="334" s="1"/>
  <c r="AE58" i="334"/>
  <c r="AD58" i="334"/>
  <c r="H20" i="333" s="1"/>
  <c r="AA58" i="334"/>
  <c r="H19" i="333" s="1"/>
  <c r="Z58" i="334"/>
  <c r="H18" i="333" s="1"/>
  <c r="M58" i="334"/>
  <c r="I1" i="334" s="1"/>
  <c r="K58" i="334"/>
  <c r="W57" i="334"/>
  <c r="W56" i="334"/>
  <c r="W55" i="334"/>
  <c r="W54" i="334"/>
  <c r="AG53" i="334"/>
  <c r="AF53" i="334"/>
  <c r="W53" i="334"/>
  <c r="AG52" i="334"/>
  <c r="AF52" i="334"/>
  <c r="W52" i="334"/>
  <c r="N52" i="334" s="1"/>
  <c r="O52" i="334" s="1"/>
  <c r="V52" i="334"/>
  <c r="P52" i="334"/>
  <c r="L52" i="334"/>
  <c r="J52" i="334"/>
  <c r="H52" i="334"/>
  <c r="F52" i="334"/>
  <c r="AG51" i="334"/>
  <c r="AF51" i="334"/>
  <c r="W51" i="334"/>
  <c r="V51" i="334"/>
  <c r="Q51" i="334"/>
  <c r="P51" i="334"/>
  <c r="N51" i="334"/>
  <c r="O51" i="334" s="1"/>
  <c r="L51" i="334"/>
  <c r="J51" i="334"/>
  <c r="H51" i="334"/>
  <c r="F51" i="334"/>
  <c r="AG50" i="334"/>
  <c r="W50" i="334"/>
  <c r="V50" i="334"/>
  <c r="P50" i="334"/>
  <c r="N50" i="334"/>
  <c r="L50" i="334"/>
  <c r="H50" i="334"/>
  <c r="F50" i="334"/>
  <c r="W49" i="334"/>
  <c r="P49" i="334"/>
  <c r="O49" i="334"/>
  <c r="N49" i="334"/>
  <c r="L49" i="334"/>
  <c r="L58" i="334" s="1"/>
  <c r="H13" i="333" s="1"/>
  <c r="J49" i="334"/>
  <c r="J58" i="334" s="1"/>
  <c r="H49" i="334"/>
  <c r="F49" i="334"/>
  <c r="AE48" i="334"/>
  <c r="AD48" i="334"/>
  <c r="AA48" i="334"/>
  <c r="G19" i="333" s="1"/>
  <c r="Z48" i="334"/>
  <c r="W48" i="334"/>
  <c r="M48" i="334"/>
  <c r="K48" i="334"/>
  <c r="W47" i="334"/>
  <c r="H47" i="334"/>
  <c r="W46" i="334"/>
  <c r="W45" i="334"/>
  <c r="W44" i="334"/>
  <c r="W43" i="334"/>
  <c r="W42" i="334"/>
  <c r="AG41" i="334"/>
  <c r="AF41" i="334"/>
  <c r="W41" i="334"/>
  <c r="AG40" i="334"/>
  <c r="AF40" i="334"/>
  <c r="W40" i="334"/>
  <c r="W39" i="334"/>
  <c r="N39" i="334" s="1"/>
  <c r="O39" i="334" s="1"/>
  <c r="V39" i="334"/>
  <c r="J39" i="334"/>
  <c r="H39" i="334"/>
  <c r="F39" i="334"/>
  <c r="AF38" i="334"/>
  <c r="W38" i="334"/>
  <c r="N38" i="334"/>
  <c r="L38" i="334"/>
  <c r="J38" i="334"/>
  <c r="P38" i="334" s="1"/>
  <c r="F38" i="334"/>
  <c r="H38" i="334" s="1"/>
  <c r="AE37" i="334"/>
  <c r="AD37" i="334"/>
  <c r="AA37" i="334"/>
  <c r="Z37" i="334"/>
  <c r="M37" i="334"/>
  <c r="F22" i="333" s="1"/>
  <c r="W36" i="334"/>
  <c r="H36" i="334"/>
  <c r="W35" i="334"/>
  <c r="W34" i="334"/>
  <c r="W33" i="334"/>
  <c r="W32" i="334"/>
  <c r="AG31" i="334"/>
  <c r="AF31" i="334"/>
  <c r="W31" i="334"/>
  <c r="AG30" i="334"/>
  <c r="AF30" i="334"/>
  <c r="W30" i="334"/>
  <c r="V30" i="334"/>
  <c r="W29" i="334"/>
  <c r="V29" i="334"/>
  <c r="P29" i="334"/>
  <c r="N29" i="334"/>
  <c r="L29" i="334"/>
  <c r="K29" i="334"/>
  <c r="K37" i="334" s="1"/>
  <c r="J29" i="334"/>
  <c r="H29" i="334"/>
  <c r="F29" i="334"/>
  <c r="W28" i="334"/>
  <c r="N28" i="334" s="1"/>
  <c r="V28" i="334"/>
  <c r="P28" i="334"/>
  <c r="K28" i="334"/>
  <c r="L28" i="334" s="1"/>
  <c r="J28" i="334"/>
  <c r="F28" i="334"/>
  <c r="H28" i="334" s="1"/>
  <c r="W27" i="334"/>
  <c r="N27" i="334" s="1"/>
  <c r="L27" i="334"/>
  <c r="L37" i="334" s="1"/>
  <c r="F13" i="333" s="1"/>
  <c r="J27" i="334"/>
  <c r="P27" i="334" s="1"/>
  <c r="F27" i="334"/>
  <c r="H27" i="334" s="1"/>
  <c r="AE26" i="334"/>
  <c r="AD26" i="334"/>
  <c r="AA26" i="334"/>
  <c r="E19" i="333" s="1"/>
  <c r="Z26" i="334"/>
  <c r="M26" i="334"/>
  <c r="K26" i="334"/>
  <c r="W25" i="334"/>
  <c r="H25" i="334"/>
  <c r="W24" i="334"/>
  <c r="H24" i="334"/>
  <c r="W23" i="334"/>
  <c r="W21" i="334"/>
  <c r="W20" i="334"/>
  <c r="AG19" i="334"/>
  <c r="AF19" i="334"/>
  <c r="W19" i="334"/>
  <c r="N19" i="334" s="1"/>
  <c r="O19" i="334" s="1"/>
  <c r="V19" i="334"/>
  <c r="R19" i="334"/>
  <c r="Q19" i="334"/>
  <c r="J19" i="334"/>
  <c r="L19" i="334" s="1"/>
  <c r="H19" i="334"/>
  <c r="F19" i="334"/>
  <c r="AG18" i="334"/>
  <c r="AF18" i="334"/>
  <c r="W18" i="334"/>
  <c r="N18" i="334" s="1"/>
  <c r="V18" i="334"/>
  <c r="O18" i="334"/>
  <c r="R18" i="334" s="1"/>
  <c r="L18" i="334"/>
  <c r="J18" i="334"/>
  <c r="P18" i="334" s="1"/>
  <c r="F18" i="334"/>
  <c r="H18" i="334" s="1"/>
  <c r="W17" i="334"/>
  <c r="V17" i="334"/>
  <c r="N17" i="334"/>
  <c r="L17" i="334"/>
  <c r="J17" i="334"/>
  <c r="P17" i="334" s="1"/>
  <c r="H17" i="334"/>
  <c r="F17" i="334"/>
  <c r="W16" i="334"/>
  <c r="N16" i="334"/>
  <c r="K16" i="334"/>
  <c r="AF16" i="334" s="1"/>
  <c r="J16" i="334"/>
  <c r="F16" i="334"/>
  <c r="H16" i="334" s="1"/>
  <c r="AE15" i="334"/>
  <c r="AE2" i="334" s="1"/>
  <c r="AD15" i="334"/>
  <c r="AA15" i="334"/>
  <c r="D19" i="333" s="1"/>
  <c r="Z15" i="334"/>
  <c r="Z2" i="334" s="1"/>
  <c r="M15" i="334"/>
  <c r="D22" i="333" s="1"/>
  <c r="W14" i="334"/>
  <c r="W13" i="334"/>
  <c r="W12" i="334"/>
  <c r="AG11" i="334"/>
  <c r="AF11" i="334"/>
  <c r="W11" i="334"/>
  <c r="AG10" i="334"/>
  <c r="AF10" i="334"/>
  <c r="W10" i="334"/>
  <c r="AG9" i="334"/>
  <c r="AF9" i="334"/>
  <c r="W9" i="334"/>
  <c r="AG8" i="334"/>
  <c r="AF8" i="334"/>
  <c r="W8" i="334"/>
  <c r="W7" i="334"/>
  <c r="N7" i="334" s="1"/>
  <c r="V7" i="334"/>
  <c r="P7" i="334"/>
  <c r="J7" i="334"/>
  <c r="L7" i="334" s="1"/>
  <c r="F7" i="334"/>
  <c r="H7" i="334" s="1"/>
  <c r="AG6" i="334"/>
  <c r="AF6" i="334"/>
  <c r="W6" i="334"/>
  <c r="N6" i="334" s="1"/>
  <c r="V6" i="334"/>
  <c r="O6" i="334"/>
  <c r="J6" i="334"/>
  <c r="P6" i="334" s="1"/>
  <c r="F6" i="334"/>
  <c r="H6" i="334" s="1"/>
  <c r="W5" i="334"/>
  <c r="N5" i="334"/>
  <c r="L5" i="334"/>
  <c r="K5" i="334"/>
  <c r="K15" i="334" s="1"/>
  <c r="J5" i="334"/>
  <c r="P5" i="334" s="1"/>
  <c r="F5" i="334"/>
  <c r="H5" i="334" s="1"/>
  <c r="I2" i="334"/>
  <c r="E1" i="334"/>
  <c r="G3" i="333" s="1"/>
  <c r="I22" i="333"/>
  <c r="H22" i="333"/>
  <c r="G22" i="333"/>
  <c r="E22" i="333"/>
  <c r="H21" i="333"/>
  <c r="G21" i="333"/>
  <c r="F21" i="333"/>
  <c r="E21" i="333"/>
  <c r="I20" i="333"/>
  <c r="G20" i="333"/>
  <c r="F20" i="333"/>
  <c r="D20" i="333"/>
  <c r="J19" i="333"/>
  <c r="F19" i="333"/>
  <c r="I18" i="333"/>
  <c r="G18" i="333"/>
  <c r="F18" i="333"/>
  <c r="E18" i="333"/>
  <c r="J16" i="333"/>
  <c r="I16" i="333"/>
  <c r="H16" i="333"/>
  <c r="G16" i="333"/>
  <c r="F16" i="333"/>
  <c r="E16" i="333"/>
  <c r="D16" i="333"/>
  <c r="O8" i="333"/>
  <c r="N8" i="333"/>
  <c r="M8" i="333"/>
  <c r="L8" i="333"/>
  <c r="O7" i="333"/>
  <c r="N7" i="333"/>
  <c r="M7" i="333"/>
  <c r="L7" i="333"/>
  <c r="AE79" i="332"/>
  <c r="AD79" i="332"/>
  <c r="J20" i="331" s="1"/>
  <c r="AA79" i="332"/>
  <c r="Z79" i="332"/>
  <c r="M79" i="332"/>
  <c r="J22" i="331" s="1"/>
  <c r="W78" i="332"/>
  <c r="H78" i="332"/>
  <c r="W77" i="332"/>
  <c r="H77" i="332"/>
  <c r="W76" i="332"/>
  <c r="H76" i="332"/>
  <c r="W75" i="332"/>
  <c r="H75" i="332"/>
  <c r="W74" i="332"/>
  <c r="W73" i="332"/>
  <c r="W72" i="332"/>
  <c r="O72" i="332"/>
  <c r="N72" i="332"/>
  <c r="L72" i="332"/>
  <c r="K72" i="332"/>
  <c r="J72" i="332"/>
  <c r="P72" i="332" s="1"/>
  <c r="H72" i="332"/>
  <c r="F72" i="332"/>
  <c r="W71" i="332"/>
  <c r="N71" i="332" s="1"/>
  <c r="O71" i="332" s="1"/>
  <c r="K71" i="332"/>
  <c r="J71" i="332"/>
  <c r="F71" i="332"/>
  <c r="H71" i="332" s="1"/>
  <c r="W70" i="332"/>
  <c r="P70" i="332"/>
  <c r="N70" i="332"/>
  <c r="L70" i="332"/>
  <c r="F70" i="332"/>
  <c r="H70" i="332" s="1"/>
  <c r="AE69" i="332"/>
  <c r="AD69" i="332"/>
  <c r="AA69" i="332"/>
  <c r="Z69" i="332"/>
  <c r="N69" i="332"/>
  <c r="M69" i="332"/>
  <c r="K69" i="332"/>
  <c r="W68" i="332"/>
  <c r="H68" i="332"/>
  <c r="W67" i="332"/>
  <c r="W66" i="332"/>
  <c r="W65" i="332"/>
  <c r="W64" i="332"/>
  <c r="W63" i="332"/>
  <c r="AG62" i="332"/>
  <c r="AF62" i="332"/>
  <c r="W62" i="332"/>
  <c r="V62" i="332"/>
  <c r="N62" i="332"/>
  <c r="O62" i="332" s="1"/>
  <c r="R62" i="332" s="1"/>
  <c r="L62" i="332"/>
  <c r="K62" i="332"/>
  <c r="J62" i="332"/>
  <c r="P62" i="332" s="1"/>
  <c r="F62" i="332"/>
  <c r="H62" i="332" s="1"/>
  <c r="AG61" i="332"/>
  <c r="AF61" i="332"/>
  <c r="W61" i="332"/>
  <c r="V61" i="332"/>
  <c r="P61" i="332"/>
  <c r="N61" i="332"/>
  <c r="O61" i="332" s="1"/>
  <c r="L61" i="332"/>
  <c r="K61" i="332"/>
  <c r="J61" i="332"/>
  <c r="H61" i="332"/>
  <c r="F61" i="332"/>
  <c r="AF60" i="332"/>
  <c r="W60" i="332"/>
  <c r="V60" i="332"/>
  <c r="O60" i="332"/>
  <c r="N60" i="332"/>
  <c r="AG60" i="332" s="1"/>
  <c r="K60" i="332"/>
  <c r="J60" i="332"/>
  <c r="F60" i="332"/>
  <c r="H60" i="332" s="1"/>
  <c r="W59" i="332"/>
  <c r="N59" i="332" s="1"/>
  <c r="P59" i="332"/>
  <c r="K59" i="332"/>
  <c r="L59" i="332" s="1"/>
  <c r="J59" i="332"/>
  <c r="F59" i="332"/>
  <c r="H59" i="332" s="1"/>
  <c r="AE58" i="332"/>
  <c r="H21" i="331" s="1"/>
  <c r="AD58" i="332"/>
  <c r="AA58" i="332"/>
  <c r="H19" i="331" s="1"/>
  <c r="Z58" i="332"/>
  <c r="H18" i="331" s="1"/>
  <c r="M58" i="332"/>
  <c r="K58" i="332"/>
  <c r="W57" i="332"/>
  <c r="W56" i="332"/>
  <c r="W55" i="332"/>
  <c r="W54" i="332"/>
  <c r="AG53" i="332"/>
  <c r="AF53" i="332"/>
  <c r="W53" i="332"/>
  <c r="AF52" i="332"/>
  <c r="W52" i="332"/>
  <c r="N52" i="332" s="1"/>
  <c r="V52" i="332"/>
  <c r="J52" i="332"/>
  <c r="F52" i="332"/>
  <c r="H52" i="332" s="1"/>
  <c r="W51" i="332"/>
  <c r="N51" i="332" s="1"/>
  <c r="V51" i="332"/>
  <c r="P51" i="332"/>
  <c r="L51" i="332"/>
  <c r="J51" i="332"/>
  <c r="F51" i="332"/>
  <c r="H51" i="332" s="1"/>
  <c r="W50" i="332"/>
  <c r="V50" i="332"/>
  <c r="P50" i="332"/>
  <c r="N50" i="332"/>
  <c r="L50" i="332"/>
  <c r="H50" i="332"/>
  <c r="F50" i="332"/>
  <c r="W49" i="332"/>
  <c r="N49" i="332" s="1"/>
  <c r="O49" i="332"/>
  <c r="L49" i="332"/>
  <c r="J49" i="332"/>
  <c r="P49" i="332" s="1"/>
  <c r="F49" i="332"/>
  <c r="H49" i="332" s="1"/>
  <c r="AE48" i="332"/>
  <c r="AD48" i="332"/>
  <c r="AA48" i="332"/>
  <c r="G19" i="331" s="1"/>
  <c r="Z48" i="332"/>
  <c r="W48" i="332"/>
  <c r="M48" i="332"/>
  <c r="G22" i="331" s="1"/>
  <c r="K48" i="332"/>
  <c r="W47" i="332"/>
  <c r="H47" i="332"/>
  <c r="W46" i="332"/>
  <c r="W45" i="332"/>
  <c r="W44" i="332"/>
  <c r="W43" i="332"/>
  <c r="W42" i="332"/>
  <c r="AG41" i="332"/>
  <c r="AF41" i="332"/>
  <c r="W41" i="332"/>
  <c r="W40" i="332"/>
  <c r="N40" i="332" s="1"/>
  <c r="V40" i="332"/>
  <c r="J40" i="332"/>
  <c r="L40" i="332" s="1"/>
  <c r="H40" i="332"/>
  <c r="F40" i="332"/>
  <c r="W39" i="332"/>
  <c r="V39" i="332"/>
  <c r="Q39" i="332"/>
  <c r="P39" i="332"/>
  <c r="O39" i="332"/>
  <c r="R39" i="332" s="1"/>
  <c r="N39" i="332"/>
  <c r="J39" i="332"/>
  <c r="L39" i="332" s="1"/>
  <c r="F39" i="332"/>
  <c r="H39" i="332" s="1"/>
  <c r="W38" i="332"/>
  <c r="P38" i="332"/>
  <c r="O38" i="332"/>
  <c r="N38" i="332"/>
  <c r="AG38" i="332" s="1"/>
  <c r="L38" i="332"/>
  <c r="J38" i="332"/>
  <c r="H38" i="332"/>
  <c r="F38" i="332"/>
  <c r="AE37" i="332"/>
  <c r="AD37" i="332"/>
  <c r="F20" i="331" s="1"/>
  <c r="AA37" i="332"/>
  <c r="F19" i="331" s="1"/>
  <c r="Z37" i="332"/>
  <c r="F18" i="331" s="1"/>
  <c r="M37" i="332"/>
  <c r="W36" i="332"/>
  <c r="H36" i="332"/>
  <c r="W35" i="332"/>
  <c r="W34" i="332"/>
  <c r="W33" i="332"/>
  <c r="W32" i="332"/>
  <c r="AG31" i="332"/>
  <c r="AF31" i="332"/>
  <c r="W31" i="332"/>
  <c r="AG30" i="332"/>
  <c r="AF30" i="332"/>
  <c r="W30" i="332"/>
  <c r="AG29" i="332"/>
  <c r="AF29" i="332"/>
  <c r="W29" i="332"/>
  <c r="W28" i="332"/>
  <c r="V28" i="332"/>
  <c r="N28" i="332"/>
  <c r="K28" i="332"/>
  <c r="K37" i="332" s="1"/>
  <c r="J28" i="332"/>
  <c r="H28" i="332"/>
  <c r="F28" i="332"/>
  <c r="AG27" i="332"/>
  <c r="AF27" i="332"/>
  <c r="W27" i="332"/>
  <c r="P27" i="332"/>
  <c r="O27" i="332"/>
  <c r="N27" i="332"/>
  <c r="L27" i="332"/>
  <c r="J27" i="332"/>
  <c r="F27" i="332"/>
  <c r="H27" i="332" s="1"/>
  <c r="AE26" i="332"/>
  <c r="E21" i="331" s="1"/>
  <c r="AD26" i="332"/>
  <c r="AA26" i="332"/>
  <c r="E19" i="331" s="1"/>
  <c r="Z26" i="332"/>
  <c r="M26" i="332"/>
  <c r="W25" i="332"/>
  <c r="H25" i="332"/>
  <c r="W24" i="332"/>
  <c r="H24" i="332"/>
  <c r="W23" i="332"/>
  <c r="W21" i="332"/>
  <c r="W20" i="332"/>
  <c r="W19" i="332"/>
  <c r="N19" i="332" s="1"/>
  <c r="V19" i="332"/>
  <c r="J19" i="332"/>
  <c r="F19" i="332"/>
  <c r="H19" i="332" s="1"/>
  <c r="AG18" i="332"/>
  <c r="AF18" i="332"/>
  <c r="W18" i="332"/>
  <c r="V18" i="332"/>
  <c r="N18" i="332"/>
  <c r="O18" i="332" s="1"/>
  <c r="J18" i="332"/>
  <c r="P18" i="332" s="1"/>
  <c r="F18" i="332"/>
  <c r="H18" i="332" s="1"/>
  <c r="W17" i="332"/>
  <c r="V17" i="332"/>
  <c r="P17" i="332"/>
  <c r="N17" i="332"/>
  <c r="L17" i="332"/>
  <c r="J17" i="332"/>
  <c r="F17" i="332"/>
  <c r="H17" i="332" s="1"/>
  <c r="W16" i="332"/>
  <c r="P16" i="332"/>
  <c r="N16" i="332"/>
  <c r="L16" i="332"/>
  <c r="K16" i="332"/>
  <c r="K26" i="332" s="1"/>
  <c r="J16" i="332"/>
  <c r="H16" i="332"/>
  <c r="F16" i="332"/>
  <c r="AE15" i="332"/>
  <c r="AD15" i="332"/>
  <c r="AA15" i="332"/>
  <c r="Z15" i="332"/>
  <c r="M15" i="332"/>
  <c r="W14" i="332"/>
  <c r="W13" i="332"/>
  <c r="W12" i="332"/>
  <c r="AG11" i="332"/>
  <c r="AF11" i="332"/>
  <c r="W11" i="332"/>
  <c r="AG10" i="332"/>
  <c r="AF10" i="332"/>
  <c r="W10" i="332"/>
  <c r="AG9" i="332"/>
  <c r="AF9" i="332"/>
  <c r="W9" i="332"/>
  <c r="AG8" i="332"/>
  <c r="AF8" i="332"/>
  <c r="W8" i="332"/>
  <c r="W7" i="332"/>
  <c r="V7" i="332"/>
  <c r="N7" i="332"/>
  <c r="AG7" i="332" s="1"/>
  <c r="L7" i="332"/>
  <c r="J7" i="332"/>
  <c r="P7" i="332" s="1"/>
  <c r="F7" i="332"/>
  <c r="H7" i="332" s="1"/>
  <c r="W6" i="332"/>
  <c r="V6" i="332"/>
  <c r="O6" i="332"/>
  <c r="N6" i="332"/>
  <c r="AG6" i="332" s="1"/>
  <c r="J6" i="332"/>
  <c r="P6" i="332" s="1"/>
  <c r="H6" i="332"/>
  <c r="F6" i="332"/>
  <c r="W5" i="332"/>
  <c r="O5" i="332"/>
  <c r="N5" i="332"/>
  <c r="L5" i="332"/>
  <c r="K5" i="332"/>
  <c r="K15" i="332" s="1"/>
  <c r="J5" i="332"/>
  <c r="F5" i="332"/>
  <c r="H5" i="332" s="1"/>
  <c r="AD2" i="332"/>
  <c r="I2" i="332"/>
  <c r="E1" i="332"/>
  <c r="I22" i="331"/>
  <c r="F22" i="331"/>
  <c r="E22" i="331"/>
  <c r="D22" i="331"/>
  <c r="J21" i="331"/>
  <c r="I21" i="331"/>
  <c r="G21" i="331"/>
  <c r="F21" i="331"/>
  <c r="I20" i="331"/>
  <c r="H20" i="331"/>
  <c r="G20" i="331"/>
  <c r="E20" i="331"/>
  <c r="D20" i="331"/>
  <c r="J19" i="331"/>
  <c r="I19" i="331"/>
  <c r="J18" i="331"/>
  <c r="I18" i="331"/>
  <c r="G18" i="331"/>
  <c r="D18" i="331"/>
  <c r="J16" i="331"/>
  <c r="I16" i="331"/>
  <c r="H16" i="331"/>
  <c r="G16" i="331"/>
  <c r="F16" i="331"/>
  <c r="E16" i="331"/>
  <c r="D16" i="331"/>
  <c r="O8" i="331"/>
  <c r="N8" i="331"/>
  <c r="M8" i="331"/>
  <c r="L8" i="331"/>
  <c r="O7" i="331"/>
  <c r="N7" i="331"/>
  <c r="M7" i="331"/>
  <c r="L7" i="331"/>
  <c r="G3" i="331"/>
  <c r="AE79" i="330"/>
  <c r="AD79" i="330"/>
  <c r="AA79" i="330"/>
  <c r="Z79" i="330"/>
  <c r="M79" i="330"/>
  <c r="P79" i="330" s="1"/>
  <c r="K79" i="330"/>
  <c r="J79" i="330"/>
  <c r="W78" i="330"/>
  <c r="H78" i="330"/>
  <c r="W77" i="330"/>
  <c r="H77" i="330"/>
  <c r="W76" i="330"/>
  <c r="H76" i="330"/>
  <c r="W75" i="330"/>
  <c r="H75" i="330"/>
  <c r="W74" i="330"/>
  <c r="W73" i="330"/>
  <c r="W72" i="330"/>
  <c r="W71" i="330"/>
  <c r="N71" i="330" s="1"/>
  <c r="O71" i="330" s="1"/>
  <c r="Q71" i="330" s="1"/>
  <c r="R71" i="330"/>
  <c r="P71" i="330"/>
  <c r="K71" i="330"/>
  <c r="L71" i="330" s="1"/>
  <c r="J71" i="330"/>
  <c r="H71" i="330"/>
  <c r="F71" i="330"/>
  <c r="AG70" i="330"/>
  <c r="AF70" i="330"/>
  <c r="W70" i="330"/>
  <c r="N70" i="330" s="1"/>
  <c r="N79" i="330" s="1"/>
  <c r="P70" i="330"/>
  <c r="L70" i="330"/>
  <c r="L79" i="330" s="1"/>
  <c r="F70" i="330"/>
  <c r="H70" i="330" s="1"/>
  <c r="AE69" i="330"/>
  <c r="I21" i="329" s="1"/>
  <c r="AD69" i="330"/>
  <c r="AA69" i="330"/>
  <c r="I19" i="329" s="1"/>
  <c r="Z69" i="330"/>
  <c r="M69" i="330"/>
  <c r="W68" i="330"/>
  <c r="H68" i="330"/>
  <c r="W67" i="330"/>
  <c r="W66" i="330"/>
  <c r="W65" i="330"/>
  <c r="W64" i="330"/>
  <c r="V64" i="330"/>
  <c r="P64" i="330"/>
  <c r="N64" i="330"/>
  <c r="O64" i="330" s="1"/>
  <c r="K64" i="330"/>
  <c r="J64" i="330"/>
  <c r="L64" i="330" s="1"/>
  <c r="F64" i="330"/>
  <c r="H64" i="330" s="1"/>
  <c r="W63" i="330"/>
  <c r="V63" i="330"/>
  <c r="O63" i="330"/>
  <c r="N63" i="330"/>
  <c r="K63" i="330"/>
  <c r="J63" i="330"/>
  <c r="P63" i="330" s="1"/>
  <c r="H63" i="330"/>
  <c r="F63" i="330"/>
  <c r="W62" i="330"/>
  <c r="V62" i="330"/>
  <c r="N62" i="330"/>
  <c r="K62" i="330"/>
  <c r="J62" i="330"/>
  <c r="P62" i="330" s="1"/>
  <c r="F62" i="330"/>
  <c r="H62" i="330" s="1"/>
  <c r="W61" i="330"/>
  <c r="V61" i="330"/>
  <c r="N61" i="330"/>
  <c r="L61" i="330"/>
  <c r="K61" i="330"/>
  <c r="J61" i="330"/>
  <c r="P61" i="330" s="1"/>
  <c r="F61" i="330"/>
  <c r="H61" i="330" s="1"/>
  <c r="AG60" i="330"/>
  <c r="AF60" i="330"/>
  <c r="W60" i="330"/>
  <c r="N60" i="330" s="1"/>
  <c r="V60" i="330"/>
  <c r="O60" i="330"/>
  <c r="K60" i="330"/>
  <c r="J60" i="330"/>
  <c r="P60" i="330" s="1"/>
  <c r="H60" i="330"/>
  <c r="F60" i="330"/>
  <c r="W59" i="330"/>
  <c r="P59" i="330"/>
  <c r="N59" i="330"/>
  <c r="K59" i="330"/>
  <c r="J59" i="330"/>
  <c r="H59" i="330"/>
  <c r="F59" i="330"/>
  <c r="AE58" i="330"/>
  <c r="H21" i="329" s="1"/>
  <c r="AD58" i="330"/>
  <c r="AA58" i="330"/>
  <c r="Z58" i="330"/>
  <c r="M58" i="330"/>
  <c r="K58" i="330"/>
  <c r="W57" i="330"/>
  <c r="W56" i="330"/>
  <c r="W55" i="330"/>
  <c r="W54" i="330"/>
  <c r="AG53" i="330"/>
  <c r="AF53" i="330"/>
  <c r="W53" i="330"/>
  <c r="AG52" i="330"/>
  <c r="AF52" i="330"/>
  <c r="W52" i="330"/>
  <c r="V52" i="330"/>
  <c r="N52" i="330"/>
  <c r="O52" i="330" s="1"/>
  <c r="L52" i="330"/>
  <c r="J52" i="330"/>
  <c r="P52" i="330" s="1"/>
  <c r="H52" i="330"/>
  <c r="F52" i="330"/>
  <c r="AG51" i="330"/>
  <c r="W51" i="330"/>
  <c r="N51" i="330" s="1"/>
  <c r="O51" i="330" s="1"/>
  <c r="V51" i="330"/>
  <c r="J51" i="330"/>
  <c r="F51" i="330"/>
  <c r="H51" i="330" s="1"/>
  <c r="AF50" i="330"/>
  <c r="W50" i="330"/>
  <c r="N50" i="330" s="1"/>
  <c r="V50" i="330"/>
  <c r="P50" i="330"/>
  <c r="L50" i="330"/>
  <c r="H50" i="330"/>
  <c r="F50" i="330"/>
  <c r="AG49" i="330"/>
  <c r="AF49" i="330"/>
  <c r="W49" i="330"/>
  <c r="O49" i="330"/>
  <c r="N49" i="330"/>
  <c r="J49" i="330"/>
  <c r="F49" i="330"/>
  <c r="H49" i="330" s="1"/>
  <c r="AE48" i="330"/>
  <c r="G21" i="329" s="1"/>
  <c r="AD48" i="330"/>
  <c r="AA48" i="330"/>
  <c r="Z48" i="330"/>
  <c r="W48" i="330"/>
  <c r="M48" i="330"/>
  <c r="K48" i="330"/>
  <c r="W47" i="330"/>
  <c r="H47" i="330"/>
  <c r="W46" i="330"/>
  <c r="W45" i="330"/>
  <c r="W44" i="330"/>
  <c r="W43" i="330"/>
  <c r="W42" i="330"/>
  <c r="AG41" i="330"/>
  <c r="AF41" i="330"/>
  <c r="W41" i="330"/>
  <c r="AG40" i="330"/>
  <c r="W40" i="330"/>
  <c r="N40" i="330" s="1"/>
  <c r="V40" i="330"/>
  <c r="J40" i="330"/>
  <c r="P40" i="330" s="1"/>
  <c r="F40" i="330"/>
  <c r="H40" i="330" s="1"/>
  <c r="W39" i="330"/>
  <c r="N39" i="330" s="1"/>
  <c r="V39" i="330"/>
  <c r="P39" i="330"/>
  <c r="L39" i="330"/>
  <c r="J39" i="330"/>
  <c r="H39" i="330"/>
  <c r="F39" i="330"/>
  <c r="AG38" i="330"/>
  <c r="W38" i="330"/>
  <c r="N38" i="330" s="1"/>
  <c r="K38" i="330"/>
  <c r="J38" i="330"/>
  <c r="F38" i="330"/>
  <c r="H38" i="330" s="1"/>
  <c r="AE37" i="330"/>
  <c r="F21" i="329" s="1"/>
  <c r="AD37" i="330"/>
  <c r="F20" i="329" s="1"/>
  <c r="AA37" i="330"/>
  <c r="Z37" i="330"/>
  <c r="M37" i="330"/>
  <c r="K37" i="330"/>
  <c r="W36" i="330"/>
  <c r="H36" i="330"/>
  <c r="W35" i="330"/>
  <c r="W34" i="330"/>
  <c r="W33" i="330"/>
  <c r="W32" i="330"/>
  <c r="AG31" i="330"/>
  <c r="AF31" i="330"/>
  <c r="W31" i="330"/>
  <c r="AG30" i="330"/>
  <c r="AF30" i="330"/>
  <c r="W30" i="330"/>
  <c r="W29" i="330"/>
  <c r="N29" i="330" s="1"/>
  <c r="V29" i="330"/>
  <c r="P29" i="330"/>
  <c r="L29" i="330"/>
  <c r="F29" i="330"/>
  <c r="H29" i="330" s="1"/>
  <c r="W28" i="330"/>
  <c r="N28" i="330" s="1"/>
  <c r="V28" i="330"/>
  <c r="L28" i="330"/>
  <c r="J28" i="330"/>
  <c r="P28" i="330" s="1"/>
  <c r="H28" i="330"/>
  <c r="F28" i="330"/>
  <c r="W27" i="330"/>
  <c r="P27" i="330"/>
  <c r="N27" i="330"/>
  <c r="L27" i="330"/>
  <c r="H27" i="330"/>
  <c r="F27" i="330"/>
  <c r="AE26" i="330"/>
  <c r="AD26" i="330"/>
  <c r="AA26" i="330"/>
  <c r="Z26" i="330"/>
  <c r="E18" i="329" s="1"/>
  <c r="M26" i="330"/>
  <c r="W25" i="330"/>
  <c r="H25" i="330"/>
  <c r="W24" i="330"/>
  <c r="H24" i="330"/>
  <c r="W23" i="330"/>
  <c r="W21" i="330"/>
  <c r="W20" i="330"/>
  <c r="W19" i="330"/>
  <c r="N19" i="330" s="1"/>
  <c r="V19" i="330"/>
  <c r="P19" i="330"/>
  <c r="K19" i="330"/>
  <c r="J19" i="330"/>
  <c r="L19" i="330" s="1"/>
  <c r="H19" i="330"/>
  <c r="F19" i="330"/>
  <c r="AG18" i="330"/>
  <c r="W18" i="330"/>
  <c r="N18" i="330" s="1"/>
  <c r="V18" i="330"/>
  <c r="K18" i="330"/>
  <c r="J18" i="330"/>
  <c r="P18" i="330" s="1"/>
  <c r="H18" i="330"/>
  <c r="F18" i="330"/>
  <c r="AF17" i="330"/>
  <c r="W17" i="330"/>
  <c r="N17" i="330" s="1"/>
  <c r="V17" i="330"/>
  <c r="P17" i="330"/>
  <c r="L17" i="330"/>
  <c r="K17" i="330"/>
  <c r="J17" i="330"/>
  <c r="F17" i="330"/>
  <c r="H17" i="330" s="1"/>
  <c r="AG16" i="330"/>
  <c r="W16" i="330"/>
  <c r="N16" i="330" s="1"/>
  <c r="O16" i="330"/>
  <c r="K16" i="330"/>
  <c r="K26" i="330" s="1"/>
  <c r="J16" i="330"/>
  <c r="F16" i="330"/>
  <c r="H16" i="330" s="1"/>
  <c r="AE15" i="330"/>
  <c r="AD15" i="330"/>
  <c r="AA15" i="330"/>
  <c r="Z15" i="330"/>
  <c r="M15" i="330"/>
  <c r="W14" i="330"/>
  <c r="W13" i="330"/>
  <c r="W12" i="330"/>
  <c r="AG11" i="330"/>
  <c r="AF11" i="330"/>
  <c r="W11" i="330"/>
  <c r="AG10" i="330"/>
  <c r="AF10" i="330"/>
  <c r="W10" i="330"/>
  <c r="AG9" i="330"/>
  <c r="AF9" i="330"/>
  <c r="W9" i="330"/>
  <c r="AG8" i="330"/>
  <c r="AF8" i="330"/>
  <c r="W8" i="330"/>
  <c r="W7" i="330"/>
  <c r="N7" i="330" s="1"/>
  <c r="V7" i="330"/>
  <c r="P7" i="330"/>
  <c r="O7" i="330"/>
  <c r="J7" i="330"/>
  <c r="L7" i="330" s="1"/>
  <c r="H7" i="330"/>
  <c r="F7" i="330"/>
  <c r="AG6" i="330"/>
  <c r="W6" i="330"/>
  <c r="N6" i="330" s="1"/>
  <c r="V6" i="330"/>
  <c r="P6" i="330"/>
  <c r="L6" i="330"/>
  <c r="J6" i="330"/>
  <c r="F6" i="330"/>
  <c r="H6" i="330" s="1"/>
  <c r="AF5" i="330"/>
  <c r="W5" i="330"/>
  <c r="N5" i="330" s="1"/>
  <c r="K5" i="330"/>
  <c r="J5" i="330"/>
  <c r="P5" i="330" s="1"/>
  <c r="H5" i="330"/>
  <c r="F5" i="330"/>
  <c r="I2" i="330"/>
  <c r="E1" i="330"/>
  <c r="J22" i="329"/>
  <c r="D22" i="329"/>
  <c r="J21" i="329"/>
  <c r="D21" i="329"/>
  <c r="J20" i="329"/>
  <c r="I20" i="329"/>
  <c r="H20" i="329"/>
  <c r="G20" i="329"/>
  <c r="E20" i="329"/>
  <c r="D20" i="329"/>
  <c r="J19" i="329"/>
  <c r="H19" i="329"/>
  <c r="F19" i="329"/>
  <c r="E19" i="329"/>
  <c r="D19" i="329"/>
  <c r="J18" i="329"/>
  <c r="I18" i="329"/>
  <c r="H18" i="329"/>
  <c r="G18" i="329"/>
  <c r="F18" i="329"/>
  <c r="J16" i="329"/>
  <c r="I16" i="329"/>
  <c r="H16" i="329"/>
  <c r="G16" i="329"/>
  <c r="F16" i="329"/>
  <c r="E16" i="329"/>
  <c r="D16" i="329"/>
  <c r="J13" i="329"/>
  <c r="O8" i="329"/>
  <c r="N8" i="329"/>
  <c r="M8" i="329"/>
  <c r="L8" i="329"/>
  <c r="O7" i="329"/>
  <c r="N7" i="329"/>
  <c r="M7" i="329"/>
  <c r="L7" i="329"/>
  <c r="G3" i="329"/>
  <c r="AE79" i="328"/>
  <c r="AD79" i="328"/>
  <c r="AA79" i="328"/>
  <c r="Z79" i="328"/>
  <c r="M79" i="328"/>
  <c r="W78" i="328"/>
  <c r="H78" i="328"/>
  <c r="W77" i="328"/>
  <c r="H77" i="328"/>
  <c r="W76" i="328"/>
  <c r="H76" i="328"/>
  <c r="W75" i="328"/>
  <c r="H75" i="328"/>
  <c r="W74" i="328"/>
  <c r="N74" i="328" s="1"/>
  <c r="O74" i="328" s="1"/>
  <c r="P74" i="328"/>
  <c r="K74" i="328"/>
  <c r="J74" i="328"/>
  <c r="H74" i="328"/>
  <c r="F74" i="328"/>
  <c r="W73" i="328"/>
  <c r="N73" i="328" s="1"/>
  <c r="O73" i="328" s="1"/>
  <c r="P73" i="328"/>
  <c r="L73" i="328"/>
  <c r="F73" i="328"/>
  <c r="H73" i="328" s="1"/>
  <c r="W72" i="328"/>
  <c r="P72" i="328"/>
  <c r="O72" i="328"/>
  <c r="N72" i="328"/>
  <c r="K72" i="328"/>
  <c r="J72" i="328"/>
  <c r="L72" i="328" s="1"/>
  <c r="F72" i="328"/>
  <c r="H72" i="328" s="1"/>
  <c r="W71" i="328"/>
  <c r="N71" i="328" s="1"/>
  <c r="O71" i="328" s="1"/>
  <c r="R71" i="328" s="1"/>
  <c r="Q71" i="328"/>
  <c r="P71" i="328"/>
  <c r="L71" i="328"/>
  <c r="H71" i="328"/>
  <c r="F71" i="328"/>
  <c r="W70" i="328"/>
  <c r="P70" i="328"/>
  <c r="N70" i="328"/>
  <c r="K70" i="328"/>
  <c r="J70" i="328"/>
  <c r="L70" i="328" s="1"/>
  <c r="F70" i="328"/>
  <c r="H70" i="328" s="1"/>
  <c r="AE69" i="328"/>
  <c r="I21" i="327" s="1"/>
  <c r="AD69" i="328"/>
  <c r="AA69" i="328"/>
  <c r="Z69" i="328"/>
  <c r="M69" i="328"/>
  <c r="W68" i="328"/>
  <c r="H68" i="328"/>
  <c r="W67" i="328"/>
  <c r="W66" i="328"/>
  <c r="W65" i="328"/>
  <c r="W64" i="328"/>
  <c r="W63" i="328"/>
  <c r="V63" i="328"/>
  <c r="R63" i="328"/>
  <c r="N63" i="328"/>
  <c r="O63" i="328" s="1"/>
  <c r="L63" i="328"/>
  <c r="K63" i="328"/>
  <c r="J63" i="328"/>
  <c r="P63" i="328" s="1"/>
  <c r="H63" i="328"/>
  <c r="F63" i="328"/>
  <c r="W62" i="328"/>
  <c r="N62" i="328" s="1"/>
  <c r="V62" i="328"/>
  <c r="P62" i="328"/>
  <c r="L62" i="328"/>
  <c r="K62" i="328"/>
  <c r="J62" i="328"/>
  <c r="H62" i="328"/>
  <c r="F62" i="328"/>
  <c r="AG61" i="328"/>
  <c r="W61" i="328"/>
  <c r="N61" i="328" s="1"/>
  <c r="AF61" i="328" s="1"/>
  <c r="V61" i="328"/>
  <c r="P61" i="328"/>
  <c r="O61" i="328"/>
  <c r="K61" i="328"/>
  <c r="L61" i="328" s="1"/>
  <c r="J61" i="328"/>
  <c r="F61" i="328"/>
  <c r="H61" i="328" s="1"/>
  <c r="W60" i="328"/>
  <c r="N60" i="328" s="1"/>
  <c r="O60" i="328" s="1"/>
  <c r="V60" i="328"/>
  <c r="K60" i="328"/>
  <c r="J60" i="328"/>
  <c r="P60" i="328" s="1"/>
  <c r="F60" i="328"/>
  <c r="H60" i="328" s="1"/>
  <c r="W59" i="328"/>
  <c r="N59" i="328"/>
  <c r="K59" i="328"/>
  <c r="J59" i="328"/>
  <c r="H59" i="328"/>
  <c r="F59" i="328"/>
  <c r="AE58" i="328"/>
  <c r="AD58" i="328"/>
  <c r="AA58" i="328"/>
  <c r="Z58" i="328"/>
  <c r="M58" i="328"/>
  <c r="K58" i="328"/>
  <c r="W57" i="328"/>
  <c r="W56" i="328"/>
  <c r="W55" i="328"/>
  <c r="W54" i="328"/>
  <c r="AG53" i="328"/>
  <c r="AF53" i="328"/>
  <c r="W53" i="328"/>
  <c r="N53" i="328" s="1"/>
  <c r="O53" i="328" s="1"/>
  <c r="R53" i="328"/>
  <c r="Q53" i="328"/>
  <c r="P53" i="328"/>
  <c r="L53" i="328"/>
  <c r="F53" i="328"/>
  <c r="H53" i="328" s="1"/>
  <c r="W52" i="328"/>
  <c r="N52" i="328" s="1"/>
  <c r="V52" i="328"/>
  <c r="P52" i="328"/>
  <c r="L52" i="328"/>
  <c r="F52" i="328"/>
  <c r="H52" i="328" s="1"/>
  <c r="AG51" i="328"/>
  <c r="W51" i="328"/>
  <c r="N51" i="328" s="1"/>
  <c r="O51" i="328" s="1"/>
  <c r="V51" i="328"/>
  <c r="R51" i="328"/>
  <c r="Q51" i="328"/>
  <c r="P51" i="328"/>
  <c r="L51" i="328"/>
  <c r="J51" i="328"/>
  <c r="F51" i="328"/>
  <c r="H51" i="328" s="1"/>
  <c r="W50" i="328"/>
  <c r="V50" i="328"/>
  <c r="N50" i="328"/>
  <c r="O50" i="328" s="1"/>
  <c r="J50" i="328"/>
  <c r="F50" i="328"/>
  <c r="H50" i="328" s="1"/>
  <c r="W49" i="328"/>
  <c r="N49" i="328" s="1"/>
  <c r="J49" i="328"/>
  <c r="F49" i="328"/>
  <c r="H49" i="328" s="1"/>
  <c r="AE48" i="328"/>
  <c r="AD48" i="328"/>
  <c r="AA48" i="328"/>
  <c r="Z48" i="328"/>
  <c r="G18" i="327" s="1"/>
  <c r="W48" i="328"/>
  <c r="M48" i="328"/>
  <c r="W47" i="328"/>
  <c r="H47" i="328"/>
  <c r="W46" i="328"/>
  <c r="W45" i="328"/>
  <c r="W44" i="328"/>
  <c r="W43" i="328"/>
  <c r="W42" i="328"/>
  <c r="W41" i="328"/>
  <c r="N41" i="328" s="1"/>
  <c r="J41" i="328"/>
  <c r="P41" i="328" s="1"/>
  <c r="F41" i="328"/>
  <c r="H41" i="328" s="1"/>
  <c r="AF40" i="328"/>
  <c r="W40" i="328"/>
  <c r="V40" i="328"/>
  <c r="N40" i="328"/>
  <c r="K40" i="328"/>
  <c r="J40" i="328"/>
  <c r="P40" i="328" s="1"/>
  <c r="H40" i="328"/>
  <c r="F40" i="328"/>
  <c r="AG39" i="328"/>
  <c r="AF39" i="328"/>
  <c r="W39" i="328"/>
  <c r="V39" i="328"/>
  <c r="O39" i="328"/>
  <c r="N39" i="328"/>
  <c r="J39" i="328"/>
  <c r="H39" i="328"/>
  <c r="F39" i="328"/>
  <c r="W38" i="328"/>
  <c r="N38" i="328"/>
  <c r="K38" i="328"/>
  <c r="J38" i="328"/>
  <c r="F38" i="328"/>
  <c r="H38" i="328" s="1"/>
  <c r="AE37" i="328"/>
  <c r="F21" i="327" s="1"/>
  <c r="AD37" i="328"/>
  <c r="AA37" i="328"/>
  <c r="F19" i="327" s="1"/>
  <c r="Z37" i="328"/>
  <c r="M37" i="328"/>
  <c r="K37" i="328"/>
  <c r="W36" i="328"/>
  <c r="H36" i="328"/>
  <c r="W35" i="328"/>
  <c r="W34" i="328"/>
  <c r="W33" i="328"/>
  <c r="W32" i="328"/>
  <c r="AG31" i="328"/>
  <c r="W31" i="328"/>
  <c r="V31" i="328"/>
  <c r="P31" i="328"/>
  <c r="O31" i="328"/>
  <c r="N31" i="328"/>
  <c r="AF31" i="328" s="1"/>
  <c r="L31" i="328"/>
  <c r="H31" i="328"/>
  <c r="F31" i="328"/>
  <c r="W30" i="328"/>
  <c r="V30" i="328"/>
  <c r="N30" i="328"/>
  <c r="AF30" i="328" s="1"/>
  <c r="J30" i="328"/>
  <c r="H30" i="328"/>
  <c r="F30" i="328"/>
  <c r="W29" i="328"/>
  <c r="V29" i="328"/>
  <c r="Q29" i="328"/>
  <c r="P29" i="328"/>
  <c r="O29" i="328"/>
  <c r="N29" i="328"/>
  <c r="L29" i="328"/>
  <c r="J29" i="328"/>
  <c r="H29" i="328"/>
  <c r="F29" i="328"/>
  <c r="W28" i="328"/>
  <c r="V28" i="328"/>
  <c r="Q28" i="328"/>
  <c r="P28" i="328"/>
  <c r="O28" i="328"/>
  <c r="R28" i="328" s="1"/>
  <c r="N28" i="328"/>
  <c r="AG28" i="328" s="1"/>
  <c r="L28" i="328"/>
  <c r="H28" i="328"/>
  <c r="F28" i="328"/>
  <c r="AG27" i="328"/>
  <c r="W27" i="328"/>
  <c r="P27" i="328"/>
  <c r="O27" i="328"/>
  <c r="N27" i="328"/>
  <c r="L27" i="328"/>
  <c r="H27" i="328"/>
  <c r="F27" i="328"/>
  <c r="AE26" i="328"/>
  <c r="AD26" i="328"/>
  <c r="E20" i="327" s="1"/>
  <c r="AA26" i="328"/>
  <c r="Z26" i="328"/>
  <c r="E18" i="327" s="1"/>
  <c r="M26" i="328"/>
  <c r="K26" i="328"/>
  <c r="W25" i="328"/>
  <c r="H25" i="328"/>
  <c r="W24" i="328"/>
  <c r="H24" i="328"/>
  <c r="W23" i="328"/>
  <c r="W21" i="328"/>
  <c r="W20" i="328"/>
  <c r="W19" i="328"/>
  <c r="N19" i="328" s="1"/>
  <c r="V19" i="328"/>
  <c r="O19" i="328"/>
  <c r="J19" i="328"/>
  <c r="P19" i="328" s="1"/>
  <c r="H19" i="328"/>
  <c r="F19" i="328"/>
  <c r="W18" i="328"/>
  <c r="N18" i="328" s="1"/>
  <c r="AG18" i="328" s="1"/>
  <c r="V18" i="328"/>
  <c r="O18" i="328"/>
  <c r="L18" i="328"/>
  <c r="J18" i="328"/>
  <c r="P18" i="328" s="1"/>
  <c r="H18" i="328"/>
  <c r="F18" i="328"/>
  <c r="W17" i="328"/>
  <c r="V17" i="328"/>
  <c r="N17" i="328"/>
  <c r="L17" i="328"/>
  <c r="J17" i="328"/>
  <c r="P17" i="328" s="1"/>
  <c r="F17" i="328"/>
  <c r="H17" i="328" s="1"/>
  <c r="AG16" i="328"/>
  <c r="AF16" i="328"/>
  <c r="W16" i="328"/>
  <c r="P16" i="328"/>
  <c r="O16" i="328"/>
  <c r="N16" i="328"/>
  <c r="K16" i="328"/>
  <c r="L16" i="328" s="1"/>
  <c r="J16" i="328"/>
  <c r="H16" i="328"/>
  <c r="F16" i="328"/>
  <c r="AE15" i="328"/>
  <c r="D21" i="327" s="1"/>
  <c r="AD15" i="328"/>
  <c r="AA15" i="328"/>
  <c r="AA2" i="328" s="1"/>
  <c r="Z15" i="328"/>
  <c r="Z2" i="328" s="1"/>
  <c r="M15" i="328"/>
  <c r="W14" i="328"/>
  <c r="W13" i="328"/>
  <c r="W12" i="328"/>
  <c r="AG11" i="328"/>
  <c r="AF11" i="328"/>
  <c r="W11" i="328"/>
  <c r="AG10" i="328"/>
  <c r="AF10" i="328"/>
  <c r="W10" i="328"/>
  <c r="AG9" i="328"/>
  <c r="AF9" i="328"/>
  <c r="W9" i="328"/>
  <c r="W8" i="328"/>
  <c r="N8" i="328" s="1"/>
  <c r="V8" i="328"/>
  <c r="O8" i="328"/>
  <c r="J8" i="328"/>
  <c r="L8" i="328" s="1"/>
  <c r="H8" i="328"/>
  <c r="F8" i="328"/>
  <c r="W7" i="328"/>
  <c r="N7" i="328" s="1"/>
  <c r="AG7" i="328" s="1"/>
  <c r="V7" i="328"/>
  <c r="R7" i="328"/>
  <c r="P7" i="328"/>
  <c r="O7" i="328"/>
  <c r="K7" i="328"/>
  <c r="L7" i="328" s="1"/>
  <c r="J7" i="328"/>
  <c r="H7" i="328"/>
  <c r="F7" i="328"/>
  <c r="W6" i="328"/>
  <c r="V6" i="328"/>
  <c r="N6" i="328"/>
  <c r="J6" i="328"/>
  <c r="F6" i="328"/>
  <c r="H6" i="328" s="1"/>
  <c r="W5" i="328"/>
  <c r="N5" i="328" s="1"/>
  <c r="P5" i="328"/>
  <c r="K5" i="328"/>
  <c r="J5" i="328"/>
  <c r="H5" i="328"/>
  <c r="F5" i="328"/>
  <c r="AD2" i="328"/>
  <c r="I2" i="328"/>
  <c r="E1" i="328"/>
  <c r="G3" i="327" s="1"/>
  <c r="J22" i="327"/>
  <c r="I22" i="327"/>
  <c r="F22" i="327"/>
  <c r="E22" i="327"/>
  <c r="D22" i="327"/>
  <c r="J21" i="327"/>
  <c r="H21" i="327"/>
  <c r="G21" i="327"/>
  <c r="E21" i="327"/>
  <c r="J20" i="327"/>
  <c r="I20" i="327"/>
  <c r="H20" i="327"/>
  <c r="G20" i="327"/>
  <c r="F20" i="327"/>
  <c r="D20" i="327"/>
  <c r="J19" i="327"/>
  <c r="I19" i="327"/>
  <c r="H19" i="327"/>
  <c r="G19" i="327"/>
  <c r="E19" i="327"/>
  <c r="J18" i="327"/>
  <c r="I18" i="327"/>
  <c r="H18" i="327"/>
  <c r="F18" i="327"/>
  <c r="J16" i="327"/>
  <c r="I16" i="327"/>
  <c r="H16" i="327"/>
  <c r="G16" i="327"/>
  <c r="F16" i="327"/>
  <c r="E16" i="327"/>
  <c r="D16" i="327"/>
  <c r="O8" i="327"/>
  <c r="N8" i="327"/>
  <c r="M8" i="327"/>
  <c r="L8" i="327"/>
  <c r="O7" i="327"/>
  <c r="N7" i="327"/>
  <c r="M7" i="327"/>
  <c r="L7" i="327"/>
  <c r="AE79" i="326"/>
  <c r="AD79" i="326"/>
  <c r="AA79" i="326"/>
  <c r="Z79" i="326"/>
  <c r="M79" i="326"/>
  <c r="K79" i="326"/>
  <c r="W78" i="326"/>
  <c r="H78" i="326"/>
  <c r="W77" i="326"/>
  <c r="H77" i="326"/>
  <c r="W76" i="326"/>
  <c r="H76" i="326"/>
  <c r="W75" i="326"/>
  <c r="W74" i="326"/>
  <c r="W73" i="326"/>
  <c r="N73" i="326" s="1"/>
  <c r="V73" i="326"/>
  <c r="R73" i="326"/>
  <c r="P73" i="326"/>
  <c r="O73" i="326"/>
  <c r="Q73" i="326" s="1"/>
  <c r="L73" i="326"/>
  <c r="F73" i="326"/>
  <c r="H73" i="326" s="1"/>
  <c r="W72" i="326"/>
  <c r="N72" i="326" s="1"/>
  <c r="O72" i="326" s="1"/>
  <c r="V72" i="326"/>
  <c r="K72" i="326"/>
  <c r="J72" i="326"/>
  <c r="L72" i="326" s="1"/>
  <c r="Q72" i="326" s="1"/>
  <c r="F72" i="326"/>
  <c r="H72" i="326" s="1"/>
  <c r="W71" i="326"/>
  <c r="N71" i="326" s="1"/>
  <c r="O71" i="326" s="1"/>
  <c r="V71" i="326"/>
  <c r="K71" i="326"/>
  <c r="J71" i="326"/>
  <c r="F71" i="326"/>
  <c r="H71" i="326" s="1"/>
  <c r="W70" i="326"/>
  <c r="N70" i="326" s="1"/>
  <c r="P70" i="326"/>
  <c r="L70" i="326"/>
  <c r="F70" i="326"/>
  <c r="H70" i="326" s="1"/>
  <c r="AE69" i="326"/>
  <c r="AD69" i="326"/>
  <c r="I20" i="325" s="1"/>
  <c r="AA69" i="326"/>
  <c r="Z69" i="326"/>
  <c r="M69" i="326"/>
  <c r="P69" i="326" s="1"/>
  <c r="J69" i="326"/>
  <c r="W68" i="326"/>
  <c r="H68" i="326"/>
  <c r="W67" i="326"/>
  <c r="W66" i="326"/>
  <c r="W65" i="326"/>
  <c r="W64" i="326"/>
  <c r="N64" i="326" s="1"/>
  <c r="O64" i="326" s="1"/>
  <c r="V64" i="326"/>
  <c r="P64" i="326"/>
  <c r="L64" i="326"/>
  <c r="K64" i="326"/>
  <c r="J64" i="326"/>
  <c r="H64" i="326"/>
  <c r="F64" i="326"/>
  <c r="W63" i="326"/>
  <c r="N63" i="326" s="1"/>
  <c r="O63" i="326" s="1"/>
  <c r="V63" i="326"/>
  <c r="P63" i="326"/>
  <c r="L63" i="326"/>
  <c r="K63" i="326"/>
  <c r="J63" i="326"/>
  <c r="H63" i="326"/>
  <c r="F63" i="326"/>
  <c r="W62" i="326"/>
  <c r="N62" i="326" s="1"/>
  <c r="V62" i="326"/>
  <c r="P62" i="326"/>
  <c r="K62" i="326"/>
  <c r="L62" i="326" s="1"/>
  <c r="J62" i="326"/>
  <c r="H62" i="326"/>
  <c r="F62" i="326"/>
  <c r="W61" i="326"/>
  <c r="N61" i="326" s="1"/>
  <c r="O61" i="326" s="1"/>
  <c r="V61" i="326"/>
  <c r="K61" i="326"/>
  <c r="J61" i="326"/>
  <c r="P61" i="326" s="1"/>
  <c r="F61" i="326"/>
  <c r="H61" i="326" s="1"/>
  <c r="W60" i="326"/>
  <c r="V60" i="326"/>
  <c r="P60" i="326"/>
  <c r="N60" i="326"/>
  <c r="K60" i="326"/>
  <c r="L60" i="326" s="1"/>
  <c r="J60" i="326"/>
  <c r="H60" i="326"/>
  <c r="F60" i="326"/>
  <c r="AG59" i="326"/>
  <c r="W59" i="326"/>
  <c r="P59" i="326"/>
  <c r="O59" i="326"/>
  <c r="N59" i="326"/>
  <c r="AF59" i="326" s="1"/>
  <c r="L59" i="326"/>
  <c r="K59" i="326"/>
  <c r="J59" i="326"/>
  <c r="H59" i="326"/>
  <c r="F59" i="326"/>
  <c r="AE58" i="326"/>
  <c r="AD58" i="326"/>
  <c r="AA58" i="326"/>
  <c r="Z58" i="326"/>
  <c r="H18" i="325" s="1"/>
  <c r="M58" i="326"/>
  <c r="W57" i="326"/>
  <c r="W56" i="326"/>
  <c r="W55" i="326"/>
  <c r="W54" i="326"/>
  <c r="AG53" i="326"/>
  <c r="AF53" i="326"/>
  <c r="W53" i="326"/>
  <c r="W52" i="326"/>
  <c r="V52" i="326"/>
  <c r="N52" i="326"/>
  <c r="K52" i="326"/>
  <c r="J52" i="326"/>
  <c r="H52" i="326"/>
  <c r="F52" i="326"/>
  <c r="W51" i="326"/>
  <c r="V51" i="326"/>
  <c r="P51" i="326"/>
  <c r="O51" i="326"/>
  <c r="N51" i="326"/>
  <c r="L51" i="326"/>
  <c r="K51" i="326"/>
  <c r="J51" i="326"/>
  <c r="F51" i="326"/>
  <c r="H51" i="326" s="1"/>
  <c r="W50" i="326"/>
  <c r="V50" i="326"/>
  <c r="N50" i="326"/>
  <c r="K50" i="326"/>
  <c r="J50" i="326"/>
  <c r="P50" i="326" s="1"/>
  <c r="F50" i="326"/>
  <c r="H50" i="326" s="1"/>
  <c r="AG49" i="326"/>
  <c r="W49" i="326"/>
  <c r="N49" i="326"/>
  <c r="O49" i="326" s="1"/>
  <c r="J49" i="326"/>
  <c r="H49" i="326"/>
  <c r="F49" i="326"/>
  <c r="AE48" i="326"/>
  <c r="AD48" i="326"/>
  <c r="AA48" i="326"/>
  <c r="G19" i="325" s="1"/>
  <c r="Z48" i="326"/>
  <c r="W48" i="326"/>
  <c r="M48" i="326"/>
  <c r="P48" i="326" s="1"/>
  <c r="J48" i="326"/>
  <c r="W47" i="326"/>
  <c r="H47" i="326"/>
  <c r="W46" i="326"/>
  <c r="W45" i="326"/>
  <c r="W44" i="326"/>
  <c r="W43" i="326"/>
  <c r="W42" i="326"/>
  <c r="AG41" i="326"/>
  <c r="AF41" i="326"/>
  <c r="W41" i="326"/>
  <c r="AF40" i="326"/>
  <c r="W40" i="326"/>
  <c r="N40" i="326" s="1"/>
  <c r="V40" i="326"/>
  <c r="L40" i="326"/>
  <c r="J40" i="326"/>
  <c r="P40" i="326" s="1"/>
  <c r="H40" i="326"/>
  <c r="F40" i="326"/>
  <c r="AG39" i="326"/>
  <c r="AF39" i="326"/>
  <c r="W39" i="326"/>
  <c r="V39" i="326"/>
  <c r="P39" i="326"/>
  <c r="N39" i="326"/>
  <c r="O39" i="326" s="1"/>
  <c r="L39" i="326"/>
  <c r="J39" i="326"/>
  <c r="F39" i="326"/>
  <c r="H39" i="326" s="1"/>
  <c r="W38" i="326"/>
  <c r="P38" i="326"/>
  <c r="N38" i="326"/>
  <c r="K38" i="326"/>
  <c r="J38" i="326"/>
  <c r="F38" i="326"/>
  <c r="H38" i="326" s="1"/>
  <c r="AE37" i="326"/>
  <c r="F21" i="325" s="1"/>
  <c r="AD37" i="326"/>
  <c r="F20" i="325" s="1"/>
  <c r="AA37" i="326"/>
  <c r="F19" i="325" s="1"/>
  <c r="Z37" i="326"/>
  <c r="M37" i="326"/>
  <c r="W36" i="326"/>
  <c r="H36" i="326"/>
  <c r="W35" i="326"/>
  <c r="W34" i="326"/>
  <c r="W33" i="326"/>
  <c r="W32" i="326"/>
  <c r="AG31" i="326"/>
  <c r="AF31" i="326"/>
  <c r="W31" i="326"/>
  <c r="AG30" i="326"/>
  <c r="W30" i="326"/>
  <c r="V30" i="326"/>
  <c r="P30" i="326"/>
  <c r="N30" i="326"/>
  <c r="L30" i="326"/>
  <c r="K30" i="326"/>
  <c r="J30" i="326"/>
  <c r="H30" i="326"/>
  <c r="F30" i="326"/>
  <c r="W29" i="326"/>
  <c r="N29" i="326" s="1"/>
  <c r="V29" i="326"/>
  <c r="P29" i="326"/>
  <c r="O29" i="326"/>
  <c r="K29" i="326"/>
  <c r="J29" i="326"/>
  <c r="F29" i="326"/>
  <c r="H29" i="326" s="1"/>
  <c r="AG28" i="326"/>
  <c r="AF28" i="326"/>
  <c r="W28" i="326"/>
  <c r="V28" i="326"/>
  <c r="N28" i="326"/>
  <c r="O28" i="326" s="1"/>
  <c r="K28" i="326"/>
  <c r="J28" i="326"/>
  <c r="P28" i="326" s="1"/>
  <c r="F28" i="326"/>
  <c r="H28" i="326" s="1"/>
  <c r="W27" i="326"/>
  <c r="N27" i="326" s="1"/>
  <c r="K27" i="326"/>
  <c r="J27" i="326"/>
  <c r="P27" i="326" s="1"/>
  <c r="F27" i="326"/>
  <c r="H27" i="326" s="1"/>
  <c r="AE26" i="326"/>
  <c r="E21" i="325" s="1"/>
  <c r="AD26" i="326"/>
  <c r="E20" i="325" s="1"/>
  <c r="AA26" i="326"/>
  <c r="Z26" i="326"/>
  <c r="E18" i="325" s="1"/>
  <c r="M26" i="326"/>
  <c r="W25" i="326"/>
  <c r="H25" i="326"/>
  <c r="W24" i="326"/>
  <c r="H24" i="326"/>
  <c r="W23" i="326"/>
  <c r="W21" i="326"/>
  <c r="W20" i="326"/>
  <c r="W19" i="326"/>
  <c r="V19" i="326"/>
  <c r="N19" i="326"/>
  <c r="K19" i="326"/>
  <c r="J19" i="326"/>
  <c r="P19" i="326" s="1"/>
  <c r="F19" i="326"/>
  <c r="H19" i="326" s="1"/>
  <c r="AG18" i="326"/>
  <c r="W18" i="326"/>
  <c r="V18" i="326"/>
  <c r="N18" i="326"/>
  <c r="AF18" i="326" s="1"/>
  <c r="L18" i="326"/>
  <c r="K18" i="326"/>
  <c r="J18" i="326"/>
  <c r="H18" i="326"/>
  <c r="F18" i="326"/>
  <c r="AF17" i="326"/>
  <c r="W17" i="326"/>
  <c r="V17" i="326"/>
  <c r="P17" i="326"/>
  <c r="O17" i="326"/>
  <c r="N17" i="326"/>
  <c r="K17" i="326"/>
  <c r="J17" i="326"/>
  <c r="F17" i="326"/>
  <c r="H17" i="326" s="1"/>
  <c r="W16" i="326"/>
  <c r="N16" i="326" s="1"/>
  <c r="P16" i="326"/>
  <c r="O16" i="326"/>
  <c r="K16" i="326"/>
  <c r="J16" i="326"/>
  <c r="H16" i="326"/>
  <c r="F16" i="326"/>
  <c r="AE15" i="326"/>
  <c r="AD15" i="326"/>
  <c r="AA15" i="326"/>
  <c r="Z15" i="326"/>
  <c r="D18" i="325" s="1"/>
  <c r="M15" i="326"/>
  <c r="K15" i="326"/>
  <c r="J15" i="326"/>
  <c r="W14" i="326"/>
  <c r="W13" i="326"/>
  <c r="W12" i="326"/>
  <c r="AG11" i="326"/>
  <c r="AF11" i="326"/>
  <c r="W11" i="326"/>
  <c r="AG10" i="326"/>
  <c r="AF10" i="326"/>
  <c r="W10" i="326"/>
  <c r="AG9" i="326"/>
  <c r="AF9" i="326"/>
  <c r="W9" i="326"/>
  <c r="W8" i="326"/>
  <c r="N8" i="326" s="1"/>
  <c r="V8" i="326"/>
  <c r="K8" i="326"/>
  <c r="L8" i="326" s="1"/>
  <c r="J8" i="326"/>
  <c r="P8" i="326" s="1"/>
  <c r="F8" i="326"/>
  <c r="H8" i="326" s="1"/>
  <c r="AG7" i="326"/>
  <c r="W7" i="326"/>
  <c r="V7" i="326"/>
  <c r="O7" i="326"/>
  <c r="N7" i="326"/>
  <c r="AF7" i="326" s="1"/>
  <c r="K7" i="326"/>
  <c r="J7" i="326"/>
  <c r="P7" i="326" s="1"/>
  <c r="H7" i="326"/>
  <c r="F7" i="326"/>
  <c r="AG6" i="326"/>
  <c r="AF6" i="326"/>
  <c r="W6" i="326"/>
  <c r="V6" i="326"/>
  <c r="O6" i="326"/>
  <c r="N6" i="326"/>
  <c r="J6" i="326"/>
  <c r="F6" i="326"/>
  <c r="H6" i="326" s="1"/>
  <c r="W5" i="326"/>
  <c r="N5" i="326" s="1"/>
  <c r="K5" i="326"/>
  <c r="J5" i="326"/>
  <c r="P5" i="326" s="1"/>
  <c r="F5" i="326"/>
  <c r="H5" i="326" s="1"/>
  <c r="AE2" i="326"/>
  <c r="AA2" i="326"/>
  <c r="Z2" i="326"/>
  <c r="I2" i="326"/>
  <c r="E1" i="326"/>
  <c r="J22" i="325"/>
  <c r="I22" i="325"/>
  <c r="H22" i="325"/>
  <c r="G22" i="325"/>
  <c r="F22" i="325"/>
  <c r="E22" i="325"/>
  <c r="J21" i="325"/>
  <c r="I21" i="325"/>
  <c r="H21" i="325"/>
  <c r="G21" i="325"/>
  <c r="D21" i="325"/>
  <c r="J20" i="325"/>
  <c r="H20" i="325"/>
  <c r="D20" i="325"/>
  <c r="J19" i="325"/>
  <c r="I19" i="325"/>
  <c r="H19" i="325"/>
  <c r="M6" i="325" s="1"/>
  <c r="E19" i="325"/>
  <c r="D19" i="325"/>
  <c r="J18" i="325"/>
  <c r="I18" i="325"/>
  <c r="G18" i="325"/>
  <c r="F18" i="325"/>
  <c r="L6" i="325" s="1"/>
  <c r="J16" i="325"/>
  <c r="I16" i="325"/>
  <c r="H16" i="325"/>
  <c r="G16" i="325"/>
  <c r="F16" i="325"/>
  <c r="E16" i="325"/>
  <c r="D16" i="325"/>
  <c r="O8" i="325"/>
  <c r="N8" i="325"/>
  <c r="M8" i="325"/>
  <c r="L8" i="325"/>
  <c r="O7" i="325"/>
  <c r="N7" i="325"/>
  <c r="M7" i="325"/>
  <c r="L7" i="325"/>
  <c r="G3" i="325"/>
  <c r="AE79" i="324"/>
  <c r="J21" i="323" s="1"/>
  <c r="AD79" i="324"/>
  <c r="AA79" i="324"/>
  <c r="Z79" i="324"/>
  <c r="M79" i="324"/>
  <c r="J79" i="324"/>
  <c r="W78" i="324"/>
  <c r="H78" i="324"/>
  <c r="W77" i="324"/>
  <c r="H77" i="324"/>
  <c r="W76" i="324"/>
  <c r="H76" i="324"/>
  <c r="W75" i="324"/>
  <c r="H75" i="324"/>
  <c r="W74" i="324"/>
  <c r="W73" i="324"/>
  <c r="W72" i="324"/>
  <c r="N72" i="324" s="1"/>
  <c r="V72" i="324"/>
  <c r="P72" i="324"/>
  <c r="O72" i="324"/>
  <c r="K72" i="324"/>
  <c r="L72" i="324" s="1"/>
  <c r="J72" i="324"/>
  <c r="H72" i="324"/>
  <c r="F72" i="324"/>
  <c r="W71" i="324"/>
  <c r="N71" i="324" s="1"/>
  <c r="V71" i="324"/>
  <c r="P71" i="324"/>
  <c r="O71" i="324"/>
  <c r="K71" i="324"/>
  <c r="L71" i="324" s="1"/>
  <c r="J71" i="324"/>
  <c r="H71" i="324"/>
  <c r="F71" i="324"/>
  <c r="W70" i="324"/>
  <c r="N70" i="324" s="1"/>
  <c r="O70" i="324"/>
  <c r="K70" i="324"/>
  <c r="J70" i="324"/>
  <c r="P70" i="324" s="1"/>
  <c r="H70" i="324"/>
  <c r="F70" i="324"/>
  <c r="AE69" i="324"/>
  <c r="I21" i="323" s="1"/>
  <c r="AD69" i="324"/>
  <c r="AA69" i="324"/>
  <c r="Z69" i="324"/>
  <c r="I18" i="323" s="1"/>
  <c r="M69" i="324"/>
  <c r="K69" i="324"/>
  <c r="W68" i="324"/>
  <c r="H68" i="324"/>
  <c r="W67" i="324"/>
  <c r="W66" i="324"/>
  <c r="W65" i="324"/>
  <c r="W64" i="324"/>
  <c r="W63" i="324"/>
  <c r="W62" i="324"/>
  <c r="N62" i="324" s="1"/>
  <c r="V62" i="324"/>
  <c r="K62" i="324"/>
  <c r="J62" i="324"/>
  <c r="P62" i="324" s="1"/>
  <c r="F62" i="324"/>
  <c r="H62" i="324" s="1"/>
  <c r="W61" i="324"/>
  <c r="N61" i="324" s="1"/>
  <c r="V61" i="324"/>
  <c r="O61" i="324"/>
  <c r="K61" i="324"/>
  <c r="L61" i="324" s="1"/>
  <c r="J61" i="324"/>
  <c r="P61" i="324" s="1"/>
  <c r="F61" i="324"/>
  <c r="H61" i="324" s="1"/>
  <c r="W60" i="324"/>
  <c r="V60" i="324"/>
  <c r="P60" i="324"/>
  <c r="N60" i="324"/>
  <c r="K60" i="324"/>
  <c r="J60" i="324"/>
  <c r="J69" i="324" s="1"/>
  <c r="H60" i="324"/>
  <c r="F60" i="324"/>
  <c r="AG59" i="324"/>
  <c r="W59" i="324"/>
  <c r="P59" i="324"/>
  <c r="N59" i="324"/>
  <c r="L59" i="324"/>
  <c r="K59" i="324"/>
  <c r="J59" i="324"/>
  <c r="H59" i="324"/>
  <c r="F59" i="324"/>
  <c r="AE58" i="324"/>
  <c r="H21" i="323" s="1"/>
  <c r="AD58" i="324"/>
  <c r="AA58" i="324"/>
  <c r="H19" i="323" s="1"/>
  <c r="Z58" i="324"/>
  <c r="M58" i="324"/>
  <c r="J58" i="324"/>
  <c r="P58" i="324" s="1"/>
  <c r="W57" i="324"/>
  <c r="W56" i="324"/>
  <c r="W55" i="324"/>
  <c r="W54" i="324"/>
  <c r="AG53" i="324"/>
  <c r="AF53" i="324"/>
  <c r="W53" i="324"/>
  <c r="W52" i="324"/>
  <c r="V52" i="324"/>
  <c r="P52" i="324"/>
  <c r="N52" i="324"/>
  <c r="L52" i="324"/>
  <c r="K52" i="324"/>
  <c r="J52" i="324"/>
  <c r="H52" i="324"/>
  <c r="F52" i="324"/>
  <c r="W51" i="324"/>
  <c r="N51" i="324" s="1"/>
  <c r="V51" i="324"/>
  <c r="P51" i="324"/>
  <c r="O51" i="324"/>
  <c r="K51" i="324"/>
  <c r="J51" i="324"/>
  <c r="F51" i="324"/>
  <c r="H51" i="324" s="1"/>
  <c r="W50" i="324"/>
  <c r="V50" i="324"/>
  <c r="N50" i="324"/>
  <c r="K50" i="324"/>
  <c r="J50" i="324"/>
  <c r="P50" i="324" s="1"/>
  <c r="F50" i="324"/>
  <c r="H50" i="324" s="1"/>
  <c r="W49" i="324"/>
  <c r="N49" i="324"/>
  <c r="L49" i="324"/>
  <c r="K49" i="324"/>
  <c r="J49" i="324"/>
  <c r="P49" i="324" s="1"/>
  <c r="F49" i="324"/>
  <c r="H49" i="324" s="1"/>
  <c r="AE48" i="324"/>
  <c r="AD48" i="324"/>
  <c r="G20" i="323" s="1"/>
  <c r="AA48" i="324"/>
  <c r="Z48" i="324"/>
  <c r="W48" i="324"/>
  <c r="P48" i="324"/>
  <c r="M48" i="324"/>
  <c r="G22" i="323" s="1"/>
  <c r="J48" i="324"/>
  <c r="W47" i="324"/>
  <c r="H47" i="324"/>
  <c r="W46" i="324"/>
  <c r="W45" i="324"/>
  <c r="W44" i="324"/>
  <c r="W43" i="324"/>
  <c r="W42" i="324"/>
  <c r="W41" i="324"/>
  <c r="V41" i="324"/>
  <c r="P41" i="324"/>
  <c r="N41" i="324"/>
  <c r="K41" i="324"/>
  <c r="L41" i="324" s="1"/>
  <c r="J41" i="324"/>
  <c r="F41" i="324"/>
  <c r="H41" i="324" s="1"/>
  <c r="W40" i="324"/>
  <c r="V40" i="324"/>
  <c r="P40" i="324"/>
  <c r="O40" i="324"/>
  <c r="R40" i="324" s="1"/>
  <c r="N40" i="324"/>
  <c r="J40" i="324"/>
  <c r="L40" i="324" s="1"/>
  <c r="H40" i="324"/>
  <c r="F40" i="324"/>
  <c r="AG39" i="324"/>
  <c r="AF39" i="324"/>
  <c r="W39" i="324"/>
  <c r="V39" i="324"/>
  <c r="P39" i="324"/>
  <c r="O39" i="324"/>
  <c r="N39" i="324"/>
  <c r="J39" i="324"/>
  <c r="L39" i="324" s="1"/>
  <c r="F39" i="324"/>
  <c r="H39" i="324" s="1"/>
  <c r="W38" i="324"/>
  <c r="N38" i="324" s="1"/>
  <c r="K38" i="324"/>
  <c r="L38" i="324" s="1"/>
  <c r="J38" i="324"/>
  <c r="P38" i="324" s="1"/>
  <c r="F38" i="324"/>
  <c r="H38" i="324" s="1"/>
  <c r="AE37" i="324"/>
  <c r="F21" i="323" s="1"/>
  <c r="AD37" i="324"/>
  <c r="F20" i="323" s="1"/>
  <c r="AA37" i="324"/>
  <c r="Z37" i="324"/>
  <c r="F18" i="323" s="1"/>
  <c r="M37" i="324"/>
  <c r="W36" i="324"/>
  <c r="H36" i="324"/>
  <c r="W35" i="324"/>
  <c r="W34" i="324"/>
  <c r="W33" i="324"/>
  <c r="W32" i="324"/>
  <c r="AG31" i="324"/>
  <c r="W31" i="324"/>
  <c r="N31" i="324" s="1"/>
  <c r="V31" i="324"/>
  <c r="P31" i="324"/>
  <c r="L31" i="324"/>
  <c r="K31" i="324"/>
  <c r="J31" i="324"/>
  <c r="H31" i="324"/>
  <c r="F31" i="324"/>
  <c r="AG30" i="324"/>
  <c r="W30" i="324"/>
  <c r="N30" i="324" s="1"/>
  <c r="O30" i="324" s="1"/>
  <c r="V30" i="324"/>
  <c r="P30" i="324"/>
  <c r="K30" i="324"/>
  <c r="L30" i="324" s="1"/>
  <c r="J30" i="324"/>
  <c r="F30" i="324"/>
  <c r="H30" i="324" s="1"/>
  <c r="W29" i="324"/>
  <c r="N29" i="324" s="1"/>
  <c r="V29" i="324"/>
  <c r="K29" i="324"/>
  <c r="L29" i="324" s="1"/>
  <c r="J29" i="324"/>
  <c r="P29" i="324" s="1"/>
  <c r="F29" i="324"/>
  <c r="H29" i="324" s="1"/>
  <c r="AG28" i="324"/>
  <c r="W28" i="324"/>
  <c r="V28" i="324"/>
  <c r="P28" i="324"/>
  <c r="N28" i="324"/>
  <c r="L28" i="324"/>
  <c r="K28" i="324"/>
  <c r="K37" i="324" s="1"/>
  <c r="J28" i="324"/>
  <c r="H28" i="324"/>
  <c r="F28" i="324"/>
  <c r="AG27" i="324"/>
  <c r="W27" i="324"/>
  <c r="Q27" i="324"/>
  <c r="P27" i="324"/>
  <c r="O27" i="324"/>
  <c r="N27" i="324"/>
  <c r="K27" i="324"/>
  <c r="J27" i="324"/>
  <c r="L27" i="324" s="1"/>
  <c r="L37" i="324" s="1"/>
  <c r="F13" i="323" s="1"/>
  <c r="H27" i="324"/>
  <c r="F27" i="324"/>
  <c r="AE26" i="324"/>
  <c r="AD26" i="324"/>
  <c r="AA26" i="324"/>
  <c r="E19" i="323" s="1"/>
  <c r="Z26" i="324"/>
  <c r="E18" i="323" s="1"/>
  <c r="M26" i="324"/>
  <c r="W25" i="324"/>
  <c r="H25" i="324"/>
  <c r="W24" i="324"/>
  <c r="H24" i="324"/>
  <c r="W23" i="324"/>
  <c r="W21" i="324"/>
  <c r="W20" i="324"/>
  <c r="N20" i="324" s="1"/>
  <c r="O20" i="324" s="1"/>
  <c r="V20" i="324"/>
  <c r="K20" i="324"/>
  <c r="J20" i="324"/>
  <c r="P20" i="324" s="1"/>
  <c r="H20" i="324"/>
  <c r="F20" i="324"/>
  <c r="AG19" i="324"/>
  <c r="AF19" i="324"/>
  <c r="W19" i="324"/>
  <c r="V19" i="324"/>
  <c r="R19" i="324"/>
  <c r="P19" i="324"/>
  <c r="N19" i="324"/>
  <c r="O19" i="324" s="1"/>
  <c r="Q19" i="324" s="1"/>
  <c r="K19" i="324"/>
  <c r="L19" i="324" s="1"/>
  <c r="J19" i="324"/>
  <c r="H19" i="324"/>
  <c r="F19" i="324"/>
  <c r="W18" i="324"/>
  <c r="N18" i="324" s="1"/>
  <c r="V18" i="324"/>
  <c r="K18" i="324"/>
  <c r="J18" i="324"/>
  <c r="P18" i="324" s="1"/>
  <c r="F18" i="324"/>
  <c r="H18" i="324" s="1"/>
  <c r="AG17" i="324"/>
  <c r="W17" i="324"/>
  <c r="N17" i="324" s="1"/>
  <c r="V17" i="324"/>
  <c r="P17" i="324"/>
  <c r="L17" i="324"/>
  <c r="K17" i="324"/>
  <c r="J17" i="324"/>
  <c r="H17" i="324"/>
  <c r="F17" i="324"/>
  <c r="AF16" i="324"/>
  <c r="W16" i="324"/>
  <c r="N16" i="324" s="1"/>
  <c r="P16" i="324"/>
  <c r="L16" i="324"/>
  <c r="K16" i="324"/>
  <c r="J16" i="324"/>
  <c r="F16" i="324"/>
  <c r="H16" i="324" s="1"/>
  <c r="AE15" i="324"/>
  <c r="AD15" i="324"/>
  <c r="AA15" i="324"/>
  <c r="Z15" i="324"/>
  <c r="M15" i="324"/>
  <c r="K15" i="324"/>
  <c r="W14" i="324"/>
  <c r="W13" i="324"/>
  <c r="W12" i="324"/>
  <c r="AG11" i="324"/>
  <c r="AF11" i="324"/>
  <c r="W11" i="324"/>
  <c r="AG10" i="324"/>
  <c r="AF10" i="324"/>
  <c r="W10" i="324"/>
  <c r="AG9" i="324"/>
  <c r="AF9" i="324"/>
  <c r="W9" i="324"/>
  <c r="AG8" i="324"/>
  <c r="AF8" i="324"/>
  <c r="W8" i="324"/>
  <c r="V8" i="324"/>
  <c r="P8" i="324"/>
  <c r="N8" i="324"/>
  <c r="O8" i="324" s="1"/>
  <c r="L8" i="324"/>
  <c r="K8" i="324"/>
  <c r="J8" i="324"/>
  <c r="F8" i="324"/>
  <c r="H8" i="324" s="1"/>
  <c r="W7" i="324"/>
  <c r="N7" i="324" s="1"/>
  <c r="V7" i="324"/>
  <c r="P7" i="324"/>
  <c r="K7" i="324"/>
  <c r="L7" i="324" s="1"/>
  <c r="J7" i="324"/>
  <c r="F7" i="324"/>
  <c r="H7" i="324" s="1"/>
  <c r="AG6" i="324"/>
  <c r="W6" i="324"/>
  <c r="N6" i="324" s="1"/>
  <c r="V6" i="324"/>
  <c r="P6" i="324"/>
  <c r="L6" i="324"/>
  <c r="J6" i="324"/>
  <c r="J15" i="324" s="1"/>
  <c r="F6" i="324"/>
  <c r="H6" i="324" s="1"/>
  <c r="W5" i="324"/>
  <c r="N5" i="324" s="1"/>
  <c r="P5" i="324"/>
  <c r="K5" i="324"/>
  <c r="L5" i="324" s="1"/>
  <c r="L15" i="324" s="1"/>
  <c r="D13" i="323" s="1"/>
  <c r="J5" i="324"/>
  <c r="F5" i="324"/>
  <c r="H5" i="324" s="1"/>
  <c r="I2" i="324"/>
  <c r="E1" i="324"/>
  <c r="J22" i="323"/>
  <c r="I22" i="323"/>
  <c r="H22" i="323"/>
  <c r="D22" i="323"/>
  <c r="G21" i="323"/>
  <c r="E21" i="323"/>
  <c r="D21" i="323"/>
  <c r="J20" i="323"/>
  <c r="I20" i="323"/>
  <c r="H20" i="323"/>
  <c r="E20" i="323"/>
  <c r="J19" i="323"/>
  <c r="I19" i="323"/>
  <c r="G19" i="323"/>
  <c r="F19" i="323"/>
  <c r="J18" i="323"/>
  <c r="H18" i="323"/>
  <c r="G18" i="323"/>
  <c r="D18" i="323"/>
  <c r="J16" i="323"/>
  <c r="I16" i="323"/>
  <c r="H16" i="323"/>
  <c r="G16" i="323"/>
  <c r="F16" i="323"/>
  <c r="E16" i="323"/>
  <c r="D16" i="323"/>
  <c r="O8" i="323"/>
  <c r="N8" i="323"/>
  <c r="M8" i="323"/>
  <c r="L8" i="323"/>
  <c r="O7" i="323"/>
  <c r="N7" i="323"/>
  <c r="M7" i="323"/>
  <c r="L7" i="323"/>
  <c r="G3" i="323"/>
  <c r="AE79" i="322"/>
  <c r="AD79" i="322"/>
  <c r="AA79" i="322"/>
  <c r="Z79" i="322"/>
  <c r="P79" i="322"/>
  <c r="M79" i="322"/>
  <c r="J22" i="321" s="1"/>
  <c r="J79" i="322"/>
  <c r="W78" i="322"/>
  <c r="H78" i="322"/>
  <c r="W77" i="322"/>
  <c r="H77" i="322"/>
  <c r="W76" i="322"/>
  <c r="H76" i="322"/>
  <c r="W75" i="322"/>
  <c r="H75" i="322"/>
  <c r="W74" i="322"/>
  <c r="W73" i="322"/>
  <c r="W72" i="322"/>
  <c r="N72" i="322" s="1"/>
  <c r="O72" i="322" s="1"/>
  <c r="V72" i="322"/>
  <c r="K72" i="322"/>
  <c r="J72" i="322"/>
  <c r="P72" i="322" s="1"/>
  <c r="F72" i="322"/>
  <c r="H72" i="322" s="1"/>
  <c r="W71" i="322"/>
  <c r="N71" i="322" s="1"/>
  <c r="O71" i="322" s="1"/>
  <c r="V71" i="322"/>
  <c r="Q71" i="322"/>
  <c r="P71" i="322"/>
  <c r="L71" i="322"/>
  <c r="K71" i="322"/>
  <c r="J71" i="322"/>
  <c r="H71" i="322"/>
  <c r="F71" i="322"/>
  <c r="W70" i="322"/>
  <c r="P70" i="322"/>
  <c r="N70" i="322"/>
  <c r="K70" i="322"/>
  <c r="K79" i="322" s="1"/>
  <c r="J70" i="322"/>
  <c r="H70" i="322"/>
  <c r="F70" i="322"/>
  <c r="AE69" i="322"/>
  <c r="AD69" i="322"/>
  <c r="AA69" i="322"/>
  <c r="I19" i="321" s="1"/>
  <c r="Z69" i="322"/>
  <c r="M69" i="322"/>
  <c r="W68" i="322"/>
  <c r="H68" i="322"/>
  <c r="W67" i="322"/>
  <c r="W66" i="322"/>
  <c r="W65" i="322"/>
  <c r="W64" i="322"/>
  <c r="W63" i="322"/>
  <c r="W62" i="322"/>
  <c r="V62" i="322"/>
  <c r="N62" i="322"/>
  <c r="L62" i="322"/>
  <c r="K62" i="322"/>
  <c r="J62" i="322"/>
  <c r="P62" i="322" s="1"/>
  <c r="H62" i="322"/>
  <c r="F62" i="322"/>
  <c r="W61" i="322"/>
  <c r="V61" i="322"/>
  <c r="P61" i="322"/>
  <c r="N61" i="322"/>
  <c r="L61" i="322"/>
  <c r="K61" i="322"/>
  <c r="J61" i="322"/>
  <c r="F61" i="322"/>
  <c r="H61" i="322" s="1"/>
  <c r="W60" i="322"/>
  <c r="V60" i="322"/>
  <c r="N60" i="322"/>
  <c r="K60" i="322"/>
  <c r="L60" i="322" s="1"/>
  <c r="J60" i="322"/>
  <c r="P60" i="322" s="1"/>
  <c r="F60" i="322"/>
  <c r="H60" i="322" s="1"/>
  <c r="AF59" i="322"/>
  <c r="W59" i="322"/>
  <c r="N59" i="322" s="1"/>
  <c r="K59" i="322"/>
  <c r="J59" i="322"/>
  <c r="F59" i="322"/>
  <c r="H59" i="322" s="1"/>
  <c r="AE58" i="322"/>
  <c r="H21" i="321" s="1"/>
  <c r="AD58" i="322"/>
  <c r="AA58" i="322"/>
  <c r="Z58" i="322"/>
  <c r="H18" i="321" s="1"/>
  <c r="M58" i="322"/>
  <c r="W57" i="322"/>
  <c r="W56" i="322"/>
  <c r="W55" i="322"/>
  <c r="W54" i="322"/>
  <c r="AG53" i="322"/>
  <c r="AF53" i="322"/>
  <c r="W53" i="322"/>
  <c r="W52" i="322"/>
  <c r="V52" i="322"/>
  <c r="O52" i="322"/>
  <c r="R52" i="322" s="1"/>
  <c r="N52" i="322"/>
  <c r="K52" i="322"/>
  <c r="L52" i="322" s="1"/>
  <c r="J52" i="322"/>
  <c r="P52" i="322" s="1"/>
  <c r="F52" i="322"/>
  <c r="H52" i="322" s="1"/>
  <c r="W51" i="322"/>
  <c r="V51" i="322"/>
  <c r="N51" i="322"/>
  <c r="K51" i="322"/>
  <c r="J51" i="322"/>
  <c r="F51" i="322"/>
  <c r="H51" i="322" s="1"/>
  <c r="W50" i="322"/>
  <c r="N50" i="322" s="1"/>
  <c r="AG50" i="322" s="1"/>
  <c r="V50" i="322"/>
  <c r="O50" i="322"/>
  <c r="K50" i="322"/>
  <c r="J50" i="322"/>
  <c r="P50" i="322" s="1"/>
  <c r="F50" i="322"/>
  <c r="H50" i="322" s="1"/>
  <c r="W49" i="322"/>
  <c r="P49" i="322"/>
  <c r="O49" i="322"/>
  <c r="N49" i="322"/>
  <c r="K49" i="322"/>
  <c r="J49" i="322"/>
  <c r="H49" i="322"/>
  <c r="F49" i="322"/>
  <c r="AE48" i="322"/>
  <c r="AD48" i="322"/>
  <c r="AA48" i="322"/>
  <c r="G19" i="321" s="1"/>
  <c r="M6" i="321" s="1"/>
  <c r="Z48" i="322"/>
  <c r="W48" i="322"/>
  <c r="M48" i="322"/>
  <c r="K48" i="322"/>
  <c r="W47" i="322"/>
  <c r="H47" i="322"/>
  <c r="W46" i="322"/>
  <c r="W45" i="322"/>
  <c r="W44" i="322"/>
  <c r="W43" i="322"/>
  <c r="W42" i="322"/>
  <c r="AG41" i="322"/>
  <c r="AF41" i="322"/>
  <c r="W41" i="322"/>
  <c r="W40" i="322"/>
  <c r="V40" i="322"/>
  <c r="P40" i="322"/>
  <c r="N40" i="322"/>
  <c r="L40" i="322"/>
  <c r="J40" i="322"/>
  <c r="H40" i="322"/>
  <c r="F40" i="322"/>
  <c r="W39" i="322"/>
  <c r="V39" i="322"/>
  <c r="O39" i="322"/>
  <c r="N39" i="322"/>
  <c r="AG39" i="322" s="1"/>
  <c r="J39" i="322"/>
  <c r="H39" i="322"/>
  <c r="F39" i="322"/>
  <c r="W38" i="322"/>
  <c r="P38" i="322"/>
  <c r="N38" i="322"/>
  <c r="K38" i="322"/>
  <c r="J38" i="322"/>
  <c r="H38" i="322"/>
  <c r="F38" i="322"/>
  <c r="AE37" i="322"/>
  <c r="AD37" i="322"/>
  <c r="F20" i="321" s="1"/>
  <c r="AA37" i="322"/>
  <c r="Z37" i="322"/>
  <c r="M37" i="322"/>
  <c r="W36" i="322"/>
  <c r="H36" i="322"/>
  <c r="W35" i="322"/>
  <c r="W34" i="322"/>
  <c r="W33" i="322"/>
  <c r="W32" i="322"/>
  <c r="AG31" i="322"/>
  <c r="AF31" i="322"/>
  <c r="W31" i="322"/>
  <c r="AG30" i="322"/>
  <c r="AF30" i="322"/>
  <c r="W30" i="322"/>
  <c r="N30" i="322" s="1"/>
  <c r="V30" i="322"/>
  <c r="O30" i="322"/>
  <c r="L30" i="322"/>
  <c r="K30" i="322"/>
  <c r="J30" i="322"/>
  <c r="P30" i="322" s="1"/>
  <c r="F30" i="322"/>
  <c r="H30" i="322" s="1"/>
  <c r="W29" i="322"/>
  <c r="N29" i="322" s="1"/>
  <c r="N37" i="322" s="1"/>
  <c r="V29" i="322"/>
  <c r="L29" i="322"/>
  <c r="K29" i="322"/>
  <c r="K37" i="322" s="1"/>
  <c r="J29" i="322"/>
  <c r="P29" i="322" s="1"/>
  <c r="F29" i="322"/>
  <c r="H29" i="322" s="1"/>
  <c r="AG28" i="322"/>
  <c r="W28" i="322"/>
  <c r="N28" i="322" s="1"/>
  <c r="V28" i="322"/>
  <c r="K28" i="322"/>
  <c r="J28" i="322"/>
  <c r="H28" i="322"/>
  <c r="F28" i="322"/>
  <c r="AG27" i="322"/>
  <c r="W27" i="322"/>
  <c r="N27" i="322" s="1"/>
  <c r="L27" i="322"/>
  <c r="K27" i="322"/>
  <c r="J27" i="322"/>
  <c r="H27" i="322"/>
  <c r="F27" i="322"/>
  <c r="AE26" i="322"/>
  <c r="E21" i="321" s="1"/>
  <c r="AD26" i="322"/>
  <c r="E20" i="321" s="1"/>
  <c r="AA26" i="322"/>
  <c r="Z26" i="322"/>
  <c r="M26" i="322"/>
  <c r="K26" i="322"/>
  <c r="J26" i="322"/>
  <c r="P26" i="322" s="1"/>
  <c r="W25" i="322"/>
  <c r="H25" i="322"/>
  <c r="W24" i="322"/>
  <c r="H24" i="322"/>
  <c r="W23" i="322"/>
  <c r="W21" i="322"/>
  <c r="W20" i="322"/>
  <c r="AG19" i="322"/>
  <c r="W19" i="322"/>
  <c r="N19" i="322" s="1"/>
  <c r="V19" i="322"/>
  <c r="K19" i="322"/>
  <c r="J19" i="322"/>
  <c r="P19" i="322" s="1"/>
  <c r="H19" i="322"/>
  <c r="F19" i="322"/>
  <c r="AG18" i="322"/>
  <c r="AF18" i="322"/>
  <c r="W18" i="322"/>
  <c r="N18" i="322" s="1"/>
  <c r="O18" i="322" s="1"/>
  <c r="Q18" i="322" s="1"/>
  <c r="V18" i="322"/>
  <c r="P18" i="322"/>
  <c r="L18" i="322"/>
  <c r="K18" i="322"/>
  <c r="J18" i="322"/>
  <c r="F18" i="322"/>
  <c r="H18" i="322" s="1"/>
  <c r="AG17" i="322"/>
  <c r="AF17" i="322"/>
  <c r="W17" i="322"/>
  <c r="N17" i="322" s="1"/>
  <c r="O17" i="322" s="1"/>
  <c r="V17" i="322"/>
  <c r="K17" i="322"/>
  <c r="J17" i="322"/>
  <c r="P17" i="322" s="1"/>
  <c r="F17" i="322"/>
  <c r="H17" i="322" s="1"/>
  <c r="W16" i="322"/>
  <c r="N16" i="322" s="1"/>
  <c r="K16" i="322"/>
  <c r="J16" i="322"/>
  <c r="P16" i="322" s="1"/>
  <c r="F16" i="322"/>
  <c r="H16" i="322" s="1"/>
  <c r="AE15" i="322"/>
  <c r="AD15" i="322"/>
  <c r="AA15" i="322"/>
  <c r="Z15" i="322"/>
  <c r="M15" i="322"/>
  <c r="D22" i="321" s="1"/>
  <c r="J15" i="322"/>
  <c r="P15" i="322" s="1"/>
  <c r="W14" i="322"/>
  <c r="W13" i="322"/>
  <c r="W12" i="322"/>
  <c r="AG11" i="322"/>
  <c r="AF11" i="322"/>
  <c r="W11" i="322"/>
  <c r="AG10" i="322"/>
  <c r="AF10" i="322"/>
  <c r="W10" i="322"/>
  <c r="AG9" i="322"/>
  <c r="AF9" i="322"/>
  <c r="W9" i="322"/>
  <c r="AG8" i="322"/>
  <c r="AF8" i="322"/>
  <c r="W8" i="322"/>
  <c r="AG7" i="322"/>
  <c r="AF7" i="322"/>
  <c r="W7" i="322"/>
  <c r="N7" i="322" s="1"/>
  <c r="O7" i="322" s="1"/>
  <c r="V7" i="322"/>
  <c r="K7" i="322"/>
  <c r="J7" i="322"/>
  <c r="H7" i="322"/>
  <c r="F7" i="322"/>
  <c r="AG6" i="322"/>
  <c r="AF6" i="322"/>
  <c r="W6" i="322"/>
  <c r="V6" i="322"/>
  <c r="O6" i="322"/>
  <c r="N6" i="322"/>
  <c r="J6" i="322"/>
  <c r="P6" i="322" s="1"/>
  <c r="F6" i="322"/>
  <c r="H6" i="322" s="1"/>
  <c r="W5" i="322"/>
  <c r="O5" i="322"/>
  <c r="N5" i="322"/>
  <c r="K5" i="322"/>
  <c r="J5" i="322"/>
  <c r="P5" i="322" s="1"/>
  <c r="F5" i="322"/>
  <c r="H5" i="322" s="1"/>
  <c r="AE2" i="322"/>
  <c r="I2" i="322"/>
  <c r="I1" i="322"/>
  <c r="E1" i="322"/>
  <c r="G3" i="321" s="1"/>
  <c r="I22" i="321"/>
  <c r="G22" i="321"/>
  <c r="E22" i="321"/>
  <c r="J21" i="321"/>
  <c r="I21" i="321"/>
  <c r="G21" i="321"/>
  <c r="F21" i="321"/>
  <c r="D21" i="321"/>
  <c r="J20" i="321"/>
  <c r="I20" i="321"/>
  <c r="H20" i="321"/>
  <c r="G20" i="321"/>
  <c r="J19" i="321"/>
  <c r="H19" i="321"/>
  <c r="F19" i="321"/>
  <c r="E19" i="321"/>
  <c r="D19" i="321"/>
  <c r="J18" i="321"/>
  <c r="I18" i="321"/>
  <c r="G18" i="321"/>
  <c r="F18" i="321"/>
  <c r="E18" i="321"/>
  <c r="J16" i="321"/>
  <c r="I16" i="321"/>
  <c r="H16" i="321"/>
  <c r="G16" i="321"/>
  <c r="F16" i="321"/>
  <c r="E16" i="321"/>
  <c r="D16" i="321"/>
  <c r="O8" i="321"/>
  <c r="N8" i="321"/>
  <c r="M8" i="321"/>
  <c r="L8" i="321"/>
  <c r="O7" i="321"/>
  <c r="N7" i="321"/>
  <c r="M7" i="321"/>
  <c r="L7" i="321"/>
  <c r="AE79" i="320"/>
  <c r="AD79" i="320"/>
  <c r="AA79" i="320"/>
  <c r="Z79" i="320"/>
  <c r="M79" i="320"/>
  <c r="W78" i="320"/>
  <c r="H78" i="320"/>
  <c r="W77" i="320"/>
  <c r="H77" i="320"/>
  <c r="W76" i="320"/>
  <c r="H76" i="320"/>
  <c r="W75" i="320"/>
  <c r="W74" i="320"/>
  <c r="W73" i="320"/>
  <c r="W72" i="320"/>
  <c r="V72" i="320"/>
  <c r="N72" i="320"/>
  <c r="L72" i="320"/>
  <c r="K72" i="320"/>
  <c r="J72" i="320"/>
  <c r="P72" i="320" s="1"/>
  <c r="F72" i="320"/>
  <c r="H72" i="320" s="1"/>
  <c r="W71" i="320"/>
  <c r="V71" i="320"/>
  <c r="O71" i="320"/>
  <c r="N71" i="320"/>
  <c r="K71" i="320"/>
  <c r="J71" i="320"/>
  <c r="H71" i="320"/>
  <c r="F71" i="320"/>
  <c r="W70" i="320"/>
  <c r="P70" i="320"/>
  <c r="N70" i="320"/>
  <c r="K70" i="320"/>
  <c r="J70" i="320"/>
  <c r="F70" i="320"/>
  <c r="H70" i="320" s="1"/>
  <c r="AE69" i="320"/>
  <c r="I21" i="319" s="1"/>
  <c r="AD69" i="320"/>
  <c r="AA69" i="320"/>
  <c r="I19" i="319" s="1"/>
  <c r="Z69" i="320"/>
  <c r="I18" i="319" s="1"/>
  <c r="M69" i="320"/>
  <c r="W68" i="320"/>
  <c r="H68" i="320"/>
  <c r="W67" i="320"/>
  <c r="W66" i="320"/>
  <c r="W65" i="320"/>
  <c r="W64" i="320"/>
  <c r="W63" i="320"/>
  <c r="W62" i="320"/>
  <c r="V62" i="320"/>
  <c r="P62" i="320"/>
  <c r="N62" i="320"/>
  <c r="K62" i="320"/>
  <c r="L62" i="320" s="1"/>
  <c r="J62" i="320"/>
  <c r="H62" i="320"/>
  <c r="F62" i="320"/>
  <c r="W61" i="320"/>
  <c r="V61" i="320"/>
  <c r="N61" i="320"/>
  <c r="K61" i="320"/>
  <c r="L61" i="320" s="1"/>
  <c r="J61" i="320"/>
  <c r="P61" i="320" s="1"/>
  <c r="H61" i="320"/>
  <c r="F61" i="320"/>
  <c r="W60" i="320"/>
  <c r="V60" i="320"/>
  <c r="N60" i="320"/>
  <c r="K60" i="320"/>
  <c r="J60" i="320"/>
  <c r="P60" i="320" s="1"/>
  <c r="H60" i="320"/>
  <c r="F60" i="320"/>
  <c r="W59" i="320"/>
  <c r="P59" i="320"/>
  <c r="O59" i="320"/>
  <c r="N59" i="320"/>
  <c r="L59" i="320"/>
  <c r="K59" i="320"/>
  <c r="J59" i="320"/>
  <c r="H59" i="320"/>
  <c r="F59" i="320"/>
  <c r="AE58" i="320"/>
  <c r="AD58" i="320"/>
  <c r="AA58" i="320"/>
  <c r="H19" i="319" s="1"/>
  <c r="Z58" i="320"/>
  <c r="M58" i="320"/>
  <c r="W57" i="320"/>
  <c r="W56" i="320"/>
  <c r="W55" i="320"/>
  <c r="W54" i="320"/>
  <c r="W53" i="320"/>
  <c r="AF52" i="320"/>
  <c r="W52" i="320"/>
  <c r="N52" i="320" s="1"/>
  <c r="V52" i="320"/>
  <c r="K52" i="320"/>
  <c r="J52" i="320"/>
  <c r="P52" i="320" s="1"/>
  <c r="F52" i="320"/>
  <c r="H52" i="320" s="1"/>
  <c r="W51" i="320"/>
  <c r="N51" i="320" s="1"/>
  <c r="O51" i="320" s="1"/>
  <c r="V51" i="320"/>
  <c r="K51" i="320"/>
  <c r="J51" i="320"/>
  <c r="H51" i="320"/>
  <c r="F51" i="320"/>
  <c r="W50" i="320"/>
  <c r="V50" i="320"/>
  <c r="O50" i="320"/>
  <c r="N50" i="320"/>
  <c r="K50" i="320"/>
  <c r="J50" i="320"/>
  <c r="P50" i="320" s="1"/>
  <c r="H50" i="320"/>
  <c r="F50" i="320"/>
  <c r="AG49" i="320"/>
  <c r="W49" i="320"/>
  <c r="P49" i="320"/>
  <c r="O49" i="320"/>
  <c r="N49" i="320"/>
  <c r="K49" i="320"/>
  <c r="J49" i="320"/>
  <c r="H49" i="320"/>
  <c r="F49" i="320"/>
  <c r="AE48" i="320"/>
  <c r="G21" i="319" s="1"/>
  <c r="AD48" i="320"/>
  <c r="AA48" i="320"/>
  <c r="Z48" i="320"/>
  <c r="G18" i="319" s="1"/>
  <c r="W48" i="320"/>
  <c r="M48" i="320"/>
  <c r="W47" i="320"/>
  <c r="H47" i="320"/>
  <c r="W46" i="320"/>
  <c r="W45" i="320"/>
  <c r="W44" i="320"/>
  <c r="W43" i="320"/>
  <c r="W42" i="320"/>
  <c r="W41" i="320"/>
  <c r="W40" i="320"/>
  <c r="V40" i="320"/>
  <c r="O40" i="320"/>
  <c r="J40" i="320"/>
  <c r="H40" i="320"/>
  <c r="G40" i="320"/>
  <c r="N40" i="320" s="1"/>
  <c r="F40" i="320"/>
  <c r="AG39" i="320"/>
  <c r="W39" i="320"/>
  <c r="V39" i="320"/>
  <c r="N39" i="320"/>
  <c r="J39" i="320"/>
  <c r="P39" i="320" s="1"/>
  <c r="F39" i="320"/>
  <c r="H39" i="320" s="1"/>
  <c r="AG38" i="320"/>
  <c r="AF38" i="320"/>
  <c r="W38" i="320"/>
  <c r="P38" i="320"/>
  <c r="N38" i="320"/>
  <c r="O38" i="320" s="1"/>
  <c r="L38" i="320"/>
  <c r="K38" i="320"/>
  <c r="K48" i="320" s="1"/>
  <c r="J38" i="320"/>
  <c r="G38" i="320"/>
  <c r="F38" i="320"/>
  <c r="H38" i="320" s="1"/>
  <c r="AE37" i="320"/>
  <c r="AD37" i="320"/>
  <c r="AA37" i="320"/>
  <c r="Z37" i="320"/>
  <c r="F18" i="319" s="1"/>
  <c r="M37" i="320"/>
  <c r="W36" i="320"/>
  <c r="H36" i="320"/>
  <c r="W35" i="320"/>
  <c r="W34" i="320"/>
  <c r="W33" i="320"/>
  <c r="W32" i="320"/>
  <c r="W31" i="320"/>
  <c r="N31" i="320" s="1"/>
  <c r="V31" i="320"/>
  <c r="P31" i="320"/>
  <c r="K31" i="320"/>
  <c r="L31" i="320" s="1"/>
  <c r="J31" i="320"/>
  <c r="H31" i="320"/>
  <c r="F31" i="320"/>
  <c r="W30" i="320"/>
  <c r="N30" i="320" s="1"/>
  <c r="O30" i="320" s="1"/>
  <c r="V30" i="320"/>
  <c r="K30" i="320"/>
  <c r="J30" i="320"/>
  <c r="P30" i="320" s="1"/>
  <c r="F30" i="320"/>
  <c r="H30" i="320" s="1"/>
  <c r="W29" i="320"/>
  <c r="N29" i="320" s="1"/>
  <c r="V29" i="320"/>
  <c r="K29" i="320"/>
  <c r="L29" i="320" s="1"/>
  <c r="J29" i="320"/>
  <c r="P29" i="320" s="1"/>
  <c r="H29" i="320"/>
  <c r="F29" i="320"/>
  <c r="W28" i="320"/>
  <c r="V28" i="320"/>
  <c r="P28" i="320"/>
  <c r="K28" i="320"/>
  <c r="L28" i="320" s="1"/>
  <c r="J28" i="320"/>
  <c r="G28" i="320"/>
  <c r="F28" i="320"/>
  <c r="H28" i="320" s="1"/>
  <c r="W27" i="320"/>
  <c r="P27" i="320"/>
  <c r="N27" i="320"/>
  <c r="K27" i="320"/>
  <c r="J27" i="320"/>
  <c r="H27" i="320"/>
  <c r="F27" i="320"/>
  <c r="AE26" i="320"/>
  <c r="AD26" i="320"/>
  <c r="AA26" i="320"/>
  <c r="Z26" i="320"/>
  <c r="M26" i="320"/>
  <c r="W25" i="320"/>
  <c r="H25" i="320"/>
  <c r="W24" i="320"/>
  <c r="H24" i="320"/>
  <c r="W23" i="320"/>
  <c r="W21" i="320"/>
  <c r="W20" i="320"/>
  <c r="AG19" i="320"/>
  <c r="W19" i="320"/>
  <c r="N19" i="320" s="1"/>
  <c r="V19" i="320"/>
  <c r="K19" i="320"/>
  <c r="J19" i="320"/>
  <c r="P19" i="320" s="1"/>
  <c r="H19" i="320"/>
  <c r="F19" i="320"/>
  <c r="AF18" i="320"/>
  <c r="W18" i="320"/>
  <c r="V18" i="320"/>
  <c r="N18" i="320"/>
  <c r="O18" i="320" s="1"/>
  <c r="K18" i="320"/>
  <c r="J18" i="320"/>
  <c r="P18" i="320" s="1"/>
  <c r="F18" i="320"/>
  <c r="H18" i="320" s="1"/>
  <c r="AG17" i="320"/>
  <c r="W17" i="320"/>
  <c r="V17" i="320"/>
  <c r="P17" i="320"/>
  <c r="O17" i="320"/>
  <c r="N17" i="320"/>
  <c r="AF17" i="320" s="1"/>
  <c r="L17" i="320"/>
  <c r="K17" i="320"/>
  <c r="J17" i="320"/>
  <c r="H17" i="320"/>
  <c r="F17" i="320"/>
  <c r="W16" i="320"/>
  <c r="P16" i="320"/>
  <c r="O16" i="320"/>
  <c r="N16" i="320"/>
  <c r="K16" i="320"/>
  <c r="J16" i="320"/>
  <c r="F16" i="320"/>
  <c r="H16" i="320" s="1"/>
  <c r="AE15" i="320"/>
  <c r="AD15" i="320"/>
  <c r="D20" i="319" s="1"/>
  <c r="AA15" i="320"/>
  <c r="Z15" i="320"/>
  <c r="D18" i="319" s="1"/>
  <c r="M15" i="320"/>
  <c r="I1" i="320" s="1"/>
  <c r="W14" i="320"/>
  <c r="W13" i="320"/>
  <c r="W12" i="320"/>
  <c r="W11" i="320"/>
  <c r="W10" i="320"/>
  <c r="W9" i="320"/>
  <c r="W8" i="320"/>
  <c r="W7" i="320"/>
  <c r="V7" i="320"/>
  <c r="P7" i="320"/>
  <c r="N7" i="320"/>
  <c r="K7" i="320"/>
  <c r="J7" i="320"/>
  <c r="L7" i="320" s="1"/>
  <c r="F7" i="320"/>
  <c r="H7" i="320" s="1"/>
  <c r="W6" i="320"/>
  <c r="V6" i="320"/>
  <c r="P6" i="320"/>
  <c r="O6" i="320"/>
  <c r="N6" i="320"/>
  <c r="L6" i="320"/>
  <c r="Q6" i="320" s="1"/>
  <c r="K6" i="320"/>
  <c r="J6" i="320"/>
  <c r="H6" i="320"/>
  <c r="F6" i="320"/>
  <c r="AG5" i="320"/>
  <c r="W5" i="320"/>
  <c r="N5" i="320" s="1"/>
  <c r="P5" i="320"/>
  <c r="K5" i="320"/>
  <c r="K15" i="320" s="1"/>
  <c r="J5" i="320"/>
  <c r="L5" i="320" s="1"/>
  <c r="F5" i="320"/>
  <c r="H5" i="320" s="1"/>
  <c r="AE2" i="320"/>
  <c r="Z2" i="320"/>
  <c r="I2" i="320"/>
  <c r="J22" i="319"/>
  <c r="I22" i="319"/>
  <c r="H22" i="319"/>
  <c r="G22" i="319"/>
  <c r="F22" i="319"/>
  <c r="E22" i="319"/>
  <c r="D22" i="319"/>
  <c r="J21" i="319"/>
  <c r="H21" i="319"/>
  <c r="F21" i="319"/>
  <c r="E21" i="319"/>
  <c r="D21" i="319"/>
  <c r="J20" i="319"/>
  <c r="I20" i="319"/>
  <c r="G20" i="319"/>
  <c r="F20" i="319"/>
  <c r="E20" i="319"/>
  <c r="J19" i="319"/>
  <c r="G19" i="319"/>
  <c r="F19" i="319"/>
  <c r="E19" i="319"/>
  <c r="J18" i="319"/>
  <c r="H18" i="319"/>
  <c r="E18" i="319"/>
  <c r="J16" i="319"/>
  <c r="I16" i="319"/>
  <c r="H16" i="319"/>
  <c r="G16" i="319"/>
  <c r="F16" i="319"/>
  <c r="E16" i="319"/>
  <c r="D16" i="319"/>
  <c r="O8" i="319"/>
  <c r="N8" i="319"/>
  <c r="M8" i="319"/>
  <c r="L8" i="319"/>
  <c r="O7" i="319"/>
  <c r="N7" i="319"/>
  <c r="M7" i="319"/>
  <c r="L7" i="319"/>
  <c r="AE79" i="316"/>
  <c r="AD79" i="316"/>
  <c r="AA79" i="316"/>
  <c r="Z79" i="316"/>
  <c r="M79" i="316"/>
  <c r="J79" i="316"/>
  <c r="W78" i="316"/>
  <c r="H78" i="316"/>
  <c r="W77" i="316"/>
  <c r="H77" i="316"/>
  <c r="W76" i="316"/>
  <c r="H76" i="316"/>
  <c r="W75" i="316"/>
  <c r="AG74" i="316"/>
  <c r="AF74" i="316"/>
  <c r="W74" i="316"/>
  <c r="AF73" i="316"/>
  <c r="W73" i="316"/>
  <c r="N73" i="316" s="1"/>
  <c r="O73" i="316" s="1"/>
  <c r="V73" i="316"/>
  <c r="K73" i="316"/>
  <c r="J73" i="316"/>
  <c r="H73" i="316"/>
  <c r="F73" i="316"/>
  <c r="W72" i="316"/>
  <c r="V72" i="316"/>
  <c r="N72" i="316"/>
  <c r="L72" i="316"/>
  <c r="K72" i="316"/>
  <c r="J72" i="316"/>
  <c r="P72" i="316" s="1"/>
  <c r="H72" i="316"/>
  <c r="F72" i="316"/>
  <c r="W71" i="316"/>
  <c r="V71" i="316"/>
  <c r="P71" i="316"/>
  <c r="O71" i="316"/>
  <c r="N71" i="316"/>
  <c r="K71" i="316"/>
  <c r="L71" i="316" s="1"/>
  <c r="J71" i="316"/>
  <c r="F71" i="316"/>
  <c r="H71" i="316" s="1"/>
  <c r="W70" i="316"/>
  <c r="P70" i="316"/>
  <c r="O70" i="316"/>
  <c r="N70" i="316"/>
  <c r="K70" i="316"/>
  <c r="L70" i="316" s="1"/>
  <c r="J70" i="316"/>
  <c r="F70" i="316"/>
  <c r="H70" i="316" s="1"/>
  <c r="AE69" i="316"/>
  <c r="I21" i="315" s="1"/>
  <c r="AD69" i="316"/>
  <c r="AA69" i="316"/>
  <c r="I19" i="315" s="1"/>
  <c r="Z69" i="316"/>
  <c r="I18" i="315" s="1"/>
  <c r="M69" i="316"/>
  <c r="W68" i="316"/>
  <c r="H68" i="316"/>
  <c r="W67" i="316"/>
  <c r="W66" i="316"/>
  <c r="W65" i="316"/>
  <c r="W64" i="316"/>
  <c r="W63" i="316"/>
  <c r="W62" i="316"/>
  <c r="V62" i="316"/>
  <c r="Q62" i="316"/>
  <c r="P62" i="316"/>
  <c r="O62" i="316"/>
  <c r="R62" i="316" s="1"/>
  <c r="N62" i="316"/>
  <c r="K62" i="316"/>
  <c r="L62" i="316" s="1"/>
  <c r="J62" i="316"/>
  <c r="F62" i="316"/>
  <c r="H62" i="316" s="1"/>
  <c r="W61" i="316"/>
  <c r="N61" i="316" s="1"/>
  <c r="O61" i="316" s="1"/>
  <c r="V61" i="316"/>
  <c r="R61" i="316"/>
  <c r="Q61" i="316"/>
  <c r="P61" i="316"/>
  <c r="K61" i="316"/>
  <c r="J61" i="316"/>
  <c r="L61" i="316" s="1"/>
  <c r="F61" i="316"/>
  <c r="H61" i="316" s="1"/>
  <c r="W60" i="316"/>
  <c r="N60" i="316" s="1"/>
  <c r="O60" i="316" s="1"/>
  <c r="V60" i="316"/>
  <c r="R60" i="316"/>
  <c r="K60" i="316"/>
  <c r="L60" i="316" s="1"/>
  <c r="J60" i="316"/>
  <c r="P60" i="316" s="1"/>
  <c r="H60" i="316"/>
  <c r="F60" i="316"/>
  <c r="AF59" i="316"/>
  <c r="W59" i="316"/>
  <c r="N59" i="316"/>
  <c r="K59" i="316"/>
  <c r="J59" i="316"/>
  <c r="P59" i="316" s="1"/>
  <c r="H59" i="316"/>
  <c r="F59" i="316"/>
  <c r="AE58" i="316"/>
  <c r="AD58" i="316"/>
  <c r="AA58" i="316"/>
  <c r="H19" i="315" s="1"/>
  <c r="Z58" i="316"/>
  <c r="H18" i="315" s="1"/>
  <c r="M58" i="316"/>
  <c r="W57" i="316"/>
  <c r="W56" i="316"/>
  <c r="W55" i="316"/>
  <c r="W54" i="316"/>
  <c r="W53" i="316"/>
  <c r="AG52" i="316"/>
  <c r="W52" i="316"/>
  <c r="N52" i="316" s="1"/>
  <c r="O52" i="316" s="1"/>
  <c r="V52" i="316"/>
  <c r="K52" i="316"/>
  <c r="J52" i="316"/>
  <c r="P52" i="316" s="1"/>
  <c r="F52" i="316"/>
  <c r="H52" i="316" s="1"/>
  <c r="AG51" i="316"/>
  <c r="AF51" i="316"/>
  <c r="W51" i="316"/>
  <c r="V51" i="316"/>
  <c r="O51" i="316"/>
  <c r="N51" i="316"/>
  <c r="K51" i="316"/>
  <c r="L51" i="316" s="1"/>
  <c r="J51" i="316"/>
  <c r="P51" i="316" s="1"/>
  <c r="F51" i="316"/>
  <c r="H51" i="316" s="1"/>
  <c r="W50" i="316"/>
  <c r="V50" i="316"/>
  <c r="O50" i="316"/>
  <c r="N50" i="316"/>
  <c r="K50" i="316"/>
  <c r="L50" i="316" s="1"/>
  <c r="J50" i="316"/>
  <c r="P50" i="316" s="1"/>
  <c r="F50" i="316"/>
  <c r="H50" i="316" s="1"/>
  <c r="W49" i="316"/>
  <c r="N49" i="316" s="1"/>
  <c r="P49" i="316"/>
  <c r="K49" i="316"/>
  <c r="L49" i="316" s="1"/>
  <c r="J49" i="316"/>
  <c r="F49" i="316"/>
  <c r="H49" i="316" s="1"/>
  <c r="AE48" i="316"/>
  <c r="G21" i="315" s="1"/>
  <c r="AD48" i="316"/>
  <c r="G20" i="315" s="1"/>
  <c r="AA48" i="316"/>
  <c r="Z48" i="316"/>
  <c r="G18" i="315" s="1"/>
  <c r="W48" i="316"/>
  <c r="M48" i="316"/>
  <c r="W47" i="316"/>
  <c r="H47" i="316"/>
  <c r="W46" i="316"/>
  <c r="W45" i="316"/>
  <c r="W44" i="316"/>
  <c r="W43" i="316"/>
  <c r="W42" i="316"/>
  <c r="W41" i="316"/>
  <c r="AG40" i="316"/>
  <c r="AF40" i="316"/>
  <c r="W40" i="316"/>
  <c r="N40" i="316" s="1"/>
  <c r="O40" i="316" s="1"/>
  <c r="V40" i="316"/>
  <c r="R40" i="316"/>
  <c r="Q40" i="316"/>
  <c r="P40" i="316"/>
  <c r="L40" i="316"/>
  <c r="J40" i="316"/>
  <c r="F40" i="316"/>
  <c r="H40" i="316" s="1"/>
  <c r="AG39" i="316"/>
  <c r="AF39" i="316"/>
  <c r="W39" i="316"/>
  <c r="N39" i="316" s="1"/>
  <c r="O39" i="316" s="1"/>
  <c r="V39" i="316"/>
  <c r="J39" i="316"/>
  <c r="P39" i="316" s="1"/>
  <c r="F39" i="316"/>
  <c r="H39" i="316" s="1"/>
  <c r="W38" i="316"/>
  <c r="N38" i="316" s="1"/>
  <c r="L38" i="316"/>
  <c r="K38" i="316"/>
  <c r="K48" i="316" s="1"/>
  <c r="J38" i="316"/>
  <c r="P38" i="316" s="1"/>
  <c r="F38" i="316"/>
  <c r="H38" i="316" s="1"/>
  <c r="AE37" i="316"/>
  <c r="AD37" i="316"/>
  <c r="AA37" i="316"/>
  <c r="Z37" i="316"/>
  <c r="M37" i="316"/>
  <c r="K37" i="316"/>
  <c r="W36" i="316"/>
  <c r="H36" i="316"/>
  <c r="W35" i="316"/>
  <c r="W34" i="316"/>
  <c r="W33" i="316"/>
  <c r="W32" i="316"/>
  <c r="W31" i="316"/>
  <c r="W30" i="316"/>
  <c r="N30" i="316" s="1"/>
  <c r="O30" i="316" s="1"/>
  <c r="V30" i="316"/>
  <c r="K30" i="316"/>
  <c r="J30" i="316"/>
  <c r="P30" i="316" s="1"/>
  <c r="F30" i="316"/>
  <c r="H30" i="316" s="1"/>
  <c r="W29" i="316"/>
  <c r="V29" i="316"/>
  <c r="K29" i="316"/>
  <c r="J29" i="316"/>
  <c r="P29" i="316" s="1"/>
  <c r="G29" i="316"/>
  <c r="F29" i="316"/>
  <c r="H29" i="316" s="1"/>
  <c r="AG28" i="316"/>
  <c r="W28" i="316"/>
  <c r="V28" i="316"/>
  <c r="N28" i="316"/>
  <c r="K28" i="316"/>
  <c r="L28" i="316" s="1"/>
  <c r="J28" i="316"/>
  <c r="P28" i="316" s="1"/>
  <c r="H28" i="316"/>
  <c r="F28" i="316"/>
  <c r="W27" i="316"/>
  <c r="N27" i="316" s="1"/>
  <c r="P27" i="316"/>
  <c r="L27" i="316"/>
  <c r="K27" i="316"/>
  <c r="J27" i="316"/>
  <c r="H27" i="316"/>
  <c r="F27" i="316"/>
  <c r="AE26" i="316"/>
  <c r="E21" i="315" s="1"/>
  <c r="AD26" i="316"/>
  <c r="AA26" i="316"/>
  <c r="Z26" i="316"/>
  <c r="E18" i="315" s="1"/>
  <c r="M26" i="316"/>
  <c r="K26" i="316"/>
  <c r="J26" i="316"/>
  <c r="P26" i="316" s="1"/>
  <c r="W25" i="316"/>
  <c r="H25" i="316"/>
  <c r="W24" i="316"/>
  <c r="H24" i="316"/>
  <c r="W23" i="316"/>
  <c r="W21" i="316"/>
  <c r="W20" i="316"/>
  <c r="W19" i="316"/>
  <c r="N19" i="316" s="1"/>
  <c r="V19" i="316"/>
  <c r="P19" i="316"/>
  <c r="O19" i="316"/>
  <c r="L19" i="316"/>
  <c r="K19" i="316"/>
  <c r="J19" i="316"/>
  <c r="H19" i="316"/>
  <c r="F19" i="316"/>
  <c r="AF18" i="316"/>
  <c r="W18" i="316"/>
  <c r="N18" i="316" s="1"/>
  <c r="V18" i="316"/>
  <c r="P18" i="316"/>
  <c r="L18" i="316"/>
  <c r="K18" i="316"/>
  <c r="J18" i="316"/>
  <c r="F18" i="316"/>
  <c r="H18" i="316" s="1"/>
  <c r="W17" i="316"/>
  <c r="N17" i="316" s="1"/>
  <c r="O17" i="316" s="1"/>
  <c r="V17" i="316"/>
  <c r="K17" i="316"/>
  <c r="J17" i="316"/>
  <c r="P17" i="316" s="1"/>
  <c r="H17" i="316"/>
  <c r="F17" i="316"/>
  <c r="AF16" i="316"/>
  <c r="W16" i="316"/>
  <c r="N16" i="316" s="1"/>
  <c r="O16" i="316"/>
  <c r="L16" i="316"/>
  <c r="K16" i="316"/>
  <c r="J16" i="316"/>
  <c r="P16" i="316" s="1"/>
  <c r="H16" i="316"/>
  <c r="F16" i="316"/>
  <c r="AE15" i="316"/>
  <c r="AD15" i="316"/>
  <c r="AA15" i="316"/>
  <c r="Z15" i="316"/>
  <c r="M15" i="316"/>
  <c r="W14" i="316"/>
  <c r="W13" i="316"/>
  <c r="W12" i="316"/>
  <c r="W11" i="316"/>
  <c r="W10" i="316"/>
  <c r="W9" i="316"/>
  <c r="W8" i="316"/>
  <c r="AG7" i="316"/>
  <c r="W7" i="316"/>
  <c r="N7" i="316" s="1"/>
  <c r="V7" i="316"/>
  <c r="K7" i="316"/>
  <c r="L7" i="316" s="1"/>
  <c r="J7" i="316"/>
  <c r="P7" i="316" s="1"/>
  <c r="H7" i="316"/>
  <c r="F7" i="316"/>
  <c r="AG6" i="316"/>
  <c r="W6" i="316"/>
  <c r="V6" i="316"/>
  <c r="O6" i="316"/>
  <c r="N6" i="316"/>
  <c r="K6" i="316"/>
  <c r="J6" i="316"/>
  <c r="P6" i="316" s="1"/>
  <c r="H6" i="316"/>
  <c r="F6" i="316"/>
  <c r="W5" i="316"/>
  <c r="N5" i="316" s="1"/>
  <c r="P5" i="316"/>
  <c r="L5" i="316"/>
  <c r="K5" i="316"/>
  <c r="K15" i="316" s="1"/>
  <c r="J5" i="316"/>
  <c r="G5" i="316"/>
  <c r="F5" i="316"/>
  <c r="H5" i="316" s="1"/>
  <c r="AE2" i="316"/>
  <c r="I2" i="316"/>
  <c r="I22" i="315"/>
  <c r="G22" i="315"/>
  <c r="F22" i="315"/>
  <c r="E22" i="315"/>
  <c r="D22" i="315"/>
  <c r="J21" i="315"/>
  <c r="H21" i="315"/>
  <c r="F21" i="315"/>
  <c r="D21" i="315"/>
  <c r="I20" i="315"/>
  <c r="H20" i="315"/>
  <c r="F20" i="315"/>
  <c r="E20" i="315"/>
  <c r="D20" i="315"/>
  <c r="J19" i="315"/>
  <c r="F19" i="315"/>
  <c r="E19" i="315"/>
  <c r="D19" i="315"/>
  <c r="J18" i="315"/>
  <c r="F18" i="315"/>
  <c r="J16" i="315"/>
  <c r="I16" i="315"/>
  <c r="H16" i="315"/>
  <c r="G16" i="315"/>
  <c r="F16" i="315"/>
  <c r="E16" i="315"/>
  <c r="D16" i="315"/>
  <c r="O8" i="315"/>
  <c r="N8" i="315"/>
  <c r="M8" i="315"/>
  <c r="L8" i="315"/>
  <c r="O7" i="315"/>
  <c r="N7" i="315"/>
  <c r="M7" i="315"/>
  <c r="L7" i="315"/>
  <c r="AE79" i="314"/>
  <c r="AD79" i="314"/>
  <c r="AA79" i="314"/>
  <c r="J18" i="313" s="1"/>
  <c r="Z79" i="314"/>
  <c r="M79" i="314"/>
  <c r="K79" i="314"/>
  <c r="J79" i="314"/>
  <c r="W78" i="314"/>
  <c r="H78" i="314"/>
  <c r="W77" i="314"/>
  <c r="H77" i="314"/>
  <c r="W76" i="314"/>
  <c r="H76" i="314"/>
  <c r="W75" i="314"/>
  <c r="AG74" i="314"/>
  <c r="AF74" i="314"/>
  <c r="W74" i="314"/>
  <c r="AG73" i="314"/>
  <c r="W73" i="314"/>
  <c r="N73" i="314" s="1"/>
  <c r="O73" i="314" s="1"/>
  <c r="V73" i="314"/>
  <c r="K73" i="314"/>
  <c r="J73" i="314"/>
  <c r="P73" i="314" s="1"/>
  <c r="H73" i="314"/>
  <c r="F73" i="314"/>
  <c r="W72" i="314"/>
  <c r="V72" i="314"/>
  <c r="N72" i="314"/>
  <c r="K72" i="314"/>
  <c r="L72" i="314" s="1"/>
  <c r="J72" i="314"/>
  <c r="P72" i="314" s="1"/>
  <c r="F72" i="314"/>
  <c r="H72" i="314" s="1"/>
  <c r="W71" i="314"/>
  <c r="V71" i="314"/>
  <c r="P71" i="314"/>
  <c r="N71" i="314"/>
  <c r="K71" i="314"/>
  <c r="L71" i="314" s="1"/>
  <c r="J71" i="314"/>
  <c r="F71" i="314"/>
  <c r="H71" i="314" s="1"/>
  <c r="W70" i="314"/>
  <c r="P70" i="314"/>
  <c r="O70" i="314"/>
  <c r="N70" i="314"/>
  <c r="K70" i="314"/>
  <c r="L70" i="314" s="1"/>
  <c r="J70" i="314"/>
  <c r="H70" i="314"/>
  <c r="F70" i="314"/>
  <c r="AE69" i="314"/>
  <c r="I21" i="313" s="1"/>
  <c r="AD69" i="314"/>
  <c r="AA69" i="314"/>
  <c r="I19" i="313" s="1"/>
  <c r="Z69" i="314"/>
  <c r="I18" i="313" s="1"/>
  <c r="P69" i="314"/>
  <c r="M69" i="314"/>
  <c r="J69" i="314"/>
  <c r="W68" i="314"/>
  <c r="H68" i="314"/>
  <c r="W67" i="314"/>
  <c r="W66" i="314"/>
  <c r="W65" i="314"/>
  <c r="W64" i="314"/>
  <c r="W63" i="314"/>
  <c r="W62" i="314"/>
  <c r="V62" i="314"/>
  <c r="P62" i="314"/>
  <c r="O62" i="314"/>
  <c r="N62" i="314"/>
  <c r="K62" i="314"/>
  <c r="L62" i="314" s="1"/>
  <c r="J62" i="314"/>
  <c r="H62" i="314"/>
  <c r="F62" i="314"/>
  <c r="W61" i="314"/>
  <c r="N61" i="314" s="1"/>
  <c r="V61" i="314"/>
  <c r="P61" i="314"/>
  <c r="K61" i="314"/>
  <c r="L61" i="314" s="1"/>
  <c r="J61" i="314"/>
  <c r="F61" i="314"/>
  <c r="H61" i="314" s="1"/>
  <c r="AF60" i="314"/>
  <c r="W60" i="314"/>
  <c r="N60" i="314" s="1"/>
  <c r="O60" i="314" s="1"/>
  <c r="V60" i="314"/>
  <c r="P60" i="314"/>
  <c r="K60" i="314"/>
  <c r="J60" i="314"/>
  <c r="L60" i="314" s="1"/>
  <c r="F60" i="314"/>
  <c r="H60" i="314" s="1"/>
  <c r="W59" i="314"/>
  <c r="N59" i="314" s="1"/>
  <c r="K59" i="314"/>
  <c r="J59" i="314"/>
  <c r="P59" i="314" s="1"/>
  <c r="F59" i="314"/>
  <c r="H59" i="314" s="1"/>
  <c r="AE58" i="314"/>
  <c r="AD58" i="314"/>
  <c r="AA58" i="314"/>
  <c r="H19" i="313" s="1"/>
  <c r="Z58" i="314"/>
  <c r="M58" i="314"/>
  <c r="H22" i="313" s="1"/>
  <c r="K58" i="314"/>
  <c r="W57" i="314"/>
  <c r="W56" i="314"/>
  <c r="W55" i="314"/>
  <c r="W54" i="314"/>
  <c r="W53" i="314"/>
  <c r="AF52" i="314"/>
  <c r="W52" i="314"/>
  <c r="N52" i="314" s="1"/>
  <c r="O52" i="314" s="1"/>
  <c r="V52" i="314"/>
  <c r="K52" i="314"/>
  <c r="J52" i="314"/>
  <c r="P52" i="314" s="1"/>
  <c r="F52" i="314"/>
  <c r="H52" i="314" s="1"/>
  <c r="W51" i="314"/>
  <c r="N51" i="314" s="1"/>
  <c r="V51" i="314"/>
  <c r="K51" i="314"/>
  <c r="L51" i="314" s="1"/>
  <c r="J51" i="314"/>
  <c r="P51" i="314" s="1"/>
  <c r="H51" i="314"/>
  <c r="F51" i="314"/>
  <c r="AG50" i="314"/>
  <c r="AF50" i="314"/>
  <c r="W50" i="314"/>
  <c r="V50" i="314"/>
  <c r="O50" i="314"/>
  <c r="N50" i="314"/>
  <c r="K50" i="314"/>
  <c r="L50" i="314" s="1"/>
  <c r="J50" i="314"/>
  <c r="P50" i="314" s="1"/>
  <c r="F50" i="314"/>
  <c r="H50" i="314" s="1"/>
  <c r="W49" i="314"/>
  <c r="R49" i="314"/>
  <c r="P49" i="314"/>
  <c r="O49" i="314"/>
  <c r="N49" i="314"/>
  <c r="K49" i="314"/>
  <c r="L49" i="314" s="1"/>
  <c r="J49" i="314"/>
  <c r="H49" i="314"/>
  <c r="F49" i="314"/>
  <c r="AE48" i="314"/>
  <c r="G21" i="313" s="1"/>
  <c r="AD48" i="314"/>
  <c r="AA48" i="314"/>
  <c r="Z48" i="314"/>
  <c r="G18" i="313" s="1"/>
  <c r="W48" i="314"/>
  <c r="M48" i="314"/>
  <c r="W47" i="314"/>
  <c r="H47" i="314"/>
  <c r="W46" i="314"/>
  <c r="W45" i="314"/>
  <c r="W44" i="314"/>
  <c r="W43" i="314"/>
  <c r="W42" i="314"/>
  <c r="W41" i="314"/>
  <c r="W40" i="314"/>
  <c r="N40" i="314" s="1"/>
  <c r="V40" i="314"/>
  <c r="P40" i="314"/>
  <c r="J40" i="314"/>
  <c r="L40" i="314" s="1"/>
  <c r="G40" i="314"/>
  <c r="F40" i="314"/>
  <c r="H40" i="314" s="1"/>
  <c r="W39" i="314"/>
  <c r="N39" i="314" s="1"/>
  <c r="O39" i="314" s="1"/>
  <c r="V39" i="314"/>
  <c r="R39" i="314"/>
  <c r="Q39" i="314"/>
  <c r="P39" i="314"/>
  <c r="L39" i="314"/>
  <c r="J39" i="314"/>
  <c r="F39" i="314"/>
  <c r="H39" i="314" s="1"/>
  <c r="W38" i="314"/>
  <c r="N38" i="314" s="1"/>
  <c r="L38" i="314"/>
  <c r="L48" i="314" s="1"/>
  <c r="G13" i="313" s="1"/>
  <c r="K38" i="314"/>
  <c r="K48" i="314" s="1"/>
  <c r="J38" i="314"/>
  <c r="H38" i="314"/>
  <c r="F38" i="314"/>
  <c r="AE37" i="314"/>
  <c r="F21" i="313" s="1"/>
  <c r="AD37" i="314"/>
  <c r="AA37" i="314"/>
  <c r="Z37" i="314"/>
  <c r="M37" i="314"/>
  <c r="F22" i="313" s="1"/>
  <c r="K37" i="314"/>
  <c r="W36" i="314"/>
  <c r="H36" i="314"/>
  <c r="W35" i="314"/>
  <c r="W34" i="314"/>
  <c r="W33" i="314"/>
  <c r="W32" i="314"/>
  <c r="W31" i="314"/>
  <c r="W30" i="314"/>
  <c r="W29" i="314"/>
  <c r="N29" i="314" s="1"/>
  <c r="N37" i="314" s="1"/>
  <c r="V29" i="314"/>
  <c r="K29" i="314"/>
  <c r="L29" i="314" s="1"/>
  <c r="J29" i="314"/>
  <c r="P29" i="314" s="1"/>
  <c r="H29" i="314"/>
  <c r="F29" i="314"/>
  <c r="AG28" i="314"/>
  <c r="AF28" i="314"/>
  <c r="W28" i="314"/>
  <c r="V28" i="314"/>
  <c r="O28" i="314"/>
  <c r="N28" i="314"/>
  <c r="K28" i="314"/>
  <c r="L28" i="314" s="1"/>
  <c r="J28" i="314"/>
  <c r="H28" i="314"/>
  <c r="F28" i="314"/>
  <c r="W27" i="314"/>
  <c r="P27" i="314"/>
  <c r="O27" i="314"/>
  <c r="N27" i="314"/>
  <c r="K27" i="314"/>
  <c r="L27" i="314" s="1"/>
  <c r="J27" i="314"/>
  <c r="H27" i="314"/>
  <c r="G27" i="314"/>
  <c r="F27" i="314"/>
  <c r="AE26" i="314"/>
  <c r="AD26" i="314"/>
  <c r="E20" i="313" s="1"/>
  <c r="AA26" i="314"/>
  <c r="Z26" i="314"/>
  <c r="E18" i="313" s="1"/>
  <c r="M26" i="314"/>
  <c r="K26" i="314"/>
  <c r="J26" i="314"/>
  <c r="P26" i="314" s="1"/>
  <c r="W25" i="314"/>
  <c r="H25" i="314"/>
  <c r="W24" i="314"/>
  <c r="H24" i="314"/>
  <c r="W23" i="314"/>
  <c r="W21" i="314"/>
  <c r="W20" i="314"/>
  <c r="W19" i="314"/>
  <c r="N19" i="314" s="1"/>
  <c r="V19" i="314"/>
  <c r="P19" i="314"/>
  <c r="O19" i="314"/>
  <c r="L19" i="314"/>
  <c r="K19" i="314"/>
  <c r="J19" i="314"/>
  <c r="H19" i="314"/>
  <c r="F19" i="314"/>
  <c r="W18" i="314"/>
  <c r="N18" i="314" s="1"/>
  <c r="V18" i="314"/>
  <c r="P18" i="314"/>
  <c r="L18" i="314"/>
  <c r="K18" i="314"/>
  <c r="J18" i="314"/>
  <c r="F18" i="314"/>
  <c r="H18" i="314" s="1"/>
  <c r="AG17" i="314"/>
  <c r="AF17" i="314"/>
  <c r="W17" i="314"/>
  <c r="N17" i="314" s="1"/>
  <c r="O17" i="314" s="1"/>
  <c r="V17" i="314"/>
  <c r="K17" i="314"/>
  <c r="J17" i="314"/>
  <c r="P17" i="314" s="1"/>
  <c r="H17" i="314"/>
  <c r="F17" i="314"/>
  <c r="W16" i="314"/>
  <c r="N16" i="314" s="1"/>
  <c r="O16" i="314"/>
  <c r="L16" i="314"/>
  <c r="K16" i="314"/>
  <c r="J16" i="314"/>
  <c r="P16" i="314" s="1"/>
  <c r="H16" i="314"/>
  <c r="F16" i="314"/>
  <c r="AE15" i="314"/>
  <c r="AD15" i="314"/>
  <c r="AA15" i="314"/>
  <c r="Z15" i="314"/>
  <c r="D18" i="313" s="1"/>
  <c r="P15" i="314"/>
  <c r="M15" i="314"/>
  <c r="I1" i="314" s="1"/>
  <c r="W14" i="314"/>
  <c r="W13" i="314"/>
  <c r="W12" i="314"/>
  <c r="W11" i="314"/>
  <c r="W10" i="314"/>
  <c r="W9" i="314"/>
  <c r="AG8" i="314"/>
  <c r="AF8" i="314"/>
  <c r="W8" i="314"/>
  <c r="V8" i="314"/>
  <c r="N8" i="314"/>
  <c r="O8" i="314" s="1"/>
  <c r="K8" i="314"/>
  <c r="J8" i="314"/>
  <c r="P8" i="314" s="1"/>
  <c r="F8" i="314"/>
  <c r="H8" i="314" s="1"/>
  <c r="AF7" i="314"/>
  <c r="W7" i="314"/>
  <c r="V7" i="314"/>
  <c r="P7" i="314"/>
  <c r="N7" i="314"/>
  <c r="K7" i="314"/>
  <c r="J7" i="314"/>
  <c r="L7" i="314" s="1"/>
  <c r="F7" i="314"/>
  <c r="H7" i="314" s="1"/>
  <c r="W6" i="314"/>
  <c r="V6" i="314"/>
  <c r="P6" i="314"/>
  <c r="N6" i="314"/>
  <c r="K6" i="314"/>
  <c r="J6" i="314"/>
  <c r="J15" i="314" s="1"/>
  <c r="F6" i="314"/>
  <c r="H6" i="314" s="1"/>
  <c r="AF5" i="314"/>
  <c r="W5" i="314"/>
  <c r="N5" i="314" s="1"/>
  <c r="P5" i="314"/>
  <c r="K5" i="314"/>
  <c r="K15" i="314" s="1"/>
  <c r="J5" i="314"/>
  <c r="G5" i="314"/>
  <c r="E1" i="314" s="1"/>
  <c r="F5" i="314"/>
  <c r="H5" i="314" s="1"/>
  <c r="AE2" i="314"/>
  <c r="AA2" i="314"/>
  <c r="Z2" i="314"/>
  <c r="I2" i="314"/>
  <c r="J22" i="313"/>
  <c r="I22" i="313"/>
  <c r="G22" i="313"/>
  <c r="E22" i="313"/>
  <c r="J21" i="313"/>
  <c r="H21" i="313"/>
  <c r="E21" i="313"/>
  <c r="D21" i="313"/>
  <c r="J20" i="313"/>
  <c r="I20" i="313"/>
  <c r="H20" i="313"/>
  <c r="F20" i="313"/>
  <c r="D20" i="313"/>
  <c r="J19" i="313"/>
  <c r="G19" i="313"/>
  <c r="F19" i="313"/>
  <c r="E19" i="313"/>
  <c r="D19" i="313"/>
  <c r="H18" i="313"/>
  <c r="F18" i="313"/>
  <c r="J16" i="313"/>
  <c r="I16" i="313"/>
  <c r="H16" i="313"/>
  <c r="G16" i="313"/>
  <c r="F16" i="313"/>
  <c r="E16" i="313"/>
  <c r="D16" i="313"/>
  <c r="O8" i="313"/>
  <c r="N8" i="313"/>
  <c r="M8" i="313"/>
  <c r="L8" i="313"/>
  <c r="O7" i="313"/>
  <c r="N7" i="313"/>
  <c r="M7" i="313"/>
  <c r="L7" i="313"/>
  <c r="G3" i="313"/>
  <c r="AE79" i="312"/>
  <c r="AD79" i="312"/>
  <c r="J20" i="311" s="1"/>
  <c r="AA79" i="312"/>
  <c r="J18" i="311" s="1"/>
  <c r="Z79" i="312"/>
  <c r="M79" i="312"/>
  <c r="W78" i="312"/>
  <c r="H78" i="312"/>
  <c r="W77" i="312"/>
  <c r="H77" i="312"/>
  <c r="W76" i="312"/>
  <c r="H76" i="312"/>
  <c r="W75" i="312"/>
  <c r="AG74" i="312"/>
  <c r="AF74" i="312"/>
  <c r="W74" i="312"/>
  <c r="W73" i="312"/>
  <c r="N73" i="312" s="1"/>
  <c r="V73" i="312"/>
  <c r="P73" i="312"/>
  <c r="K73" i="312"/>
  <c r="J73" i="312"/>
  <c r="L73" i="312" s="1"/>
  <c r="H73" i="312"/>
  <c r="F73" i="312"/>
  <c r="AF72" i="312"/>
  <c r="W72" i="312"/>
  <c r="N72" i="312" s="1"/>
  <c r="AG72" i="312" s="1"/>
  <c r="V72" i="312"/>
  <c r="O72" i="312"/>
  <c r="K72" i="312"/>
  <c r="J72" i="312"/>
  <c r="H72" i="312"/>
  <c r="F72" i="312"/>
  <c r="W71" i="312"/>
  <c r="V71" i="312"/>
  <c r="P71" i="312"/>
  <c r="N71" i="312"/>
  <c r="K71" i="312"/>
  <c r="L71" i="312" s="1"/>
  <c r="J71" i="312"/>
  <c r="H71" i="312"/>
  <c r="F71" i="312"/>
  <c r="W70" i="312"/>
  <c r="N70" i="312" s="1"/>
  <c r="P70" i="312"/>
  <c r="O70" i="312"/>
  <c r="K70" i="312"/>
  <c r="J70" i="312"/>
  <c r="H70" i="312"/>
  <c r="F70" i="312"/>
  <c r="AE69" i="312"/>
  <c r="AD69" i="312"/>
  <c r="I20" i="311" s="1"/>
  <c r="AA69" i="312"/>
  <c r="Z69" i="312"/>
  <c r="M69" i="312"/>
  <c r="K69" i="312"/>
  <c r="J69" i="312"/>
  <c r="P69" i="312" s="1"/>
  <c r="W68" i="312"/>
  <c r="H68" i="312"/>
  <c r="W67" i="312"/>
  <c r="W66" i="312"/>
  <c r="W65" i="312"/>
  <c r="AG64" i="312"/>
  <c r="AF64" i="312"/>
  <c r="W64" i="312"/>
  <c r="AG63" i="312"/>
  <c r="AF63" i="312"/>
  <c r="W63" i="312"/>
  <c r="AG62" i="312"/>
  <c r="AF62" i="312"/>
  <c r="W62" i="312"/>
  <c r="N62" i="312" s="1"/>
  <c r="V62" i="312"/>
  <c r="P62" i="312"/>
  <c r="O62" i="312"/>
  <c r="Q62" i="312" s="1"/>
  <c r="K62" i="312"/>
  <c r="L62" i="312" s="1"/>
  <c r="J62" i="312"/>
  <c r="F62" i="312"/>
  <c r="H62" i="312" s="1"/>
  <c r="W61" i="312"/>
  <c r="N61" i="312" s="1"/>
  <c r="V61" i="312"/>
  <c r="L61" i="312"/>
  <c r="K61" i="312"/>
  <c r="J61" i="312"/>
  <c r="P61" i="312" s="1"/>
  <c r="F61" i="312"/>
  <c r="H61" i="312" s="1"/>
  <c r="W60" i="312"/>
  <c r="N60" i="312" s="1"/>
  <c r="V60" i="312"/>
  <c r="P60" i="312"/>
  <c r="L60" i="312"/>
  <c r="K60" i="312"/>
  <c r="J60" i="312"/>
  <c r="F60" i="312"/>
  <c r="H60" i="312" s="1"/>
  <c r="AG59" i="312"/>
  <c r="W59" i="312"/>
  <c r="R59" i="312"/>
  <c r="O59" i="312"/>
  <c r="N59" i="312"/>
  <c r="K59" i="312"/>
  <c r="L59" i="312" s="1"/>
  <c r="L69" i="312" s="1"/>
  <c r="I13" i="311" s="1"/>
  <c r="J6" i="311" s="1"/>
  <c r="J59" i="312"/>
  <c r="P59" i="312" s="1"/>
  <c r="H59" i="312"/>
  <c r="F59" i="312"/>
  <c r="AE58" i="312"/>
  <c r="H21" i="311" s="1"/>
  <c r="AD58" i="312"/>
  <c r="H20" i="311" s="1"/>
  <c r="AA58" i="312"/>
  <c r="Z58" i="312"/>
  <c r="N58" i="312"/>
  <c r="M58" i="312"/>
  <c r="J58" i="312"/>
  <c r="W57" i="312"/>
  <c r="W56" i="312"/>
  <c r="W55" i="312"/>
  <c r="W54" i="312"/>
  <c r="W53" i="312"/>
  <c r="W52" i="312"/>
  <c r="V52" i="312"/>
  <c r="P52" i="312"/>
  <c r="N52" i="312"/>
  <c r="L52" i="312"/>
  <c r="K52" i="312"/>
  <c r="J52" i="312"/>
  <c r="H52" i="312"/>
  <c r="F52" i="312"/>
  <c r="W51" i="312"/>
  <c r="V51" i="312"/>
  <c r="P51" i="312"/>
  <c r="O51" i="312"/>
  <c r="N51" i="312"/>
  <c r="L51" i="312"/>
  <c r="K51" i="312"/>
  <c r="K58" i="312" s="1"/>
  <c r="J51" i="312"/>
  <c r="F51" i="312"/>
  <c r="H51" i="312" s="1"/>
  <c r="W50" i="312"/>
  <c r="V50" i="312"/>
  <c r="P50" i="312"/>
  <c r="N50" i="312"/>
  <c r="L50" i="312"/>
  <c r="K50" i="312"/>
  <c r="J50" i="312"/>
  <c r="F50" i="312"/>
  <c r="H50" i="312" s="1"/>
  <c r="AF49" i="312"/>
  <c r="W49" i="312"/>
  <c r="N49" i="312" s="1"/>
  <c r="AG49" i="312" s="1"/>
  <c r="P49" i="312"/>
  <c r="O49" i="312"/>
  <c r="K49" i="312"/>
  <c r="J49" i="312"/>
  <c r="F49" i="312"/>
  <c r="H49" i="312" s="1"/>
  <c r="AE48" i="312"/>
  <c r="AD48" i="312"/>
  <c r="AA48" i="312"/>
  <c r="G19" i="311" s="1"/>
  <c r="Z48" i="312"/>
  <c r="W48" i="312"/>
  <c r="M48" i="312"/>
  <c r="K48" i="312"/>
  <c r="W47" i="312"/>
  <c r="H47" i="312"/>
  <c r="W46" i="312"/>
  <c r="W45" i="312"/>
  <c r="W44" i="312"/>
  <c r="W43" i="312"/>
  <c r="W42" i="312"/>
  <c r="W41" i="312"/>
  <c r="W40" i="312"/>
  <c r="V40" i="312"/>
  <c r="P40" i="312"/>
  <c r="N40" i="312"/>
  <c r="L40" i="312"/>
  <c r="J40" i="312"/>
  <c r="F40" i="312"/>
  <c r="H40" i="312" s="1"/>
  <c r="W39" i="312"/>
  <c r="N39" i="312" s="1"/>
  <c r="V39" i="312"/>
  <c r="L39" i="312"/>
  <c r="J39" i="312"/>
  <c r="P39" i="312" s="1"/>
  <c r="F39" i="312"/>
  <c r="H39" i="312" s="1"/>
  <c r="W38" i="312"/>
  <c r="P38" i="312"/>
  <c r="K38" i="312"/>
  <c r="J38" i="312"/>
  <c r="J48" i="312" s="1"/>
  <c r="G38" i="312"/>
  <c r="F38" i="312"/>
  <c r="AE37" i="312"/>
  <c r="F21" i="311" s="1"/>
  <c r="AD37" i="312"/>
  <c r="AA37" i="312"/>
  <c r="F19" i="311" s="1"/>
  <c r="Z37" i="312"/>
  <c r="M37" i="312"/>
  <c r="F22" i="311" s="1"/>
  <c r="W36" i="312"/>
  <c r="H36" i="312"/>
  <c r="W35" i="312"/>
  <c r="W34" i="312"/>
  <c r="W33" i="312"/>
  <c r="W32" i="312"/>
  <c r="W31" i="312"/>
  <c r="W30" i="312"/>
  <c r="AG29" i="312"/>
  <c r="AF29" i="312"/>
  <c r="W29" i="312"/>
  <c r="V29" i="312"/>
  <c r="P29" i="312"/>
  <c r="O29" i="312"/>
  <c r="N29" i="312"/>
  <c r="K29" i="312"/>
  <c r="J29" i="312"/>
  <c r="F29" i="312"/>
  <c r="H29" i="312" s="1"/>
  <c r="AF28" i="312"/>
  <c r="W28" i="312"/>
  <c r="N28" i="312" s="1"/>
  <c r="V28" i="312"/>
  <c r="P28" i="312"/>
  <c r="K28" i="312"/>
  <c r="L28" i="312" s="1"/>
  <c r="J28" i="312"/>
  <c r="F28" i="312"/>
  <c r="H28" i="312" s="1"/>
  <c r="AG27" i="312"/>
  <c r="AF27" i="312"/>
  <c r="W27" i="312"/>
  <c r="N27" i="312"/>
  <c r="K27" i="312"/>
  <c r="J27" i="312"/>
  <c r="P27" i="312" s="1"/>
  <c r="G27" i="312"/>
  <c r="F27" i="312"/>
  <c r="AE26" i="312"/>
  <c r="E21" i="311" s="1"/>
  <c r="AD26" i="312"/>
  <c r="AA26" i="312"/>
  <c r="Z26" i="312"/>
  <c r="M26" i="312"/>
  <c r="J26" i="312"/>
  <c r="W25" i="312"/>
  <c r="H25" i="312"/>
  <c r="W24" i="312"/>
  <c r="H24" i="312"/>
  <c r="W23" i="312"/>
  <c r="W21" i="312"/>
  <c r="AG20" i="312"/>
  <c r="AF20" i="312"/>
  <c r="W20" i="312"/>
  <c r="W19" i="312"/>
  <c r="N19" i="312" s="1"/>
  <c r="AG19" i="312" s="1"/>
  <c r="V19" i="312"/>
  <c r="O19" i="312"/>
  <c r="K19" i="312"/>
  <c r="J19" i="312"/>
  <c r="P19" i="312" s="1"/>
  <c r="H19" i="312"/>
  <c r="F19" i="312"/>
  <c r="W18" i="312"/>
  <c r="N18" i="312" s="1"/>
  <c r="V18" i="312"/>
  <c r="P18" i="312"/>
  <c r="O18" i="312"/>
  <c r="K18" i="312"/>
  <c r="J18" i="312"/>
  <c r="H18" i="312"/>
  <c r="F18" i="312"/>
  <c r="W17" i="312"/>
  <c r="V17" i="312"/>
  <c r="P17" i="312"/>
  <c r="N17" i="312"/>
  <c r="O17" i="312" s="1"/>
  <c r="K17" i="312"/>
  <c r="J17" i="312"/>
  <c r="H17" i="312"/>
  <c r="F17" i="312"/>
  <c r="W16" i="312"/>
  <c r="N16" i="312" s="1"/>
  <c r="P16" i="312"/>
  <c r="K16" i="312"/>
  <c r="L16" i="312" s="1"/>
  <c r="J16" i="312"/>
  <c r="H16" i="312"/>
  <c r="F16" i="312"/>
  <c r="AE15" i="312"/>
  <c r="D21" i="311" s="1"/>
  <c r="AD15" i="312"/>
  <c r="AA15" i="312"/>
  <c r="Z15" i="312"/>
  <c r="M15" i="312"/>
  <c r="W14" i="312"/>
  <c r="W13" i="312"/>
  <c r="W12" i="312"/>
  <c r="W11" i="312"/>
  <c r="W10" i="312"/>
  <c r="W9" i="312"/>
  <c r="N9" i="312" s="1"/>
  <c r="O9" i="312" s="1"/>
  <c r="V9" i="312"/>
  <c r="K9" i="312"/>
  <c r="J9" i="312"/>
  <c r="F9" i="312"/>
  <c r="H9" i="312" s="1"/>
  <c r="W8" i="312"/>
  <c r="V8" i="312"/>
  <c r="O8" i="312"/>
  <c r="N8" i="312"/>
  <c r="L8" i="312"/>
  <c r="K8" i="312"/>
  <c r="AG8" i="312" s="1"/>
  <c r="J8" i="312"/>
  <c r="P8" i="312" s="1"/>
  <c r="G8" i="312"/>
  <c r="F8" i="312"/>
  <c r="H8" i="312" s="1"/>
  <c r="W7" i="312"/>
  <c r="V7" i="312"/>
  <c r="Q7" i="312"/>
  <c r="O7" i="312"/>
  <c r="R7" i="312" s="1"/>
  <c r="N7" i="312"/>
  <c r="L7" i="312"/>
  <c r="K7" i="312"/>
  <c r="J7" i="312"/>
  <c r="P7" i="312" s="1"/>
  <c r="H7" i="312"/>
  <c r="F7" i="312"/>
  <c r="W6" i="312"/>
  <c r="V6" i="312"/>
  <c r="P6" i="312"/>
  <c r="L6" i="312"/>
  <c r="K6" i="312"/>
  <c r="K15" i="312" s="1"/>
  <c r="J6" i="312"/>
  <c r="G6" i="312"/>
  <c r="F6" i="312"/>
  <c r="H6" i="312" s="1"/>
  <c r="W5" i="312"/>
  <c r="P5" i="312"/>
  <c r="N5" i="312"/>
  <c r="K5" i="312"/>
  <c r="J5" i="312"/>
  <c r="L5" i="312" s="1"/>
  <c r="H5" i="312"/>
  <c r="F5" i="312"/>
  <c r="I2" i="312"/>
  <c r="I1" i="312"/>
  <c r="J22" i="311"/>
  <c r="I22" i="311"/>
  <c r="H22" i="311"/>
  <c r="G22" i="311"/>
  <c r="D22" i="311"/>
  <c r="J21" i="311"/>
  <c r="I21" i="311"/>
  <c r="G21" i="311"/>
  <c r="G20" i="311"/>
  <c r="F20" i="311"/>
  <c r="E20" i="311"/>
  <c r="J19" i="311"/>
  <c r="I19" i="311"/>
  <c r="H19" i="311"/>
  <c r="E19" i="311"/>
  <c r="D19" i="311"/>
  <c r="M6" i="311" s="1"/>
  <c r="H18" i="311"/>
  <c r="G18" i="311"/>
  <c r="F18" i="311"/>
  <c r="E18" i="311"/>
  <c r="D18" i="311"/>
  <c r="J16" i="311"/>
  <c r="I16" i="311"/>
  <c r="H16" i="311"/>
  <c r="G16" i="311"/>
  <c r="F16" i="311"/>
  <c r="E16" i="311"/>
  <c r="D16" i="311"/>
  <c r="O8" i="311"/>
  <c r="N8" i="311"/>
  <c r="M8" i="311"/>
  <c r="L8" i="311"/>
  <c r="O7" i="311"/>
  <c r="N7" i="311"/>
  <c r="M7" i="311"/>
  <c r="L7" i="311"/>
  <c r="AE79" i="310"/>
  <c r="AD79" i="310"/>
  <c r="J20" i="309" s="1"/>
  <c r="AA79" i="310"/>
  <c r="J18" i="309" s="1"/>
  <c r="Z79" i="310"/>
  <c r="M79" i="310"/>
  <c r="J22" i="309" s="1"/>
  <c r="W78" i="310"/>
  <c r="H78" i="310"/>
  <c r="W77" i="310"/>
  <c r="H77" i="310"/>
  <c r="W76" i="310"/>
  <c r="H76" i="310"/>
  <c r="W75" i="310"/>
  <c r="W74" i="310"/>
  <c r="N74" i="310" s="1"/>
  <c r="V74" i="310"/>
  <c r="K74" i="310"/>
  <c r="J74" i="310"/>
  <c r="F74" i="310"/>
  <c r="H74" i="310" s="1"/>
  <c r="AF73" i="310"/>
  <c r="W73" i="310"/>
  <c r="V73" i="310"/>
  <c r="P73" i="310"/>
  <c r="O73" i="310"/>
  <c r="N73" i="310"/>
  <c r="K73" i="310"/>
  <c r="L73" i="310" s="1"/>
  <c r="J73" i="310"/>
  <c r="H73" i="310"/>
  <c r="F73" i="310"/>
  <c r="AF72" i="310"/>
  <c r="W72" i="310"/>
  <c r="V72" i="310"/>
  <c r="P72" i="310"/>
  <c r="N72" i="310"/>
  <c r="AG72" i="310" s="1"/>
  <c r="K72" i="310"/>
  <c r="J72" i="310"/>
  <c r="L72" i="310" s="1"/>
  <c r="F72" i="310"/>
  <c r="H72" i="310" s="1"/>
  <c r="AG71" i="310"/>
  <c r="W71" i="310"/>
  <c r="V71" i="310"/>
  <c r="P71" i="310"/>
  <c r="N71" i="310"/>
  <c r="AF71" i="310" s="1"/>
  <c r="K71" i="310"/>
  <c r="J71" i="310"/>
  <c r="L71" i="310" s="1"/>
  <c r="H71" i="310"/>
  <c r="G71" i="310"/>
  <c r="F71" i="310"/>
  <c r="W70" i="310"/>
  <c r="N70" i="310" s="1"/>
  <c r="L70" i="310"/>
  <c r="K70" i="310"/>
  <c r="K79" i="310" s="1"/>
  <c r="J70" i="310"/>
  <c r="H70" i="310"/>
  <c r="F70" i="310"/>
  <c r="AE69" i="310"/>
  <c r="I21" i="309" s="1"/>
  <c r="AD69" i="310"/>
  <c r="AA69" i="310"/>
  <c r="Z69" i="310"/>
  <c r="M69" i="310"/>
  <c r="W68" i="310"/>
  <c r="H68" i="310"/>
  <c r="W67" i="310"/>
  <c r="W66" i="310"/>
  <c r="W65" i="310"/>
  <c r="W64" i="310"/>
  <c r="N64" i="310" s="1"/>
  <c r="V64" i="310"/>
  <c r="O64" i="310"/>
  <c r="K64" i="310"/>
  <c r="L64" i="310" s="1"/>
  <c r="R64" i="310" s="1"/>
  <c r="J64" i="310"/>
  <c r="P64" i="310" s="1"/>
  <c r="H64" i="310"/>
  <c r="F64" i="310"/>
  <c r="W63" i="310"/>
  <c r="V63" i="310"/>
  <c r="N63" i="310"/>
  <c r="K63" i="310"/>
  <c r="J63" i="310"/>
  <c r="P63" i="310" s="1"/>
  <c r="F63" i="310"/>
  <c r="H63" i="310" s="1"/>
  <c r="W62" i="310"/>
  <c r="N62" i="310" s="1"/>
  <c r="V62" i="310"/>
  <c r="P62" i="310"/>
  <c r="L62" i="310"/>
  <c r="K62" i="310"/>
  <c r="J62" i="310"/>
  <c r="F62" i="310"/>
  <c r="H62" i="310" s="1"/>
  <c r="AG61" i="310"/>
  <c r="W61" i="310"/>
  <c r="V61" i="310"/>
  <c r="N61" i="310"/>
  <c r="AF61" i="310" s="1"/>
  <c r="K61" i="310"/>
  <c r="J61" i="310"/>
  <c r="F61" i="310"/>
  <c r="H61" i="310" s="1"/>
  <c r="W60" i="310"/>
  <c r="N60" i="310" s="1"/>
  <c r="V60" i="310"/>
  <c r="P60" i="310"/>
  <c r="O60" i="310"/>
  <c r="K60" i="310"/>
  <c r="J60" i="310"/>
  <c r="F60" i="310"/>
  <c r="H60" i="310" s="1"/>
  <c r="W59" i="310"/>
  <c r="N59" i="310"/>
  <c r="K59" i="310"/>
  <c r="L59" i="310" s="1"/>
  <c r="J59" i="310"/>
  <c r="P59" i="310" s="1"/>
  <c r="F59" i="310"/>
  <c r="H59" i="310" s="1"/>
  <c r="AE58" i="310"/>
  <c r="AD58" i="310"/>
  <c r="H20" i="309" s="1"/>
  <c r="AA58" i="310"/>
  <c r="Z58" i="310"/>
  <c r="M58" i="310"/>
  <c r="I1" i="310" s="1"/>
  <c r="J58" i="310"/>
  <c r="W57" i="310"/>
  <c r="W56" i="310"/>
  <c r="W55" i="310"/>
  <c r="W54" i="310"/>
  <c r="W53" i="310"/>
  <c r="W52" i="310"/>
  <c r="N52" i="310" s="1"/>
  <c r="V52" i="310"/>
  <c r="P52" i="310"/>
  <c r="O52" i="310"/>
  <c r="L52" i="310"/>
  <c r="K52" i="310"/>
  <c r="J52" i="310"/>
  <c r="F52" i="310"/>
  <c r="H52" i="310" s="1"/>
  <c r="AG51" i="310"/>
  <c r="W51" i="310"/>
  <c r="N51" i="310" s="1"/>
  <c r="V51" i="310"/>
  <c r="K51" i="310"/>
  <c r="J51" i="310"/>
  <c r="P51" i="310" s="1"/>
  <c r="F51" i="310"/>
  <c r="H51" i="310" s="1"/>
  <c r="W50" i="310"/>
  <c r="V50" i="310"/>
  <c r="K50" i="310"/>
  <c r="J50" i="310"/>
  <c r="P50" i="310" s="1"/>
  <c r="H50" i="310"/>
  <c r="G50" i="310"/>
  <c r="F50" i="310"/>
  <c r="W49" i="310"/>
  <c r="N49" i="310" s="1"/>
  <c r="O49" i="310" s="1"/>
  <c r="L49" i="310"/>
  <c r="K49" i="310"/>
  <c r="J49" i="310"/>
  <c r="P49" i="310" s="1"/>
  <c r="F49" i="310"/>
  <c r="H49" i="310" s="1"/>
  <c r="AE48" i="310"/>
  <c r="AD48" i="310"/>
  <c r="G20" i="309" s="1"/>
  <c r="AA48" i="310"/>
  <c r="Z48" i="310"/>
  <c r="W48" i="310"/>
  <c r="M48" i="310"/>
  <c r="K48" i="310"/>
  <c r="W47" i="310"/>
  <c r="H47" i="310"/>
  <c r="W46" i="310"/>
  <c r="W45" i="310"/>
  <c r="W44" i="310"/>
  <c r="W43" i="310"/>
  <c r="W42" i="310"/>
  <c r="W41" i="310"/>
  <c r="V41" i="310"/>
  <c r="P41" i="310"/>
  <c r="N41" i="310"/>
  <c r="O41" i="310" s="1"/>
  <c r="J41" i="310"/>
  <c r="L41" i="310" s="1"/>
  <c r="F41" i="310"/>
  <c r="H41" i="310" s="1"/>
  <c r="AF40" i="310"/>
  <c r="W40" i="310"/>
  <c r="N40" i="310" s="1"/>
  <c r="AG40" i="310" s="1"/>
  <c r="V40" i="310"/>
  <c r="O40" i="310"/>
  <c r="J40" i="310"/>
  <c r="L40" i="310" s="1"/>
  <c r="F40" i="310"/>
  <c r="H40" i="310" s="1"/>
  <c r="AG39" i="310"/>
  <c r="AF39" i="310"/>
  <c r="W39" i="310"/>
  <c r="V39" i="310"/>
  <c r="P39" i="310"/>
  <c r="N39" i="310"/>
  <c r="O39" i="310" s="1"/>
  <c r="L39" i="310"/>
  <c r="J39" i="310"/>
  <c r="H39" i="310"/>
  <c r="F39" i="310"/>
  <c r="W38" i="310"/>
  <c r="N38" i="310" s="1"/>
  <c r="K38" i="310"/>
  <c r="J38" i="310"/>
  <c r="F38" i="310"/>
  <c r="H38" i="310" s="1"/>
  <c r="AE37" i="310"/>
  <c r="AD37" i="310"/>
  <c r="AA37" i="310"/>
  <c r="F19" i="309" s="1"/>
  <c r="Z37" i="310"/>
  <c r="M37" i="310"/>
  <c r="F22" i="309" s="1"/>
  <c r="W36" i="310"/>
  <c r="H36" i="310"/>
  <c r="W35" i="310"/>
  <c r="W34" i="310"/>
  <c r="W33" i="310"/>
  <c r="W32" i="310"/>
  <c r="W31" i="310"/>
  <c r="W30" i="310"/>
  <c r="W29" i="310"/>
  <c r="V29" i="310"/>
  <c r="P29" i="310"/>
  <c r="K29" i="310"/>
  <c r="L29" i="310" s="1"/>
  <c r="J29" i="310"/>
  <c r="G29" i="310"/>
  <c r="F29" i="310"/>
  <c r="W28" i="310"/>
  <c r="N28" i="310" s="1"/>
  <c r="AG28" i="310" s="1"/>
  <c r="V28" i="310"/>
  <c r="O28" i="310"/>
  <c r="K28" i="310"/>
  <c r="J28" i="310"/>
  <c r="P28" i="310" s="1"/>
  <c r="H28" i="310"/>
  <c r="F28" i="310"/>
  <c r="W27" i="310"/>
  <c r="K27" i="310"/>
  <c r="J27" i="310"/>
  <c r="G27" i="310"/>
  <c r="F27" i="310"/>
  <c r="AE26" i="310"/>
  <c r="AD26" i="310"/>
  <c r="AA26" i="310"/>
  <c r="E19" i="309" s="1"/>
  <c r="Z26" i="310"/>
  <c r="M26" i="310"/>
  <c r="W25" i="310"/>
  <c r="H25" i="310"/>
  <c r="W24" i="310"/>
  <c r="H24" i="310"/>
  <c r="W23" i="310"/>
  <c r="W21" i="310"/>
  <c r="W20" i="310"/>
  <c r="V20" i="310"/>
  <c r="N20" i="310"/>
  <c r="K20" i="310"/>
  <c r="L20" i="310" s="1"/>
  <c r="J20" i="310"/>
  <c r="P20" i="310" s="1"/>
  <c r="H20" i="310"/>
  <c r="F20" i="310"/>
  <c r="AF19" i="310"/>
  <c r="W19" i="310"/>
  <c r="V19" i="310"/>
  <c r="O19" i="310"/>
  <c r="N19" i="310"/>
  <c r="K19" i="310"/>
  <c r="J19" i="310"/>
  <c r="H19" i="310"/>
  <c r="F19" i="310"/>
  <c r="AG18" i="310"/>
  <c r="W18" i="310"/>
  <c r="V18" i="310"/>
  <c r="O18" i="310"/>
  <c r="N18" i="310"/>
  <c r="L18" i="310"/>
  <c r="K18" i="310"/>
  <c r="J18" i="310"/>
  <c r="P18" i="310" s="1"/>
  <c r="H18" i="310"/>
  <c r="F18" i="310"/>
  <c r="W17" i="310"/>
  <c r="V17" i="310"/>
  <c r="P17" i="310"/>
  <c r="N17" i="310"/>
  <c r="K17" i="310"/>
  <c r="J17" i="310"/>
  <c r="F17" i="310"/>
  <c r="H17" i="310" s="1"/>
  <c r="AF16" i="310"/>
  <c r="W16" i="310"/>
  <c r="N16" i="310" s="1"/>
  <c r="AG16" i="310" s="1"/>
  <c r="R16" i="310"/>
  <c r="P16" i="310"/>
  <c r="O16" i="310"/>
  <c r="L16" i="310"/>
  <c r="K16" i="310"/>
  <c r="J16" i="310"/>
  <c r="H16" i="310"/>
  <c r="F16" i="310"/>
  <c r="AE15" i="310"/>
  <c r="D21" i="309" s="1"/>
  <c r="AD15" i="310"/>
  <c r="D20" i="309" s="1"/>
  <c r="AA15" i="310"/>
  <c r="AA2" i="310" s="1"/>
  <c r="Z15" i="310"/>
  <c r="P15" i="310"/>
  <c r="M15" i="310"/>
  <c r="K15" i="310"/>
  <c r="W14" i="310"/>
  <c r="W13" i="310"/>
  <c r="W12" i="310"/>
  <c r="W11" i="310"/>
  <c r="W10" i="310"/>
  <c r="N10" i="310" s="1"/>
  <c r="O10" i="310" s="1"/>
  <c r="V10" i="310"/>
  <c r="P10" i="310"/>
  <c r="K10" i="310"/>
  <c r="L10" i="310" s="1"/>
  <c r="J10" i="310"/>
  <c r="H10" i="310"/>
  <c r="F10" i="310"/>
  <c r="W9" i="310"/>
  <c r="N9" i="310" s="1"/>
  <c r="O9" i="310" s="1"/>
  <c r="V9" i="310"/>
  <c r="P9" i="310"/>
  <c r="L9" i="310"/>
  <c r="K9" i="310"/>
  <c r="J9" i="310"/>
  <c r="H9" i="310"/>
  <c r="F9" i="310"/>
  <c r="AG8" i="310"/>
  <c r="AF8" i="310"/>
  <c r="W8" i="310"/>
  <c r="V8" i="310"/>
  <c r="P8" i="310"/>
  <c r="O8" i="310"/>
  <c r="Q8" i="310" s="1"/>
  <c r="N8" i="310"/>
  <c r="K8" i="310"/>
  <c r="L8" i="310" s="1"/>
  <c r="J8" i="310"/>
  <c r="F8" i="310"/>
  <c r="H8" i="310" s="1"/>
  <c r="W7" i="310"/>
  <c r="V7" i="310"/>
  <c r="P7" i="310"/>
  <c r="N7" i="310"/>
  <c r="K7" i="310"/>
  <c r="J7" i="310"/>
  <c r="H7" i="310"/>
  <c r="F7" i="310"/>
  <c r="AF6" i="310"/>
  <c r="W6" i="310"/>
  <c r="V6" i="310"/>
  <c r="P6" i="310"/>
  <c r="N6" i="310"/>
  <c r="L6" i="310"/>
  <c r="K6" i="310"/>
  <c r="J6" i="310"/>
  <c r="J15" i="310" s="1"/>
  <c r="F6" i="310"/>
  <c r="H6" i="310" s="1"/>
  <c r="W5" i="310"/>
  <c r="N5" i="310" s="1"/>
  <c r="P5" i="310"/>
  <c r="L5" i="310"/>
  <c r="K5" i="310"/>
  <c r="J5" i="310"/>
  <c r="F5" i="310"/>
  <c r="H5" i="310" s="1"/>
  <c r="Z2" i="310"/>
  <c r="I2" i="310"/>
  <c r="I22" i="309"/>
  <c r="E22" i="309"/>
  <c r="D22" i="309"/>
  <c r="J21" i="309"/>
  <c r="H21" i="309"/>
  <c r="G21" i="309"/>
  <c r="F21" i="309"/>
  <c r="E21" i="309"/>
  <c r="I20" i="309"/>
  <c r="F20" i="309"/>
  <c r="J19" i="309"/>
  <c r="I19" i="309"/>
  <c r="H19" i="309"/>
  <c r="G19" i="309"/>
  <c r="I18" i="309"/>
  <c r="H18" i="309"/>
  <c r="G18" i="309"/>
  <c r="F18" i="309"/>
  <c r="E18" i="309"/>
  <c r="D18" i="309"/>
  <c r="J16" i="309"/>
  <c r="I16" i="309"/>
  <c r="H16" i="309"/>
  <c r="G16" i="309"/>
  <c r="F16" i="309"/>
  <c r="E16" i="309"/>
  <c r="D16" i="309"/>
  <c r="O8" i="309"/>
  <c r="N8" i="309"/>
  <c r="M8" i="309"/>
  <c r="L8" i="309"/>
  <c r="O7" i="309"/>
  <c r="N7" i="309"/>
  <c r="M7" i="309"/>
  <c r="L7" i="309"/>
  <c r="AE79" i="308"/>
  <c r="J21" i="307" s="1"/>
  <c r="AD79" i="308"/>
  <c r="AA79" i="308"/>
  <c r="Z79" i="308"/>
  <c r="M79" i="308"/>
  <c r="W78" i="308"/>
  <c r="H78" i="308"/>
  <c r="W77" i="308"/>
  <c r="H77" i="308"/>
  <c r="W76" i="308"/>
  <c r="H76" i="308"/>
  <c r="W75" i="308"/>
  <c r="W74" i="308"/>
  <c r="W73" i="308"/>
  <c r="W72" i="308"/>
  <c r="V72" i="308"/>
  <c r="O72" i="308"/>
  <c r="N72" i="308"/>
  <c r="K72" i="308"/>
  <c r="L72" i="308" s="1"/>
  <c r="J72" i="308"/>
  <c r="P72" i="308" s="1"/>
  <c r="F72" i="308"/>
  <c r="H72" i="308" s="1"/>
  <c r="W71" i="308"/>
  <c r="V71" i="308"/>
  <c r="N71" i="308"/>
  <c r="O71" i="308" s="1"/>
  <c r="K71" i="308"/>
  <c r="L71" i="308" s="1"/>
  <c r="J71" i="308"/>
  <c r="F71" i="308"/>
  <c r="H71" i="308" s="1"/>
  <c r="W70" i="308"/>
  <c r="P70" i="308"/>
  <c r="N70" i="308"/>
  <c r="K70" i="308"/>
  <c r="J70" i="308"/>
  <c r="F70" i="308"/>
  <c r="H70" i="308" s="1"/>
  <c r="AE69" i="308"/>
  <c r="I21" i="307" s="1"/>
  <c r="AD69" i="308"/>
  <c r="AA69" i="308"/>
  <c r="Z69" i="308"/>
  <c r="M69" i="308"/>
  <c r="W68" i="308"/>
  <c r="H68" i="308"/>
  <c r="W67" i="308"/>
  <c r="W66" i="308"/>
  <c r="W65" i="308"/>
  <c r="W64" i="308"/>
  <c r="V64" i="308"/>
  <c r="O64" i="308"/>
  <c r="N64" i="308"/>
  <c r="K64" i="308"/>
  <c r="J64" i="308"/>
  <c r="P64" i="308" s="1"/>
  <c r="F64" i="308"/>
  <c r="H64" i="308" s="1"/>
  <c r="W63" i="308"/>
  <c r="V63" i="308"/>
  <c r="P63" i="308"/>
  <c r="O63" i="308"/>
  <c r="N63" i="308"/>
  <c r="K63" i="308"/>
  <c r="L63" i="308" s="1"/>
  <c r="J63" i="308"/>
  <c r="H63" i="308"/>
  <c r="F63" i="308"/>
  <c r="AG62" i="308"/>
  <c r="W62" i="308"/>
  <c r="V62" i="308"/>
  <c r="P62" i="308"/>
  <c r="N62" i="308"/>
  <c r="K62" i="308"/>
  <c r="J62" i="308"/>
  <c r="L62" i="308" s="1"/>
  <c r="H62" i="308"/>
  <c r="F62" i="308"/>
  <c r="W61" i="308"/>
  <c r="V61" i="308"/>
  <c r="P61" i="308"/>
  <c r="N61" i="308"/>
  <c r="K61" i="308"/>
  <c r="L61" i="308" s="1"/>
  <c r="J61" i="308"/>
  <c r="F61" i="308"/>
  <c r="H61" i="308" s="1"/>
  <c r="AG60" i="308"/>
  <c r="AF60" i="308"/>
  <c r="W60" i="308"/>
  <c r="N60" i="308" s="1"/>
  <c r="V60" i="308"/>
  <c r="O60" i="308"/>
  <c r="K60" i="308"/>
  <c r="J60" i="308"/>
  <c r="H60" i="308"/>
  <c r="F60" i="308"/>
  <c r="W59" i="308"/>
  <c r="N59" i="308" s="1"/>
  <c r="K59" i="308"/>
  <c r="J59" i="308"/>
  <c r="P59" i="308" s="1"/>
  <c r="H59" i="308"/>
  <c r="F59" i="308"/>
  <c r="AE58" i="308"/>
  <c r="AD58" i="308"/>
  <c r="AA58" i="308"/>
  <c r="Z58" i="308"/>
  <c r="M58" i="308"/>
  <c r="W57" i="308"/>
  <c r="W56" i="308"/>
  <c r="W55" i="308"/>
  <c r="W54" i="308"/>
  <c r="W53" i="308"/>
  <c r="AF52" i="308"/>
  <c r="W52" i="308"/>
  <c r="N52" i="308" s="1"/>
  <c r="O52" i="308" s="1"/>
  <c r="V52" i="308"/>
  <c r="K52" i="308"/>
  <c r="J52" i="308"/>
  <c r="P52" i="308" s="1"/>
  <c r="H52" i="308"/>
  <c r="F52" i="308"/>
  <c r="AG51" i="308"/>
  <c r="AF51" i="308"/>
  <c r="W51" i="308"/>
  <c r="N51" i="308" s="1"/>
  <c r="O51" i="308" s="1"/>
  <c r="V51" i="308"/>
  <c r="L51" i="308"/>
  <c r="K51" i="308"/>
  <c r="J51" i="308"/>
  <c r="P51" i="308" s="1"/>
  <c r="F51" i="308"/>
  <c r="H51" i="308" s="1"/>
  <c r="W50" i="308"/>
  <c r="V50" i="308"/>
  <c r="N50" i="308"/>
  <c r="K50" i="308"/>
  <c r="L50" i="308" s="1"/>
  <c r="J50" i="308"/>
  <c r="P50" i="308" s="1"/>
  <c r="H50" i="308"/>
  <c r="F50" i="308"/>
  <c r="W49" i="308"/>
  <c r="P49" i="308"/>
  <c r="N49" i="308"/>
  <c r="K49" i="308"/>
  <c r="J49" i="308"/>
  <c r="J58" i="308" s="1"/>
  <c r="H49" i="308"/>
  <c r="F49" i="308"/>
  <c r="AE48" i="308"/>
  <c r="G21" i="307" s="1"/>
  <c r="AD48" i="308"/>
  <c r="AA48" i="308"/>
  <c r="G19" i="307" s="1"/>
  <c r="Z48" i="308"/>
  <c r="G18" i="307" s="1"/>
  <c r="W48" i="308"/>
  <c r="M48" i="308"/>
  <c r="W47" i="308"/>
  <c r="H47" i="308"/>
  <c r="W46" i="308"/>
  <c r="W45" i="308"/>
  <c r="W44" i="308"/>
  <c r="W43" i="308"/>
  <c r="W42" i="308"/>
  <c r="W41" i="308"/>
  <c r="W40" i="308"/>
  <c r="V40" i="308"/>
  <c r="L40" i="308"/>
  <c r="J40" i="308"/>
  <c r="P40" i="308" s="1"/>
  <c r="G40" i="308"/>
  <c r="E1" i="308" s="1"/>
  <c r="G3" i="307" s="1"/>
  <c r="F40" i="308"/>
  <c r="W39" i="308"/>
  <c r="V39" i="308"/>
  <c r="P39" i="308"/>
  <c r="N39" i="308"/>
  <c r="J39" i="308"/>
  <c r="L39" i="308" s="1"/>
  <c r="F39" i="308"/>
  <c r="H39" i="308" s="1"/>
  <c r="W38" i="308"/>
  <c r="P38" i="308"/>
  <c r="N38" i="308"/>
  <c r="L38" i="308"/>
  <c r="L48" i="308" s="1"/>
  <c r="G13" i="307" s="1"/>
  <c r="K38" i="308"/>
  <c r="K48" i="308" s="1"/>
  <c r="J38" i="308"/>
  <c r="J48" i="308" s="1"/>
  <c r="H38" i="308"/>
  <c r="F38" i="308"/>
  <c r="AE37" i="308"/>
  <c r="AD37" i="308"/>
  <c r="AA37" i="308"/>
  <c r="Z37" i="308"/>
  <c r="P37" i="308"/>
  <c r="M37" i="308"/>
  <c r="J37" i="308"/>
  <c r="W36" i="308"/>
  <c r="H36" i="308"/>
  <c r="W35" i="308"/>
  <c r="W34" i="308"/>
  <c r="W33" i="308"/>
  <c r="W32" i="308"/>
  <c r="W31" i="308"/>
  <c r="W30" i="308"/>
  <c r="W29" i="308"/>
  <c r="V29" i="308"/>
  <c r="O29" i="308"/>
  <c r="N29" i="308"/>
  <c r="K29" i="308"/>
  <c r="J29" i="308"/>
  <c r="P29" i="308" s="1"/>
  <c r="H29" i="308"/>
  <c r="F29" i="308"/>
  <c r="W28" i="308"/>
  <c r="V28" i="308"/>
  <c r="P28" i="308"/>
  <c r="N28" i="308"/>
  <c r="L28" i="308"/>
  <c r="K28" i="308"/>
  <c r="J28" i="308"/>
  <c r="F28" i="308"/>
  <c r="H28" i="308" s="1"/>
  <c r="W27" i="308"/>
  <c r="P27" i="308"/>
  <c r="N27" i="308"/>
  <c r="K27" i="308"/>
  <c r="K37" i="308" s="1"/>
  <c r="J27" i="308"/>
  <c r="L27" i="308" s="1"/>
  <c r="H27" i="308"/>
  <c r="F27" i="308"/>
  <c r="AE26" i="308"/>
  <c r="E21" i="307" s="1"/>
  <c r="AD26" i="308"/>
  <c r="E20" i="307" s="1"/>
  <c r="AA26" i="308"/>
  <c r="AA2" i="308" s="1"/>
  <c r="Z26" i="308"/>
  <c r="E18" i="307" s="1"/>
  <c r="M26" i="308"/>
  <c r="W25" i="308"/>
  <c r="H25" i="308"/>
  <c r="W24" i="308"/>
  <c r="H24" i="308"/>
  <c r="W23" i="308"/>
  <c r="W21" i="308"/>
  <c r="W20" i="308"/>
  <c r="V20" i="308"/>
  <c r="P20" i="308"/>
  <c r="O20" i="308"/>
  <c r="Q20" i="308" s="1"/>
  <c r="N20" i="308"/>
  <c r="L20" i="308"/>
  <c r="K20" i="308"/>
  <c r="J20" i="308"/>
  <c r="H20" i="308"/>
  <c r="F20" i="308"/>
  <c r="W19" i="308"/>
  <c r="V19" i="308"/>
  <c r="P19" i="308"/>
  <c r="K19" i="308"/>
  <c r="L19" i="308" s="1"/>
  <c r="J19" i="308"/>
  <c r="G19" i="308"/>
  <c r="F19" i="308"/>
  <c r="H19" i="308" s="1"/>
  <c r="W18" i="308"/>
  <c r="N18" i="308" s="1"/>
  <c r="V18" i="308"/>
  <c r="L18" i="308"/>
  <c r="K18" i="308"/>
  <c r="J18" i="308"/>
  <c r="P18" i="308" s="1"/>
  <c r="H18" i="308"/>
  <c r="F18" i="308"/>
  <c r="W17" i="308"/>
  <c r="N17" i="308" s="1"/>
  <c r="V17" i="308"/>
  <c r="O17" i="308"/>
  <c r="K17" i="308"/>
  <c r="J17" i="308"/>
  <c r="P17" i="308" s="1"/>
  <c r="H17" i="308"/>
  <c r="F17" i="308"/>
  <c r="W16" i="308"/>
  <c r="N16" i="308"/>
  <c r="K16" i="308"/>
  <c r="J16" i="308"/>
  <c r="P16" i="308" s="1"/>
  <c r="H16" i="308"/>
  <c r="F16" i="308"/>
  <c r="AE15" i="308"/>
  <c r="AD15" i="308"/>
  <c r="D20" i="307" s="1"/>
  <c r="AA15" i="308"/>
  <c r="Z15" i="308"/>
  <c r="D18" i="307" s="1"/>
  <c r="M15" i="308"/>
  <c r="W14" i="308"/>
  <c r="W13" i="308"/>
  <c r="W12" i="308"/>
  <c r="W11" i="308"/>
  <c r="W10" i="308"/>
  <c r="W9" i="308"/>
  <c r="V9" i="308"/>
  <c r="N9" i="308"/>
  <c r="O9" i="308" s="1"/>
  <c r="K9" i="308"/>
  <c r="J9" i="308"/>
  <c r="P9" i="308" s="1"/>
  <c r="F9" i="308"/>
  <c r="H9" i="308" s="1"/>
  <c r="W8" i="308"/>
  <c r="V8" i="308"/>
  <c r="N8" i="308"/>
  <c r="O8" i="308" s="1"/>
  <c r="K8" i="308"/>
  <c r="J8" i="308"/>
  <c r="P8" i="308" s="1"/>
  <c r="H8" i="308"/>
  <c r="F8" i="308"/>
  <c r="W7" i="308"/>
  <c r="V7" i="308"/>
  <c r="O7" i="308"/>
  <c r="N7" i="308"/>
  <c r="K7" i="308"/>
  <c r="J7" i="308"/>
  <c r="H7" i="308"/>
  <c r="F7" i="308"/>
  <c r="W6" i="308"/>
  <c r="N6" i="308" s="1"/>
  <c r="V6" i="308"/>
  <c r="P6" i="308"/>
  <c r="L6" i="308"/>
  <c r="K6" i="308"/>
  <c r="J6" i="308"/>
  <c r="H6" i="308"/>
  <c r="F6" i="308"/>
  <c r="AF5" i="308"/>
  <c r="W5" i="308"/>
  <c r="N5" i="308" s="1"/>
  <c r="K5" i="308"/>
  <c r="J5" i="308"/>
  <c r="L5" i="308" s="1"/>
  <c r="F5" i="308"/>
  <c r="H5" i="308" s="1"/>
  <c r="AD2" i="308"/>
  <c r="Z2" i="308"/>
  <c r="I2" i="308"/>
  <c r="J22" i="307"/>
  <c r="I22" i="307"/>
  <c r="F22" i="307"/>
  <c r="E22" i="307"/>
  <c r="D22" i="307"/>
  <c r="H21" i="307"/>
  <c r="F21" i="307"/>
  <c r="D21" i="307"/>
  <c r="J20" i="307"/>
  <c r="I20" i="307"/>
  <c r="H20" i="307"/>
  <c r="G20" i="307"/>
  <c r="F20" i="307"/>
  <c r="J19" i="307"/>
  <c r="I19" i="307"/>
  <c r="H19" i="307"/>
  <c r="F19" i="307"/>
  <c r="E19" i="307"/>
  <c r="D19" i="307"/>
  <c r="J18" i="307"/>
  <c r="I18" i="307"/>
  <c r="H18" i="307"/>
  <c r="F18" i="307"/>
  <c r="J16" i="307"/>
  <c r="I16" i="307"/>
  <c r="H16" i="307"/>
  <c r="G16" i="307"/>
  <c r="F16" i="307"/>
  <c r="E16" i="307"/>
  <c r="D16" i="307"/>
  <c r="O8" i="307"/>
  <c r="N8" i="307"/>
  <c r="M8" i="307"/>
  <c r="L8" i="307"/>
  <c r="O7" i="307"/>
  <c r="N7" i="307"/>
  <c r="M7" i="307"/>
  <c r="L7" i="307"/>
  <c r="O6" i="307"/>
  <c r="N6" i="307"/>
  <c r="AE79" i="306"/>
  <c r="AD79" i="306"/>
  <c r="J20" i="305" s="1"/>
  <c r="AA79" i="306"/>
  <c r="J18" i="305" s="1"/>
  <c r="Z79" i="306"/>
  <c r="M79" i="306"/>
  <c r="K79" i="306"/>
  <c r="W78" i="306"/>
  <c r="H78" i="306"/>
  <c r="W77" i="306"/>
  <c r="H77" i="306"/>
  <c r="W76" i="306"/>
  <c r="H76" i="306"/>
  <c r="W75" i="306"/>
  <c r="W74" i="306"/>
  <c r="W73" i="306"/>
  <c r="N73" i="306" s="1"/>
  <c r="V73" i="306"/>
  <c r="P73" i="306"/>
  <c r="O73" i="306"/>
  <c r="K73" i="306"/>
  <c r="L73" i="306" s="1"/>
  <c r="J73" i="306"/>
  <c r="H73" i="306"/>
  <c r="F73" i="306"/>
  <c r="W72" i="306"/>
  <c r="N72" i="306" s="1"/>
  <c r="V72" i="306"/>
  <c r="P72" i="306"/>
  <c r="O72" i="306"/>
  <c r="K72" i="306"/>
  <c r="L72" i="306" s="1"/>
  <c r="R72" i="306" s="1"/>
  <c r="J72" i="306"/>
  <c r="H72" i="306"/>
  <c r="F72" i="306"/>
  <c r="W71" i="306"/>
  <c r="V71" i="306"/>
  <c r="P71" i="306"/>
  <c r="K71" i="306"/>
  <c r="L71" i="306" s="1"/>
  <c r="J71" i="306"/>
  <c r="H71" i="306"/>
  <c r="G71" i="306"/>
  <c r="N71" i="306" s="1"/>
  <c r="O71" i="306" s="1"/>
  <c r="F71" i="306"/>
  <c r="W70" i="306"/>
  <c r="N70" i="306"/>
  <c r="K70" i="306"/>
  <c r="J70" i="306"/>
  <c r="F70" i="306"/>
  <c r="H70" i="306" s="1"/>
  <c r="AE69" i="306"/>
  <c r="AD69" i="306"/>
  <c r="AA69" i="306"/>
  <c r="Z69" i="306"/>
  <c r="O69" i="306"/>
  <c r="N69" i="306"/>
  <c r="M69" i="306"/>
  <c r="I22" i="305" s="1"/>
  <c r="W68" i="306"/>
  <c r="H68" i="306"/>
  <c r="W67" i="306"/>
  <c r="W66" i="306"/>
  <c r="W65" i="306"/>
  <c r="W64" i="306"/>
  <c r="W63" i="306"/>
  <c r="AG62" i="306"/>
  <c r="AF62" i="306"/>
  <c r="W62" i="306"/>
  <c r="V62" i="306"/>
  <c r="N62" i="306"/>
  <c r="O62" i="306" s="1"/>
  <c r="K62" i="306"/>
  <c r="L62" i="306" s="1"/>
  <c r="J62" i="306"/>
  <c r="P62" i="306" s="1"/>
  <c r="H62" i="306"/>
  <c r="F62" i="306"/>
  <c r="W61" i="306"/>
  <c r="V61" i="306"/>
  <c r="P61" i="306"/>
  <c r="N61" i="306"/>
  <c r="O61" i="306" s="1"/>
  <c r="L61" i="306"/>
  <c r="K61" i="306"/>
  <c r="K69" i="306" s="1"/>
  <c r="J61" i="306"/>
  <c r="F61" i="306"/>
  <c r="H61" i="306" s="1"/>
  <c r="W60" i="306"/>
  <c r="V60" i="306"/>
  <c r="O60" i="306"/>
  <c r="N60" i="306"/>
  <c r="K60" i="306"/>
  <c r="L60" i="306" s="1"/>
  <c r="J60" i="306"/>
  <c r="P60" i="306" s="1"/>
  <c r="H60" i="306"/>
  <c r="F60" i="306"/>
  <c r="AF59" i="306"/>
  <c r="W59" i="306"/>
  <c r="P59" i="306"/>
  <c r="O59" i="306"/>
  <c r="N59" i="306"/>
  <c r="AG59" i="306" s="1"/>
  <c r="K59" i="306"/>
  <c r="J59" i="306"/>
  <c r="F59" i="306"/>
  <c r="H59" i="306" s="1"/>
  <c r="AE58" i="306"/>
  <c r="AD58" i="306"/>
  <c r="H20" i="305" s="1"/>
  <c r="AA58" i="306"/>
  <c r="Z58" i="306"/>
  <c r="H18" i="305" s="1"/>
  <c r="M58" i="306"/>
  <c r="W57" i="306"/>
  <c r="W56" i="306"/>
  <c r="W55" i="306"/>
  <c r="W54" i="306"/>
  <c r="W53" i="306"/>
  <c r="W52" i="306"/>
  <c r="V52" i="306"/>
  <c r="P52" i="306"/>
  <c r="O52" i="306"/>
  <c r="N52" i="306"/>
  <c r="K52" i="306"/>
  <c r="L52" i="306" s="1"/>
  <c r="J52" i="306"/>
  <c r="G52" i="306"/>
  <c r="F52" i="306"/>
  <c r="H52" i="306" s="1"/>
  <c r="AG51" i="306"/>
  <c r="W51" i="306"/>
  <c r="N51" i="306" s="1"/>
  <c r="AF51" i="306" s="1"/>
  <c r="V51" i="306"/>
  <c r="P51" i="306"/>
  <c r="O51" i="306"/>
  <c r="K51" i="306"/>
  <c r="L51" i="306" s="1"/>
  <c r="J51" i="306"/>
  <c r="H51" i="306"/>
  <c r="F51" i="306"/>
  <c r="W50" i="306"/>
  <c r="N50" i="306" s="1"/>
  <c r="O50" i="306" s="1"/>
  <c r="V50" i="306"/>
  <c r="K50" i="306"/>
  <c r="J50" i="306"/>
  <c r="P50" i="306" s="1"/>
  <c r="F50" i="306"/>
  <c r="H50" i="306" s="1"/>
  <c r="W49" i="306"/>
  <c r="N49" i="306" s="1"/>
  <c r="O49" i="306" s="1"/>
  <c r="K49" i="306"/>
  <c r="J49" i="306"/>
  <c r="H49" i="306"/>
  <c r="F49" i="306"/>
  <c r="AE48" i="306"/>
  <c r="AD48" i="306"/>
  <c r="AA48" i="306"/>
  <c r="Z48" i="306"/>
  <c r="W48" i="306"/>
  <c r="N48" i="306"/>
  <c r="M48" i="306"/>
  <c r="W47" i="306"/>
  <c r="H47" i="306"/>
  <c r="W46" i="306"/>
  <c r="W45" i="306"/>
  <c r="W44" i="306"/>
  <c r="W43" i="306"/>
  <c r="W42" i="306"/>
  <c r="W41" i="306"/>
  <c r="W40" i="306"/>
  <c r="W39" i="306"/>
  <c r="V39" i="306"/>
  <c r="P39" i="306"/>
  <c r="N39" i="306"/>
  <c r="L39" i="306"/>
  <c r="J39" i="306"/>
  <c r="J48" i="306" s="1"/>
  <c r="H39" i="306"/>
  <c r="F39" i="306"/>
  <c r="W38" i="306"/>
  <c r="P38" i="306"/>
  <c r="O38" i="306"/>
  <c r="N38" i="306"/>
  <c r="L38" i="306"/>
  <c r="L48" i="306" s="1"/>
  <c r="G13" i="305" s="1"/>
  <c r="K38" i="306"/>
  <c r="K48" i="306" s="1"/>
  <c r="J38" i="306"/>
  <c r="H38" i="306"/>
  <c r="F38" i="306"/>
  <c r="AE37" i="306"/>
  <c r="F21" i="305" s="1"/>
  <c r="AD37" i="306"/>
  <c r="F20" i="305" s="1"/>
  <c r="AA37" i="306"/>
  <c r="F19" i="305" s="1"/>
  <c r="Z37" i="306"/>
  <c r="F18" i="305" s="1"/>
  <c r="M37" i="306"/>
  <c r="W36" i="306"/>
  <c r="H36" i="306"/>
  <c r="W35" i="306"/>
  <c r="W34" i="306"/>
  <c r="W33" i="306"/>
  <c r="W32" i="306"/>
  <c r="W31" i="306"/>
  <c r="W30" i="306"/>
  <c r="AF29" i="306"/>
  <c r="W29" i="306"/>
  <c r="V29" i="306"/>
  <c r="P29" i="306"/>
  <c r="N29" i="306"/>
  <c r="AG29" i="306" s="1"/>
  <c r="L29" i="306"/>
  <c r="J29" i="306"/>
  <c r="G29" i="306"/>
  <c r="F29" i="306"/>
  <c r="H29" i="306" s="1"/>
  <c r="W28" i="306"/>
  <c r="N28" i="306" s="1"/>
  <c r="V28" i="306"/>
  <c r="P28" i="306"/>
  <c r="K28" i="306"/>
  <c r="J28" i="306"/>
  <c r="L28" i="306" s="1"/>
  <c r="F28" i="306"/>
  <c r="H28" i="306" s="1"/>
  <c r="AG27" i="306"/>
  <c r="AF27" i="306"/>
  <c r="W27" i="306"/>
  <c r="N27" i="306"/>
  <c r="K27" i="306"/>
  <c r="J27" i="306"/>
  <c r="P27" i="306" s="1"/>
  <c r="H27" i="306"/>
  <c r="G27" i="306"/>
  <c r="F27" i="306"/>
  <c r="AE26" i="306"/>
  <c r="AD26" i="306"/>
  <c r="AA26" i="306"/>
  <c r="Z26" i="306"/>
  <c r="M26" i="306"/>
  <c r="W25" i="306"/>
  <c r="H25" i="306"/>
  <c r="W24" i="306"/>
  <c r="H24" i="306"/>
  <c r="W23" i="306"/>
  <c r="W21" i="306"/>
  <c r="W20" i="306"/>
  <c r="N20" i="306" s="1"/>
  <c r="O20" i="306" s="1"/>
  <c r="V20" i="306"/>
  <c r="K20" i="306"/>
  <c r="L20" i="306" s="1"/>
  <c r="J20" i="306"/>
  <c r="P20" i="306" s="1"/>
  <c r="H20" i="306"/>
  <c r="F20" i="306"/>
  <c r="W19" i="306"/>
  <c r="V19" i="306"/>
  <c r="N19" i="306"/>
  <c r="O19" i="306" s="1"/>
  <c r="K19" i="306"/>
  <c r="L19" i="306" s="1"/>
  <c r="J19" i="306"/>
  <c r="P19" i="306" s="1"/>
  <c r="F19" i="306"/>
  <c r="H19" i="306" s="1"/>
  <c r="W18" i="306"/>
  <c r="V18" i="306"/>
  <c r="P18" i="306"/>
  <c r="N18" i="306"/>
  <c r="K18" i="306"/>
  <c r="J18" i="306"/>
  <c r="H18" i="306"/>
  <c r="F18" i="306"/>
  <c r="W17" i="306"/>
  <c r="V17" i="306"/>
  <c r="O17" i="306"/>
  <c r="N17" i="306"/>
  <c r="K17" i="306"/>
  <c r="J17" i="306"/>
  <c r="P17" i="306" s="1"/>
  <c r="H17" i="306"/>
  <c r="F17" i="306"/>
  <c r="W16" i="306"/>
  <c r="P16" i="306"/>
  <c r="O16" i="306"/>
  <c r="N16" i="306"/>
  <c r="K16" i="306"/>
  <c r="J16" i="306"/>
  <c r="L16" i="306" s="1"/>
  <c r="F16" i="306"/>
  <c r="H16" i="306" s="1"/>
  <c r="AE15" i="306"/>
  <c r="AD15" i="306"/>
  <c r="AD2" i="306" s="1"/>
  <c r="AA15" i="306"/>
  <c r="Z15" i="306"/>
  <c r="D18" i="305" s="1"/>
  <c r="M15" i="306"/>
  <c r="K15" i="306"/>
  <c r="W14" i="306"/>
  <c r="W13" i="306"/>
  <c r="W12" i="306"/>
  <c r="W11" i="306"/>
  <c r="W10" i="306"/>
  <c r="W9" i="306"/>
  <c r="W8" i="306"/>
  <c r="V8" i="306"/>
  <c r="P8" i="306"/>
  <c r="O8" i="306"/>
  <c r="N8" i="306"/>
  <c r="L8" i="306"/>
  <c r="K8" i="306"/>
  <c r="J8" i="306"/>
  <c r="G8" i="306"/>
  <c r="F8" i="306"/>
  <c r="H8" i="306" s="1"/>
  <c r="W7" i="306"/>
  <c r="N7" i="306" s="1"/>
  <c r="V7" i="306"/>
  <c r="K7" i="306"/>
  <c r="J7" i="306"/>
  <c r="L7" i="306" s="1"/>
  <c r="F7" i="306"/>
  <c r="H7" i="306" s="1"/>
  <c r="W6" i="306"/>
  <c r="N6" i="306" s="1"/>
  <c r="O6" i="306" s="1"/>
  <c r="V6" i="306"/>
  <c r="K6" i="306"/>
  <c r="J6" i="306"/>
  <c r="H6" i="306"/>
  <c r="F6" i="306"/>
  <c r="W5" i="306"/>
  <c r="K5" i="306"/>
  <c r="J5" i="306"/>
  <c r="H5" i="306"/>
  <c r="G5" i="306"/>
  <c r="F5" i="306"/>
  <c r="Z2" i="306"/>
  <c r="I2" i="306"/>
  <c r="F22" i="305"/>
  <c r="E22" i="305"/>
  <c r="J21" i="305"/>
  <c r="I21" i="305"/>
  <c r="H21" i="305"/>
  <c r="G21" i="305"/>
  <c r="E21" i="305"/>
  <c r="I20" i="305"/>
  <c r="G20" i="305"/>
  <c r="E20" i="305"/>
  <c r="J19" i="305"/>
  <c r="I19" i="305"/>
  <c r="H19" i="305"/>
  <c r="G19" i="305"/>
  <c r="E19" i="305"/>
  <c r="I18" i="305"/>
  <c r="G18" i="305"/>
  <c r="E18" i="305"/>
  <c r="J16" i="305"/>
  <c r="I16" i="305"/>
  <c r="H16" i="305"/>
  <c r="G16" i="305"/>
  <c r="F16" i="305"/>
  <c r="E16" i="305"/>
  <c r="D16" i="305"/>
  <c r="O8" i="305"/>
  <c r="N8" i="305"/>
  <c r="M8" i="305"/>
  <c r="L8" i="305"/>
  <c r="O7" i="305"/>
  <c r="N7" i="305"/>
  <c r="M7" i="305"/>
  <c r="L7" i="305"/>
  <c r="AE79" i="304"/>
  <c r="AD79" i="304"/>
  <c r="J20" i="303" s="1"/>
  <c r="AA79" i="304"/>
  <c r="Z79" i="304"/>
  <c r="M79" i="304"/>
  <c r="W78" i="304"/>
  <c r="H78" i="304"/>
  <c r="W77" i="304"/>
  <c r="H77" i="304"/>
  <c r="W76" i="304"/>
  <c r="H76" i="304"/>
  <c r="W75" i="304"/>
  <c r="W74" i="304"/>
  <c r="W73" i="304"/>
  <c r="W72" i="304"/>
  <c r="V72" i="304"/>
  <c r="O72" i="304"/>
  <c r="N72" i="304"/>
  <c r="L72" i="304"/>
  <c r="K72" i="304"/>
  <c r="J72" i="304"/>
  <c r="P72" i="304" s="1"/>
  <c r="H72" i="304"/>
  <c r="F72" i="304"/>
  <c r="W71" i="304"/>
  <c r="V71" i="304"/>
  <c r="O71" i="304"/>
  <c r="N71" i="304"/>
  <c r="K71" i="304"/>
  <c r="J71" i="304"/>
  <c r="H71" i="304"/>
  <c r="F71" i="304"/>
  <c r="W70" i="304"/>
  <c r="P70" i="304"/>
  <c r="N70" i="304"/>
  <c r="L70" i="304"/>
  <c r="K70" i="304"/>
  <c r="J70" i="304"/>
  <c r="G70" i="304"/>
  <c r="F70" i="304"/>
  <c r="H70" i="304" s="1"/>
  <c r="AE69" i="304"/>
  <c r="AD69" i="304"/>
  <c r="I20" i="303" s="1"/>
  <c r="AA69" i="304"/>
  <c r="I19" i="303" s="1"/>
  <c r="Z69" i="304"/>
  <c r="I18" i="303" s="1"/>
  <c r="M69" i="304"/>
  <c r="I22" i="303" s="1"/>
  <c r="K69" i="304"/>
  <c r="W68" i="304"/>
  <c r="H68" i="304"/>
  <c r="W67" i="304"/>
  <c r="W66" i="304"/>
  <c r="W65" i="304"/>
  <c r="W64" i="304"/>
  <c r="W63" i="304"/>
  <c r="W62" i="304"/>
  <c r="V62" i="304"/>
  <c r="P62" i="304"/>
  <c r="O62" i="304"/>
  <c r="N62" i="304"/>
  <c r="K62" i="304"/>
  <c r="J62" i="304"/>
  <c r="L62" i="304" s="1"/>
  <c r="F62" i="304"/>
  <c r="H62" i="304" s="1"/>
  <c r="AF61" i="304"/>
  <c r="W61" i="304"/>
  <c r="N61" i="304" s="1"/>
  <c r="V61" i="304"/>
  <c r="K61" i="304"/>
  <c r="J61" i="304"/>
  <c r="F61" i="304"/>
  <c r="H61" i="304" s="1"/>
  <c r="W60" i="304"/>
  <c r="N60" i="304" s="1"/>
  <c r="V60" i="304"/>
  <c r="K60" i="304"/>
  <c r="J60" i="304"/>
  <c r="P60" i="304" s="1"/>
  <c r="H60" i="304"/>
  <c r="F60" i="304"/>
  <c r="AG59" i="304"/>
  <c r="AF59" i="304"/>
  <c r="W59" i="304"/>
  <c r="P59" i="304"/>
  <c r="N59" i="304"/>
  <c r="K59" i="304"/>
  <c r="J59" i="304"/>
  <c r="L59" i="304" s="1"/>
  <c r="G59" i="304"/>
  <c r="H59" i="304" s="1"/>
  <c r="F59" i="304"/>
  <c r="AE58" i="304"/>
  <c r="AD58" i="304"/>
  <c r="H20" i="303" s="1"/>
  <c r="AA58" i="304"/>
  <c r="Z58" i="304"/>
  <c r="M58" i="304"/>
  <c r="W57" i="304"/>
  <c r="W56" i="304"/>
  <c r="W55" i="304"/>
  <c r="W54" i="304"/>
  <c r="AG53" i="304"/>
  <c r="AF53" i="304"/>
  <c r="W53" i="304"/>
  <c r="AG52" i="304"/>
  <c r="W52" i="304"/>
  <c r="V52" i="304"/>
  <c r="N52" i="304"/>
  <c r="K52" i="304"/>
  <c r="L52" i="304" s="1"/>
  <c r="J52" i="304"/>
  <c r="P52" i="304" s="1"/>
  <c r="H52" i="304"/>
  <c r="F52" i="304"/>
  <c r="W51" i="304"/>
  <c r="V51" i="304"/>
  <c r="P51" i="304"/>
  <c r="O51" i="304"/>
  <c r="R51" i="304" s="1"/>
  <c r="N51" i="304"/>
  <c r="L51" i="304"/>
  <c r="K51" i="304"/>
  <c r="J51" i="304"/>
  <c r="G51" i="304"/>
  <c r="F51" i="304"/>
  <c r="H51" i="304" s="1"/>
  <c r="W50" i="304"/>
  <c r="N50" i="304" s="1"/>
  <c r="V50" i="304"/>
  <c r="P50" i="304"/>
  <c r="K50" i="304"/>
  <c r="L50" i="304" s="1"/>
  <c r="J50" i="304"/>
  <c r="H50" i="304"/>
  <c r="F50" i="304"/>
  <c r="AF49" i="304"/>
  <c r="W49" i="304"/>
  <c r="N49" i="304" s="1"/>
  <c r="L49" i="304"/>
  <c r="K49" i="304"/>
  <c r="J49" i="304"/>
  <c r="F49" i="304"/>
  <c r="H49" i="304" s="1"/>
  <c r="AE48" i="304"/>
  <c r="AD48" i="304"/>
  <c r="G20" i="303" s="1"/>
  <c r="AA48" i="304"/>
  <c r="Z48" i="304"/>
  <c r="G18" i="303" s="1"/>
  <c r="W48" i="304"/>
  <c r="M48" i="304"/>
  <c r="W47" i="304"/>
  <c r="H47" i="304"/>
  <c r="W46" i="304"/>
  <c r="W45" i="304"/>
  <c r="W44" i="304"/>
  <c r="W43" i="304"/>
  <c r="W42" i="304"/>
  <c r="W41" i="304"/>
  <c r="V41" i="304"/>
  <c r="N41" i="304"/>
  <c r="J41" i="304"/>
  <c r="G41" i="304"/>
  <c r="H41" i="304" s="1"/>
  <c r="F41" i="304"/>
  <c r="W40" i="304"/>
  <c r="V40" i="304"/>
  <c r="N40" i="304"/>
  <c r="J40" i="304"/>
  <c r="P40" i="304" s="1"/>
  <c r="F40" i="304"/>
  <c r="H40" i="304" s="1"/>
  <c r="AG39" i="304"/>
  <c r="W39" i="304"/>
  <c r="V39" i="304"/>
  <c r="N39" i="304"/>
  <c r="K39" i="304"/>
  <c r="L39" i="304" s="1"/>
  <c r="J39" i="304"/>
  <c r="P39" i="304" s="1"/>
  <c r="H39" i="304"/>
  <c r="G39" i="304"/>
  <c r="F39" i="304"/>
  <c r="AF38" i="304"/>
  <c r="W38" i="304"/>
  <c r="P38" i="304"/>
  <c r="N38" i="304"/>
  <c r="K38" i="304"/>
  <c r="J38" i="304"/>
  <c r="F38" i="304"/>
  <c r="H38" i="304" s="1"/>
  <c r="AE37" i="304"/>
  <c r="AD37" i="304"/>
  <c r="F20" i="303" s="1"/>
  <c r="AA37" i="304"/>
  <c r="Z37" i="304"/>
  <c r="M37" i="304"/>
  <c r="J37" i="304"/>
  <c r="W36" i="304"/>
  <c r="H36" i="304"/>
  <c r="W35" i="304"/>
  <c r="W34" i="304"/>
  <c r="W33" i="304"/>
  <c r="W32" i="304"/>
  <c r="AG31" i="304"/>
  <c r="AF31" i="304"/>
  <c r="W31" i="304"/>
  <c r="AG30" i="304"/>
  <c r="AF30" i="304"/>
  <c r="W30" i="304"/>
  <c r="AG29" i="304"/>
  <c r="AF29" i="304"/>
  <c r="W29" i="304"/>
  <c r="AG28" i="304"/>
  <c r="W28" i="304"/>
  <c r="V28" i="304"/>
  <c r="O28" i="304"/>
  <c r="N28" i="304"/>
  <c r="K28" i="304"/>
  <c r="K37" i="304" s="1"/>
  <c r="J28" i="304"/>
  <c r="H28" i="304"/>
  <c r="G28" i="304"/>
  <c r="F28" i="304"/>
  <c r="AF27" i="304"/>
  <c r="W27" i="304"/>
  <c r="P27" i="304"/>
  <c r="O27" i="304"/>
  <c r="N27" i="304"/>
  <c r="K27" i="304"/>
  <c r="J27" i="304"/>
  <c r="L27" i="304" s="1"/>
  <c r="F27" i="304"/>
  <c r="H27" i="304" s="1"/>
  <c r="AE26" i="304"/>
  <c r="E21" i="303" s="1"/>
  <c r="AD26" i="304"/>
  <c r="AA26" i="304"/>
  <c r="E19" i="303" s="1"/>
  <c r="Z26" i="304"/>
  <c r="M26" i="304"/>
  <c r="W25" i="304"/>
  <c r="H25" i="304"/>
  <c r="W24" i="304"/>
  <c r="H24" i="304"/>
  <c r="W23" i="304"/>
  <c r="W21" i="304"/>
  <c r="W20" i="304"/>
  <c r="W19" i="304"/>
  <c r="V19" i="304"/>
  <c r="P19" i="304"/>
  <c r="N19" i="304"/>
  <c r="K19" i="304"/>
  <c r="J19" i="304"/>
  <c r="L19" i="304" s="1"/>
  <c r="F19" i="304"/>
  <c r="H19" i="304" s="1"/>
  <c r="AF18" i="304"/>
  <c r="W18" i="304"/>
  <c r="N18" i="304" s="1"/>
  <c r="V18" i="304"/>
  <c r="K18" i="304"/>
  <c r="J18" i="304"/>
  <c r="F18" i="304"/>
  <c r="H18" i="304" s="1"/>
  <c r="AF17" i="304"/>
  <c r="W17" i="304"/>
  <c r="N17" i="304" s="1"/>
  <c r="V17" i="304"/>
  <c r="L17" i="304"/>
  <c r="K17" i="304"/>
  <c r="J17" i="304"/>
  <c r="P17" i="304" s="1"/>
  <c r="F17" i="304"/>
  <c r="H17" i="304" s="1"/>
  <c r="AG16" i="304"/>
  <c r="W16" i="304"/>
  <c r="P16" i="304"/>
  <c r="N16" i="304"/>
  <c r="K16" i="304"/>
  <c r="L16" i="304" s="1"/>
  <c r="J16" i="304"/>
  <c r="H16" i="304"/>
  <c r="F16" i="304"/>
  <c r="AE15" i="304"/>
  <c r="AD15" i="304"/>
  <c r="AA15" i="304"/>
  <c r="Z15" i="304"/>
  <c r="M15" i="304"/>
  <c r="W14" i="304"/>
  <c r="W13" i="304"/>
  <c r="W12" i="304"/>
  <c r="AG11" i="304"/>
  <c r="AF11" i="304"/>
  <c r="W11" i="304"/>
  <c r="AG10" i="304"/>
  <c r="AF10" i="304"/>
  <c r="W10" i="304"/>
  <c r="W9" i="304"/>
  <c r="V9" i="304"/>
  <c r="N9" i="304"/>
  <c r="K9" i="304"/>
  <c r="L9" i="304" s="1"/>
  <c r="J9" i="304"/>
  <c r="P9" i="304" s="1"/>
  <c r="H9" i="304"/>
  <c r="F9" i="304"/>
  <c r="W8" i="304"/>
  <c r="V8" i="304"/>
  <c r="P8" i="304"/>
  <c r="N8" i="304"/>
  <c r="L8" i="304"/>
  <c r="K8" i="304"/>
  <c r="J8" i="304"/>
  <c r="H8" i="304"/>
  <c r="F8" i="304"/>
  <c r="AG7" i="304"/>
  <c r="W7" i="304"/>
  <c r="N7" i="304" s="1"/>
  <c r="AF7" i="304" s="1"/>
  <c r="V7" i="304"/>
  <c r="P7" i="304"/>
  <c r="O7" i="304"/>
  <c r="K7" i="304"/>
  <c r="L7" i="304" s="1"/>
  <c r="J7" i="304"/>
  <c r="H7" i="304"/>
  <c r="F7" i="304"/>
  <c r="AG6" i="304"/>
  <c r="W6" i="304"/>
  <c r="N6" i="304" s="1"/>
  <c r="O6" i="304" s="1"/>
  <c r="V6" i="304"/>
  <c r="P6" i="304"/>
  <c r="K6" i="304"/>
  <c r="J6" i="304"/>
  <c r="H6" i="304"/>
  <c r="F6" i="304"/>
  <c r="W5" i="304"/>
  <c r="K5" i="304"/>
  <c r="J5" i="304"/>
  <c r="G5" i="304"/>
  <c r="F5" i="304"/>
  <c r="I2" i="304"/>
  <c r="J22" i="303"/>
  <c r="H22" i="303"/>
  <c r="D22" i="303"/>
  <c r="J21" i="303"/>
  <c r="I21" i="303"/>
  <c r="H21" i="303"/>
  <c r="G21" i="303"/>
  <c r="F21" i="303"/>
  <c r="D21" i="303"/>
  <c r="D20" i="303"/>
  <c r="J19" i="303"/>
  <c r="H19" i="303"/>
  <c r="G19" i="303"/>
  <c r="F19" i="303"/>
  <c r="J18" i="303"/>
  <c r="H18" i="303"/>
  <c r="F18" i="303"/>
  <c r="E18" i="303"/>
  <c r="L6" i="303" s="1"/>
  <c r="D18" i="303"/>
  <c r="J16" i="303"/>
  <c r="I16" i="303"/>
  <c r="H16" i="303"/>
  <c r="G16" i="303"/>
  <c r="F16" i="303"/>
  <c r="E16" i="303"/>
  <c r="D16" i="303"/>
  <c r="O8" i="303"/>
  <c r="N8" i="303"/>
  <c r="M8" i="303"/>
  <c r="L8" i="303"/>
  <c r="O7" i="303"/>
  <c r="N7" i="303"/>
  <c r="M7" i="303"/>
  <c r="L7" i="303"/>
  <c r="AE79" i="302"/>
  <c r="AD79" i="302"/>
  <c r="AA79" i="302"/>
  <c r="Z79" i="302"/>
  <c r="M79" i="302"/>
  <c r="W78" i="302"/>
  <c r="H78" i="302"/>
  <c r="W77" i="302"/>
  <c r="H77" i="302"/>
  <c r="W76" i="302"/>
  <c r="H76" i="302"/>
  <c r="W75" i="302"/>
  <c r="W74" i="302"/>
  <c r="N74" i="302" s="1"/>
  <c r="O74" i="302" s="1"/>
  <c r="V74" i="302"/>
  <c r="P74" i="302"/>
  <c r="K74" i="302"/>
  <c r="J74" i="302"/>
  <c r="F74" i="302"/>
  <c r="H74" i="302" s="1"/>
  <c r="W73" i="302"/>
  <c r="V73" i="302"/>
  <c r="P73" i="302"/>
  <c r="N73" i="302"/>
  <c r="O73" i="302" s="1"/>
  <c r="K73" i="302"/>
  <c r="J73" i="302"/>
  <c r="H73" i="302"/>
  <c r="F73" i="302"/>
  <c r="W72" i="302"/>
  <c r="V72" i="302"/>
  <c r="N72" i="302"/>
  <c r="O72" i="302" s="1"/>
  <c r="K72" i="302"/>
  <c r="J72" i="302"/>
  <c r="P72" i="302" s="1"/>
  <c r="H72" i="302"/>
  <c r="F72" i="302"/>
  <c r="W71" i="302"/>
  <c r="N71" i="302" s="1"/>
  <c r="O71" i="302" s="1"/>
  <c r="V71" i="302"/>
  <c r="P71" i="302"/>
  <c r="K71" i="302"/>
  <c r="J71" i="302"/>
  <c r="F71" i="302"/>
  <c r="H71" i="302" s="1"/>
  <c r="W70" i="302"/>
  <c r="N70" i="302"/>
  <c r="K70" i="302"/>
  <c r="J70" i="302"/>
  <c r="P70" i="302" s="1"/>
  <c r="H70" i="302"/>
  <c r="F70" i="302"/>
  <c r="AE69" i="302"/>
  <c r="AD69" i="302"/>
  <c r="AA69" i="302"/>
  <c r="Z69" i="302"/>
  <c r="M69" i="302"/>
  <c r="W68" i="302"/>
  <c r="H68" i="302"/>
  <c r="W67" i="302"/>
  <c r="W66" i="302"/>
  <c r="W65" i="302"/>
  <c r="W64" i="302"/>
  <c r="W63" i="302"/>
  <c r="W62" i="302"/>
  <c r="V62" i="302"/>
  <c r="O62" i="302"/>
  <c r="N62" i="302"/>
  <c r="L62" i="302"/>
  <c r="K62" i="302"/>
  <c r="AG62" i="302" s="1"/>
  <c r="J62" i="302"/>
  <c r="P62" i="302" s="1"/>
  <c r="H62" i="302"/>
  <c r="G62" i="302"/>
  <c r="F62" i="302"/>
  <c r="W61" i="302"/>
  <c r="V61" i="302"/>
  <c r="P61" i="302"/>
  <c r="O61" i="302"/>
  <c r="N61" i="302"/>
  <c r="L61" i="302"/>
  <c r="K61" i="302"/>
  <c r="J61" i="302"/>
  <c r="H61" i="302"/>
  <c r="F61" i="302"/>
  <c r="W60" i="302"/>
  <c r="N60" i="302" s="1"/>
  <c r="V60" i="302"/>
  <c r="P60" i="302"/>
  <c r="O60" i="302"/>
  <c r="K60" i="302"/>
  <c r="J60" i="302"/>
  <c r="H60" i="302"/>
  <c r="F60" i="302"/>
  <c r="W59" i="302"/>
  <c r="O59" i="302"/>
  <c r="L59" i="302"/>
  <c r="K59" i="302"/>
  <c r="J59" i="302"/>
  <c r="H59" i="302"/>
  <c r="G59" i="302"/>
  <c r="N59" i="302" s="1"/>
  <c r="F59" i="302"/>
  <c r="AE58" i="302"/>
  <c r="AD58" i="302"/>
  <c r="AA58" i="302"/>
  <c r="Z58" i="302"/>
  <c r="P58" i="302"/>
  <c r="M58" i="302"/>
  <c r="H22" i="301" s="1"/>
  <c r="W57" i="302"/>
  <c r="W56" i="302"/>
  <c r="W55" i="302"/>
  <c r="W54" i="302"/>
  <c r="W53" i="302"/>
  <c r="N53" i="302" s="1"/>
  <c r="AG53" i="302" s="1"/>
  <c r="P53" i="302"/>
  <c r="O53" i="302"/>
  <c r="K53" i="302"/>
  <c r="L53" i="302" s="1"/>
  <c r="J53" i="302"/>
  <c r="H53" i="302"/>
  <c r="F53" i="302"/>
  <c r="W52" i="302"/>
  <c r="V52" i="302"/>
  <c r="P52" i="302"/>
  <c r="N52" i="302"/>
  <c r="K52" i="302"/>
  <c r="L52" i="302" s="1"/>
  <c r="J52" i="302"/>
  <c r="H52" i="302"/>
  <c r="F52" i="302"/>
  <c r="W51" i="302"/>
  <c r="N51" i="302" s="1"/>
  <c r="V51" i="302"/>
  <c r="P51" i="302"/>
  <c r="K51" i="302"/>
  <c r="L51" i="302" s="1"/>
  <c r="J51" i="302"/>
  <c r="H51" i="302"/>
  <c r="F51" i="302"/>
  <c r="W50" i="302"/>
  <c r="V50" i="302"/>
  <c r="P50" i="302"/>
  <c r="N50" i="302"/>
  <c r="K50" i="302"/>
  <c r="J50" i="302"/>
  <c r="J58" i="302" s="1"/>
  <c r="H50" i="302"/>
  <c r="G50" i="302"/>
  <c r="F50" i="302"/>
  <c r="W49" i="302"/>
  <c r="P49" i="302"/>
  <c r="O49" i="302"/>
  <c r="N49" i="302"/>
  <c r="AF49" i="302" s="1"/>
  <c r="L49" i="302"/>
  <c r="K49" i="302"/>
  <c r="J49" i="302"/>
  <c r="H49" i="302"/>
  <c r="F49" i="302"/>
  <c r="AE48" i="302"/>
  <c r="G21" i="301" s="1"/>
  <c r="AD48" i="302"/>
  <c r="G20" i="301" s="1"/>
  <c r="AA48" i="302"/>
  <c r="Z48" i="302"/>
  <c r="G18" i="301" s="1"/>
  <c r="W48" i="302"/>
  <c r="M48" i="302"/>
  <c r="G22" i="301" s="1"/>
  <c r="W47" i="302"/>
  <c r="H47" i="302"/>
  <c r="W46" i="302"/>
  <c r="W45" i="302"/>
  <c r="W44" i="302"/>
  <c r="W43" i="302"/>
  <c r="W42" i="302"/>
  <c r="AG41" i="302"/>
  <c r="AF41" i="302"/>
  <c r="W41" i="302"/>
  <c r="AG40" i="302"/>
  <c r="AF40" i="302"/>
  <c r="W40" i="302"/>
  <c r="W39" i="302"/>
  <c r="N39" i="302" s="1"/>
  <c r="V39" i="302"/>
  <c r="L39" i="302"/>
  <c r="J39" i="302"/>
  <c r="H39" i="302"/>
  <c r="F39" i="302"/>
  <c r="W38" i="302"/>
  <c r="L38" i="302"/>
  <c r="L48" i="302" s="1"/>
  <c r="G13" i="301" s="1"/>
  <c r="K38" i="302"/>
  <c r="K48" i="302" s="1"/>
  <c r="J38" i="302"/>
  <c r="P38" i="302" s="1"/>
  <c r="G38" i="302"/>
  <c r="H38" i="302" s="1"/>
  <c r="F38" i="302"/>
  <c r="AE37" i="302"/>
  <c r="AD37" i="302"/>
  <c r="AA37" i="302"/>
  <c r="Z37" i="302"/>
  <c r="F18" i="301" s="1"/>
  <c r="M37" i="302"/>
  <c r="W36" i="302"/>
  <c r="H36" i="302"/>
  <c r="W35" i="302"/>
  <c r="W34" i="302"/>
  <c r="W33" i="302"/>
  <c r="W32" i="302"/>
  <c r="AG31" i="302"/>
  <c r="AF31" i="302"/>
  <c r="W31" i="302"/>
  <c r="AG30" i="302"/>
  <c r="AF30" i="302"/>
  <c r="W30" i="302"/>
  <c r="W29" i="302"/>
  <c r="V29" i="302"/>
  <c r="P29" i="302"/>
  <c r="K29" i="302"/>
  <c r="J29" i="302"/>
  <c r="L29" i="302" s="1"/>
  <c r="G29" i="302"/>
  <c r="F29" i="302"/>
  <c r="H29" i="302" s="1"/>
  <c r="W28" i="302"/>
  <c r="N28" i="302" s="1"/>
  <c r="V28" i="302"/>
  <c r="P28" i="302"/>
  <c r="K28" i="302"/>
  <c r="L28" i="302" s="1"/>
  <c r="J28" i="302"/>
  <c r="H28" i="302"/>
  <c r="G28" i="302"/>
  <c r="F28" i="302"/>
  <c r="W27" i="302"/>
  <c r="N27" i="302"/>
  <c r="K27" i="302"/>
  <c r="J27" i="302"/>
  <c r="L27" i="302" s="1"/>
  <c r="L37" i="302" s="1"/>
  <c r="F13" i="301" s="1"/>
  <c r="G27" i="302"/>
  <c r="F27" i="302"/>
  <c r="H27" i="302" s="1"/>
  <c r="AE26" i="302"/>
  <c r="AD26" i="302"/>
  <c r="E20" i="301" s="1"/>
  <c r="AA26" i="302"/>
  <c r="Z26" i="302"/>
  <c r="E18" i="301" s="1"/>
  <c r="M26" i="302"/>
  <c r="W25" i="302"/>
  <c r="H25" i="302"/>
  <c r="W24" i="302"/>
  <c r="H24" i="302"/>
  <c r="W23" i="302"/>
  <c r="W21" i="302"/>
  <c r="W20" i="302"/>
  <c r="N20" i="302" s="1"/>
  <c r="O20" i="302" s="1"/>
  <c r="V20" i="302"/>
  <c r="K20" i="302"/>
  <c r="J20" i="302"/>
  <c r="F20" i="302"/>
  <c r="H20" i="302" s="1"/>
  <c r="W19" i="302"/>
  <c r="N19" i="302" s="1"/>
  <c r="V19" i="302"/>
  <c r="K19" i="302"/>
  <c r="J19" i="302"/>
  <c r="H19" i="302"/>
  <c r="F19" i="302"/>
  <c r="W18" i="302"/>
  <c r="N18" i="302" s="1"/>
  <c r="V18" i="302"/>
  <c r="P18" i="302"/>
  <c r="K18" i="302"/>
  <c r="L18" i="302" s="1"/>
  <c r="J18" i="302"/>
  <c r="H18" i="302"/>
  <c r="F18" i="302"/>
  <c r="AG17" i="302"/>
  <c r="W17" i="302"/>
  <c r="N17" i="302" s="1"/>
  <c r="V17" i="302"/>
  <c r="P17" i="302"/>
  <c r="K17" i="302"/>
  <c r="J17" i="302"/>
  <c r="H17" i="302"/>
  <c r="F17" i="302"/>
  <c r="AG16" i="302"/>
  <c r="AF16" i="302"/>
  <c r="W16" i="302"/>
  <c r="N16" i="302" s="1"/>
  <c r="O16" i="302"/>
  <c r="K16" i="302"/>
  <c r="J16" i="302"/>
  <c r="F16" i="302"/>
  <c r="H16" i="302" s="1"/>
  <c r="AE15" i="302"/>
  <c r="AD15" i="302"/>
  <c r="D20" i="301" s="1"/>
  <c r="AA15" i="302"/>
  <c r="Z15" i="302"/>
  <c r="D18" i="301" s="1"/>
  <c r="N15" i="302"/>
  <c r="M15" i="302"/>
  <c r="K15" i="302"/>
  <c r="W14" i="302"/>
  <c r="W13" i="302"/>
  <c r="W12" i="302"/>
  <c r="AG11" i="302"/>
  <c r="AF11" i="302"/>
  <c r="W11" i="302"/>
  <c r="AG10" i="302"/>
  <c r="AF10" i="302"/>
  <c r="W10" i="302"/>
  <c r="AG9" i="302"/>
  <c r="AF9" i="302"/>
  <c r="W9" i="302"/>
  <c r="W8" i="302"/>
  <c r="V8" i="302"/>
  <c r="N8" i="302"/>
  <c r="L8" i="302"/>
  <c r="K8" i="302"/>
  <c r="J8" i="302"/>
  <c r="P8" i="302" s="1"/>
  <c r="H8" i="302"/>
  <c r="F8" i="302"/>
  <c r="W7" i="302"/>
  <c r="V7" i="302"/>
  <c r="P7" i="302"/>
  <c r="O7" i="302"/>
  <c r="N7" i="302"/>
  <c r="L7" i="302"/>
  <c r="K7" i="302"/>
  <c r="J7" i="302"/>
  <c r="H7" i="302"/>
  <c r="F7" i="302"/>
  <c r="W6" i="302"/>
  <c r="V6" i="302"/>
  <c r="P6" i="302"/>
  <c r="O6" i="302"/>
  <c r="N6" i="302"/>
  <c r="K6" i="302"/>
  <c r="L6" i="302" s="1"/>
  <c r="J6" i="302"/>
  <c r="H6" i="302"/>
  <c r="F6" i="302"/>
  <c r="AG5" i="302"/>
  <c r="W5" i="302"/>
  <c r="N5" i="302" s="1"/>
  <c r="AF5" i="302" s="1"/>
  <c r="O5" i="302"/>
  <c r="K5" i="302"/>
  <c r="J5" i="302"/>
  <c r="H5" i="302"/>
  <c r="F5" i="302"/>
  <c r="AE2" i="302"/>
  <c r="I2" i="302"/>
  <c r="J22" i="301"/>
  <c r="I22" i="301"/>
  <c r="F22" i="301"/>
  <c r="E22" i="301"/>
  <c r="J21" i="301"/>
  <c r="I21" i="301"/>
  <c r="H21" i="301"/>
  <c r="F21" i="301"/>
  <c r="E21" i="301"/>
  <c r="D21" i="301"/>
  <c r="J20" i="301"/>
  <c r="I20" i="301"/>
  <c r="H20" i="301"/>
  <c r="F20" i="301"/>
  <c r="J19" i="301"/>
  <c r="I19" i="301"/>
  <c r="H19" i="301"/>
  <c r="G19" i="301"/>
  <c r="F19" i="301"/>
  <c r="E19" i="301"/>
  <c r="D19" i="301"/>
  <c r="J18" i="301"/>
  <c r="I18" i="301"/>
  <c r="H18" i="301"/>
  <c r="J16" i="301"/>
  <c r="I16" i="301"/>
  <c r="H16" i="301"/>
  <c r="G16" i="301"/>
  <c r="F16" i="301"/>
  <c r="E16" i="301"/>
  <c r="D16" i="301"/>
  <c r="O8" i="301"/>
  <c r="N8" i="301"/>
  <c r="M8" i="301"/>
  <c r="L8" i="301"/>
  <c r="O7" i="301"/>
  <c r="N7" i="301"/>
  <c r="M7" i="301"/>
  <c r="L7" i="301"/>
  <c r="AE79" i="300"/>
  <c r="J21" i="299" s="1"/>
  <c r="AD79" i="300"/>
  <c r="AA79" i="300"/>
  <c r="Z79" i="300"/>
  <c r="M79" i="300"/>
  <c r="W78" i="300"/>
  <c r="H78" i="300"/>
  <c r="W77" i="300"/>
  <c r="H77" i="300"/>
  <c r="W76" i="300"/>
  <c r="H76" i="300"/>
  <c r="W75" i="300"/>
  <c r="W74" i="300"/>
  <c r="W73" i="300"/>
  <c r="N73" i="300" s="1"/>
  <c r="O73" i="300" s="1"/>
  <c r="V73" i="300"/>
  <c r="P73" i="300"/>
  <c r="K73" i="300"/>
  <c r="J73" i="300"/>
  <c r="L73" i="300" s="1"/>
  <c r="F73" i="300"/>
  <c r="H73" i="300" s="1"/>
  <c r="W72" i="300"/>
  <c r="V72" i="300"/>
  <c r="R72" i="300"/>
  <c r="Q72" i="300"/>
  <c r="P72" i="300"/>
  <c r="N72" i="300"/>
  <c r="O72" i="300" s="1"/>
  <c r="L72" i="300"/>
  <c r="K72" i="300"/>
  <c r="J72" i="300"/>
  <c r="H72" i="300"/>
  <c r="F72" i="300"/>
  <c r="W71" i="300"/>
  <c r="V71" i="300"/>
  <c r="R71" i="300"/>
  <c r="Q71" i="300"/>
  <c r="P71" i="300"/>
  <c r="N71" i="300"/>
  <c r="O71" i="300" s="1"/>
  <c r="L71" i="300"/>
  <c r="K71" i="300"/>
  <c r="K79" i="300" s="1"/>
  <c r="J71" i="300"/>
  <c r="F71" i="300"/>
  <c r="H71" i="300" s="1"/>
  <c r="W70" i="300"/>
  <c r="N70" i="300"/>
  <c r="K70" i="300"/>
  <c r="J70" i="300"/>
  <c r="L70" i="300" s="1"/>
  <c r="L79" i="300" s="1"/>
  <c r="F70" i="300"/>
  <c r="H70" i="300" s="1"/>
  <c r="AE69" i="300"/>
  <c r="AD69" i="300"/>
  <c r="I20" i="299" s="1"/>
  <c r="AA69" i="300"/>
  <c r="Z69" i="300"/>
  <c r="I18" i="299" s="1"/>
  <c r="M69" i="300"/>
  <c r="W68" i="300"/>
  <c r="H68" i="300"/>
  <c r="W67" i="300"/>
  <c r="W66" i="300"/>
  <c r="W65" i="300"/>
  <c r="W64" i="300"/>
  <c r="W63" i="300"/>
  <c r="W62" i="300"/>
  <c r="V62" i="300"/>
  <c r="P62" i="300"/>
  <c r="O62" i="300"/>
  <c r="N62" i="300"/>
  <c r="AF62" i="300" s="1"/>
  <c r="L62" i="300"/>
  <c r="Q62" i="300" s="1"/>
  <c r="K62" i="300"/>
  <c r="AG62" i="300" s="1"/>
  <c r="J62" i="300"/>
  <c r="F62" i="300"/>
  <c r="H62" i="300" s="1"/>
  <c r="W61" i="300"/>
  <c r="V61" i="300"/>
  <c r="N61" i="300"/>
  <c r="K61" i="300"/>
  <c r="J61" i="300"/>
  <c r="L61" i="300" s="1"/>
  <c r="F61" i="300"/>
  <c r="H61" i="300" s="1"/>
  <c r="AF60" i="300"/>
  <c r="W60" i="300"/>
  <c r="N60" i="300" s="1"/>
  <c r="V60" i="300"/>
  <c r="P60" i="300"/>
  <c r="L60" i="300"/>
  <c r="K60" i="300"/>
  <c r="J60" i="300"/>
  <c r="F60" i="300"/>
  <c r="H60" i="300" s="1"/>
  <c r="W59" i="300"/>
  <c r="N59" i="300" s="1"/>
  <c r="K59" i="300"/>
  <c r="J59" i="300"/>
  <c r="H59" i="300"/>
  <c r="F59" i="300"/>
  <c r="AE58" i="300"/>
  <c r="AD58" i="300"/>
  <c r="AA58" i="300"/>
  <c r="H19" i="299" s="1"/>
  <c r="Z58" i="300"/>
  <c r="M58" i="300"/>
  <c r="W57" i="300"/>
  <c r="W56" i="300"/>
  <c r="W55" i="300"/>
  <c r="W54" i="300"/>
  <c r="AG53" i="300"/>
  <c r="AF53" i="300"/>
  <c r="W53" i="300"/>
  <c r="AG52" i="300"/>
  <c r="W52" i="300"/>
  <c r="N52" i="300" s="1"/>
  <c r="V52" i="300"/>
  <c r="K52" i="300"/>
  <c r="L52" i="300" s="1"/>
  <c r="J52" i="300"/>
  <c r="P52" i="300" s="1"/>
  <c r="H52" i="300"/>
  <c r="F52" i="300"/>
  <c r="W51" i="300"/>
  <c r="V51" i="300"/>
  <c r="N51" i="300"/>
  <c r="L51" i="300"/>
  <c r="K51" i="300"/>
  <c r="J51" i="300"/>
  <c r="P51" i="300" s="1"/>
  <c r="H51" i="300"/>
  <c r="F51" i="300"/>
  <c r="W50" i="300"/>
  <c r="V50" i="300"/>
  <c r="O50" i="300"/>
  <c r="N50" i="300"/>
  <c r="K50" i="300"/>
  <c r="J50" i="300"/>
  <c r="P50" i="300" s="1"/>
  <c r="H50" i="300"/>
  <c r="F50" i="300"/>
  <c r="W49" i="300"/>
  <c r="O49" i="300"/>
  <c r="N49" i="300"/>
  <c r="K49" i="300"/>
  <c r="J49" i="300"/>
  <c r="F49" i="300"/>
  <c r="H49" i="300" s="1"/>
  <c r="AE48" i="300"/>
  <c r="G21" i="299" s="1"/>
  <c r="AD48" i="300"/>
  <c r="AA48" i="300"/>
  <c r="Z48" i="300"/>
  <c r="G18" i="299" s="1"/>
  <c r="W48" i="300"/>
  <c r="M48" i="300"/>
  <c r="J48" i="300"/>
  <c r="P48" i="300" s="1"/>
  <c r="W47" i="300"/>
  <c r="H47" i="300"/>
  <c r="W46" i="300"/>
  <c r="W45" i="300"/>
  <c r="W44" i="300"/>
  <c r="W43" i="300"/>
  <c r="W42" i="300"/>
  <c r="AG41" i="300"/>
  <c r="AF41" i="300"/>
  <c r="W41" i="300"/>
  <c r="AG40" i="300"/>
  <c r="AF40" i="300"/>
  <c r="W40" i="300"/>
  <c r="N40" i="300" s="1"/>
  <c r="O40" i="300" s="1"/>
  <c r="Q40" i="300" s="1"/>
  <c r="V40" i="300"/>
  <c r="R40" i="300"/>
  <c r="L40" i="300"/>
  <c r="J40" i="300"/>
  <c r="P40" i="300" s="1"/>
  <c r="H40" i="300"/>
  <c r="F40" i="300"/>
  <c r="AG39" i="300"/>
  <c r="W39" i="300"/>
  <c r="N39" i="300" s="1"/>
  <c r="V39" i="300"/>
  <c r="J39" i="300"/>
  <c r="H39" i="300"/>
  <c r="F39" i="300"/>
  <c r="AG38" i="300"/>
  <c r="AF38" i="300"/>
  <c r="W38" i="300"/>
  <c r="N38" i="300"/>
  <c r="L38" i="300"/>
  <c r="K38" i="300"/>
  <c r="K48" i="300" s="1"/>
  <c r="J38" i="300"/>
  <c r="P38" i="300" s="1"/>
  <c r="F38" i="300"/>
  <c r="H38" i="300" s="1"/>
  <c r="AE37" i="300"/>
  <c r="F21" i="299" s="1"/>
  <c r="AD37" i="300"/>
  <c r="AA37" i="300"/>
  <c r="F19" i="299" s="1"/>
  <c r="Z37" i="300"/>
  <c r="M37" i="300"/>
  <c r="W36" i="300"/>
  <c r="H36" i="300"/>
  <c r="W35" i="300"/>
  <c r="W34" i="300"/>
  <c r="W33" i="300"/>
  <c r="W32" i="300"/>
  <c r="AG31" i="300"/>
  <c r="AF31" i="300"/>
  <c r="W31" i="300"/>
  <c r="AG30" i="300"/>
  <c r="AF30" i="300"/>
  <c r="W30" i="300"/>
  <c r="W29" i="300"/>
  <c r="V29" i="300"/>
  <c r="O29" i="300"/>
  <c r="R29" i="300" s="1"/>
  <c r="N29" i="300"/>
  <c r="K29" i="300"/>
  <c r="J29" i="300"/>
  <c r="L29" i="300" s="1"/>
  <c r="F29" i="300"/>
  <c r="H29" i="300" s="1"/>
  <c r="W28" i="300"/>
  <c r="N28" i="300" s="1"/>
  <c r="V28" i="300"/>
  <c r="P28" i="300"/>
  <c r="L28" i="300"/>
  <c r="K28" i="300"/>
  <c r="J28" i="300"/>
  <c r="F28" i="300"/>
  <c r="H28" i="300" s="1"/>
  <c r="W27" i="300"/>
  <c r="N27" i="300" s="1"/>
  <c r="K27" i="300"/>
  <c r="J27" i="300"/>
  <c r="H27" i="300"/>
  <c r="F27" i="300"/>
  <c r="AE26" i="300"/>
  <c r="AD26" i="300"/>
  <c r="AA26" i="300"/>
  <c r="E19" i="299" s="1"/>
  <c r="Z26" i="300"/>
  <c r="N26" i="300"/>
  <c r="M26" i="300"/>
  <c r="W25" i="300"/>
  <c r="H25" i="300"/>
  <c r="W24" i="300"/>
  <c r="H24" i="300"/>
  <c r="W23" i="300"/>
  <c r="W21" i="300"/>
  <c r="W20" i="300"/>
  <c r="N20" i="300" s="1"/>
  <c r="O20" i="300" s="1"/>
  <c r="V20" i="300"/>
  <c r="P20" i="300"/>
  <c r="L20" i="300"/>
  <c r="K20" i="300"/>
  <c r="J20" i="300"/>
  <c r="F20" i="300"/>
  <c r="H20" i="300" s="1"/>
  <c r="W19" i="300"/>
  <c r="N19" i="300" s="1"/>
  <c r="V19" i="300"/>
  <c r="K19" i="300"/>
  <c r="J19" i="300"/>
  <c r="H19" i="300"/>
  <c r="F19" i="300"/>
  <c r="W18" i="300"/>
  <c r="N18" i="300" s="1"/>
  <c r="V18" i="300"/>
  <c r="K18" i="300"/>
  <c r="K26" i="300" s="1"/>
  <c r="J18" i="300"/>
  <c r="F18" i="300"/>
  <c r="H18" i="300" s="1"/>
  <c r="AG17" i="300"/>
  <c r="W17" i="300"/>
  <c r="V17" i="300"/>
  <c r="O17" i="300"/>
  <c r="N17" i="300"/>
  <c r="AF17" i="300" s="1"/>
  <c r="K17" i="300"/>
  <c r="J17" i="300"/>
  <c r="H17" i="300"/>
  <c r="F17" i="300"/>
  <c r="W16" i="300"/>
  <c r="P16" i="300"/>
  <c r="N16" i="300"/>
  <c r="L16" i="300"/>
  <c r="K16" i="300"/>
  <c r="J16" i="300"/>
  <c r="H16" i="300"/>
  <c r="F16" i="300"/>
  <c r="AE15" i="300"/>
  <c r="AD15" i="300"/>
  <c r="AA15" i="300"/>
  <c r="Z15" i="300"/>
  <c r="M15" i="300"/>
  <c r="W14" i="300"/>
  <c r="W13" i="300"/>
  <c r="W12" i="300"/>
  <c r="AG11" i="300"/>
  <c r="AF11" i="300"/>
  <c r="W11" i="300"/>
  <c r="AG10" i="300"/>
  <c r="AF10" i="300"/>
  <c r="W10" i="300"/>
  <c r="AG9" i="300"/>
  <c r="AF9" i="300"/>
  <c r="W9" i="300"/>
  <c r="W8" i="300"/>
  <c r="N8" i="300" s="1"/>
  <c r="O8" i="300" s="1"/>
  <c r="V8" i="300"/>
  <c r="K8" i="300"/>
  <c r="J8" i="300"/>
  <c r="F8" i="300"/>
  <c r="H8" i="300" s="1"/>
  <c r="W7" i="300"/>
  <c r="N7" i="300" s="1"/>
  <c r="V7" i="300"/>
  <c r="K7" i="300"/>
  <c r="J7" i="300"/>
  <c r="P7" i="300" s="1"/>
  <c r="F7" i="300"/>
  <c r="H7" i="300" s="1"/>
  <c r="W6" i="300"/>
  <c r="V6" i="300"/>
  <c r="O6" i="300"/>
  <c r="N6" i="300"/>
  <c r="K6" i="300"/>
  <c r="J6" i="300"/>
  <c r="P6" i="300" s="1"/>
  <c r="H6" i="300"/>
  <c r="F6" i="300"/>
  <c r="W5" i="300"/>
  <c r="P5" i="300"/>
  <c r="N5" i="300"/>
  <c r="L5" i="300"/>
  <c r="K5" i="300"/>
  <c r="K15" i="300" s="1"/>
  <c r="J5" i="300"/>
  <c r="H5" i="300"/>
  <c r="F5" i="300"/>
  <c r="I2" i="300"/>
  <c r="E1" i="300"/>
  <c r="H22" i="299"/>
  <c r="G22" i="299"/>
  <c r="F22" i="299"/>
  <c r="E22" i="299"/>
  <c r="D22" i="299"/>
  <c r="I21" i="299"/>
  <c r="H21" i="299"/>
  <c r="E21" i="299"/>
  <c r="J20" i="299"/>
  <c r="H20" i="299"/>
  <c r="G20" i="299"/>
  <c r="F20" i="299"/>
  <c r="E20" i="299"/>
  <c r="D20" i="299"/>
  <c r="J19" i="299"/>
  <c r="I19" i="299"/>
  <c r="G19" i="299"/>
  <c r="J18" i="299"/>
  <c r="H18" i="299"/>
  <c r="F18" i="299"/>
  <c r="E18" i="299"/>
  <c r="D18" i="299"/>
  <c r="J16" i="299"/>
  <c r="I16" i="299"/>
  <c r="H16" i="299"/>
  <c r="G16" i="299"/>
  <c r="F16" i="299"/>
  <c r="E16" i="299"/>
  <c r="D16" i="299"/>
  <c r="J13" i="299"/>
  <c r="O8" i="299"/>
  <c r="N8" i="299"/>
  <c r="M8" i="299"/>
  <c r="L8" i="299"/>
  <c r="O7" i="299"/>
  <c r="N7" i="299"/>
  <c r="M7" i="299"/>
  <c r="L7" i="299"/>
  <c r="O6" i="299"/>
  <c r="N6" i="299"/>
  <c r="G3" i="299"/>
  <c r="AE79" i="298"/>
  <c r="AD79" i="298"/>
  <c r="AA79" i="298"/>
  <c r="J18" i="297" s="1"/>
  <c r="Z79" i="298"/>
  <c r="M79" i="298"/>
  <c r="J79" i="298"/>
  <c r="P79" i="298" s="1"/>
  <c r="W78" i="298"/>
  <c r="H78" i="298"/>
  <c r="W77" i="298"/>
  <c r="H77" i="298"/>
  <c r="W76" i="298"/>
  <c r="H76" i="298"/>
  <c r="W75" i="298"/>
  <c r="H75" i="298"/>
  <c r="W74" i="298"/>
  <c r="W73" i="298"/>
  <c r="W72" i="298"/>
  <c r="V72" i="298"/>
  <c r="O72" i="298"/>
  <c r="N72" i="298"/>
  <c r="K72" i="298"/>
  <c r="J72" i="298"/>
  <c r="F72" i="298"/>
  <c r="H72" i="298" s="1"/>
  <c r="W71" i="298"/>
  <c r="V71" i="298"/>
  <c r="O71" i="298"/>
  <c r="N71" i="298"/>
  <c r="K71" i="298"/>
  <c r="J71" i="298"/>
  <c r="F71" i="298"/>
  <c r="H71" i="298" s="1"/>
  <c r="W70" i="298"/>
  <c r="P70" i="298"/>
  <c r="N70" i="298"/>
  <c r="K70" i="298"/>
  <c r="L70" i="298" s="1"/>
  <c r="J70" i="298"/>
  <c r="F70" i="298"/>
  <c r="H70" i="298" s="1"/>
  <c r="AE69" i="298"/>
  <c r="I21" i="297" s="1"/>
  <c r="AD69" i="298"/>
  <c r="AA69" i="298"/>
  <c r="I19" i="297" s="1"/>
  <c r="Z69" i="298"/>
  <c r="M69" i="298"/>
  <c r="J69" i="298"/>
  <c r="W68" i="298"/>
  <c r="H68" i="298"/>
  <c r="W67" i="298"/>
  <c r="W66" i="298"/>
  <c r="V66" i="298"/>
  <c r="P66" i="298"/>
  <c r="N66" i="298"/>
  <c r="L66" i="298"/>
  <c r="K66" i="298"/>
  <c r="J66" i="298"/>
  <c r="H66" i="298"/>
  <c r="F66" i="298"/>
  <c r="W65" i="298"/>
  <c r="N65" i="298" s="1"/>
  <c r="V65" i="298"/>
  <c r="P65" i="298"/>
  <c r="O65" i="298"/>
  <c r="Q65" i="298" s="1"/>
  <c r="K65" i="298"/>
  <c r="L65" i="298" s="1"/>
  <c r="J65" i="298"/>
  <c r="H65" i="298"/>
  <c r="F65" i="298"/>
  <c r="AF64" i="298"/>
  <c r="W64" i="298"/>
  <c r="N64" i="298" s="1"/>
  <c r="V64" i="298"/>
  <c r="P64" i="298"/>
  <c r="K64" i="298"/>
  <c r="L64" i="298" s="1"/>
  <c r="J64" i="298"/>
  <c r="H64" i="298"/>
  <c r="F64" i="298"/>
  <c r="W63" i="298"/>
  <c r="N63" i="298" s="1"/>
  <c r="V63" i="298"/>
  <c r="K63" i="298"/>
  <c r="J63" i="298"/>
  <c r="P63" i="298" s="1"/>
  <c r="H63" i="298"/>
  <c r="F63" i="298"/>
  <c r="AF62" i="298"/>
  <c r="W62" i="298"/>
  <c r="V62" i="298"/>
  <c r="P62" i="298"/>
  <c r="N62" i="298"/>
  <c r="O62" i="298" s="1"/>
  <c r="Q62" i="298" s="1"/>
  <c r="L62" i="298"/>
  <c r="K62" i="298"/>
  <c r="J62" i="298"/>
  <c r="F62" i="298"/>
  <c r="H62" i="298" s="1"/>
  <c r="W61" i="298"/>
  <c r="V61" i="298"/>
  <c r="P61" i="298"/>
  <c r="O61" i="298"/>
  <c r="N61" i="298"/>
  <c r="K61" i="298"/>
  <c r="L61" i="298" s="1"/>
  <c r="J61" i="298"/>
  <c r="H61" i="298"/>
  <c r="F61" i="298"/>
  <c r="W60" i="298"/>
  <c r="V60" i="298"/>
  <c r="P60" i="298"/>
  <c r="N60" i="298"/>
  <c r="L60" i="298"/>
  <c r="K60" i="298"/>
  <c r="J60" i="298"/>
  <c r="H60" i="298"/>
  <c r="F60" i="298"/>
  <c r="W59" i="298"/>
  <c r="V59" i="298"/>
  <c r="P59" i="298"/>
  <c r="N59" i="298"/>
  <c r="K59" i="298"/>
  <c r="L59" i="298" s="1"/>
  <c r="J59" i="298"/>
  <c r="H59" i="298"/>
  <c r="F59" i="298"/>
  <c r="AE58" i="298"/>
  <c r="H21" i="297" s="1"/>
  <c r="AD58" i="298"/>
  <c r="H20" i="297" s="1"/>
  <c r="AA58" i="298"/>
  <c r="Z58" i="298"/>
  <c r="M58" i="298"/>
  <c r="J58" i="298"/>
  <c r="W57" i="298"/>
  <c r="W56" i="298"/>
  <c r="W55" i="298"/>
  <c r="W54" i="298"/>
  <c r="AG53" i="298"/>
  <c r="AF53" i="298"/>
  <c r="W53" i="298"/>
  <c r="W52" i="298"/>
  <c r="N52" i="298" s="1"/>
  <c r="O52" i="298" s="1"/>
  <c r="Q52" i="298" s="1"/>
  <c r="V52" i="298"/>
  <c r="R52" i="298"/>
  <c r="P52" i="298"/>
  <c r="K52" i="298"/>
  <c r="L52" i="298" s="1"/>
  <c r="J52" i="298"/>
  <c r="H52" i="298"/>
  <c r="F52" i="298"/>
  <c r="W51" i="298"/>
  <c r="N51" i="298" s="1"/>
  <c r="V51" i="298"/>
  <c r="K51" i="298"/>
  <c r="L51" i="298" s="1"/>
  <c r="J51" i="298"/>
  <c r="P51" i="298" s="1"/>
  <c r="H51" i="298"/>
  <c r="F51" i="298"/>
  <c r="W50" i="298"/>
  <c r="V50" i="298"/>
  <c r="P50" i="298"/>
  <c r="N50" i="298"/>
  <c r="N58" i="298" s="1"/>
  <c r="K50" i="298"/>
  <c r="L50" i="298" s="1"/>
  <c r="J50" i="298"/>
  <c r="H50" i="298"/>
  <c r="F50" i="298"/>
  <c r="AF49" i="298"/>
  <c r="W49" i="298"/>
  <c r="P49" i="298"/>
  <c r="O49" i="298"/>
  <c r="N49" i="298"/>
  <c r="AG49" i="298" s="1"/>
  <c r="L49" i="298"/>
  <c r="K49" i="298"/>
  <c r="J49" i="298"/>
  <c r="F49" i="298"/>
  <c r="H49" i="298" s="1"/>
  <c r="AE48" i="298"/>
  <c r="AD48" i="298"/>
  <c r="AA48" i="298"/>
  <c r="G19" i="297" s="1"/>
  <c r="Z48" i="298"/>
  <c r="W48" i="298"/>
  <c r="Q48" i="298"/>
  <c r="N48" i="298"/>
  <c r="M48" i="298"/>
  <c r="W47" i="298"/>
  <c r="H47" i="298"/>
  <c r="W46" i="298"/>
  <c r="W45" i="298"/>
  <c r="W44" i="298"/>
  <c r="W43" i="298"/>
  <c r="W42" i="298"/>
  <c r="W41" i="298"/>
  <c r="V41" i="298"/>
  <c r="P41" i="298"/>
  <c r="N41" i="298"/>
  <c r="L41" i="298"/>
  <c r="J41" i="298"/>
  <c r="F41" i="298"/>
  <c r="H41" i="298" s="1"/>
  <c r="W40" i="298"/>
  <c r="V40" i="298"/>
  <c r="P40" i="298"/>
  <c r="O40" i="298"/>
  <c r="R40" i="298" s="1"/>
  <c r="N40" i="298"/>
  <c r="L40" i="298"/>
  <c r="J40" i="298"/>
  <c r="H40" i="298"/>
  <c r="F40" i="298"/>
  <c r="W39" i="298"/>
  <c r="N39" i="298" s="1"/>
  <c r="V39" i="298"/>
  <c r="P39" i="298"/>
  <c r="O39" i="298"/>
  <c r="K39" i="298"/>
  <c r="L39" i="298" s="1"/>
  <c r="J39" i="298"/>
  <c r="H39" i="298"/>
  <c r="F39" i="298"/>
  <c r="W38" i="298"/>
  <c r="N38" i="298" s="1"/>
  <c r="AG38" i="298" s="1"/>
  <c r="K38" i="298"/>
  <c r="K48" i="298" s="1"/>
  <c r="J38" i="298"/>
  <c r="H38" i="298"/>
  <c r="F38" i="298"/>
  <c r="AE37" i="298"/>
  <c r="F21" i="297" s="1"/>
  <c r="AD37" i="298"/>
  <c r="AA37" i="298"/>
  <c r="Z37" i="298"/>
  <c r="F18" i="297" s="1"/>
  <c r="M37" i="298"/>
  <c r="K37" i="298"/>
  <c r="J37" i="298"/>
  <c r="W36" i="298"/>
  <c r="H36" i="298"/>
  <c r="W35" i="298"/>
  <c r="W34" i="298"/>
  <c r="W33" i="298"/>
  <c r="W32" i="298"/>
  <c r="AG31" i="298"/>
  <c r="AF31" i="298"/>
  <c r="W31" i="298"/>
  <c r="AG30" i="298"/>
  <c r="AF30" i="298"/>
  <c r="W30" i="298"/>
  <c r="W29" i="298"/>
  <c r="N29" i="298" s="1"/>
  <c r="V29" i="298"/>
  <c r="P29" i="298"/>
  <c r="K29" i="298"/>
  <c r="J29" i="298"/>
  <c r="H29" i="298"/>
  <c r="F29" i="298"/>
  <c r="W28" i="298"/>
  <c r="V28" i="298"/>
  <c r="P28" i="298"/>
  <c r="N28" i="298"/>
  <c r="L28" i="298"/>
  <c r="K28" i="298"/>
  <c r="J28" i="298"/>
  <c r="H28" i="298"/>
  <c r="F28" i="298"/>
  <c r="W27" i="298"/>
  <c r="N27" i="298" s="1"/>
  <c r="P27" i="298"/>
  <c r="L27" i="298"/>
  <c r="K27" i="298"/>
  <c r="J27" i="298"/>
  <c r="F27" i="298"/>
  <c r="H27" i="298" s="1"/>
  <c r="AE26" i="298"/>
  <c r="E21" i="297" s="1"/>
  <c r="AD26" i="298"/>
  <c r="AA26" i="298"/>
  <c r="Z26" i="298"/>
  <c r="M26" i="298"/>
  <c r="W25" i="298"/>
  <c r="H25" i="298"/>
  <c r="W24" i="298"/>
  <c r="H24" i="298"/>
  <c r="W23" i="298"/>
  <c r="W21" i="298"/>
  <c r="W20" i="298"/>
  <c r="V20" i="298"/>
  <c r="R20" i="298"/>
  <c r="P20" i="298"/>
  <c r="N20" i="298"/>
  <c r="O20" i="298" s="1"/>
  <c r="Q20" i="298" s="1"/>
  <c r="L20" i="298"/>
  <c r="K20" i="298"/>
  <c r="J20" i="298"/>
  <c r="H20" i="298"/>
  <c r="F20" i="298"/>
  <c r="W19" i="298"/>
  <c r="N19" i="298" s="1"/>
  <c r="V19" i="298"/>
  <c r="P19" i="298"/>
  <c r="O19" i="298"/>
  <c r="K19" i="298"/>
  <c r="L19" i="298" s="1"/>
  <c r="R19" i="298" s="1"/>
  <c r="J19" i="298"/>
  <c r="H19" i="298"/>
  <c r="F19" i="298"/>
  <c r="W18" i="298"/>
  <c r="N18" i="298" s="1"/>
  <c r="V18" i="298"/>
  <c r="P18" i="298"/>
  <c r="K18" i="298"/>
  <c r="L18" i="298" s="1"/>
  <c r="J18" i="298"/>
  <c r="H18" i="298"/>
  <c r="F18" i="298"/>
  <c r="W17" i="298"/>
  <c r="N17" i="298" s="1"/>
  <c r="V17" i="298"/>
  <c r="K17" i="298"/>
  <c r="J17" i="298"/>
  <c r="P17" i="298" s="1"/>
  <c r="H17" i="298"/>
  <c r="F17" i="298"/>
  <c r="AG16" i="298"/>
  <c r="W16" i="298"/>
  <c r="O16" i="298"/>
  <c r="N16" i="298"/>
  <c r="K16" i="298"/>
  <c r="J16" i="298"/>
  <c r="H16" i="298"/>
  <c r="F16" i="298"/>
  <c r="AE15" i="298"/>
  <c r="AD15" i="298"/>
  <c r="D20" i="297" s="1"/>
  <c r="AA15" i="298"/>
  <c r="Z15" i="298"/>
  <c r="D18" i="297" s="1"/>
  <c r="M15" i="298"/>
  <c r="W14" i="298"/>
  <c r="W13" i="298"/>
  <c r="W12" i="298"/>
  <c r="W11" i="298"/>
  <c r="W10" i="298"/>
  <c r="W9" i="298"/>
  <c r="W8" i="298"/>
  <c r="V8" i="298"/>
  <c r="P8" i="298"/>
  <c r="N8" i="298"/>
  <c r="K8" i="298"/>
  <c r="L8" i="298" s="1"/>
  <c r="J8" i="298"/>
  <c r="H8" i="298"/>
  <c r="F8" i="298"/>
  <c r="W7" i="298"/>
  <c r="V7" i="298"/>
  <c r="N7" i="298"/>
  <c r="K7" i="298"/>
  <c r="L7" i="298" s="1"/>
  <c r="J7" i="298"/>
  <c r="P7" i="298" s="1"/>
  <c r="H7" i="298"/>
  <c r="F7" i="298"/>
  <c r="W6" i="298"/>
  <c r="V6" i="298"/>
  <c r="P6" i="298"/>
  <c r="N6" i="298"/>
  <c r="L6" i="298"/>
  <c r="K6" i="298"/>
  <c r="J6" i="298"/>
  <c r="H6" i="298"/>
  <c r="F6" i="298"/>
  <c r="AF5" i="298"/>
  <c r="W5" i="298"/>
  <c r="N5" i="298" s="1"/>
  <c r="AG5" i="298" s="1"/>
  <c r="P5" i="298"/>
  <c r="O5" i="298"/>
  <c r="L5" i="298"/>
  <c r="K5" i="298"/>
  <c r="J5" i="298"/>
  <c r="J15" i="298" s="1"/>
  <c r="F5" i="298"/>
  <c r="H5" i="298" s="1"/>
  <c r="AE2" i="298"/>
  <c r="AD2" i="298"/>
  <c r="I2" i="298"/>
  <c r="E1" i="298"/>
  <c r="J22" i="297"/>
  <c r="I22" i="297"/>
  <c r="H22" i="297"/>
  <c r="G22" i="297"/>
  <c r="E22" i="297"/>
  <c r="D22" i="297"/>
  <c r="J21" i="297"/>
  <c r="G21" i="297"/>
  <c r="D21" i="297"/>
  <c r="J20" i="297"/>
  <c r="I20" i="297"/>
  <c r="G20" i="297"/>
  <c r="F20" i="297"/>
  <c r="E20" i="297"/>
  <c r="J19" i="297"/>
  <c r="H19" i="297"/>
  <c r="F19" i="297"/>
  <c r="D19" i="297"/>
  <c r="I18" i="297"/>
  <c r="H18" i="297"/>
  <c r="G18" i="297"/>
  <c r="E18" i="297"/>
  <c r="J16" i="297"/>
  <c r="I16" i="297"/>
  <c r="H16" i="297"/>
  <c r="G16" i="297"/>
  <c r="F16" i="297"/>
  <c r="E16" i="297"/>
  <c r="D16" i="297"/>
  <c r="O8" i="297"/>
  <c r="N8" i="297"/>
  <c r="M8" i="297"/>
  <c r="L8" i="297"/>
  <c r="O7" i="297"/>
  <c r="N7" i="297"/>
  <c r="M7" i="297"/>
  <c r="L7" i="297"/>
  <c r="G3" i="297"/>
  <c r="AE79" i="296"/>
  <c r="J21" i="295" s="1"/>
  <c r="AD79" i="296"/>
  <c r="J20" i="295" s="1"/>
  <c r="AA79" i="296"/>
  <c r="J18" i="295" s="1"/>
  <c r="Z79" i="296"/>
  <c r="M79" i="296"/>
  <c r="K79" i="296"/>
  <c r="W78" i="296"/>
  <c r="H78" i="296"/>
  <c r="W77" i="296"/>
  <c r="H77" i="296"/>
  <c r="W76" i="296"/>
  <c r="H76" i="296"/>
  <c r="W75" i="296"/>
  <c r="H75" i="296"/>
  <c r="W74" i="296"/>
  <c r="W73" i="296"/>
  <c r="W72" i="296"/>
  <c r="V72" i="296"/>
  <c r="P72" i="296"/>
  <c r="N72" i="296"/>
  <c r="O72" i="296" s="1"/>
  <c r="K72" i="296"/>
  <c r="L72" i="296" s="1"/>
  <c r="J72" i="296"/>
  <c r="F72" i="296"/>
  <c r="H72" i="296" s="1"/>
  <c r="W71" i="296"/>
  <c r="N71" i="296" s="1"/>
  <c r="O71" i="296" s="1"/>
  <c r="V71" i="296"/>
  <c r="P71" i="296"/>
  <c r="K71" i="296"/>
  <c r="L71" i="296" s="1"/>
  <c r="J71" i="296"/>
  <c r="H71" i="296"/>
  <c r="F71" i="296"/>
  <c r="AF70" i="296"/>
  <c r="W70" i="296"/>
  <c r="N70" i="296" s="1"/>
  <c r="L70" i="296"/>
  <c r="L79" i="296" s="1"/>
  <c r="J13" i="295" s="1"/>
  <c r="K70" i="296"/>
  <c r="J70" i="296"/>
  <c r="F70" i="296"/>
  <c r="H70" i="296" s="1"/>
  <c r="AE69" i="296"/>
  <c r="AD69" i="296"/>
  <c r="I20" i="295" s="1"/>
  <c r="AA69" i="296"/>
  <c r="Z69" i="296"/>
  <c r="I18" i="295" s="1"/>
  <c r="M69" i="296"/>
  <c r="W68" i="296"/>
  <c r="H68" i="296"/>
  <c r="W67" i="296"/>
  <c r="W66" i="296"/>
  <c r="W65" i="296"/>
  <c r="W64" i="296"/>
  <c r="W63" i="296"/>
  <c r="W62" i="296"/>
  <c r="N62" i="296" s="1"/>
  <c r="V62" i="296"/>
  <c r="K62" i="296"/>
  <c r="L62" i="296" s="1"/>
  <c r="J62" i="296"/>
  <c r="P62" i="296" s="1"/>
  <c r="F62" i="296"/>
  <c r="H62" i="296" s="1"/>
  <c r="AF61" i="296"/>
  <c r="W61" i="296"/>
  <c r="V61" i="296"/>
  <c r="N61" i="296"/>
  <c r="O61" i="296" s="1"/>
  <c r="K61" i="296"/>
  <c r="J61" i="296"/>
  <c r="P61" i="296" s="1"/>
  <c r="F61" i="296"/>
  <c r="H61" i="296" s="1"/>
  <c r="AF60" i="296"/>
  <c r="W60" i="296"/>
  <c r="V60" i="296"/>
  <c r="P60" i="296"/>
  <c r="O60" i="296"/>
  <c r="N60" i="296"/>
  <c r="AG60" i="296" s="1"/>
  <c r="K60" i="296"/>
  <c r="L60" i="296" s="1"/>
  <c r="J60" i="296"/>
  <c r="F60" i="296"/>
  <c r="H60" i="296" s="1"/>
  <c r="W59" i="296"/>
  <c r="N59" i="296" s="1"/>
  <c r="P59" i="296"/>
  <c r="K59" i="296"/>
  <c r="L59" i="296" s="1"/>
  <c r="J59" i="296"/>
  <c r="H59" i="296"/>
  <c r="F59" i="296"/>
  <c r="AE58" i="296"/>
  <c r="H21" i="295" s="1"/>
  <c r="AD58" i="296"/>
  <c r="AA58" i="296"/>
  <c r="Z58" i="296"/>
  <c r="H18" i="295" s="1"/>
  <c r="M58" i="296"/>
  <c r="W57" i="296"/>
  <c r="W56" i="296"/>
  <c r="W55" i="296"/>
  <c r="W54" i="296"/>
  <c r="AG53" i="296"/>
  <c r="AF53" i="296"/>
  <c r="W53" i="296"/>
  <c r="AG52" i="296"/>
  <c r="AF52" i="296"/>
  <c r="W52" i="296"/>
  <c r="AF51" i="296"/>
  <c r="W51" i="296"/>
  <c r="N51" i="296" s="1"/>
  <c r="AG51" i="296" s="1"/>
  <c r="V51" i="296"/>
  <c r="O51" i="296"/>
  <c r="K51" i="296"/>
  <c r="J51" i="296"/>
  <c r="H51" i="296"/>
  <c r="F51" i="296"/>
  <c r="W50" i="296"/>
  <c r="N50" i="296" s="1"/>
  <c r="V50" i="296"/>
  <c r="L50" i="296"/>
  <c r="K50" i="296"/>
  <c r="AF50" i="296" s="1"/>
  <c r="J50" i="296"/>
  <c r="F50" i="296"/>
  <c r="H50" i="296" s="1"/>
  <c r="W49" i="296"/>
  <c r="N49" i="296" s="1"/>
  <c r="K49" i="296"/>
  <c r="L49" i="296" s="1"/>
  <c r="J49" i="296"/>
  <c r="P49" i="296" s="1"/>
  <c r="H49" i="296"/>
  <c r="F49" i="296"/>
  <c r="AE48" i="296"/>
  <c r="AD48" i="296"/>
  <c r="AA48" i="296"/>
  <c r="Z48" i="296"/>
  <c r="G18" i="295" s="1"/>
  <c r="W48" i="296"/>
  <c r="M48" i="296"/>
  <c r="G22" i="295" s="1"/>
  <c r="K48" i="296"/>
  <c r="W47" i="296"/>
  <c r="H47" i="296"/>
  <c r="W46" i="296"/>
  <c r="W45" i="296"/>
  <c r="W44" i="296"/>
  <c r="W43" i="296"/>
  <c r="W42" i="296"/>
  <c r="AG41" i="296"/>
  <c r="AF41" i="296"/>
  <c r="W41" i="296"/>
  <c r="W40" i="296"/>
  <c r="V40" i="296"/>
  <c r="P40" i="296"/>
  <c r="N40" i="296"/>
  <c r="J40" i="296"/>
  <c r="L40" i="296" s="1"/>
  <c r="F40" i="296"/>
  <c r="H40" i="296" s="1"/>
  <c r="W39" i="296"/>
  <c r="N39" i="296" s="1"/>
  <c r="AG39" i="296" s="1"/>
  <c r="V39" i="296"/>
  <c r="P39" i="296"/>
  <c r="O39" i="296"/>
  <c r="L39" i="296"/>
  <c r="J39" i="296"/>
  <c r="H39" i="296"/>
  <c r="F39" i="296"/>
  <c r="W38" i="296"/>
  <c r="N38" i="296" s="1"/>
  <c r="O38" i="296"/>
  <c r="K38" i="296"/>
  <c r="J38" i="296"/>
  <c r="F38" i="296"/>
  <c r="H38" i="296" s="1"/>
  <c r="AE37" i="296"/>
  <c r="AD37" i="296"/>
  <c r="AA37" i="296"/>
  <c r="Z37" i="296"/>
  <c r="M37" i="296"/>
  <c r="K37" i="296"/>
  <c r="W36" i="296"/>
  <c r="H36" i="296"/>
  <c r="W35" i="296"/>
  <c r="W34" i="296"/>
  <c r="W33" i="296"/>
  <c r="W32" i="296"/>
  <c r="AG31" i="296"/>
  <c r="AF31" i="296"/>
  <c r="W31" i="296"/>
  <c r="W30" i="296"/>
  <c r="N30" i="296" s="1"/>
  <c r="V30" i="296"/>
  <c r="L30" i="296"/>
  <c r="K30" i="296"/>
  <c r="J30" i="296"/>
  <c r="P30" i="296" s="1"/>
  <c r="F30" i="296"/>
  <c r="H30" i="296" s="1"/>
  <c r="W29" i="296"/>
  <c r="V29" i="296"/>
  <c r="O29" i="296"/>
  <c r="N29" i="296"/>
  <c r="K29" i="296"/>
  <c r="J29" i="296"/>
  <c r="P29" i="296" s="1"/>
  <c r="H29" i="296"/>
  <c r="F29" i="296"/>
  <c r="W28" i="296"/>
  <c r="V28" i="296"/>
  <c r="O28" i="296"/>
  <c r="N28" i="296"/>
  <c r="AG28" i="296" s="1"/>
  <c r="L28" i="296"/>
  <c r="K28" i="296"/>
  <c r="AF28" i="296" s="1"/>
  <c r="J28" i="296"/>
  <c r="P28" i="296" s="1"/>
  <c r="F28" i="296"/>
  <c r="H28" i="296" s="1"/>
  <c r="W27" i="296"/>
  <c r="N27" i="296" s="1"/>
  <c r="P27" i="296"/>
  <c r="K27" i="296"/>
  <c r="L27" i="296" s="1"/>
  <c r="J27" i="296"/>
  <c r="H27" i="296"/>
  <c r="F27" i="296"/>
  <c r="AE26" i="296"/>
  <c r="AD26" i="296"/>
  <c r="E20" i="295" s="1"/>
  <c r="AA26" i="296"/>
  <c r="E19" i="295" s="1"/>
  <c r="Z26" i="296"/>
  <c r="M26" i="296"/>
  <c r="K26" i="296"/>
  <c r="W25" i="296"/>
  <c r="H25" i="296"/>
  <c r="W24" i="296"/>
  <c r="H24" i="296"/>
  <c r="W23" i="296"/>
  <c r="W21" i="296"/>
  <c r="W20" i="296"/>
  <c r="W19" i="296"/>
  <c r="V19" i="296"/>
  <c r="P19" i="296"/>
  <c r="N19" i="296"/>
  <c r="K19" i="296"/>
  <c r="L19" i="296" s="1"/>
  <c r="J19" i="296"/>
  <c r="H19" i="296"/>
  <c r="F19" i="296"/>
  <c r="W18" i="296"/>
  <c r="V18" i="296"/>
  <c r="P18" i="296"/>
  <c r="N18" i="296"/>
  <c r="K18" i="296"/>
  <c r="L18" i="296" s="1"/>
  <c r="J18" i="296"/>
  <c r="F18" i="296"/>
  <c r="H18" i="296" s="1"/>
  <c r="W17" i="296"/>
  <c r="V17" i="296"/>
  <c r="P17" i="296"/>
  <c r="N17" i="296"/>
  <c r="K17" i="296"/>
  <c r="J17" i="296"/>
  <c r="H17" i="296"/>
  <c r="F17" i="296"/>
  <c r="W16" i="296"/>
  <c r="N16" i="296"/>
  <c r="O16" i="296" s="1"/>
  <c r="K16" i="296"/>
  <c r="J16" i="296"/>
  <c r="P16" i="296" s="1"/>
  <c r="H16" i="296"/>
  <c r="F16" i="296"/>
  <c r="AE15" i="296"/>
  <c r="AD15" i="296"/>
  <c r="AA15" i="296"/>
  <c r="D19" i="295" s="1"/>
  <c r="Z15" i="296"/>
  <c r="N15" i="296"/>
  <c r="M15" i="296"/>
  <c r="W14" i="296"/>
  <c r="W13" i="296"/>
  <c r="W12" i="296"/>
  <c r="AG11" i="296"/>
  <c r="AF11" i="296"/>
  <c r="W11" i="296"/>
  <c r="AG10" i="296"/>
  <c r="AF10" i="296"/>
  <c r="W10" i="296"/>
  <c r="W9" i="296"/>
  <c r="V9" i="296"/>
  <c r="O9" i="296"/>
  <c r="N9" i="296"/>
  <c r="K9" i="296"/>
  <c r="J9" i="296"/>
  <c r="P9" i="296" s="1"/>
  <c r="F9" i="296"/>
  <c r="H9" i="296" s="1"/>
  <c r="AF8" i="296"/>
  <c r="W8" i="296"/>
  <c r="V8" i="296"/>
  <c r="O8" i="296"/>
  <c r="N8" i="296"/>
  <c r="AG8" i="296" s="1"/>
  <c r="K8" i="296"/>
  <c r="J8" i="296"/>
  <c r="F8" i="296"/>
  <c r="H8" i="296" s="1"/>
  <c r="AF7" i="296"/>
  <c r="W7" i="296"/>
  <c r="N7" i="296" s="1"/>
  <c r="AG7" i="296" s="1"/>
  <c r="V7" i="296"/>
  <c r="O7" i="296"/>
  <c r="K7" i="296"/>
  <c r="J7" i="296"/>
  <c r="P7" i="296" s="1"/>
  <c r="F7" i="296"/>
  <c r="H7" i="296" s="1"/>
  <c r="AG6" i="296"/>
  <c r="AF6" i="296"/>
  <c r="W6" i="296"/>
  <c r="N6" i="296" s="1"/>
  <c r="O6" i="296" s="1"/>
  <c r="V6" i="296"/>
  <c r="L6" i="296"/>
  <c r="K6" i="296"/>
  <c r="J6" i="296"/>
  <c r="P6" i="296" s="1"/>
  <c r="F6" i="296"/>
  <c r="H6" i="296" s="1"/>
  <c r="AG5" i="296"/>
  <c r="W5" i="296"/>
  <c r="N5" i="296" s="1"/>
  <c r="L5" i="296"/>
  <c r="K5" i="296"/>
  <c r="J5" i="296"/>
  <c r="F5" i="296"/>
  <c r="H5" i="296" s="1"/>
  <c r="AE2" i="296"/>
  <c r="AA2" i="296"/>
  <c r="I2" i="296"/>
  <c r="E1" i="296"/>
  <c r="J22" i="295"/>
  <c r="I22" i="295"/>
  <c r="H22" i="295"/>
  <c r="E22" i="295"/>
  <c r="D22" i="295"/>
  <c r="I21" i="295"/>
  <c r="G21" i="295"/>
  <c r="F21" i="295"/>
  <c r="E21" i="295"/>
  <c r="D21" i="295"/>
  <c r="H20" i="295"/>
  <c r="G20" i="295"/>
  <c r="F20" i="295"/>
  <c r="D20" i="295"/>
  <c r="O6" i="295" s="1"/>
  <c r="J19" i="295"/>
  <c r="I19" i="295"/>
  <c r="H19" i="295"/>
  <c r="G19" i="295"/>
  <c r="F19" i="295"/>
  <c r="F18" i="295"/>
  <c r="E18" i="295"/>
  <c r="J16" i="295"/>
  <c r="I16" i="295"/>
  <c r="H16" i="295"/>
  <c r="G16" i="295"/>
  <c r="F16" i="295"/>
  <c r="E16" i="295"/>
  <c r="D16" i="295"/>
  <c r="O8" i="295"/>
  <c r="N8" i="295"/>
  <c r="M8" i="295"/>
  <c r="L8" i="295"/>
  <c r="O7" i="295"/>
  <c r="N7" i="295"/>
  <c r="M7" i="295"/>
  <c r="L7" i="295"/>
  <c r="N6" i="295"/>
  <c r="G3" i="295"/>
  <c r="AE79" i="294"/>
  <c r="AD79" i="294"/>
  <c r="AA79" i="294"/>
  <c r="Z79" i="294"/>
  <c r="N79" i="294"/>
  <c r="M79" i="294"/>
  <c r="W78" i="294"/>
  <c r="H78" i="294"/>
  <c r="W77" i="294"/>
  <c r="H77" i="294"/>
  <c r="W76" i="294"/>
  <c r="H76" i="294"/>
  <c r="W75" i="294"/>
  <c r="H75" i="294"/>
  <c r="W74" i="294"/>
  <c r="W73" i="294"/>
  <c r="W72" i="294"/>
  <c r="V72" i="294"/>
  <c r="N72" i="294"/>
  <c r="O72" i="294" s="1"/>
  <c r="K72" i="294"/>
  <c r="J72" i="294"/>
  <c r="P72" i="294" s="1"/>
  <c r="H72" i="294"/>
  <c r="F72" i="294"/>
  <c r="W71" i="294"/>
  <c r="V71" i="294"/>
  <c r="N71" i="294"/>
  <c r="O71" i="294" s="1"/>
  <c r="K71" i="294"/>
  <c r="L71" i="294" s="1"/>
  <c r="J71" i="294"/>
  <c r="P71" i="294" s="1"/>
  <c r="H71" i="294"/>
  <c r="F71" i="294"/>
  <c r="AG70" i="294"/>
  <c r="W70" i="294"/>
  <c r="P70" i="294"/>
  <c r="N70" i="294"/>
  <c r="AF70" i="294" s="1"/>
  <c r="K70" i="294"/>
  <c r="J70" i="294"/>
  <c r="H70" i="294"/>
  <c r="F70" i="294"/>
  <c r="AE69" i="294"/>
  <c r="I21" i="293" s="1"/>
  <c r="AD69" i="294"/>
  <c r="I20" i="293" s="1"/>
  <c r="N6" i="293" s="1"/>
  <c r="AA69" i="294"/>
  <c r="I19" i="293" s="1"/>
  <c r="Z69" i="294"/>
  <c r="M69" i="294"/>
  <c r="J69" i="294"/>
  <c r="P69" i="294" s="1"/>
  <c r="W68" i="294"/>
  <c r="H68" i="294"/>
  <c r="W67" i="294"/>
  <c r="W66" i="294"/>
  <c r="W65" i="294"/>
  <c r="W64" i="294"/>
  <c r="W63" i="294"/>
  <c r="AG62" i="294"/>
  <c r="AF62" i="294"/>
  <c r="W62" i="294"/>
  <c r="AF61" i="294"/>
  <c r="W61" i="294"/>
  <c r="N61" i="294" s="1"/>
  <c r="V61" i="294"/>
  <c r="P61" i="294"/>
  <c r="K61" i="294"/>
  <c r="J61" i="294"/>
  <c r="L61" i="294" s="1"/>
  <c r="F61" i="294"/>
  <c r="H61" i="294" s="1"/>
  <c r="W60" i="294"/>
  <c r="N60" i="294" s="1"/>
  <c r="AF60" i="294" s="1"/>
  <c r="V60" i="294"/>
  <c r="K60" i="294"/>
  <c r="J60" i="294"/>
  <c r="P60" i="294" s="1"/>
  <c r="F60" i="294"/>
  <c r="H60" i="294" s="1"/>
  <c r="W59" i="294"/>
  <c r="N59" i="294" s="1"/>
  <c r="P59" i="294"/>
  <c r="K59" i="294"/>
  <c r="K69" i="294" s="1"/>
  <c r="J59" i="294"/>
  <c r="L59" i="294" s="1"/>
  <c r="F59" i="294"/>
  <c r="H59" i="294" s="1"/>
  <c r="AE58" i="294"/>
  <c r="AD58" i="294"/>
  <c r="AA58" i="294"/>
  <c r="H19" i="293" s="1"/>
  <c r="Z58" i="294"/>
  <c r="M58" i="294"/>
  <c r="W57" i="294"/>
  <c r="W56" i="294"/>
  <c r="W55" i="294"/>
  <c r="W54" i="294"/>
  <c r="AG53" i="294"/>
  <c r="AF53" i="294"/>
  <c r="W53" i="294"/>
  <c r="W52" i="294"/>
  <c r="V52" i="294"/>
  <c r="P52" i="294"/>
  <c r="N52" i="294"/>
  <c r="K52" i="294"/>
  <c r="J52" i="294"/>
  <c r="L52" i="294" s="1"/>
  <c r="H52" i="294"/>
  <c r="F52" i="294"/>
  <c r="W51" i="294"/>
  <c r="V51" i="294"/>
  <c r="N51" i="294"/>
  <c r="L51" i="294"/>
  <c r="K51" i="294"/>
  <c r="J51" i="294"/>
  <c r="P51" i="294" s="1"/>
  <c r="H51" i="294"/>
  <c r="F51" i="294"/>
  <c r="W50" i="294"/>
  <c r="V50" i="294"/>
  <c r="P50" i="294"/>
  <c r="N50" i="294"/>
  <c r="K50" i="294"/>
  <c r="L50" i="294" s="1"/>
  <c r="J50" i="294"/>
  <c r="H50" i="294"/>
  <c r="F50" i="294"/>
  <c r="W49" i="294"/>
  <c r="N49" i="294" s="1"/>
  <c r="AG49" i="294" s="1"/>
  <c r="P49" i="294"/>
  <c r="L49" i="294"/>
  <c r="K49" i="294"/>
  <c r="J49" i="294"/>
  <c r="F49" i="294"/>
  <c r="H49" i="294" s="1"/>
  <c r="AE48" i="294"/>
  <c r="AD48" i="294"/>
  <c r="AA48" i="294"/>
  <c r="G19" i="293" s="1"/>
  <c r="Z48" i="294"/>
  <c r="G18" i="293" s="1"/>
  <c r="W48" i="294"/>
  <c r="M48" i="294"/>
  <c r="G22" i="293" s="1"/>
  <c r="W47" i="294"/>
  <c r="H47" i="294"/>
  <c r="W46" i="294"/>
  <c r="W45" i="294"/>
  <c r="W44" i="294"/>
  <c r="W43" i="294"/>
  <c r="W42" i="294"/>
  <c r="AG41" i="294"/>
  <c r="AF41" i="294"/>
  <c r="W41" i="294"/>
  <c r="AG40" i="294"/>
  <c r="W40" i="294"/>
  <c r="N40" i="294" s="1"/>
  <c r="AF40" i="294" s="1"/>
  <c r="V40" i="294"/>
  <c r="O40" i="294"/>
  <c r="R40" i="294" s="1"/>
  <c r="L40" i="294"/>
  <c r="J40" i="294"/>
  <c r="P40" i="294" s="1"/>
  <c r="H40" i="294"/>
  <c r="F40" i="294"/>
  <c r="W39" i="294"/>
  <c r="V39" i="294"/>
  <c r="N39" i="294"/>
  <c r="L39" i="294"/>
  <c r="J39" i="294"/>
  <c r="P39" i="294" s="1"/>
  <c r="F39" i="294"/>
  <c r="H39" i="294" s="1"/>
  <c r="W38" i="294"/>
  <c r="O38" i="294"/>
  <c r="N38" i="294"/>
  <c r="L38" i="294"/>
  <c r="K38" i="294"/>
  <c r="J38" i="294"/>
  <c r="H38" i="294"/>
  <c r="F38" i="294"/>
  <c r="AE37" i="294"/>
  <c r="F21" i="293" s="1"/>
  <c r="AD37" i="294"/>
  <c r="AA37" i="294"/>
  <c r="Z37" i="294"/>
  <c r="F18" i="293" s="1"/>
  <c r="P37" i="294"/>
  <c r="M37" i="294"/>
  <c r="J37" i="294"/>
  <c r="W36" i="294"/>
  <c r="H36" i="294"/>
  <c r="W35" i="294"/>
  <c r="W34" i="294"/>
  <c r="W33" i="294"/>
  <c r="W32" i="294"/>
  <c r="AG31" i="294"/>
  <c r="AF31" i="294"/>
  <c r="W31" i="294"/>
  <c r="W30" i="294"/>
  <c r="N30" i="294" s="1"/>
  <c r="V30" i="294"/>
  <c r="P30" i="294"/>
  <c r="K30" i="294"/>
  <c r="L30" i="294" s="1"/>
  <c r="J30" i="294"/>
  <c r="H30" i="294"/>
  <c r="F30" i="294"/>
  <c r="W29" i="294"/>
  <c r="N29" i="294" s="1"/>
  <c r="V29" i="294"/>
  <c r="P29" i="294"/>
  <c r="K29" i="294"/>
  <c r="L29" i="294" s="1"/>
  <c r="J29" i="294"/>
  <c r="H29" i="294"/>
  <c r="F29" i="294"/>
  <c r="AG28" i="294"/>
  <c r="W28" i="294"/>
  <c r="N28" i="294" s="1"/>
  <c r="V28" i="294"/>
  <c r="P28" i="294"/>
  <c r="K28" i="294"/>
  <c r="L28" i="294" s="1"/>
  <c r="J28" i="294"/>
  <c r="H28" i="294"/>
  <c r="F28" i="294"/>
  <c r="W27" i="294"/>
  <c r="N27" i="294" s="1"/>
  <c r="P27" i="294"/>
  <c r="O27" i="294"/>
  <c r="L27" i="294"/>
  <c r="L37" i="294" s="1"/>
  <c r="F13" i="293" s="1"/>
  <c r="K27" i="294"/>
  <c r="H27" i="294"/>
  <c r="F27" i="294"/>
  <c r="AE26" i="294"/>
  <c r="AD26" i="294"/>
  <c r="AA26" i="294"/>
  <c r="Z26" i="294"/>
  <c r="M26" i="294"/>
  <c r="K26" i="294"/>
  <c r="J26" i="294"/>
  <c r="W25" i="294"/>
  <c r="H25" i="294"/>
  <c r="W24" i="294"/>
  <c r="H24" i="294"/>
  <c r="W23" i="294"/>
  <c r="W21" i="294"/>
  <c r="W20" i="294"/>
  <c r="AG19" i="294"/>
  <c r="W19" i="294"/>
  <c r="N19" i="294" s="1"/>
  <c r="O19" i="294" s="1"/>
  <c r="V19" i="294"/>
  <c r="P19" i="294"/>
  <c r="K19" i="294"/>
  <c r="L19" i="294" s="1"/>
  <c r="J19" i="294"/>
  <c r="H19" i="294"/>
  <c r="F19" i="294"/>
  <c r="AF18" i="294"/>
  <c r="W18" i="294"/>
  <c r="N18" i="294" s="1"/>
  <c r="O18" i="294" s="1"/>
  <c r="R18" i="294" s="1"/>
  <c r="V18" i="294"/>
  <c r="P18" i="294"/>
  <c r="K18" i="294"/>
  <c r="L18" i="294" s="1"/>
  <c r="J18" i="294"/>
  <c r="H18" i="294"/>
  <c r="F18" i="294"/>
  <c r="W17" i="294"/>
  <c r="N17" i="294" s="1"/>
  <c r="N26" i="294" s="1"/>
  <c r="V17" i="294"/>
  <c r="P17" i="294"/>
  <c r="K17" i="294"/>
  <c r="L17" i="294" s="1"/>
  <c r="J17" i="294"/>
  <c r="H17" i="294"/>
  <c r="F17" i="294"/>
  <c r="AF16" i="294"/>
  <c r="W16" i="294"/>
  <c r="P16" i="294"/>
  <c r="N16" i="294"/>
  <c r="AG16" i="294" s="1"/>
  <c r="K16" i="294"/>
  <c r="J16" i="294"/>
  <c r="L16" i="294" s="1"/>
  <c r="F16" i="294"/>
  <c r="H16" i="294" s="1"/>
  <c r="G1" i="294" s="1"/>
  <c r="AE15" i="294"/>
  <c r="AD15" i="294"/>
  <c r="AA15" i="294"/>
  <c r="Z15" i="294"/>
  <c r="Z2" i="294" s="1"/>
  <c r="M15" i="294"/>
  <c r="K15" i="294"/>
  <c r="W14" i="294"/>
  <c r="W13" i="294"/>
  <c r="W12" i="294"/>
  <c r="AG11" i="294"/>
  <c r="AF11" i="294"/>
  <c r="W11" i="294"/>
  <c r="AG10" i="294"/>
  <c r="AF10" i="294"/>
  <c r="W10" i="294"/>
  <c r="W9" i="294"/>
  <c r="N9" i="294" s="1"/>
  <c r="AG9" i="294" s="1"/>
  <c r="V9" i="294"/>
  <c r="P9" i="294"/>
  <c r="L9" i="294"/>
  <c r="K9" i="294"/>
  <c r="J9" i="294"/>
  <c r="F9" i="294"/>
  <c r="H9" i="294" s="1"/>
  <c r="AG8" i="294"/>
  <c r="W8" i="294"/>
  <c r="N8" i="294" s="1"/>
  <c r="AF8" i="294" s="1"/>
  <c r="V8" i="294"/>
  <c r="O8" i="294"/>
  <c r="K8" i="294"/>
  <c r="J8" i="294"/>
  <c r="P8" i="294" s="1"/>
  <c r="H8" i="294"/>
  <c r="F8" i="294"/>
  <c r="AG7" i="294"/>
  <c r="W7" i="294"/>
  <c r="N7" i="294" s="1"/>
  <c r="AF7" i="294" s="1"/>
  <c r="V7" i="294"/>
  <c r="O7" i="294"/>
  <c r="R7" i="294" s="1"/>
  <c r="L7" i="294"/>
  <c r="K7" i="294"/>
  <c r="J7" i="294"/>
  <c r="P7" i="294" s="1"/>
  <c r="H7" i="294"/>
  <c r="F7" i="294"/>
  <c r="W6" i="294"/>
  <c r="V6" i="294"/>
  <c r="N6" i="294"/>
  <c r="K6" i="294"/>
  <c r="J6" i="294"/>
  <c r="L6" i="294" s="1"/>
  <c r="H6" i="294"/>
  <c r="F6" i="294"/>
  <c r="W5" i="294"/>
  <c r="P5" i="294"/>
  <c r="O5" i="294"/>
  <c r="N5" i="294"/>
  <c r="L5" i="294"/>
  <c r="K5" i="294"/>
  <c r="J5" i="294"/>
  <c r="H5" i="294"/>
  <c r="F5" i="294"/>
  <c r="I2" i="294"/>
  <c r="I1" i="294"/>
  <c r="E1" i="294"/>
  <c r="J22" i="293"/>
  <c r="I22" i="293"/>
  <c r="H22" i="293"/>
  <c r="F22" i="293"/>
  <c r="D22" i="293"/>
  <c r="J21" i="293"/>
  <c r="H21" i="293"/>
  <c r="G21" i="293"/>
  <c r="E21" i="293"/>
  <c r="J20" i="293"/>
  <c r="H20" i="293"/>
  <c r="G20" i="293"/>
  <c r="F20" i="293"/>
  <c r="E20" i="293"/>
  <c r="D20" i="293"/>
  <c r="O6" i="293" s="1"/>
  <c r="J19" i="293"/>
  <c r="F19" i="293"/>
  <c r="E19" i="293"/>
  <c r="J18" i="293"/>
  <c r="I18" i="293"/>
  <c r="H18" i="293"/>
  <c r="E18" i="293"/>
  <c r="J16" i="293"/>
  <c r="I16" i="293"/>
  <c r="H16" i="293"/>
  <c r="G16" i="293"/>
  <c r="F16" i="293"/>
  <c r="E16" i="293"/>
  <c r="D16" i="293"/>
  <c r="O8" i="293"/>
  <c r="N8" i="293"/>
  <c r="M8" i="293"/>
  <c r="L8" i="293"/>
  <c r="O7" i="293"/>
  <c r="N7" i="293"/>
  <c r="M7" i="293"/>
  <c r="L7" i="293"/>
  <c r="G3" i="293"/>
  <c r="AE79" i="3"/>
  <c r="AE2" i="3" s="1"/>
  <c r="O6" i="2" s="1"/>
  <c r="AD79" i="3"/>
  <c r="AA79" i="3"/>
  <c r="Z79" i="3"/>
  <c r="M79" i="3"/>
  <c r="L79" i="3"/>
  <c r="J13" i="2" s="1"/>
  <c r="J79" i="3"/>
  <c r="P79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P70" i="3"/>
  <c r="N70" i="3"/>
  <c r="L70" i="3"/>
  <c r="K70" i="3"/>
  <c r="AG70" i="3" s="1"/>
  <c r="J70" i="3"/>
  <c r="H70" i="3"/>
  <c r="F70" i="3"/>
  <c r="B70" i="3"/>
  <c r="AE69" i="3"/>
  <c r="AD69" i="3"/>
  <c r="AA69" i="3"/>
  <c r="Z69" i="3"/>
  <c r="M69" i="3"/>
  <c r="W68" i="3"/>
  <c r="H68" i="3"/>
  <c r="W67" i="3"/>
  <c r="W66" i="3"/>
  <c r="W65" i="3"/>
  <c r="W64" i="3"/>
  <c r="W63" i="3"/>
  <c r="AG62" i="3"/>
  <c r="AF62" i="3"/>
  <c r="W62" i="3"/>
  <c r="W61" i="3"/>
  <c r="V61" i="3"/>
  <c r="P61" i="3"/>
  <c r="N61" i="3"/>
  <c r="L61" i="3"/>
  <c r="K61" i="3"/>
  <c r="J61" i="3"/>
  <c r="F61" i="3"/>
  <c r="H61" i="3" s="1"/>
  <c r="B61" i="3"/>
  <c r="W60" i="3"/>
  <c r="N60" i="3" s="1"/>
  <c r="V60" i="3"/>
  <c r="P60" i="3"/>
  <c r="K60" i="3"/>
  <c r="L60" i="3" s="1"/>
  <c r="J60" i="3"/>
  <c r="F60" i="3"/>
  <c r="H60" i="3" s="1"/>
  <c r="B60" i="3"/>
  <c r="W59" i="3"/>
  <c r="N59" i="3" s="1"/>
  <c r="K59" i="3"/>
  <c r="K69" i="3" s="1"/>
  <c r="J59" i="3"/>
  <c r="F59" i="3"/>
  <c r="H59" i="3" s="1"/>
  <c r="B59" i="3"/>
  <c r="AE58" i="3"/>
  <c r="AD58" i="3"/>
  <c r="AA58" i="3"/>
  <c r="Z58" i="3"/>
  <c r="M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P51" i="3"/>
  <c r="N51" i="3"/>
  <c r="L51" i="3"/>
  <c r="K51" i="3"/>
  <c r="J51" i="3"/>
  <c r="F51" i="3"/>
  <c r="H51" i="3" s="1"/>
  <c r="B51" i="3"/>
  <c r="W50" i="3"/>
  <c r="N50" i="3" s="1"/>
  <c r="AF50" i="3" s="1"/>
  <c r="V50" i="3"/>
  <c r="P50" i="3"/>
  <c r="K50" i="3"/>
  <c r="L50" i="3" s="1"/>
  <c r="J50" i="3"/>
  <c r="F50" i="3"/>
  <c r="H50" i="3" s="1"/>
  <c r="B50" i="3"/>
  <c r="W49" i="3"/>
  <c r="N49" i="3" s="1"/>
  <c r="N58" i="3" s="1"/>
  <c r="K49" i="3"/>
  <c r="K58" i="3" s="1"/>
  <c r="J49" i="3"/>
  <c r="F49" i="3"/>
  <c r="H49" i="3" s="1"/>
  <c r="B49" i="3"/>
  <c r="AE48" i="3"/>
  <c r="AD48" i="3"/>
  <c r="AA48" i="3"/>
  <c r="Z48" i="3"/>
  <c r="W48" i="3"/>
  <c r="M48" i="3"/>
  <c r="I1" i="3" s="1"/>
  <c r="W47" i="3"/>
  <c r="H47" i="3"/>
  <c r="W46" i="3"/>
  <c r="W45" i="3"/>
  <c r="W44" i="3"/>
  <c r="W43" i="3"/>
  <c r="W42" i="3"/>
  <c r="AG41" i="3"/>
  <c r="AF41" i="3"/>
  <c r="W41" i="3"/>
  <c r="W40" i="3"/>
  <c r="V40" i="3"/>
  <c r="P40" i="3"/>
  <c r="N40" i="3"/>
  <c r="L40" i="3"/>
  <c r="K40" i="3"/>
  <c r="J40" i="3"/>
  <c r="F40" i="3"/>
  <c r="H40" i="3" s="1"/>
  <c r="B40" i="3"/>
  <c r="AF39" i="3"/>
  <c r="W39" i="3"/>
  <c r="N39" i="3" s="1"/>
  <c r="V39" i="3"/>
  <c r="P39" i="3"/>
  <c r="K39" i="3"/>
  <c r="L39" i="3" s="1"/>
  <c r="J39" i="3"/>
  <c r="F39" i="3"/>
  <c r="H39" i="3" s="1"/>
  <c r="B39" i="3"/>
  <c r="AF38" i="3"/>
  <c r="W38" i="3"/>
  <c r="N38" i="3" s="1"/>
  <c r="K38" i="3"/>
  <c r="K48" i="3" s="1"/>
  <c r="J38" i="3"/>
  <c r="L38" i="3" s="1"/>
  <c r="L48" i="3" s="1"/>
  <c r="G13" i="2" s="1"/>
  <c r="F38" i="3"/>
  <c r="H38" i="3" s="1"/>
  <c r="B38" i="3"/>
  <c r="AE37" i="3"/>
  <c r="AD37" i="3"/>
  <c r="AA37" i="3"/>
  <c r="Z37" i="3"/>
  <c r="M37" i="3"/>
  <c r="F22" i="2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P29" i="3"/>
  <c r="K29" i="3"/>
  <c r="L29" i="3" s="1"/>
  <c r="J29" i="3"/>
  <c r="F29" i="3"/>
  <c r="H29" i="3" s="1"/>
  <c r="B29" i="3"/>
  <c r="AG28" i="3"/>
  <c r="AF28" i="3"/>
  <c r="W28" i="3"/>
  <c r="V28" i="3"/>
  <c r="N28" i="3"/>
  <c r="O28" i="3" s="1"/>
  <c r="K28" i="3"/>
  <c r="L28" i="3" s="1"/>
  <c r="J28" i="3"/>
  <c r="P28" i="3" s="1"/>
  <c r="F28" i="3"/>
  <c r="H28" i="3" s="1"/>
  <c r="B28" i="3"/>
  <c r="W27" i="3"/>
  <c r="N27" i="3"/>
  <c r="N37" i="3" s="1"/>
  <c r="K27" i="3"/>
  <c r="K37" i="3" s="1"/>
  <c r="J27" i="3"/>
  <c r="H27" i="3"/>
  <c r="F27" i="3"/>
  <c r="B27" i="3"/>
  <c r="AE26" i="3"/>
  <c r="AD26" i="3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AF18" i="3"/>
  <c r="W18" i="3"/>
  <c r="N18" i="3" s="1"/>
  <c r="V18" i="3"/>
  <c r="P18" i="3"/>
  <c r="K18" i="3"/>
  <c r="L18" i="3" s="1"/>
  <c r="J18" i="3"/>
  <c r="F18" i="3"/>
  <c r="H18" i="3" s="1"/>
  <c r="B18" i="3"/>
  <c r="W17" i="3"/>
  <c r="N17" i="3" s="1"/>
  <c r="V17" i="3"/>
  <c r="K17" i="3"/>
  <c r="L17" i="3" s="1"/>
  <c r="J17" i="3"/>
  <c r="P17" i="3" s="1"/>
  <c r="H17" i="3"/>
  <c r="F17" i="3"/>
  <c r="B17" i="3"/>
  <c r="W16" i="3"/>
  <c r="P16" i="3"/>
  <c r="O16" i="3"/>
  <c r="N16" i="3"/>
  <c r="K16" i="3"/>
  <c r="J16" i="3"/>
  <c r="J26" i="3" s="1"/>
  <c r="P26" i="3" s="1"/>
  <c r="H16" i="3"/>
  <c r="F16" i="3"/>
  <c r="B16" i="3"/>
  <c r="AE15" i="3"/>
  <c r="AD15" i="3"/>
  <c r="AA15" i="3"/>
  <c r="Z15" i="3"/>
  <c r="Z2" i="3" s="1"/>
  <c r="L6" i="2" s="1"/>
  <c r="M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AF7" i="3" s="1"/>
  <c r="V7" i="3"/>
  <c r="L7" i="3"/>
  <c r="K7" i="3"/>
  <c r="J7" i="3"/>
  <c r="P7" i="3" s="1"/>
  <c r="F7" i="3"/>
  <c r="H7" i="3" s="1"/>
  <c r="B7" i="3"/>
  <c r="W6" i="3"/>
  <c r="V6" i="3"/>
  <c r="P6" i="3"/>
  <c r="O6" i="3"/>
  <c r="N6" i="3"/>
  <c r="K6" i="3"/>
  <c r="L6" i="3" s="1"/>
  <c r="J6" i="3"/>
  <c r="H6" i="3"/>
  <c r="F6" i="3"/>
  <c r="B6" i="3"/>
  <c r="W5" i="3"/>
  <c r="N5" i="3" s="1"/>
  <c r="P5" i="3"/>
  <c r="K5" i="3"/>
  <c r="L5" i="3" s="1"/>
  <c r="L15" i="3" s="1"/>
  <c r="D13" i="2" s="1"/>
  <c r="J5" i="3"/>
  <c r="J15" i="3" s="1"/>
  <c r="P15" i="3" s="1"/>
  <c r="F5" i="3"/>
  <c r="H5" i="3" s="1"/>
  <c r="G1" i="3" s="1"/>
  <c r="B5" i="3"/>
  <c r="AD2" i="3"/>
  <c r="N6" i="2" s="1"/>
  <c r="I2" i="3"/>
  <c r="E1" i="3"/>
  <c r="J22" i="2"/>
  <c r="I22" i="2"/>
  <c r="H22" i="2"/>
  <c r="G22" i="2"/>
  <c r="E22" i="2"/>
  <c r="D22" i="2"/>
  <c r="J16" i="2"/>
  <c r="I16" i="2"/>
  <c r="H16" i="2"/>
  <c r="G16" i="2"/>
  <c r="F16" i="2"/>
  <c r="E16" i="2"/>
  <c r="D16" i="2"/>
  <c r="G3" i="2"/>
  <c r="AE79" i="356"/>
  <c r="J21" i="355" s="1"/>
  <c r="AD79" i="356"/>
  <c r="J20" i="355" s="1"/>
  <c r="AA79" i="356"/>
  <c r="J18" i="355" s="1"/>
  <c r="Z79" i="356"/>
  <c r="M79" i="356"/>
  <c r="K79" i="356"/>
  <c r="W78" i="356"/>
  <c r="H78" i="356"/>
  <c r="W77" i="356"/>
  <c r="H77" i="356"/>
  <c r="W76" i="356"/>
  <c r="H76" i="356"/>
  <c r="W75" i="356"/>
  <c r="H75" i="356"/>
  <c r="W74" i="356"/>
  <c r="W73" i="356"/>
  <c r="W72" i="356"/>
  <c r="W71" i="356"/>
  <c r="N71" i="356" s="1"/>
  <c r="O71" i="356" s="1"/>
  <c r="V71" i="356"/>
  <c r="K71" i="356"/>
  <c r="J71" i="356"/>
  <c r="H71" i="356"/>
  <c r="F71" i="356"/>
  <c r="W70" i="356"/>
  <c r="P70" i="356"/>
  <c r="N70" i="356"/>
  <c r="L70" i="356"/>
  <c r="H70" i="356"/>
  <c r="F70" i="356"/>
  <c r="AE69" i="356"/>
  <c r="I21" i="355" s="1"/>
  <c r="AD69" i="356"/>
  <c r="I20" i="355" s="1"/>
  <c r="AA69" i="356"/>
  <c r="I19" i="355" s="1"/>
  <c r="Z69" i="356"/>
  <c r="I18" i="355" s="1"/>
  <c r="M69" i="356"/>
  <c r="I22" i="355" s="1"/>
  <c r="W68" i="356"/>
  <c r="H68" i="356"/>
  <c r="W67" i="356"/>
  <c r="W66" i="356"/>
  <c r="W65" i="356"/>
  <c r="W64" i="356"/>
  <c r="W63" i="356"/>
  <c r="N63" i="356" s="1"/>
  <c r="O63" i="356" s="1"/>
  <c r="V63" i="356"/>
  <c r="P63" i="356"/>
  <c r="K63" i="356"/>
  <c r="L63" i="356" s="1"/>
  <c r="Q63" i="356" s="1"/>
  <c r="J63" i="356"/>
  <c r="F63" i="356"/>
  <c r="H63" i="356" s="1"/>
  <c r="AG62" i="356"/>
  <c r="AF62" i="356"/>
  <c r="W62" i="356"/>
  <c r="V62" i="356"/>
  <c r="N62" i="356"/>
  <c r="O62" i="356" s="1"/>
  <c r="K62" i="356"/>
  <c r="J62" i="356"/>
  <c r="P62" i="356" s="1"/>
  <c r="F62" i="356"/>
  <c r="H62" i="356" s="1"/>
  <c r="W61" i="356"/>
  <c r="N61" i="356" s="1"/>
  <c r="V61" i="356"/>
  <c r="K61" i="356"/>
  <c r="K69" i="356" s="1"/>
  <c r="J61" i="356"/>
  <c r="P61" i="356" s="1"/>
  <c r="F61" i="356"/>
  <c r="H61" i="356" s="1"/>
  <c r="W60" i="356"/>
  <c r="N60" i="356" s="1"/>
  <c r="AF60" i="356" s="1"/>
  <c r="V60" i="356"/>
  <c r="K60" i="356"/>
  <c r="J60" i="356"/>
  <c r="L60" i="356" s="1"/>
  <c r="H60" i="356"/>
  <c r="F60" i="356"/>
  <c r="W59" i="356"/>
  <c r="P59" i="356"/>
  <c r="N59" i="356"/>
  <c r="L59" i="356"/>
  <c r="K59" i="356"/>
  <c r="J59" i="356"/>
  <c r="F59" i="356"/>
  <c r="H59" i="356" s="1"/>
  <c r="AE58" i="356"/>
  <c r="H21" i="355" s="1"/>
  <c r="AD58" i="356"/>
  <c r="H20" i="355" s="1"/>
  <c r="AA58" i="356"/>
  <c r="H19" i="355" s="1"/>
  <c r="Z58" i="356"/>
  <c r="H18" i="355" s="1"/>
  <c r="M58" i="356"/>
  <c r="H22" i="355" s="1"/>
  <c r="K58" i="356"/>
  <c r="J58" i="356"/>
  <c r="P58" i="356" s="1"/>
  <c r="W57" i="356"/>
  <c r="W56" i="356"/>
  <c r="W55" i="356"/>
  <c r="W54" i="356"/>
  <c r="AG53" i="356"/>
  <c r="AF53" i="356"/>
  <c r="W53" i="356"/>
  <c r="AG52" i="356"/>
  <c r="AF52" i="356"/>
  <c r="W52" i="356"/>
  <c r="AG51" i="356"/>
  <c r="AF51" i="356"/>
  <c r="W51" i="356"/>
  <c r="N51" i="356" s="1"/>
  <c r="O51" i="356" s="1"/>
  <c r="V51" i="356"/>
  <c r="R51" i="356"/>
  <c r="Q51" i="356"/>
  <c r="P51" i="356"/>
  <c r="L51" i="356"/>
  <c r="J51" i="356"/>
  <c r="F51" i="356"/>
  <c r="H51" i="356" s="1"/>
  <c r="AG50" i="356"/>
  <c r="AF50" i="356"/>
  <c r="W50" i="356"/>
  <c r="V50" i="356"/>
  <c r="N50" i="356"/>
  <c r="O50" i="356" s="1"/>
  <c r="J50" i="356"/>
  <c r="P50" i="356" s="1"/>
  <c r="F50" i="356"/>
  <c r="H50" i="356" s="1"/>
  <c r="W49" i="356"/>
  <c r="N49" i="356" s="1"/>
  <c r="P49" i="356"/>
  <c r="L49" i="356"/>
  <c r="F49" i="356"/>
  <c r="H49" i="356" s="1"/>
  <c r="AE48" i="356"/>
  <c r="G21" i="355" s="1"/>
  <c r="AD48" i="356"/>
  <c r="G20" i="355" s="1"/>
  <c r="AA48" i="356"/>
  <c r="G19" i="355" s="1"/>
  <c r="Z48" i="356"/>
  <c r="G18" i="355" s="1"/>
  <c r="W48" i="356"/>
  <c r="M48" i="356"/>
  <c r="G22" i="355" s="1"/>
  <c r="W47" i="356"/>
  <c r="H47" i="356"/>
  <c r="W46" i="356"/>
  <c r="W45" i="356"/>
  <c r="W44" i="356"/>
  <c r="W43" i="356"/>
  <c r="W42" i="356"/>
  <c r="AG41" i="356"/>
  <c r="AF41" i="356"/>
  <c r="W41" i="356"/>
  <c r="W40" i="356"/>
  <c r="V40" i="356"/>
  <c r="N40" i="356"/>
  <c r="AF40" i="356" s="1"/>
  <c r="L40" i="356"/>
  <c r="K40" i="356"/>
  <c r="J40" i="356"/>
  <c r="P40" i="356" s="1"/>
  <c r="H40" i="356"/>
  <c r="F40" i="356"/>
  <c r="W39" i="356"/>
  <c r="N39" i="356" s="1"/>
  <c r="V39" i="356"/>
  <c r="P39" i="356"/>
  <c r="O39" i="356"/>
  <c r="K39" i="356"/>
  <c r="K48" i="356" s="1"/>
  <c r="J39" i="356"/>
  <c r="J48" i="356" s="1"/>
  <c r="F39" i="356"/>
  <c r="H39" i="356" s="1"/>
  <c r="W38" i="356"/>
  <c r="N38" i="356" s="1"/>
  <c r="N48" i="356" s="1"/>
  <c r="P38" i="356"/>
  <c r="O38" i="356"/>
  <c r="Q38" i="356" s="1"/>
  <c r="J38" i="356"/>
  <c r="L38" i="356" s="1"/>
  <c r="H38" i="356"/>
  <c r="F38" i="356"/>
  <c r="AE37" i="356"/>
  <c r="F21" i="355" s="1"/>
  <c r="AD37" i="356"/>
  <c r="F20" i="355" s="1"/>
  <c r="AA37" i="356"/>
  <c r="F19" i="355" s="1"/>
  <c r="Z37" i="356"/>
  <c r="F18" i="355" s="1"/>
  <c r="M37" i="356"/>
  <c r="F22" i="355" s="1"/>
  <c r="K37" i="356"/>
  <c r="J37" i="356"/>
  <c r="W36" i="356"/>
  <c r="H36" i="356"/>
  <c r="W35" i="356"/>
  <c r="W34" i="356"/>
  <c r="W33" i="356"/>
  <c r="W32" i="356"/>
  <c r="AG31" i="356"/>
  <c r="AF31" i="356"/>
  <c r="W31" i="356"/>
  <c r="AG30" i="356"/>
  <c r="AF30" i="356"/>
  <c r="W30" i="356"/>
  <c r="AG29" i="356"/>
  <c r="AF29" i="356"/>
  <c r="W29" i="356"/>
  <c r="AG28" i="356"/>
  <c r="W28" i="356"/>
  <c r="AF28" i="356"/>
  <c r="W27" i="356"/>
  <c r="P27" i="356"/>
  <c r="N27" i="356"/>
  <c r="L27" i="356"/>
  <c r="J27" i="356"/>
  <c r="F27" i="356"/>
  <c r="H27" i="356" s="1"/>
  <c r="AE26" i="356"/>
  <c r="E21" i="355" s="1"/>
  <c r="AD26" i="356"/>
  <c r="E20" i="355" s="1"/>
  <c r="AA26" i="356"/>
  <c r="E19" i="355" s="1"/>
  <c r="Z26" i="356"/>
  <c r="E18" i="355" s="1"/>
  <c r="M26" i="356"/>
  <c r="E22" i="355" s="1"/>
  <c r="W25" i="356"/>
  <c r="H25" i="356"/>
  <c r="W24" i="356"/>
  <c r="H24" i="356"/>
  <c r="W23" i="356"/>
  <c r="W21" i="356"/>
  <c r="W20" i="356"/>
  <c r="W19" i="356"/>
  <c r="N19" i="356" s="1"/>
  <c r="V19" i="356"/>
  <c r="O19" i="356"/>
  <c r="L19" i="356"/>
  <c r="Q19" i="356" s="1"/>
  <c r="J19" i="356"/>
  <c r="P19" i="356" s="1"/>
  <c r="H19" i="356"/>
  <c r="F19" i="356"/>
  <c r="W18" i="356"/>
  <c r="V18" i="356"/>
  <c r="P18" i="356"/>
  <c r="N18" i="356"/>
  <c r="L18" i="356"/>
  <c r="J18" i="356"/>
  <c r="J26" i="356" s="1"/>
  <c r="P26" i="356" s="1"/>
  <c r="F18" i="356"/>
  <c r="H18" i="356" s="1"/>
  <c r="W17" i="356"/>
  <c r="V17" i="356"/>
  <c r="P17" i="356"/>
  <c r="N17" i="356"/>
  <c r="O17" i="356" s="1"/>
  <c r="L17" i="356"/>
  <c r="J17" i="356"/>
  <c r="F17" i="356"/>
  <c r="H17" i="356" s="1"/>
  <c r="W16" i="356"/>
  <c r="N16" i="356" s="1"/>
  <c r="AF16" i="356" s="1"/>
  <c r="P16" i="356"/>
  <c r="K16" i="356"/>
  <c r="L16" i="356" s="1"/>
  <c r="J16" i="356"/>
  <c r="F16" i="356"/>
  <c r="H16" i="356" s="1"/>
  <c r="AE15" i="356"/>
  <c r="D21" i="355" s="1"/>
  <c r="AD15" i="356"/>
  <c r="AA15" i="356"/>
  <c r="D19" i="355" s="1"/>
  <c r="Z15" i="356"/>
  <c r="D18" i="355" s="1"/>
  <c r="M15" i="356"/>
  <c r="K15" i="356"/>
  <c r="W14" i="356"/>
  <c r="W13" i="356"/>
  <c r="W12" i="356"/>
  <c r="AG11" i="356"/>
  <c r="AF11" i="356"/>
  <c r="W11" i="356"/>
  <c r="AG10" i="356"/>
  <c r="AF10" i="356"/>
  <c r="W10" i="356"/>
  <c r="AG9" i="356"/>
  <c r="AF9" i="356"/>
  <c r="W9" i="356"/>
  <c r="AG8" i="356"/>
  <c r="AF8" i="356"/>
  <c r="W8" i="356"/>
  <c r="W7" i="356"/>
  <c r="N7" i="356" s="1"/>
  <c r="O7" i="356" s="1"/>
  <c r="V7" i="356"/>
  <c r="L7" i="356"/>
  <c r="J7" i="356"/>
  <c r="P7" i="356" s="1"/>
  <c r="H7" i="356"/>
  <c r="F7" i="356"/>
  <c r="W6" i="356"/>
  <c r="N6" i="356" s="1"/>
  <c r="V6" i="356"/>
  <c r="P6" i="356"/>
  <c r="L6" i="356"/>
  <c r="J6" i="356"/>
  <c r="J15" i="356" s="1"/>
  <c r="F6" i="356"/>
  <c r="H6" i="356" s="1"/>
  <c r="W5" i="356"/>
  <c r="N5" i="356" s="1"/>
  <c r="P5" i="356"/>
  <c r="L5" i="356"/>
  <c r="F5" i="356"/>
  <c r="H5" i="356" s="1"/>
  <c r="Z2" i="356"/>
  <c r="I2" i="356"/>
  <c r="E1" i="356"/>
  <c r="G3" i="355" s="1"/>
  <c r="R63" i="340" l="1"/>
  <c r="P48" i="356"/>
  <c r="I1" i="356"/>
  <c r="Q7" i="356"/>
  <c r="L79" i="356"/>
  <c r="J13" i="355" s="1"/>
  <c r="R17" i="356"/>
  <c r="Q17" i="356"/>
  <c r="Q48" i="356"/>
  <c r="AG48" i="356"/>
  <c r="AH38" i="356" s="1"/>
  <c r="AF48" i="356"/>
  <c r="AG58" i="3"/>
  <c r="AH49" i="3" s="1"/>
  <c r="AF58" i="3"/>
  <c r="Q58" i="3"/>
  <c r="J3" i="293"/>
  <c r="G2" i="294"/>
  <c r="AG37" i="3"/>
  <c r="AH27" i="3" s="1"/>
  <c r="AF37" i="3"/>
  <c r="Q37" i="3"/>
  <c r="AF26" i="294"/>
  <c r="AG26" i="294"/>
  <c r="AH16" i="294" s="1"/>
  <c r="L15" i="356"/>
  <c r="D13" i="355" s="1"/>
  <c r="P71" i="356"/>
  <c r="J79" i="356"/>
  <c r="P79" i="356" s="1"/>
  <c r="O39" i="294"/>
  <c r="AG39" i="294"/>
  <c r="AF39" i="294"/>
  <c r="N48" i="294"/>
  <c r="O52" i="294"/>
  <c r="AG52" i="294"/>
  <c r="AF52" i="294"/>
  <c r="L58" i="296"/>
  <c r="H13" i="295" s="1"/>
  <c r="R71" i="296"/>
  <c r="Q71" i="296"/>
  <c r="P16" i="298"/>
  <c r="J26" i="298"/>
  <c r="L16" i="298"/>
  <c r="Q39" i="298"/>
  <c r="R39" i="298"/>
  <c r="O51" i="298"/>
  <c r="AF51" i="298"/>
  <c r="O70" i="298"/>
  <c r="N79" i="298"/>
  <c r="AG70" i="298"/>
  <c r="AF70" i="298"/>
  <c r="O27" i="300"/>
  <c r="AF27" i="300"/>
  <c r="N37" i="300"/>
  <c r="L6" i="299"/>
  <c r="O51" i="300"/>
  <c r="AG51" i="300"/>
  <c r="AF51" i="300"/>
  <c r="N58" i="300"/>
  <c r="P71" i="304"/>
  <c r="L71" i="304"/>
  <c r="O58" i="306"/>
  <c r="O70" i="306"/>
  <c r="N79" i="306"/>
  <c r="AG70" i="306"/>
  <c r="AF70" i="306"/>
  <c r="AG5" i="356"/>
  <c r="N15" i="356"/>
  <c r="AF5" i="356"/>
  <c r="D22" i="355"/>
  <c r="P15" i="356"/>
  <c r="AG27" i="356"/>
  <c r="N37" i="356"/>
  <c r="AF27" i="356"/>
  <c r="O27" i="356"/>
  <c r="L61" i="356"/>
  <c r="L69" i="356" s="1"/>
  <c r="I13" i="355" s="1"/>
  <c r="J6" i="355" s="1"/>
  <c r="L71" i="356"/>
  <c r="K79" i="3"/>
  <c r="K37" i="294"/>
  <c r="AF27" i="294"/>
  <c r="AG27" i="294"/>
  <c r="O28" i="294"/>
  <c r="AF28" i="294"/>
  <c r="AG61" i="294"/>
  <c r="O61" i="294"/>
  <c r="O17" i="296"/>
  <c r="AF17" i="296"/>
  <c r="AG17" i="296"/>
  <c r="AF6" i="298"/>
  <c r="O6" i="298"/>
  <c r="AG6" i="298"/>
  <c r="N15" i="298"/>
  <c r="O27" i="298"/>
  <c r="AG27" i="298"/>
  <c r="N37" i="298"/>
  <c r="AF27" i="298"/>
  <c r="AG51" i="298"/>
  <c r="N15" i="300"/>
  <c r="AG5" i="300"/>
  <c r="AF5" i="300"/>
  <c r="O5" i="300"/>
  <c r="P18" i="300"/>
  <c r="L18" i="300"/>
  <c r="AG27" i="300"/>
  <c r="Q73" i="300"/>
  <c r="R73" i="300"/>
  <c r="O28" i="302"/>
  <c r="AG28" i="302"/>
  <c r="AF28" i="302"/>
  <c r="L40" i="304"/>
  <c r="G22" i="305"/>
  <c r="P48" i="306"/>
  <c r="AF20" i="310"/>
  <c r="AG20" i="310"/>
  <c r="O20" i="310"/>
  <c r="N26" i="310"/>
  <c r="E20" i="309"/>
  <c r="N6" i="309" s="1"/>
  <c r="AD2" i="310"/>
  <c r="O70" i="310"/>
  <c r="AG70" i="310"/>
  <c r="AF70" i="310"/>
  <c r="N79" i="310"/>
  <c r="AG26" i="300"/>
  <c r="AH16" i="300" s="1"/>
  <c r="AF26" i="300"/>
  <c r="R7" i="356"/>
  <c r="M6" i="355"/>
  <c r="R19" i="356"/>
  <c r="L39" i="356"/>
  <c r="Q39" i="356" s="1"/>
  <c r="O40" i="356"/>
  <c r="Q50" i="356"/>
  <c r="O61" i="356"/>
  <c r="AG61" i="356"/>
  <c r="AA2" i="3"/>
  <c r="M6" i="2" s="1"/>
  <c r="AG40" i="3"/>
  <c r="AF40" i="3"/>
  <c r="O40" i="3"/>
  <c r="Q7" i="294"/>
  <c r="Q19" i="294"/>
  <c r="R19" i="294"/>
  <c r="E22" i="293"/>
  <c r="P26" i="294"/>
  <c r="J48" i="294"/>
  <c r="P48" i="294" s="1"/>
  <c r="P38" i="294"/>
  <c r="AF51" i="294"/>
  <c r="AG51" i="294"/>
  <c r="L15" i="298"/>
  <c r="D13" i="297" s="1"/>
  <c r="AA2" i="298"/>
  <c r="E19" i="297"/>
  <c r="M6" i="297" s="1"/>
  <c r="R61" i="298"/>
  <c r="Q61" i="298"/>
  <c r="AF27" i="302"/>
  <c r="AG27" i="302"/>
  <c r="O50" i="302"/>
  <c r="AG50" i="302"/>
  <c r="AF50" i="302"/>
  <c r="N58" i="302"/>
  <c r="Q53" i="302"/>
  <c r="R53" i="302"/>
  <c r="Q69" i="306"/>
  <c r="AF69" i="306"/>
  <c r="AG69" i="306"/>
  <c r="AH59" i="306" s="1"/>
  <c r="R71" i="306"/>
  <c r="Q71" i="306"/>
  <c r="AG70" i="308"/>
  <c r="N79" i="308"/>
  <c r="O70" i="308"/>
  <c r="AF70" i="308"/>
  <c r="N15" i="310"/>
  <c r="AF5" i="310"/>
  <c r="O5" i="310"/>
  <c r="AG5" i="310"/>
  <c r="D20" i="355"/>
  <c r="AD2" i="356"/>
  <c r="R39" i="356"/>
  <c r="AF61" i="356"/>
  <c r="D21" i="293"/>
  <c r="AE2" i="294"/>
  <c r="AF19" i="294"/>
  <c r="AG38" i="294"/>
  <c r="K48" i="294"/>
  <c r="O51" i="294"/>
  <c r="L72" i="294"/>
  <c r="R72" i="294" s="1"/>
  <c r="O48" i="296"/>
  <c r="Q38" i="296"/>
  <c r="AG40" i="296"/>
  <c r="AF40" i="296"/>
  <c r="O40" i="296"/>
  <c r="R72" i="296"/>
  <c r="Q72" i="296"/>
  <c r="K15" i="298"/>
  <c r="L58" i="298"/>
  <c r="H13" i="297" s="1"/>
  <c r="O64" i="298"/>
  <c r="AG64" i="298"/>
  <c r="P69" i="298"/>
  <c r="L71" i="298"/>
  <c r="P71" i="298"/>
  <c r="O27" i="302"/>
  <c r="Q38" i="306"/>
  <c r="AG6" i="294"/>
  <c r="AF6" i="294"/>
  <c r="AF30" i="294"/>
  <c r="O30" i="294"/>
  <c r="AG30" i="294"/>
  <c r="AF50" i="294"/>
  <c r="AG50" i="294"/>
  <c r="N58" i="294"/>
  <c r="P8" i="296"/>
  <c r="L8" i="296"/>
  <c r="Q8" i="296" s="1"/>
  <c r="P15" i="298"/>
  <c r="I1" i="298"/>
  <c r="P38" i="298"/>
  <c r="L38" i="298"/>
  <c r="L48" i="298" s="1"/>
  <c r="G13" i="297" s="1"/>
  <c r="J48" i="298"/>
  <c r="P48" i="298" s="1"/>
  <c r="AF60" i="298"/>
  <c r="O60" i="298"/>
  <c r="AG60" i="298"/>
  <c r="P37" i="300"/>
  <c r="N69" i="300"/>
  <c r="O59" i="300"/>
  <c r="AF59" i="300"/>
  <c r="O18" i="308"/>
  <c r="AG18" i="308"/>
  <c r="AA2" i="356"/>
  <c r="AG40" i="356"/>
  <c r="O60" i="356"/>
  <c r="N79" i="356"/>
  <c r="O70" i="356"/>
  <c r="AF70" i="356"/>
  <c r="J22" i="355"/>
  <c r="O18" i="3"/>
  <c r="AG18" i="3"/>
  <c r="J37" i="3"/>
  <c r="P37" i="3" s="1"/>
  <c r="P27" i="3"/>
  <c r="Q28" i="3"/>
  <c r="R28" i="3"/>
  <c r="AG29" i="3"/>
  <c r="AF29" i="3"/>
  <c r="O29" i="3"/>
  <c r="P49" i="3"/>
  <c r="J58" i="3"/>
  <c r="P58" i="3" s="1"/>
  <c r="P59" i="3"/>
  <c r="J69" i="3"/>
  <c r="P69" i="3" s="1"/>
  <c r="O6" i="294"/>
  <c r="Q18" i="294"/>
  <c r="N37" i="294"/>
  <c r="J58" i="294"/>
  <c r="P58" i="294" s="1"/>
  <c r="O50" i="294"/>
  <c r="G1" i="296"/>
  <c r="Q6" i="296"/>
  <c r="R6" i="296"/>
  <c r="AG15" i="296"/>
  <c r="AH5" i="296" s="1"/>
  <c r="AF15" i="296"/>
  <c r="L37" i="296"/>
  <c r="F13" i="295" s="1"/>
  <c r="J37" i="296"/>
  <c r="AG29" i="298"/>
  <c r="AF29" i="298"/>
  <c r="O29" i="298"/>
  <c r="AG48" i="298"/>
  <c r="AH38" i="298" s="1"/>
  <c r="AF48" i="298"/>
  <c r="R49" i="298"/>
  <c r="Q49" i="298"/>
  <c r="R20" i="300"/>
  <c r="Q20" i="300"/>
  <c r="AG59" i="300"/>
  <c r="AF19" i="302"/>
  <c r="O19" i="302"/>
  <c r="AG19" i="302"/>
  <c r="AF18" i="308"/>
  <c r="O70" i="322"/>
  <c r="AF70" i="322"/>
  <c r="N79" i="322"/>
  <c r="AG70" i="322"/>
  <c r="AF51" i="3"/>
  <c r="AG51" i="3"/>
  <c r="O51" i="3"/>
  <c r="AG61" i="3"/>
  <c r="AF61" i="3"/>
  <c r="O61" i="3"/>
  <c r="D19" i="293"/>
  <c r="M6" i="293" s="1"/>
  <c r="AA2" i="294"/>
  <c r="K15" i="296"/>
  <c r="L9" i="296"/>
  <c r="L69" i="296"/>
  <c r="I13" i="295" s="1"/>
  <c r="J6" i="295" s="1"/>
  <c r="Q60" i="296"/>
  <c r="AD2" i="304"/>
  <c r="E20" i="303"/>
  <c r="N6" i="303" s="1"/>
  <c r="L8" i="308"/>
  <c r="R8" i="308" s="1"/>
  <c r="AG8" i="308"/>
  <c r="AG6" i="356"/>
  <c r="AF6" i="356"/>
  <c r="O6" i="356"/>
  <c r="AG18" i="356"/>
  <c r="AF18" i="356"/>
  <c r="O18" i="356"/>
  <c r="AG60" i="294"/>
  <c r="O60" i="294"/>
  <c r="G1" i="356"/>
  <c r="AG7" i="356"/>
  <c r="AF7" i="356"/>
  <c r="O60" i="3"/>
  <c r="AG60" i="3"/>
  <c r="AF9" i="296"/>
  <c r="AG19" i="296"/>
  <c r="AF19" i="296"/>
  <c r="O19" i="296"/>
  <c r="O30" i="296"/>
  <c r="AG30" i="296"/>
  <c r="AF49" i="296"/>
  <c r="N58" i="296"/>
  <c r="O49" i="296"/>
  <c r="AG49" i="296"/>
  <c r="O59" i="298"/>
  <c r="AG59" i="298"/>
  <c r="AF59" i="298"/>
  <c r="N69" i="298"/>
  <c r="AF66" i="298"/>
  <c r="O66" i="298"/>
  <c r="AG66" i="298"/>
  <c r="R71" i="298"/>
  <c r="P8" i="300"/>
  <c r="L8" i="300"/>
  <c r="R8" i="300" s="1"/>
  <c r="N5" i="304"/>
  <c r="E1" i="304"/>
  <c r="G3" i="303" s="1"/>
  <c r="R20" i="306"/>
  <c r="Q20" i="306"/>
  <c r="L17" i="308"/>
  <c r="K26" i="308"/>
  <c r="N48" i="308"/>
  <c r="O38" i="308"/>
  <c r="AG38" i="308"/>
  <c r="AF38" i="308"/>
  <c r="AG39" i="356"/>
  <c r="AF39" i="356"/>
  <c r="L62" i="356"/>
  <c r="G2" i="3"/>
  <c r="J3" i="2"/>
  <c r="AG6" i="3"/>
  <c r="AF6" i="3"/>
  <c r="L27" i="3"/>
  <c r="L37" i="3" s="1"/>
  <c r="F13" i="2" s="1"/>
  <c r="O39" i="3"/>
  <c r="AG39" i="3"/>
  <c r="L49" i="3"/>
  <c r="L58" i="3" s="1"/>
  <c r="H13" i="2" s="1"/>
  <c r="L59" i="3"/>
  <c r="L69" i="3" s="1"/>
  <c r="I13" i="2" s="1"/>
  <c r="J6" i="2" s="1"/>
  <c r="AF60" i="3"/>
  <c r="N79" i="3"/>
  <c r="O70" i="3"/>
  <c r="AF70" i="3"/>
  <c r="N15" i="294"/>
  <c r="AF5" i="294"/>
  <c r="AG5" i="294"/>
  <c r="AG18" i="294"/>
  <c r="Q40" i="294"/>
  <c r="L58" i="294"/>
  <c r="H13" i="293" s="1"/>
  <c r="AG27" i="296"/>
  <c r="AF27" i="296"/>
  <c r="O27" i="296"/>
  <c r="N37" i="296"/>
  <c r="AF30" i="296"/>
  <c r="P37" i="296"/>
  <c r="F22" i="295"/>
  <c r="I1" i="296"/>
  <c r="O6" i="297"/>
  <c r="P58" i="298"/>
  <c r="Q71" i="298"/>
  <c r="AF6" i="300"/>
  <c r="AG6" i="300"/>
  <c r="D22" i="301"/>
  <c r="P15" i="302"/>
  <c r="I1" i="302"/>
  <c r="H5" i="304"/>
  <c r="G1" i="304" s="1"/>
  <c r="AG17" i="306"/>
  <c r="AF17" i="306"/>
  <c r="R52" i="306"/>
  <c r="Q52" i="306"/>
  <c r="O16" i="356"/>
  <c r="N26" i="356"/>
  <c r="AG16" i="356"/>
  <c r="R28" i="296"/>
  <c r="Q28" i="296"/>
  <c r="P6" i="306"/>
  <c r="L6" i="306"/>
  <c r="K79" i="308"/>
  <c r="L70" i="308"/>
  <c r="L79" i="308" s="1"/>
  <c r="J13" i="307" s="1"/>
  <c r="O8" i="298"/>
  <c r="AG8" i="298"/>
  <c r="AF8" i="298"/>
  <c r="AG17" i="356"/>
  <c r="AF17" i="356"/>
  <c r="AG59" i="356"/>
  <c r="AF59" i="356"/>
  <c r="O59" i="356"/>
  <c r="N58" i="356"/>
  <c r="O49" i="356"/>
  <c r="AG49" i="356"/>
  <c r="R63" i="356"/>
  <c r="O17" i="3"/>
  <c r="O26" i="3" s="1"/>
  <c r="AF17" i="3"/>
  <c r="O49" i="3"/>
  <c r="AG49" i="3"/>
  <c r="O59" i="3"/>
  <c r="AG59" i="3"/>
  <c r="N69" i="3"/>
  <c r="R5" i="294"/>
  <c r="Q5" i="294"/>
  <c r="AF17" i="294"/>
  <c r="O17" i="294"/>
  <c r="AF29" i="294"/>
  <c r="O29" i="294"/>
  <c r="O59" i="294"/>
  <c r="N69" i="294"/>
  <c r="Z2" i="296"/>
  <c r="D18" i="295"/>
  <c r="L6" i="295" s="1"/>
  <c r="O18" i="296"/>
  <c r="AG18" i="296"/>
  <c r="AF18" i="296"/>
  <c r="L29" i="296"/>
  <c r="AF7" i="298"/>
  <c r="AG7" i="298"/>
  <c r="O18" i="298"/>
  <c r="AG18" i="298"/>
  <c r="AF18" i="298"/>
  <c r="O63" i="298"/>
  <c r="AF63" i="298"/>
  <c r="AG63" i="298"/>
  <c r="AG70" i="300"/>
  <c r="N79" i="300"/>
  <c r="AF70" i="300"/>
  <c r="O70" i="300"/>
  <c r="R6" i="302"/>
  <c r="Q6" i="302"/>
  <c r="AF15" i="302"/>
  <c r="AG15" i="302"/>
  <c r="AH5" i="302" s="1"/>
  <c r="AF70" i="302"/>
  <c r="N79" i="302"/>
  <c r="AG70" i="302"/>
  <c r="Q17" i="306"/>
  <c r="R17" i="306"/>
  <c r="AG61" i="308"/>
  <c r="AF61" i="308"/>
  <c r="O61" i="308"/>
  <c r="R19" i="316"/>
  <c r="Q19" i="316"/>
  <c r="J69" i="356"/>
  <c r="P69" i="356" s="1"/>
  <c r="P60" i="356"/>
  <c r="Q71" i="356"/>
  <c r="R71" i="356"/>
  <c r="P6" i="294"/>
  <c r="J15" i="294"/>
  <c r="O50" i="298"/>
  <c r="O58" i="298" s="1"/>
  <c r="AG50" i="298"/>
  <c r="AF50" i="298"/>
  <c r="D19" i="299"/>
  <c r="M6" i="299" s="1"/>
  <c r="AA2" i="300"/>
  <c r="L50" i="300"/>
  <c r="Q50" i="300" s="1"/>
  <c r="K58" i="300"/>
  <c r="L48" i="294"/>
  <c r="G13" i="293" s="1"/>
  <c r="R38" i="294"/>
  <c r="N26" i="296"/>
  <c r="AG16" i="296"/>
  <c r="AF16" i="296"/>
  <c r="R38" i="356"/>
  <c r="AG60" i="356"/>
  <c r="Q62" i="356"/>
  <c r="AG70" i="356"/>
  <c r="R6" i="3"/>
  <c r="Q6" i="3"/>
  <c r="AF27" i="3"/>
  <c r="AG27" i="3"/>
  <c r="L26" i="356"/>
  <c r="E13" i="355" s="1"/>
  <c r="L37" i="356"/>
  <c r="F13" i="355" s="1"/>
  <c r="AF49" i="356"/>
  <c r="R62" i="356"/>
  <c r="H6" i="2"/>
  <c r="F6" i="2"/>
  <c r="K26" i="3"/>
  <c r="L16" i="3"/>
  <c r="L26" i="3" s="1"/>
  <c r="E13" i="2" s="1"/>
  <c r="AG17" i="3"/>
  <c r="O27" i="3"/>
  <c r="O38" i="3"/>
  <c r="AG38" i="3"/>
  <c r="N48" i="3"/>
  <c r="AF49" i="3"/>
  <c r="AF59" i="3"/>
  <c r="AG17" i="294"/>
  <c r="AG29" i="294"/>
  <c r="AF59" i="294"/>
  <c r="R71" i="294"/>
  <c r="Q71" i="294"/>
  <c r="O5" i="296"/>
  <c r="AF5" i="296"/>
  <c r="AG29" i="296"/>
  <c r="AF29" i="296"/>
  <c r="R39" i="296"/>
  <c r="Q39" i="296"/>
  <c r="P50" i="296"/>
  <c r="J58" i="296"/>
  <c r="P58" i="296" s="1"/>
  <c r="O7" i="298"/>
  <c r="L17" i="298"/>
  <c r="AG17" i="298"/>
  <c r="K26" i="298"/>
  <c r="AF52" i="298"/>
  <c r="O70" i="302"/>
  <c r="R51" i="306"/>
  <c r="Q51" i="306"/>
  <c r="Q73" i="306"/>
  <c r="R73" i="306"/>
  <c r="N15" i="3"/>
  <c r="AG5" i="3"/>
  <c r="AF5" i="3"/>
  <c r="O5" i="3"/>
  <c r="P38" i="296"/>
  <c r="L38" i="296"/>
  <c r="L48" i="296" s="1"/>
  <c r="G13" i="295" s="1"/>
  <c r="J48" i="296"/>
  <c r="AG6" i="308"/>
  <c r="AF6" i="308"/>
  <c r="O6" i="308"/>
  <c r="AG19" i="356"/>
  <c r="AF19" i="356"/>
  <c r="N69" i="356"/>
  <c r="O7" i="3"/>
  <c r="AG7" i="3"/>
  <c r="J48" i="3"/>
  <c r="P38" i="3"/>
  <c r="O50" i="3"/>
  <c r="AG50" i="3"/>
  <c r="L26" i="294"/>
  <c r="E13" i="293" s="1"/>
  <c r="O5" i="356"/>
  <c r="AG38" i="356"/>
  <c r="AF38" i="356"/>
  <c r="N26" i="3"/>
  <c r="AG16" i="3"/>
  <c r="AF16" i="3"/>
  <c r="AG59" i="294"/>
  <c r="R29" i="296"/>
  <c r="Q29" i="296"/>
  <c r="AG59" i="296"/>
  <c r="AF59" i="296"/>
  <c r="N69" i="296"/>
  <c r="O59" i="296"/>
  <c r="Q40" i="298"/>
  <c r="AG52" i="298"/>
  <c r="O19" i="300"/>
  <c r="AG19" i="300"/>
  <c r="AF19" i="300"/>
  <c r="P5" i="302"/>
  <c r="L5" i="302"/>
  <c r="L15" i="302" s="1"/>
  <c r="D13" i="301" s="1"/>
  <c r="J15" i="302"/>
  <c r="Q59" i="302"/>
  <c r="O69" i="302"/>
  <c r="R59" i="302"/>
  <c r="O50" i="308"/>
  <c r="AG50" i="308"/>
  <c r="AF50" i="308"/>
  <c r="P58" i="308"/>
  <c r="H22" i="307"/>
  <c r="R41" i="310"/>
  <c r="Q41" i="310"/>
  <c r="K58" i="294"/>
  <c r="P51" i="296"/>
  <c r="L51" i="296"/>
  <c r="O70" i="296"/>
  <c r="N79" i="296"/>
  <c r="AG70" i="296"/>
  <c r="AF28" i="298"/>
  <c r="O28" i="298"/>
  <c r="AF41" i="298"/>
  <c r="O41" i="298"/>
  <c r="J15" i="300"/>
  <c r="P15" i="300" s="1"/>
  <c r="R17" i="300"/>
  <c r="J37" i="300"/>
  <c r="P27" i="300"/>
  <c r="M6" i="301"/>
  <c r="AF7" i="302"/>
  <c r="AG7" i="302"/>
  <c r="P16" i="302"/>
  <c r="J26" i="302"/>
  <c r="P26" i="302" s="1"/>
  <c r="O41" i="304"/>
  <c r="AG41" i="304"/>
  <c r="AF41" i="304"/>
  <c r="G22" i="303"/>
  <c r="O49" i="304"/>
  <c r="N58" i="304"/>
  <c r="AG49" i="304"/>
  <c r="L61" i="304"/>
  <c r="P61" i="304"/>
  <c r="K58" i="306"/>
  <c r="R9" i="308"/>
  <c r="AF5" i="312"/>
  <c r="AG5" i="312"/>
  <c r="O5" i="312"/>
  <c r="O60" i="312"/>
  <c r="AG60" i="312"/>
  <c r="AF60" i="312"/>
  <c r="R16" i="314"/>
  <c r="Q16" i="314"/>
  <c r="R70" i="316"/>
  <c r="Q70" i="316"/>
  <c r="G1" i="300"/>
  <c r="O7" i="300"/>
  <c r="AG7" i="300"/>
  <c r="AG16" i="300"/>
  <c r="AF16" i="300"/>
  <c r="O16" i="300"/>
  <c r="P19" i="300"/>
  <c r="L19" i="300"/>
  <c r="K37" i="300"/>
  <c r="L27" i="300"/>
  <c r="L37" i="300" s="1"/>
  <c r="F13" i="299" s="1"/>
  <c r="O28" i="300"/>
  <c r="AG28" i="300"/>
  <c r="J69" i="300"/>
  <c r="P59" i="300"/>
  <c r="J22" i="299"/>
  <c r="R7" i="302"/>
  <c r="Q7" i="302"/>
  <c r="P19" i="302"/>
  <c r="L19" i="302"/>
  <c r="R71" i="302"/>
  <c r="Q71" i="302"/>
  <c r="L6" i="304"/>
  <c r="AF6" i="304"/>
  <c r="AG19" i="304"/>
  <c r="AF19" i="304"/>
  <c r="AG38" i="304"/>
  <c r="N48" i="304"/>
  <c r="O38" i="304"/>
  <c r="AG39" i="306"/>
  <c r="AF39" i="306"/>
  <c r="H22" i="305"/>
  <c r="R62" i="306"/>
  <c r="Q62" i="306"/>
  <c r="P70" i="306"/>
  <c r="J79" i="306"/>
  <c r="AG59" i="308"/>
  <c r="AF59" i="308"/>
  <c r="L59" i="308"/>
  <c r="L69" i="308" s="1"/>
  <c r="I13" i="307" s="1"/>
  <c r="J6" i="307" s="1"/>
  <c r="P48" i="3"/>
  <c r="L8" i="294"/>
  <c r="O9" i="294"/>
  <c r="O15" i="294" s="1"/>
  <c r="AD2" i="294"/>
  <c r="O49" i="294"/>
  <c r="L16" i="296"/>
  <c r="R16" i="296" s="1"/>
  <c r="L17" i="296"/>
  <c r="J26" i="296"/>
  <c r="P26" i="296" s="1"/>
  <c r="AG61" i="296"/>
  <c r="G1" i="298"/>
  <c r="Q19" i="298"/>
  <c r="P26" i="298"/>
  <c r="AG40" i="298"/>
  <c r="AF40" i="298"/>
  <c r="K58" i="298"/>
  <c r="Q58" i="298" s="1"/>
  <c r="AG61" i="298"/>
  <c r="AF61" i="298"/>
  <c r="R62" i="298"/>
  <c r="L6" i="300"/>
  <c r="Q6" i="300" s="1"/>
  <c r="AF7" i="300"/>
  <c r="AF28" i="300"/>
  <c r="N48" i="300"/>
  <c r="O38" i="300"/>
  <c r="O52" i="300"/>
  <c r="AF52" i="300"/>
  <c r="L59" i="300"/>
  <c r="L69" i="300" s="1"/>
  <c r="I13" i="299" s="1"/>
  <c r="J6" i="299" s="1"/>
  <c r="O60" i="300"/>
  <c r="AG60" i="300"/>
  <c r="AF6" i="302"/>
  <c r="AG6" i="302"/>
  <c r="L16" i="302"/>
  <c r="R16" i="302" s="1"/>
  <c r="AF17" i="302"/>
  <c r="O17" i="302"/>
  <c r="AG39" i="302"/>
  <c r="AF39" i="302"/>
  <c r="O39" i="302"/>
  <c r="K58" i="302"/>
  <c r="L50" i="302"/>
  <c r="L58" i="302" s="1"/>
  <c r="H13" i="301" s="1"/>
  <c r="O51" i="302"/>
  <c r="AG51" i="302"/>
  <c r="AF51" i="302"/>
  <c r="O17" i="304"/>
  <c r="AG17" i="304"/>
  <c r="O19" i="304"/>
  <c r="L17" i="306"/>
  <c r="L26" i="306" s="1"/>
  <c r="E13" i="305" s="1"/>
  <c r="O39" i="306"/>
  <c r="P49" i="306"/>
  <c r="L49" i="306"/>
  <c r="L58" i="306" s="1"/>
  <c r="H13" i="305" s="1"/>
  <c r="J58" i="306"/>
  <c r="P58" i="306" s="1"/>
  <c r="AG52" i="306"/>
  <c r="AF52" i="306"/>
  <c r="L70" i="306"/>
  <c r="L79" i="306" s="1"/>
  <c r="J13" i="305" s="1"/>
  <c r="AE2" i="308"/>
  <c r="AG29" i="308"/>
  <c r="AF29" i="308"/>
  <c r="Q49" i="310"/>
  <c r="R49" i="310"/>
  <c r="K69" i="310"/>
  <c r="AG37" i="322"/>
  <c r="AH27" i="322" s="1"/>
  <c r="AF37" i="322"/>
  <c r="Q37" i="322"/>
  <c r="P61" i="310"/>
  <c r="J69" i="310"/>
  <c r="R73" i="328"/>
  <c r="Q73" i="328"/>
  <c r="R64" i="342"/>
  <c r="Q64" i="342"/>
  <c r="J3" i="341"/>
  <c r="G2" i="342"/>
  <c r="AG9" i="304"/>
  <c r="AF9" i="304"/>
  <c r="O9" i="304"/>
  <c r="P28" i="304"/>
  <c r="L28" i="304"/>
  <c r="L37" i="304" s="1"/>
  <c r="F13" i="303" s="1"/>
  <c r="O40" i="304"/>
  <c r="AG40" i="304"/>
  <c r="AF40" i="304"/>
  <c r="AF48" i="306"/>
  <c r="Q48" i="306"/>
  <c r="AG48" i="306"/>
  <c r="AH38" i="306" s="1"/>
  <c r="I14" i="305"/>
  <c r="R17" i="308"/>
  <c r="Q17" i="308"/>
  <c r="AG28" i="308"/>
  <c r="AF28" i="308"/>
  <c r="O28" i="308"/>
  <c r="P60" i="308"/>
  <c r="L60" i="308"/>
  <c r="J69" i="308"/>
  <c r="P69" i="308" s="1"/>
  <c r="P19" i="310"/>
  <c r="L19" i="310"/>
  <c r="O59" i="310"/>
  <c r="AF59" i="310"/>
  <c r="N69" i="310"/>
  <c r="L18" i="312"/>
  <c r="AG18" i="312"/>
  <c r="AG58" i="312"/>
  <c r="AH49" i="312" s="1"/>
  <c r="Q58" i="312"/>
  <c r="AF58" i="312"/>
  <c r="O51" i="314"/>
  <c r="AF51" i="314"/>
  <c r="AG51" i="314"/>
  <c r="R27" i="294"/>
  <c r="AF38" i="294"/>
  <c r="M6" i="295"/>
  <c r="K69" i="296"/>
  <c r="R5" i="298"/>
  <c r="AG19" i="298"/>
  <c r="AF19" i="298"/>
  <c r="AG28" i="298"/>
  <c r="P37" i="298"/>
  <c r="F22" i="297"/>
  <c r="O38" i="298"/>
  <c r="AG41" i="298"/>
  <c r="AG62" i="298"/>
  <c r="AD2" i="300"/>
  <c r="AG29" i="300"/>
  <c r="AF29" i="300"/>
  <c r="J58" i="300"/>
  <c r="P58" i="300" s="1"/>
  <c r="AG50" i="300"/>
  <c r="AF50" i="300"/>
  <c r="R62" i="300"/>
  <c r="K69" i="300"/>
  <c r="R49" i="302"/>
  <c r="O58" i="302"/>
  <c r="AF61" i="302"/>
  <c r="AG61" i="302"/>
  <c r="N5" i="306"/>
  <c r="E1" i="306"/>
  <c r="G3" i="305" s="1"/>
  <c r="R6" i="306"/>
  <c r="AG16" i="306"/>
  <c r="N26" i="306"/>
  <c r="AF16" i="306"/>
  <c r="R19" i="306"/>
  <c r="Q19" i="306"/>
  <c r="N15" i="308"/>
  <c r="O5" i="308"/>
  <c r="AG5" i="308"/>
  <c r="K69" i="308"/>
  <c r="AG52" i="312"/>
  <c r="AF52" i="312"/>
  <c r="O52" i="312"/>
  <c r="O38" i="322"/>
  <c r="N48" i="322"/>
  <c r="AG38" i="322"/>
  <c r="AF38" i="322"/>
  <c r="AE2" i="356"/>
  <c r="K26" i="356"/>
  <c r="L50" i="356"/>
  <c r="L58" i="356" s="1"/>
  <c r="H13" i="355" s="1"/>
  <c r="K15" i="3"/>
  <c r="O48" i="294"/>
  <c r="Q38" i="294"/>
  <c r="K79" i="294"/>
  <c r="AF79" i="294" s="1"/>
  <c r="J15" i="296"/>
  <c r="P15" i="296" s="1"/>
  <c r="AG9" i="296"/>
  <c r="AD2" i="296"/>
  <c r="P70" i="296"/>
  <c r="J79" i="296"/>
  <c r="P79" i="296" s="1"/>
  <c r="I1" i="300"/>
  <c r="D21" i="299"/>
  <c r="AE2" i="300"/>
  <c r="R50" i="300"/>
  <c r="AG61" i="300"/>
  <c r="AF61" i="300"/>
  <c r="P69" i="300"/>
  <c r="P20" i="302"/>
  <c r="L20" i="302"/>
  <c r="Q20" i="302" s="1"/>
  <c r="O52" i="302"/>
  <c r="AG52" i="302"/>
  <c r="AF52" i="302"/>
  <c r="R61" i="302"/>
  <c r="Q61" i="302"/>
  <c r="Q27" i="304"/>
  <c r="G1" i="306"/>
  <c r="O26" i="306"/>
  <c r="R16" i="306"/>
  <c r="Q16" i="306"/>
  <c r="P79" i="306"/>
  <c r="J22" i="305"/>
  <c r="P7" i="308"/>
  <c r="L7" i="308"/>
  <c r="AG17" i="308"/>
  <c r="AF17" i="308"/>
  <c r="I1" i="308"/>
  <c r="G22" i="307"/>
  <c r="P48" i="308"/>
  <c r="K58" i="308"/>
  <c r="L49" i="308"/>
  <c r="R60" i="308"/>
  <c r="L64" i="308"/>
  <c r="Q64" i="308" s="1"/>
  <c r="E1" i="310"/>
  <c r="G3" i="309" s="1"/>
  <c r="N27" i="310"/>
  <c r="L50" i="310"/>
  <c r="L58" i="310" s="1"/>
  <c r="H13" i="309" s="1"/>
  <c r="K58" i="310"/>
  <c r="H22" i="309"/>
  <c r="P58" i="310"/>
  <c r="AG59" i="310"/>
  <c r="L30" i="320"/>
  <c r="AG30" i="320"/>
  <c r="AF30" i="320"/>
  <c r="AG41" i="324"/>
  <c r="O41" i="324"/>
  <c r="AF41" i="324"/>
  <c r="D18" i="293"/>
  <c r="L6" i="293" s="1"/>
  <c r="AF9" i="294"/>
  <c r="P15" i="294"/>
  <c r="Q27" i="294"/>
  <c r="AF49" i="294"/>
  <c r="L70" i="294"/>
  <c r="L7" i="296"/>
  <c r="R7" i="296" s="1"/>
  <c r="R9" i="296"/>
  <c r="P48" i="296"/>
  <c r="O50" i="296"/>
  <c r="AG50" i="296"/>
  <c r="K58" i="296"/>
  <c r="L61" i="296"/>
  <c r="R61" i="296" s="1"/>
  <c r="Q5" i="298"/>
  <c r="AF16" i="298"/>
  <c r="N26" i="298"/>
  <c r="O17" i="298"/>
  <c r="AF17" i="298"/>
  <c r="J26" i="300"/>
  <c r="P26" i="300" s="1"/>
  <c r="P17" i="300"/>
  <c r="Q29" i="300"/>
  <c r="P39" i="300"/>
  <c r="L39" i="300"/>
  <c r="L48" i="300" s="1"/>
  <c r="G13" i="299" s="1"/>
  <c r="AG49" i="300"/>
  <c r="AF49" i="300"/>
  <c r="O61" i="300"/>
  <c r="O6" i="301"/>
  <c r="AA2" i="302"/>
  <c r="Q49" i="302"/>
  <c r="AF53" i="302"/>
  <c r="L60" i="302"/>
  <c r="L69" i="302" s="1"/>
  <c r="I13" i="301" s="1"/>
  <c r="J6" i="301" s="1"/>
  <c r="K69" i="302"/>
  <c r="AG8" i="304"/>
  <c r="AF8" i="304"/>
  <c r="O8" i="304"/>
  <c r="AG62" i="304"/>
  <c r="AF62" i="304"/>
  <c r="P5" i="306"/>
  <c r="L5" i="306"/>
  <c r="L15" i="306" s="1"/>
  <c r="D13" i="305" s="1"/>
  <c r="J15" i="306"/>
  <c r="L50" i="306"/>
  <c r="AF50" i="306"/>
  <c r="J69" i="306"/>
  <c r="P69" i="306" s="1"/>
  <c r="AG60" i="306"/>
  <c r="AF60" i="306"/>
  <c r="Q72" i="306"/>
  <c r="J15" i="308"/>
  <c r="P15" i="308" s="1"/>
  <c r="J26" i="308"/>
  <c r="P26" i="308" s="1"/>
  <c r="AF27" i="308"/>
  <c r="N37" i="308"/>
  <c r="AG27" i="308"/>
  <c r="O27" i="308"/>
  <c r="AF49" i="308"/>
  <c r="O49" i="308"/>
  <c r="N58" i="308"/>
  <c r="AG49" i="308"/>
  <c r="Q60" i="308"/>
  <c r="H27" i="310"/>
  <c r="G1" i="310" s="1"/>
  <c r="L63" i="310"/>
  <c r="P9" i="312"/>
  <c r="L9" i="312"/>
  <c r="R70" i="314"/>
  <c r="Q70" i="314"/>
  <c r="R71" i="316"/>
  <c r="Q71" i="316"/>
  <c r="N48" i="296"/>
  <c r="J69" i="296"/>
  <c r="P69" i="296" s="1"/>
  <c r="O62" i="296"/>
  <c r="AG62" i="296"/>
  <c r="R16" i="298"/>
  <c r="O26" i="298"/>
  <c r="Q16" i="298"/>
  <c r="AG39" i="298"/>
  <c r="AF39" i="298"/>
  <c r="R65" i="298"/>
  <c r="Q8" i="300"/>
  <c r="O18" i="300"/>
  <c r="AG18" i="300"/>
  <c r="R60" i="302"/>
  <c r="D19" i="303"/>
  <c r="M6" i="303" s="1"/>
  <c r="AA2" i="304"/>
  <c r="AF50" i="304"/>
  <c r="O50" i="304"/>
  <c r="AG50" i="304"/>
  <c r="O60" i="304"/>
  <c r="AF60" i="304"/>
  <c r="R62" i="304"/>
  <c r="Q62" i="304"/>
  <c r="R8" i="306"/>
  <c r="AF19" i="306"/>
  <c r="Q60" i="306"/>
  <c r="R60" i="306"/>
  <c r="L16" i="308"/>
  <c r="L26" i="308" s="1"/>
  <c r="E13" i="307" s="1"/>
  <c r="AG39" i="308"/>
  <c r="AF39" i="308"/>
  <c r="Q52" i="310"/>
  <c r="R52" i="310"/>
  <c r="L17" i="312"/>
  <c r="L26" i="312" s="1"/>
  <c r="E13" i="311" s="1"/>
  <c r="AF17" i="312"/>
  <c r="AG17" i="312"/>
  <c r="P37" i="356"/>
  <c r="O16" i="294"/>
  <c r="O70" i="294"/>
  <c r="J79" i="294"/>
  <c r="P79" i="294" s="1"/>
  <c r="Q9" i="296"/>
  <c r="AF38" i="296"/>
  <c r="AF39" i="296"/>
  <c r="R60" i="296"/>
  <c r="AF62" i="296"/>
  <c r="N6" i="297"/>
  <c r="L6" i="297"/>
  <c r="L29" i="298"/>
  <c r="L37" i="298" s="1"/>
  <c r="F13" i="297" s="1"/>
  <c r="AF38" i="298"/>
  <c r="L63" i="298"/>
  <c r="L69" i="298" s="1"/>
  <c r="I13" i="297" s="1"/>
  <c r="J6" i="297" s="1"/>
  <c r="L72" i="298"/>
  <c r="R72" i="298" s="1"/>
  <c r="P72" i="298"/>
  <c r="Z2" i="300"/>
  <c r="AF8" i="300"/>
  <c r="L17" i="300"/>
  <c r="L26" i="300" s="1"/>
  <c r="E13" i="299" s="1"/>
  <c r="AF18" i="300"/>
  <c r="O39" i="300"/>
  <c r="AF39" i="300"/>
  <c r="AF8" i="302"/>
  <c r="AG8" i="302"/>
  <c r="O8" i="302"/>
  <c r="AF18" i="302"/>
  <c r="O18" i="302"/>
  <c r="AG18" i="302"/>
  <c r="P39" i="302"/>
  <c r="J48" i="302"/>
  <c r="P48" i="302" s="1"/>
  <c r="AG59" i="302"/>
  <c r="N69" i="302"/>
  <c r="AF59" i="302"/>
  <c r="R7" i="304"/>
  <c r="Q7" i="304"/>
  <c r="K48" i="304"/>
  <c r="N69" i="304"/>
  <c r="O59" i="304"/>
  <c r="AG60" i="304"/>
  <c r="P7" i="306"/>
  <c r="P15" i="306"/>
  <c r="D22" i="305"/>
  <c r="I1" i="306"/>
  <c r="L18" i="306"/>
  <c r="AG19" i="306"/>
  <c r="O28" i="306"/>
  <c r="AG28" i="306"/>
  <c r="AF28" i="306"/>
  <c r="AG16" i="308"/>
  <c r="AF16" i="308"/>
  <c r="O39" i="308"/>
  <c r="Q71" i="308"/>
  <c r="R71" i="308"/>
  <c r="R10" i="310"/>
  <c r="Q10" i="310"/>
  <c r="AF18" i="312"/>
  <c r="P38" i="314"/>
  <c r="J48" i="314"/>
  <c r="P48" i="314" s="1"/>
  <c r="AA2" i="324"/>
  <c r="D19" i="323"/>
  <c r="M6" i="323" s="1"/>
  <c r="AG38" i="324"/>
  <c r="AF38" i="324"/>
  <c r="O38" i="324"/>
  <c r="N48" i="324"/>
  <c r="L18" i="304"/>
  <c r="L26" i="304" s="1"/>
  <c r="E13" i="303" s="1"/>
  <c r="P18" i="304"/>
  <c r="R38" i="306"/>
  <c r="L6" i="355"/>
  <c r="L60" i="294"/>
  <c r="L69" i="294" s="1"/>
  <c r="I13" i="293" s="1"/>
  <c r="J6" i="293" s="1"/>
  <c r="P5" i="296"/>
  <c r="AG38" i="296"/>
  <c r="Z2" i="298"/>
  <c r="AG65" i="298"/>
  <c r="AF65" i="298"/>
  <c r="L7" i="300"/>
  <c r="AG8" i="300"/>
  <c r="L17" i="302"/>
  <c r="K26" i="302"/>
  <c r="I1" i="304"/>
  <c r="AE2" i="304"/>
  <c r="J48" i="304"/>
  <c r="P48" i="304" s="1"/>
  <c r="Q8" i="306"/>
  <c r="L6" i="305"/>
  <c r="O18" i="306"/>
  <c r="AG18" i="306"/>
  <c r="AF18" i="306"/>
  <c r="N37" i="306"/>
  <c r="O27" i="306"/>
  <c r="R59" i="306"/>
  <c r="L9" i="308"/>
  <c r="Q9" i="308" s="1"/>
  <c r="O16" i="308"/>
  <c r="R20" i="308"/>
  <c r="D19" i="309"/>
  <c r="M6" i="309" s="1"/>
  <c r="Q9" i="312"/>
  <c r="R9" i="312"/>
  <c r="Q19" i="314"/>
  <c r="R19" i="314"/>
  <c r="K69" i="298"/>
  <c r="P29" i="300"/>
  <c r="P49" i="300"/>
  <c r="P61" i="300"/>
  <c r="P70" i="300"/>
  <c r="J79" i="300"/>
  <c r="P79" i="300" s="1"/>
  <c r="E1" i="302"/>
  <c r="G3" i="301" s="1"/>
  <c r="P27" i="302"/>
  <c r="N38" i="302"/>
  <c r="P59" i="302"/>
  <c r="J69" i="302"/>
  <c r="P69" i="302" s="1"/>
  <c r="L73" i="302"/>
  <c r="Q73" i="302" s="1"/>
  <c r="Z2" i="304"/>
  <c r="AF16" i="304"/>
  <c r="P41" i="304"/>
  <c r="L41" i="304"/>
  <c r="AG8" i="306"/>
  <c r="AF8" i="306"/>
  <c r="K26" i="306"/>
  <c r="AG38" i="306"/>
  <c r="AF38" i="306"/>
  <c r="R61" i="306"/>
  <c r="Q61" i="306"/>
  <c r="M6" i="307"/>
  <c r="O6" i="309"/>
  <c r="L28" i="310"/>
  <c r="AF28" i="310"/>
  <c r="AF62" i="310"/>
  <c r="O62" i="310"/>
  <c r="AG62" i="310"/>
  <c r="Q64" i="310"/>
  <c r="R73" i="310"/>
  <c r="Q73" i="310"/>
  <c r="L15" i="312"/>
  <c r="D13" i="311" s="1"/>
  <c r="O40" i="312"/>
  <c r="AG40" i="312"/>
  <c r="AF40" i="312"/>
  <c r="L70" i="312"/>
  <c r="K79" i="312"/>
  <c r="G19" i="315"/>
  <c r="M6" i="315" s="1"/>
  <c r="AA2" i="316"/>
  <c r="K79" i="298"/>
  <c r="Z2" i="302"/>
  <c r="AF62" i="302"/>
  <c r="L72" i="302"/>
  <c r="R72" i="302" s="1"/>
  <c r="J15" i="304"/>
  <c r="P15" i="304" s="1"/>
  <c r="P5" i="304"/>
  <c r="J26" i="304"/>
  <c r="P26" i="304" s="1"/>
  <c r="N37" i="304"/>
  <c r="AG27" i="304"/>
  <c r="J79" i="304"/>
  <c r="P79" i="304" s="1"/>
  <c r="K79" i="304"/>
  <c r="D20" i="305"/>
  <c r="AF61" i="306"/>
  <c r="H40" i="308"/>
  <c r="G1" i="308" s="1"/>
  <c r="K26" i="310"/>
  <c r="L17" i="310"/>
  <c r="P27" i="310"/>
  <c r="J37" i="310"/>
  <c r="P37" i="310" s="1"/>
  <c r="P48" i="310"/>
  <c r="G22" i="309"/>
  <c r="AG63" i="310"/>
  <c r="AF63" i="310"/>
  <c r="O63" i="310"/>
  <c r="O61" i="312"/>
  <c r="AG61" i="312"/>
  <c r="AF61" i="312"/>
  <c r="O73" i="312"/>
  <c r="AG73" i="312"/>
  <c r="AF73" i="312"/>
  <c r="N26" i="314"/>
  <c r="AG16" i="314"/>
  <c r="AF16" i="314"/>
  <c r="E1" i="316"/>
  <c r="G3" i="315" s="1"/>
  <c r="N29" i="316"/>
  <c r="AG40" i="320"/>
  <c r="AF40" i="320"/>
  <c r="AG52" i="320"/>
  <c r="O52" i="320"/>
  <c r="L6" i="301"/>
  <c r="J37" i="302"/>
  <c r="P37" i="302" s="1"/>
  <c r="R62" i="302"/>
  <c r="Q72" i="302"/>
  <c r="K15" i="304"/>
  <c r="K26" i="304"/>
  <c r="O37" i="304"/>
  <c r="P37" i="304"/>
  <c r="F22" i="303"/>
  <c r="AF39" i="304"/>
  <c r="P49" i="304"/>
  <c r="J58" i="304"/>
  <c r="P58" i="304" s="1"/>
  <c r="AF52" i="304"/>
  <c r="J69" i="304"/>
  <c r="R72" i="304"/>
  <c r="O7" i="306"/>
  <c r="AG7" i="306"/>
  <c r="AG61" i="306"/>
  <c r="K15" i="308"/>
  <c r="L6" i="307"/>
  <c r="N19" i="308"/>
  <c r="N29" i="310"/>
  <c r="H29" i="310"/>
  <c r="P38" i="310"/>
  <c r="L38" i="310"/>
  <c r="L48" i="310" s="1"/>
  <c r="G13" i="309" s="1"/>
  <c r="J48" i="310"/>
  <c r="AG49" i="310"/>
  <c r="AF49" i="310"/>
  <c r="R51" i="312"/>
  <c r="Q51" i="312"/>
  <c r="Z2" i="312"/>
  <c r="I18" i="311"/>
  <c r="AG19" i="314"/>
  <c r="AF19" i="314"/>
  <c r="O72" i="314"/>
  <c r="AG72" i="314"/>
  <c r="AF72" i="314"/>
  <c r="R16" i="316"/>
  <c r="Q16" i="316"/>
  <c r="K15" i="322"/>
  <c r="L5" i="322"/>
  <c r="I22" i="299"/>
  <c r="AD2" i="302"/>
  <c r="N29" i="302"/>
  <c r="N37" i="302" s="1"/>
  <c r="AG49" i="302"/>
  <c r="Q62" i="302"/>
  <c r="L5" i="304"/>
  <c r="L15" i="304" s="1"/>
  <c r="D13" i="303" s="1"/>
  <c r="E22" i="303"/>
  <c r="AF28" i="304"/>
  <c r="O39" i="304"/>
  <c r="AG51" i="304"/>
  <c r="AF51" i="304"/>
  <c r="O52" i="304"/>
  <c r="L79" i="304"/>
  <c r="J13" i="303" s="1"/>
  <c r="Q72" i="304"/>
  <c r="AF7" i="306"/>
  <c r="D19" i="305"/>
  <c r="M6" i="305" s="1"/>
  <c r="AA2" i="306"/>
  <c r="O29" i="306"/>
  <c r="P5" i="308"/>
  <c r="AG7" i="308"/>
  <c r="AF7" i="308"/>
  <c r="L6" i="309"/>
  <c r="L27" i="310"/>
  <c r="L37" i="310" s="1"/>
  <c r="F13" i="309" s="1"/>
  <c r="AG52" i="310"/>
  <c r="AF52" i="310"/>
  <c r="P74" i="310"/>
  <c r="L74" i="310"/>
  <c r="L79" i="310" s="1"/>
  <c r="J13" i="309" s="1"/>
  <c r="K69" i="314"/>
  <c r="L59" i="314"/>
  <c r="L69" i="314" s="1"/>
  <c r="I13" i="313" s="1"/>
  <c r="J6" i="313" s="1"/>
  <c r="N26" i="316"/>
  <c r="AG16" i="316"/>
  <c r="L40" i="320"/>
  <c r="R40" i="320" s="1"/>
  <c r="P40" i="320"/>
  <c r="AD2" i="326"/>
  <c r="G20" i="325"/>
  <c r="O6" i="325" s="1"/>
  <c r="N6" i="329"/>
  <c r="N6" i="301"/>
  <c r="AF60" i="302"/>
  <c r="O6" i="303"/>
  <c r="R28" i="304"/>
  <c r="L58" i="304"/>
  <c r="H13" i="303" s="1"/>
  <c r="P69" i="304"/>
  <c r="AG70" i="304"/>
  <c r="AF70" i="304"/>
  <c r="R71" i="304"/>
  <c r="N79" i="304"/>
  <c r="Q6" i="306"/>
  <c r="N58" i="306"/>
  <c r="Q7" i="308"/>
  <c r="AG7" i="310"/>
  <c r="AF7" i="310"/>
  <c r="O7" i="310"/>
  <c r="R8" i="310"/>
  <c r="R9" i="310"/>
  <c r="Q9" i="310"/>
  <c r="AG38" i="310"/>
  <c r="O38" i="310"/>
  <c r="AF38" i="310"/>
  <c r="N48" i="310"/>
  <c r="J15" i="312"/>
  <c r="P15" i="312" s="1"/>
  <c r="L19" i="312"/>
  <c r="AF19" i="312"/>
  <c r="G20" i="313"/>
  <c r="O6" i="313" s="1"/>
  <c r="AD2" i="314"/>
  <c r="N69" i="314"/>
  <c r="O59" i="314"/>
  <c r="AG59" i="314"/>
  <c r="AF59" i="314"/>
  <c r="J20" i="315"/>
  <c r="AD2" i="316"/>
  <c r="O37" i="328"/>
  <c r="R27" i="328"/>
  <c r="Q27" i="328"/>
  <c r="N26" i="302"/>
  <c r="K37" i="302"/>
  <c r="AG60" i="302"/>
  <c r="K79" i="302"/>
  <c r="L71" i="302"/>
  <c r="L74" i="302"/>
  <c r="R74" i="302" s="1"/>
  <c r="J79" i="302"/>
  <c r="P79" i="302" s="1"/>
  <c r="O18" i="304"/>
  <c r="AG18" i="304"/>
  <c r="R27" i="304"/>
  <c r="Q28" i="304"/>
  <c r="L60" i="304"/>
  <c r="L69" i="304" s="1"/>
  <c r="I13" i="303" s="1"/>
  <c r="J6" i="303" s="1"/>
  <c r="O70" i="304"/>
  <c r="Q71" i="304"/>
  <c r="AF6" i="306"/>
  <c r="D21" i="305"/>
  <c r="AE2" i="306"/>
  <c r="AF49" i="306"/>
  <c r="AG50" i="306"/>
  <c r="N40" i="308"/>
  <c r="AG52" i="308"/>
  <c r="R63" i="308"/>
  <c r="Q63" i="308"/>
  <c r="Q72" i="308"/>
  <c r="R72" i="308"/>
  <c r="K37" i="310"/>
  <c r="R40" i="310"/>
  <c r="Q40" i="310"/>
  <c r="AF51" i="310"/>
  <c r="O51" i="310"/>
  <c r="O27" i="312"/>
  <c r="N37" i="312"/>
  <c r="AG39" i="312"/>
  <c r="AF39" i="312"/>
  <c r="O39" i="312"/>
  <c r="AG50" i="312"/>
  <c r="O50" i="312"/>
  <c r="AF50" i="312"/>
  <c r="O7" i="314"/>
  <c r="AG7" i="314"/>
  <c r="AF37" i="314"/>
  <c r="AG37" i="314"/>
  <c r="AH27" i="314" s="1"/>
  <c r="Q37" i="314"/>
  <c r="AG61" i="314"/>
  <c r="O61" i="314"/>
  <c r="AF61" i="314"/>
  <c r="O38" i="316"/>
  <c r="N48" i="316"/>
  <c r="AF38" i="316"/>
  <c r="AG38" i="316"/>
  <c r="R6" i="320"/>
  <c r="R61" i="324"/>
  <c r="Q61" i="324"/>
  <c r="L49" i="300"/>
  <c r="L58" i="300" s="1"/>
  <c r="H13" i="299" s="1"/>
  <c r="G1" i="302"/>
  <c r="L70" i="302"/>
  <c r="N26" i="304"/>
  <c r="O16" i="304"/>
  <c r="Q51" i="304"/>
  <c r="O61" i="304"/>
  <c r="AG61" i="304"/>
  <c r="AG6" i="306"/>
  <c r="K37" i="306"/>
  <c r="L27" i="306"/>
  <c r="L37" i="306" s="1"/>
  <c r="F13" i="305" s="1"/>
  <c r="J37" i="306"/>
  <c r="P37" i="306" s="1"/>
  <c r="AG49" i="306"/>
  <c r="R7" i="308"/>
  <c r="AF8" i="308"/>
  <c r="AG20" i="308"/>
  <c r="AF20" i="308"/>
  <c r="L29" i="308"/>
  <c r="R29" i="308" s="1"/>
  <c r="R51" i="308"/>
  <c r="Q51" i="308"/>
  <c r="AF62" i="308"/>
  <c r="O62" i="308"/>
  <c r="J79" i="308"/>
  <c r="P79" i="308" s="1"/>
  <c r="P71" i="308"/>
  <c r="P40" i="310"/>
  <c r="AG60" i="310"/>
  <c r="AF60" i="310"/>
  <c r="AF74" i="310"/>
  <c r="O74" i="310"/>
  <c r="AG74" i="310"/>
  <c r="AE2" i="312"/>
  <c r="AG16" i="312"/>
  <c r="AF16" i="312"/>
  <c r="O16" i="312"/>
  <c r="N26" i="312"/>
  <c r="N38" i="312"/>
  <c r="H38" i="312"/>
  <c r="G1" i="322"/>
  <c r="L51" i="324"/>
  <c r="R51" i="324" s="1"/>
  <c r="AG51" i="324"/>
  <c r="AF51" i="324"/>
  <c r="O6" i="310"/>
  <c r="AG6" i="310"/>
  <c r="R70" i="312"/>
  <c r="AG40" i="314"/>
  <c r="AF40" i="314"/>
  <c r="J37" i="316"/>
  <c r="L30" i="316"/>
  <c r="J69" i="316"/>
  <c r="P69" i="316" s="1"/>
  <c r="N6" i="319"/>
  <c r="N15" i="320"/>
  <c r="O5" i="320"/>
  <c r="AF5" i="320"/>
  <c r="K79" i="320"/>
  <c r="L70" i="320"/>
  <c r="AF7" i="312"/>
  <c r="AG7" i="312"/>
  <c r="R8" i="312"/>
  <c r="Q8" i="312"/>
  <c r="D20" i="311"/>
  <c r="AD2" i="312"/>
  <c r="AG5" i="314"/>
  <c r="N15" i="314"/>
  <c r="O5" i="314"/>
  <c r="L6" i="313"/>
  <c r="AF73" i="314"/>
  <c r="P37" i="316"/>
  <c r="AG49" i="316"/>
  <c r="AF49" i="316"/>
  <c r="O49" i="316"/>
  <c r="N58" i="316"/>
  <c r="L59" i="316"/>
  <c r="L69" i="316" s="1"/>
  <c r="I13" i="315" s="1"/>
  <c r="J6" i="315" s="1"/>
  <c r="AG59" i="316"/>
  <c r="K69" i="316"/>
  <c r="H20" i="319"/>
  <c r="AD2" i="320"/>
  <c r="P37" i="322"/>
  <c r="F22" i="321"/>
  <c r="N15" i="324"/>
  <c r="AG5" i="324"/>
  <c r="AF5" i="324"/>
  <c r="O5" i="324"/>
  <c r="J69" i="330"/>
  <c r="L59" i="330"/>
  <c r="AE2" i="310"/>
  <c r="R28" i="310"/>
  <c r="Q28" i="310"/>
  <c r="Q39" i="310"/>
  <c r="L6" i="311"/>
  <c r="R19" i="312"/>
  <c r="Q19" i="312"/>
  <c r="Q29" i="312"/>
  <c r="AG51" i="312"/>
  <c r="AF51" i="312"/>
  <c r="P58" i="312"/>
  <c r="O69" i="312"/>
  <c r="Q59" i="312"/>
  <c r="P72" i="312"/>
  <c r="L72" i="312"/>
  <c r="R72" i="312" s="1"/>
  <c r="AG18" i="314"/>
  <c r="O18" i="314"/>
  <c r="O26" i="314" s="1"/>
  <c r="AF18" i="314"/>
  <c r="L6" i="316"/>
  <c r="Q6" i="316" s="1"/>
  <c r="O7" i="316"/>
  <c r="AF7" i="316"/>
  <c r="D18" i="315"/>
  <c r="L6" i="315" s="1"/>
  <c r="Z2" i="316"/>
  <c r="P58" i="316"/>
  <c r="H22" i="315"/>
  <c r="Q49" i="320"/>
  <c r="R49" i="320"/>
  <c r="O58" i="320"/>
  <c r="P51" i="322"/>
  <c r="L51" i="322"/>
  <c r="J58" i="322"/>
  <c r="AG38" i="326"/>
  <c r="AF38" i="326"/>
  <c r="O38" i="326"/>
  <c r="N48" i="326"/>
  <c r="Z2" i="332"/>
  <c r="E18" i="331"/>
  <c r="L6" i="331" s="1"/>
  <c r="L52" i="308"/>
  <c r="R52" i="308" s="1"/>
  <c r="N69" i="308"/>
  <c r="O59" i="308"/>
  <c r="L26" i="310"/>
  <c r="E13" i="309" s="1"/>
  <c r="AF18" i="310"/>
  <c r="AG19" i="310"/>
  <c r="R39" i="310"/>
  <c r="L61" i="310"/>
  <c r="R18" i="312"/>
  <c r="Q18" i="312"/>
  <c r="H27" i="312"/>
  <c r="G1" i="312" s="1"/>
  <c r="J37" i="312"/>
  <c r="P37" i="312" s="1"/>
  <c r="R62" i="312"/>
  <c r="J79" i="312"/>
  <c r="G1" i="314"/>
  <c r="J37" i="314"/>
  <c r="P37" i="314" s="1"/>
  <c r="P28" i="314"/>
  <c r="G1" i="316"/>
  <c r="L19" i="320"/>
  <c r="AG40" i="324"/>
  <c r="AF40" i="324"/>
  <c r="K58" i="304"/>
  <c r="O26" i="310"/>
  <c r="AG17" i="310"/>
  <c r="AF17" i="310"/>
  <c r="R18" i="310"/>
  <c r="R19" i="310"/>
  <c r="Q19" i="310"/>
  <c r="AG64" i="310"/>
  <c r="AF64" i="310"/>
  <c r="K26" i="312"/>
  <c r="E1" i="312"/>
  <c r="G3" i="311" s="1"/>
  <c r="M6" i="313"/>
  <c r="O29" i="314"/>
  <c r="AG29" i="314"/>
  <c r="AF29" i="314"/>
  <c r="O40" i="314"/>
  <c r="L58" i="314"/>
  <c r="H13" i="313" s="1"/>
  <c r="R50" i="314"/>
  <c r="Q50" i="314"/>
  <c r="AG71" i="314"/>
  <c r="AF71" i="314"/>
  <c r="O71" i="314"/>
  <c r="P73" i="316"/>
  <c r="L73" i="316"/>
  <c r="Q73" i="316" s="1"/>
  <c r="O6" i="319"/>
  <c r="N28" i="320"/>
  <c r="E1" i="320"/>
  <c r="G3" i="319" s="1"/>
  <c r="AF29" i="320"/>
  <c r="O29" i="320"/>
  <c r="AG29" i="320"/>
  <c r="AG16" i="322"/>
  <c r="O16" i="322"/>
  <c r="N26" i="322"/>
  <c r="AF16" i="322"/>
  <c r="O61" i="322"/>
  <c r="AG61" i="322"/>
  <c r="AF61" i="322"/>
  <c r="J26" i="306"/>
  <c r="P26" i="306" s="1"/>
  <c r="O17" i="310"/>
  <c r="O61" i="310"/>
  <c r="L38" i="312"/>
  <c r="L48" i="312" s="1"/>
  <c r="G13" i="311" s="1"/>
  <c r="AF71" i="312"/>
  <c r="AG71" i="312"/>
  <c r="L52" i="314"/>
  <c r="AG52" i="314"/>
  <c r="J15" i="316"/>
  <c r="P15" i="316" s="1"/>
  <c r="L79" i="316"/>
  <c r="J13" i="315" s="1"/>
  <c r="L6" i="319"/>
  <c r="O6" i="328"/>
  <c r="AF6" i="328"/>
  <c r="AG6" i="328"/>
  <c r="L38" i="304"/>
  <c r="L59" i="306"/>
  <c r="Q16" i="310"/>
  <c r="Q18" i="310"/>
  <c r="L60" i="310"/>
  <c r="Q60" i="310" s="1"/>
  <c r="O71" i="310"/>
  <c r="O72" i="310"/>
  <c r="AG73" i="310"/>
  <c r="E22" i="311"/>
  <c r="P26" i="312"/>
  <c r="AG28" i="312"/>
  <c r="O28" i="312"/>
  <c r="O71" i="312"/>
  <c r="O79" i="312" s="1"/>
  <c r="AG70" i="316"/>
  <c r="AF70" i="316"/>
  <c r="N79" i="316"/>
  <c r="AA2" i="320"/>
  <c r="D19" i="319"/>
  <c r="M6" i="319" s="1"/>
  <c r="R39" i="324"/>
  <c r="Q39" i="324"/>
  <c r="Q40" i="324"/>
  <c r="O62" i="324"/>
  <c r="AG62" i="324"/>
  <c r="AF62" i="324"/>
  <c r="N6" i="325"/>
  <c r="AG5" i="326"/>
  <c r="O5" i="326"/>
  <c r="N15" i="326"/>
  <c r="AG8" i="326"/>
  <c r="O8" i="326"/>
  <c r="AF5" i="326"/>
  <c r="AF8" i="326"/>
  <c r="G22" i="327"/>
  <c r="N50" i="310"/>
  <c r="P69" i="310"/>
  <c r="AF8" i="312"/>
  <c r="L29" i="312"/>
  <c r="R29" i="312" s="1"/>
  <c r="D22" i="313"/>
  <c r="AG6" i="314"/>
  <c r="AF6" i="314"/>
  <c r="O6" i="314"/>
  <c r="R27" i="314"/>
  <c r="L37" i="314"/>
  <c r="F13" i="313" s="1"/>
  <c r="Q27" i="314"/>
  <c r="R60" i="314"/>
  <c r="Q60" i="314"/>
  <c r="R50" i="316"/>
  <c r="Q50" i="316"/>
  <c r="R73" i="316"/>
  <c r="O31" i="320"/>
  <c r="AG31" i="320"/>
  <c r="AF31" i="320"/>
  <c r="P51" i="320"/>
  <c r="L51" i="320"/>
  <c r="R51" i="320" s="1"/>
  <c r="AG59" i="322"/>
  <c r="N69" i="322"/>
  <c r="O59" i="322"/>
  <c r="D20" i="323"/>
  <c r="AD2" i="324"/>
  <c r="O62" i="326"/>
  <c r="AF62" i="326"/>
  <c r="AG62" i="326"/>
  <c r="K37" i="312"/>
  <c r="L27" i="312"/>
  <c r="L37" i="312" s="1"/>
  <c r="F13" i="311" s="1"/>
  <c r="AG70" i="312"/>
  <c r="AF70" i="312"/>
  <c r="N79" i="312"/>
  <c r="AG60" i="314"/>
  <c r="O6" i="315"/>
  <c r="N6" i="315"/>
  <c r="AG18" i="316"/>
  <c r="O18" i="316"/>
  <c r="AG19" i="316"/>
  <c r="AF19" i="316"/>
  <c r="AG27" i="316"/>
  <c r="AF27" i="316"/>
  <c r="O27" i="316"/>
  <c r="N37" i="316"/>
  <c r="AG73" i="316"/>
  <c r="K79" i="316"/>
  <c r="O72" i="320"/>
  <c r="AG72" i="320"/>
  <c r="AF72" i="320"/>
  <c r="P79" i="320"/>
  <c r="AG52" i="322"/>
  <c r="AF52" i="322"/>
  <c r="AF6" i="324"/>
  <c r="O6" i="324"/>
  <c r="Q8" i="324"/>
  <c r="R8" i="324"/>
  <c r="AG61" i="324"/>
  <c r="AF61" i="324"/>
  <c r="AE2" i="328"/>
  <c r="Q62" i="314"/>
  <c r="AG5" i="316"/>
  <c r="AF5" i="316"/>
  <c r="O5" i="316"/>
  <c r="N15" i="316"/>
  <c r="AG72" i="316"/>
  <c r="AF72" i="316"/>
  <c r="K26" i="320"/>
  <c r="L16" i="320"/>
  <c r="R59" i="320"/>
  <c r="Q59" i="320"/>
  <c r="AF62" i="320"/>
  <c r="AG62" i="320"/>
  <c r="O62" i="320"/>
  <c r="J79" i="320"/>
  <c r="P71" i="320"/>
  <c r="O15" i="322"/>
  <c r="R5" i="322"/>
  <c r="Q5" i="322"/>
  <c r="AG29" i="322"/>
  <c r="O29" i="322"/>
  <c r="AF60" i="324"/>
  <c r="AG60" i="324"/>
  <c r="G1" i="326"/>
  <c r="N37" i="326"/>
  <c r="AG27" i="326"/>
  <c r="O27" i="326"/>
  <c r="AF27" i="326"/>
  <c r="L29" i="326"/>
  <c r="AG29" i="326"/>
  <c r="O58" i="326"/>
  <c r="L7" i="310"/>
  <c r="L15" i="310" s="1"/>
  <c r="D13" i="309" s="1"/>
  <c r="Q17" i="314"/>
  <c r="N58" i="314"/>
  <c r="I1" i="316"/>
  <c r="AF17" i="316"/>
  <c r="L29" i="316"/>
  <c r="L37" i="316" s="1"/>
  <c r="F13" i="315" s="1"/>
  <c r="AF52" i="316"/>
  <c r="L52" i="316"/>
  <c r="R52" i="316" s="1"/>
  <c r="O72" i="316"/>
  <c r="O79" i="316" s="1"/>
  <c r="AG18" i="320"/>
  <c r="AF71" i="320"/>
  <c r="AG71" i="320"/>
  <c r="P7" i="322"/>
  <c r="L7" i="322"/>
  <c r="Q7" i="322" s="1"/>
  <c r="AF29" i="322"/>
  <c r="K58" i="322"/>
  <c r="L49" i="322"/>
  <c r="Q52" i="322"/>
  <c r="P58" i="322"/>
  <c r="H22" i="321"/>
  <c r="Q30" i="324"/>
  <c r="R30" i="324"/>
  <c r="O60" i="324"/>
  <c r="Q72" i="324"/>
  <c r="R72" i="324"/>
  <c r="AF61" i="326"/>
  <c r="R64" i="326"/>
  <c r="Q64" i="326"/>
  <c r="AA2" i="312"/>
  <c r="P48" i="312"/>
  <c r="O58" i="314"/>
  <c r="Q49" i="314"/>
  <c r="R62" i="314"/>
  <c r="AG70" i="314"/>
  <c r="AF70" i="314"/>
  <c r="N79" i="314"/>
  <c r="AG17" i="316"/>
  <c r="AG71" i="316"/>
  <c r="AF71" i="316"/>
  <c r="G1" i="320"/>
  <c r="AG7" i="320"/>
  <c r="AF7" i="320"/>
  <c r="O7" i="320"/>
  <c r="L48" i="320"/>
  <c r="G13" i="319" s="1"/>
  <c r="L50" i="320"/>
  <c r="Q50" i="320" s="1"/>
  <c r="AG50" i="320"/>
  <c r="AF50" i="320"/>
  <c r="L71" i="320"/>
  <c r="Q71" i="320" s="1"/>
  <c r="AF30" i="324"/>
  <c r="N69" i="324"/>
  <c r="AG61" i="326"/>
  <c r="Q38" i="332"/>
  <c r="L48" i="332"/>
  <c r="G13" i="331" s="1"/>
  <c r="L17" i="314"/>
  <c r="L73" i="314"/>
  <c r="L79" i="314" s="1"/>
  <c r="J13" i="313" s="1"/>
  <c r="L17" i="316"/>
  <c r="Q17" i="316" s="1"/>
  <c r="P48" i="316"/>
  <c r="AG6" i="320"/>
  <c r="AF6" i="320"/>
  <c r="Q38" i="320"/>
  <c r="R38" i="320"/>
  <c r="L52" i="320"/>
  <c r="J48" i="322"/>
  <c r="L38" i="322"/>
  <c r="J69" i="322"/>
  <c r="P69" i="322" s="1"/>
  <c r="P59" i="322"/>
  <c r="J79" i="326"/>
  <c r="P79" i="326" s="1"/>
  <c r="P71" i="326"/>
  <c r="L71" i="326"/>
  <c r="O49" i="328"/>
  <c r="AG49" i="328"/>
  <c r="N58" i="328"/>
  <c r="AF49" i="328"/>
  <c r="L61" i="336"/>
  <c r="P61" i="336"/>
  <c r="AG62" i="316"/>
  <c r="AF62" i="316"/>
  <c r="AG16" i="320"/>
  <c r="AF16" i="320"/>
  <c r="R17" i="320"/>
  <c r="Q17" i="320"/>
  <c r="R30" i="320"/>
  <c r="Q30" i="320"/>
  <c r="N15" i="322"/>
  <c r="AG5" i="322"/>
  <c r="AF5" i="322"/>
  <c r="Q17" i="322"/>
  <c r="AF27" i="322"/>
  <c r="O27" i="322"/>
  <c r="N58" i="322"/>
  <c r="AG49" i="322"/>
  <c r="AF49" i="322"/>
  <c r="L59" i="322"/>
  <c r="L69" i="322" s="1"/>
  <c r="I13" i="321" s="1"/>
  <c r="J6" i="321" s="1"/>
  <c r="K69" i="322"/>
  <c r="L70" i="322"/>
  <c r="L79" i="322" s="1"/>
  <c r="J13" i="321" s="1"/>
  <c r="Z2" i="324"/>
  <c r="O16" i="324"/>
  <c r="N26" i="324"/>
  <c r="AG16" i="324"/>
  <c r="AF17" i="324"/>
  <c r="O17" i="324"/>
  <c r="AF31" i="324"/>
  <c r="O31" i="324"/>
  <c r="K58" i="324"/>
  <c r="AG17" i="326"/>
  <c r="L17" i="326"/>
  <c r="Q17" i="326" s="1"/>
  <c r="R51" i="326"/>
  <c r="Q51" i="326"/>
  <c r="G19" i="329"/>
  <c r="M6" i="329" s="1"/>
  <c r="AA2" i="330"/>
  <c r="Q49" i="332"/>
  <c r="R49" i="332"/>
  <c r="AG59" i="336"/>
  <c r="AF59" i="336"/>
  <c r="O59" i="336"/>
  <c r="N69" i="336"/>
  <c r="AG50" i="326"/>
  <c r="AF50" i="326"/>
  <c r="O50" i="326"/>
  <c r="L69" i="326"/>
  <c r="I13" i="325" s="1"/>
  <c r="J6" i="325" s="1"/>
  <c r="R8" i="328"/>
  <c r="E21" i="329"/>
  <c r="AE2" i="330"/>
  <c r="AF17" i="332"/>
  <c r="O17" i="332"/>
  <c r="AG17" i="332"/>
  <c r="O60" i="340"/>
  <c r="AF60" i="340"/>
  <c r="AG60" i="340"/>
  <c r="AG61" i="320"/>
  <c r="AF61" i="320"/>
  <c r="R71" i="320"/>
  <c r="D18" i="321"/>
  <c r="L6" i="321" s="1"/>
  <c r="Z2" i="322"/>
  <c r="P28" i="322"/>
  <c r="L28" i="322"/>
  <c r="L37" i="322" s="1"/>
  <c r="F13" i="321" s="1"/>
  <c r="AF40" i="322"/>
  <c r="O40" i="322"/>
  <c r="AG40" i="322"/>
  <c r="O29" i="324"/>
  <c r="AG29" i="324"/>
  <c r="AF59" i="324"/>
  <c r="O59" i="324"/>
  <c r="K26" i="326"/>
  <c r="L16" i="326"/>
  <c r="O60" i="326"/>
  <c r="AF60" i="326"/>
  <c r="N69" i="326"/>
  <c r="AG60" i="326"/>
  <c r="G1" i="328"/>
  <c r="Q8" i="328"/>
  <c r="AF19" i="328"/>
  <c r="AG19" i="328"/>
  <c r="J48" i="328"/>
  <c r="P48" i="328" s="1"/>
  <c r="P38" i="328"/>
  <c r="L41" i="328"/>
  <c r="P59" i="328"/>
  <c r="J69" i="328"/>
  <c r="N48" i="314"/>
  <c r="O38" i="314"/>
  <c r="J58" i="314"/>
  <c r="P58" i="314" s="1"/>
  <c r="P79" i="316"/>
  <c r="J22" i="315"/>
  <c r="J37" i="320"/>
  <c r="P48" i="320"/>
  <c r="J58" i="320"/>
  <c r="J69" i="320"/>
  <c r="P69" i="320" s="1"/>
  <c r="K69" i="320"/>
  <c r="O61" i="320"/>
  <c r="N69" i="320"/>
  <c r="N79" i="320"/>
  <c r="AG70" i="320"/>
  <c r="AF70" i="320"/>
  <c r="AA2" i="322"/>
  <c r="O51" i="322"/>
  <c r="AG51" i="322"/>
  <c r="AF51" i="322"/>
  <c r="AF29" i="324"/>
  <c r="L48" i="324"/>
  <c r="G13" i="323" s="1"/>
  <c r="Q71" i="324"/>
  <c r="P6" i="326"/>
  <c r="L6" i="326"/>
  <c r="Q6" i="326" s="1"/>
  <c r="L19" i="326"/>
  <c r="AF29" i="326"/>
  <c r="P52" i="326"/>
  <c r="L52" i="326"/>
  <c r="P72" i="326"/>
  <c r="O6" i="327"/>
  <c r="N6" i="327"/>
  <c r="L38" i="328"/>
  <c r="R61" i="328"/>
  <c r="Q61" i="328"/>
  <c r="O6" i="330"/>
  <c r="AF6" i="330"/>
  <c r="N15" i="330"/>
  <c r="AF38" i="314"/>
  <c r="AF39" i="314"/>
  <c r="P79" i="314"/>
  <c r="AF28" i="316"/>
  <c r="N69" i="316"/>
  <c r="Q60" i="316"/>
  <c r="AF61" i="316"/>
  <c r="N26" i="320"/>
  <c r="K37" i="320"/>
  <c r="L39" i="320"/>
  <c r="N48" i="320"/>
  <c r="K58" i="320"/>
  <c r="AF51" i="320"/>
  <c r="L60" i="320"/>
  <c r="O70" i="320"/>
  <c r="L6" i="322"/>
  <c r="AD2" i="322"/>
  <c r="D20" i="321"/>
  <c r="L39" i="322"/>
  <c r="Q39" i="322" s="1"/>
  <c r="P39" i="322"/>
  <c r="AG60" i="322"/>
  <c r="AF60" i="322"/>
  <c r="O60" i="322"/>
  <c r="Q72" i="322"/>
  <c r="O28" i="324"/>
  <c r="AF28" i="324"/>
  <c r="I1" i="326"/>
  <c r="D22" i="325"/>
  <c r="P15" i="326"/>
  <c r="AG19" i="326"/>
  <c r="AF19" i="326"/>
  <c r="O19" i="326"/>
  <c r="R59" i="326"/>
  <c r="O69" i="326"/>
  <c r="R63" i="326"/>
  <c r="Q63" i="326"/>
  <c r="AG8" i="328"/>
  <c r="AF8" i="328"/>
  <c r="O52" i="328"/>
  <c r="AG52" i="328"/>
  <c r="AF52" i="328"/>
  <c r="N69" i="328"/>
  <c r="O59" i="328"/>
  <c r="AF59" i="328"/>
  <c r="AG62" i="328"/>
  <c r="AF62" i="328"/>
  <c r="O62" i="328"/>
  <c r="G1" i="334"/>
  <c r="J26" i="310"/>
  <c r="P26" i="310" s="1"/>
  <c r="L51" i="310"/>
  <c r="J79" i="310"/>
  <c r="P79" i="310" s="1"/>
  <c r="P70" i="310"/>
  <c r="N6" i="312"/>
  <c r="L49" i="312"/>
  <c r="L58" i="312" s="1"/>
  <c r="H13" i="311" s="1"/>
  <c r="P79" i="312"/>
  <c r="AG27" i="314"/>
  <c r="AF27" i="314"/>
  <c r="AG38" i="314"/>
  <c r="AG39" i="314"/>
  <c r="AF6" i="316"/>
  <c r="O28" i="316"/>
  <c r="J48" i="316"/>
  <c r="J58" i="316"/>
  <c r="Q52" i="316"/>
  <c r="O59" i="316"/>
  <c r="AF60" i="316"/>
  <c r="AG61" i="316"/>
  <c r="J26" i="320"/>
  <c r="P26" i="320" s="1"/>
  <c r="L27" i="320"/>
  <c r="L37" i="320" s="1"/>
  <c r="F13" i="319" s="1"/>
  <c r="P37" i="320"/>
  <c r="J48" i="320"/>
  <c r="O39" i="320"/>
  <c r="O48" i="320" s="1"/>
  <c r="AF39" i="320"/>
  <c r="L49" i="320"/>
  <c r="R50" i="320"/>
  <c r="AG51" i="320"/>
  <c r="L69" i="320"/>
  <c r="I13" i="319" s="1"/>
  <c r="J6" i="319" s="1"/>
  <c r="O60" i="320"/>
  <c r="AF60" i="320"/>
  <c r="AG60" i="320"/>
  <c r="R7" i="322"/>
  <c r="AF28" i="322"/>
  <c r="O28" i="322"/>
  <c r="AG18" i="324"/>
  <c r="AF18" i="324"/>
  <c r="O18" i="324"/>
  <c r="AF27" i="324"/>
  <c r="N37" i="324"/>
  <c r="K79" i="324"/>
  <c r="R71" i="324"/>
  <c r="P79" i="324"/>
  <c r="R6" i="326"/>
  <c r="Q39" i="326"/>
  <c r="R39" i="326"/>
  <c r="AG40" i="326"/>
  <c r="O40" i="326"/>
  <c r="AF52" i="326"/>
  <c r="AG52" i="326"/>
  <c r="O52" i="326"/>
  <c r="O70" i="326"/>
  <c r="AF70" i="326"/>
  <c r="N79" i="326"/>
  <c r="AG70" i="326"/>
  <c r="D18" i="327"/>
  <c r="L6" i="327" s="1"/>
  <c r="Q7" i="328"/>
  <c r="I1" i="328"/>
  <c r="J69" i="336"/>
  <c r="N69" i="312"/>
  <c r="AF59" i="312"/>
  <c r="L6" i="314"/>
  <c r="L8" i="314"/>
  <c r="R8" i="314" s="1"/>
  <c r="R28" i="314"/>
  <c r="Q28" i="314"/>
  <c r="AG49" i="314"/>
  <c r="AF49" i="314"/>
  <c r="AG62" i="314"/>
  <c r="AF62" i="314"/>
  <c r="AG50" i="316"/>
  <c r="AF50" i="316"/>
  <c r="R51" i="316"/>
  <c r="Q51" i="316"/>
  <c r="AG60" i="316"/>
  <c r="L15" i="320"/>
  <c r="D13" i="319" s="1"/>
  <c r="L18" i="320"/>
  <c r="Q18" i="320" s="1"/>
  <c r="O19" i="320"/>
  <c r="O26" i="320" s="1"/>
  <c r="AF19" i="320"/>
  <c r="O27" i="320"/>
  <c r="AF27" i="320"/>
  <c r="AG27" i="320"/>
  <c r="N37" i="320"/>
  <c r="N58" i="320"/>
  <c r="AF49" i="320"/>
  <c r="AG59" i="320"/>
  <c r="AF59" i="320"/>
  <c r="R6" i="322"/>
  <c r="Q6" i="322"/>
  <c r="R18" i="322"/>
  <c r="AF19" i="322"/>
  <c r="O19" i="322"/>
  <c r="J37" i="322"/>
  <c r="L50" i="322"/>
  <c r="Q50" i="322" s="1"/>
  <c r="L6" i="323"/>
  <c r="G1" i="324"/>
  <c r="AG7" i="324"/>
  <c r="AF7" i="324"/>
  <c r="O7" i="324"/>
  <c r="R27" i="324"/>
  <c r="P37" i="324"/>
  <c r="F22" i="323"/>
  <c r="O50" i="324"/>
  <c r="AG50" i="324"/>
  <c r="AF50" i="324"/>
  <c r="P69" i="324"/>
  <c r="L70" i="324"/>
  <c r="AG16" i="326"/>
  <c r="J26" i="326"/>
  <c r="P26" i="326" s="1"/>
  <c r="P18" i="326"/>
  <c r="AG51" i="326"/>
  <c r="AF51" i="326"/>
  <c r="K58" i="326"/>
  <c r="Q59" i="326"/>
  <c r="O5" i="328"/>
  <c r="AF5" i="328"/>
  <c r="N15" i="328"/>
  <c r="AG5" i="328"/>
  <c r="Q18" i="328"/>
  <c r="R18" i="328"/>
  <c r="R31" i="328"/>
  <c r="Q31" i="328"/>
  <c r="P58" i="328"/>
  <c r="H22" i="327"/>
  <c r="AG59" i="328"/>
  <c r="P69" i="330"/>
  <c r="I22" i="329"/>
  <c r="O19" i="330"/>
  <c r="AF19" i="330"/>
  <c r="AG19" i="330"/>
  <c r="R5" i="332"/>
  <c r="Q5" i="332"/>
  <c r="P37" i="336"/>
  <c r="F22" i="335"/>
  <c r="AG6" i="342"/>
  <c r="AF6" i="342"/>
  <c r="O6" i="342"/>
  <c r="N15" i="342"/>
  <c r="AF49" i="352"/>
  <c r="O49" i="352"/>
  <c r="N58" i="352"/>
  <c r="AG49" i="352"/>
  <c r="R71" i="322"/>
  <c r="L50" i="324"/>
  <c r="L58" i="324" s="1"/>
  <c r="H13" i="323" s="1"/>
  <c r="Q51" i="324"/>
  <c r="AF52" i="324"/>
  <c r="O52" i="324"/>
  <c r="Q70" i="324"/>
  <c r="L50" i="326"/>
  <c r="P6" i="328"/>
  <c r="L6" i="328"/>
  <c r="AG38" i="328"/>
  <c r="AF38" i="328"/>
  <c r="N48" i="328"/>
  <c r="O38" i="328"/>
  <c r="AG41" i="328"/>
  <c r="AF41" i="328"/>
  <c r="O41" i="328"/>
  <c r="R50" i="328"/>
  <c r="D18" i="329"/>
  <c r="L6" i="329" s="1"/>
  <c r="Z2" i="330"/>
  <c r="R64" i="330"/>
  <c r="Q64" i="330"/>
  <c r="G1" i="332"/>
  <c r="Q16" i="326"/>
  <c r="L28" i="326"/>
  <c r="R28" i="326" s="1"/>
  <c r="Q29" i="326"/>
  <c r="AF30" i="326"/>
  <c r="O30" i="326"/>
  <c r="P49" i="326"/>
  <c r="J58" i="326"/>
  <c r="P58" i="326" s="1"/>
  <c r="L49" i="326"/>
  <c r="J26" i="328"/>
  <c r="P26" i="328" s="1"/>
  <c r="O17" i="328"/>
  <c r="AF17" i="328"/>
  <c r="J37" i="328"/>
  <c r="P37" i="328" s="1"/>
  <c r="L30" i="328"/>
  <c r="L37" i="328" s="1"/>
  <c r="F13" i="327" s="1"/>
  <c r="P49" i="330"/>
  <c r="J58" i="330"/>
  <c r="P58" i="330" s="1"/>
  <c r="L49" i="330"/>
  <c r="O19" i="332"/>
  <c r="AG19" i="332"/>
  <c r="O70" i="332"/>
  <c r="AF70" i="332"/>
  <c r="N79" i="332"/>
  <c r="AE2" i="336"/>
  <c r="E21" i="335"/>
  <c r="J15" i="320"/>
  <c r="P15" i="320" s="1"/>
  <c r="Q30" i="322"/>
  <c r="O62" i="322"/>
  <c r="AF62" i="322"/>
  <c r="AG49" i="324"/>
  <c r="N79" i="324"/>
  <c r="O79" i="324"/>
  <c r="L5" i="326"/>
  <c r="L15" i="326" s="1"/>
  <c r="D13" i="325" s="1"/>
  <c r="O18" i="326"/>
  <c r="K37" i="326"/>
  <c r="K15" i="328"/>
  <c r="J15" i="328"/>
  <c r="P15" i="328" s="1"/>
  <c r="AF18" i="328"/>
  <c r="AG70" i="328"/>
  <c r="AF70" i="328"/>
  <c r="O70" i="328"/>
  <c r="N79" i="328"/>
  <c r="K79" i="328"/>
  <c r="L74" i="328"/>
  <c r="R74" i="328" s="1"/>
  <c r="R7" i="330"/>
  <c r="Q7" i="330"/>
  <c r="AF27" i="330"/>
  <c r="N37" i="330"/>
  <c r="O27" i="330"/>
  <c r="AG27" i="330"/>
  <c r="AF19" i="332"/>
  <c r="AG40" i="332"/>
  <c r="AF40" i="332"/>
  <c r="O40" i="332"/>
  <c r="N48" i="332"/>
  <c r="P6" i="336"/>
  <c r="L6" i="336"/>
  <c r="L15" i="336" s="1"/>
  <c r="D13" i="335" s="1"/>
  <c r="J15" i="336"/>
  <c r="L39" i="316"/>
  <c r="R39" i="316" s="1"/>
  <c r="L17" i="322"/>
  <c r="R17" i="322" s="1"/>
  <c r="P27" i="322"/>
  <c r="AF50" i="322"/>
  <c r="I1" i="324"/>
  <c r="P15" i="324"/>
  <c r="J26" i="324"/>
  <c r="L18" i="324"/>
  <c r="L26" i="324" s="1"/>
  <c r="E13" i="323" s="1"/>
  <c r="K26" i="324"/>
  <c r="O49" i="324"/>
  <c r="AF70" i="324"/>
  <c r="L7" i="326"/>
  <c r="Q7" i="326" s="1"/>
  <c r="R16" i="326"/>
  <c r="O26" i="326"/>
  <c r="L27" i="326"/>
  <c r="L37" i="326" s="1"/>
  <c r="F13" i="325" s="1"/>
  <c r="Q28" i="326"/>
  <c r="R29" i="326"/>
  <c r="Q49" i="326"/>
  <c r="L61" i="326"/>
  <c r="R61" i="326" s="1"/>
  <c r="R72" i="326"/>
  <c r="L5" i="328"/>
  <c r="L15" i="328" s="1"/>
  <c r="D13" i="327" s="1"/>
  <c r="AF7" i="328"/>
  <c r="N26" i="328"/>
  <c r="P30" i="328"/>
  <c r="L40" i="328"/>
  <c r="AF50" i="328"/>
  <c r="L60" i="328"/>
  <c r="Q60" i="328" s="1"/>
  <c r="O38" i="330"/>
  <c r="N48" i="330"/>
  <c r="AF38" i="330"/>
  <c r="P51" i="330"/>
  <c r="L51" i="330"/>
  <c r="R51" i="330" s="1"/>
  <c r="AG61" i="330"/>
  <c r="AF61" i="330"/>
  <c r="O61" i="330"/>
  <c r="L63" i="330"/>
  <c r="R63" i="330" s="1"/>
  <c r="O59" i="332"/>
  <c r="AF59" i="332"/>
  <c r="AG59" i="332"/>
  <c r="R72" i="332"/>
  <c r="Q72" i="332"/>
  <c r="O19" i="338"/>
  <c r="AG19" i="338"/>
  <c r="AF19" i="338"/>
  <c r="L16" i="322"/>
  <c r="L19" i="322"/>
  <c r="R30" i="322"/>
  <c r="L72" i="322"/>
  <c r="R72" i="322" s="1"/>
  <c r="AE2" i="324"/>
  <c r="L20" i="324"/>
  <c r="R20" i="324" s="1"/>
  <c r="P26" i="324"/>
  <c r="L62" i="324"/>
  <c r="AG70" i="324"/>
  <c r="R49" i="326"/>
  <c r="N58" i="326"/>
  <c r="K69" i="326"/>
  <c r="D19" i="327"/>
  <c r="M6" i="327" s="1"/>
  <c r="Q16" i="328"/>
  <c r="O40" i="328"/>
  <c r="AG40" i="328"/>
  <c r="AG50" i="328"/>
  <c r="Q72" i="328"/>
  <c r="R72" i="328"/>
  <c r="O6" i="329"/>
  <c r="P16" i="330"/>
  <c r="L16" i="330"/>
  <c r="L26" i="330" s="1"/>
  <c r="E13" i="329" s="1"/>
  <c r="J26" i="330"/>
  <c r="P26" i="330" s="1"/>
  <c r="O29" i="330"/>
  <c r="AG29" i="330"/>
  <c r="AF29" i="330"/>
  <c r="AG70" i="332"/>
  <c r="AG5" i="334"/>
  <c r="AF5" i="334"/>
  <c r="N15" i="334"/>
  <c r="O5" i="334"/>
  <c r="K58" i="316"/>
  <c r="P58" i="320"/>
  <c r="AF39" i="322"/>
  <c r="P48" i="322"/>
  <c r="J37" i="324"/>
  <c r="AG52" i="324"/>
  <c r="N58" i="324"/>
  <c r="R7" i="326"/>
  <c r="N26" i="326"/>
  <c r="J37" i="326"/>
  <c r="P37" i="326" s="1"/>
  <c r="AG17" i="328"/>
  <c r="P39" i="328"/>
  <c r="L39" i="328"/>
  <c r="Q39" i="328" s="1"/>
  <c r="J58" i="328"/>
  <c r="P49" i="328"/>
  <c r="AG7" i="330"/>
  <c r="AF7" i="330"/>
  <c r="P48" i="330"/>
  <c r="G22" i="329"/>
  <c r="O28" i="332"/>
  <c r="AG28" i="332"/>
  <c r="AF28" i="332"/>
  <c r="N37" i="332"/>
  <c r="L60" i="332"/>
  <c r="Q60" i="332" s="1"/>
  <c r="P60" i="332"/>
  <c r="R61" i="332"/>
  <c r="Q61" i="332"/>
  <c r="Q69" i="332"/>
  <c r="AG69" i="332"/>
  <c r="AH59" i="332" s="1"/>
  <c r="AF69" i="332"/>
  <c r="R49" i="334"/>
  <c r="Q49" i="334"/>
  <c r="L5" i="314"/>
  <c r="AG62" i="322"/>
  <c r="AF49" i="324"/>
  <c r="L69" i="324"/>
  <c r="I13" i="323" s="1"/>
  <c r="J6" i="323" s="1"/>
  <c r="L60" i="324"/>
  <c r="AF16" i="326"/>
  <c r="K48" i="326"/>
  <c r="L38" i="326"/>
  <c r="L48" i="326" s="1"/>
  <c r="G13" i="325" s="1"/>
  <c r="AF49" i="326"/>
  <c r="R71" i="326"/>
  <c r="R16" i="328"/>
  <c r="L19" i="328"/>
  <c r="Q19" i="328" s="1"/>
  <c r="R29" i="328"/>
  <c r="L49" i="328"/>
  <c r="L58" i="328" s="1"/>
  <c r="H13" i="327" s="1"/>
  <c r="AG60" i="328"/>
  <c r="Q63" i="328"/>
  <c r="F22" i="329"/>
  <c r="Q60" i="330"/>
  <c r="Q27" i="332"/>
  <c r="L52" i="332"/>
  <c r="L58" i="332" s="1"/>
  <c r="H13" i="331" s="1"/>
  <c r="J58" i="332"/>
  <c r="P58" i="332" s="1"/>
  <c r="P52" i="332"/>
  <c r="H22" i="331"/>
  <c r="O7" i="334"/>
  <c r="AG7" i="334"/>
  <c r="AF7" i="334"/>
  <c r="O59" i="334"/>
  <c r="N69" i="334"/>
  <c r="AG59" i="334"/>
  <c r="AF59" i="334"/>
  <c r="G1" i="336"/>
  <c r="J3" i="337"/>
  <c r="G2" i="338"/>
  <c r="E22" i="323"/>
  <c r="P8" i="328"/>
  <c r="O5" i="330"/>
  <c r="AG5" i="330"/>
  <c r="O17" i="330"/>
  <c r="N26" i="330"/>
  <c r="AG17" i="330"/>
  <c r="O50" i="330"/>
  <c r="AG50" i="330"/>
  <c r="K69" i="330"/>
  <c r="L62" i="330"/>
  <c r="J15" i="332"/>
  <c r="P15" i="332" s="1"/>
  <c r="P5" i="332"/>
  <c r="AG17" i="336"/>
  <c r="O17" i="336"/>
  <c r="AF17" i="336"/>
  <c r="AG27" i="336"/>
  <c r="N37" i="336"/>
  <c r="AF27" i="336"/>
  <c r="O27" i="336"/>
  <c r="N48" i="336"/>
  <c r="AG38" i="336"/>
  <c r="O38" i="336"/>
  <c r="O62" i="340"/>
  <c r="AF62" i="340"/>
  <c r="AG62" i="340"/>
  <c r="I1" i="330"/>
  <c r="O28" i="330"/>
  <c r="AG28" i="330"/>
  <c r="H22" i="329"/>
  <c r="AG62" i="330"/>
  <c r="AF62" i="330"/>
  <c r="O62" i="330"/>
  <c r="P19" i="332"/>
  <c r="L19" i="332"/>
  <c r="L26" i="332" s="1"/>
  <c r="E13" i="331" s="1"/>
  <c r="I1" i="332"/>
  <c r="O28" i="334"/>
  <c r="AF28" i="334"/>
  <c r="AG62" i="334"/>
  <c r="O62" i="334"/>
  <c r="Q61" i="336"/>
  <c r="R61" i="336"/>
  <c r="Q60" i="338"/>
  <c r="R60" i="338"/>
  <c r="N37" i="328"/>
  <c r="AG29" i="328"/>
  <c r="AF29" i="328"/>
  <c r="O30" i="328"/>
  <c r="AF51" i="328"/>
  <c r="Q74" i="328"/>
  <c r="L37" i="330"/>
  <c r="F13" i="329" s="1"/>
  <c r="AF28" i="330"/>
  <c r="AF40" i="330"/>
  <c r="O40" i="330"/>
  <c r="N58" i="330"/>
  <c r="AF16" i="332"/>
  <c r="O16" i="332"/>
  <c r="AG16" i="332"/>
  <c r="N26" i="332"/>
  <c r="M6" i="333"/>
  <c r="AG28" i="334"/>
  <c r="AG19" i="336"/>
  <c r="AF19" i="336"/>
  <c r="O19" i="336"/>
  <c r="I1" i="342"/>
  <c r="D22" i="341"/>
  <c r="P15" i="342"/>
  <c r="K48" i="328"/>
  <c r="K69" i="328"/>
  <c r="L18" i="330"/>
  <c r="Q51" i="330"/>
  <c r="O50" i="332"/>
  <c r="AG50" i="332"/>
  <c r="AF50" i="332"/>
  <c r="AG51" i="332"/>
  <c r="AF51" i="332"/>
  <c r="O51" i="332"/>
  <c r="O58" i="332" s="1"/>
  <c r="O27" i="334"/>
  <c r="N37" i="334"/>
  <c r="AF27" i="334"/>
  <c r="D18" i="337"/>
  <c r="L6" i="337" s="1"/>
  <c r="Z2" i="338"/>
  <c r="O15" i="340"/>
  <c r="R71" i="340"/>
  <c r="Q71" i="340"/>
  <c r="Q73" i="340"/>
  <c r="R73" i="340"/>
  <c r="L63" i="346"/>
  <c r="P63" i="346"/>
  <c r="L59" i="328"/>
  <c r="P69" i="328"/>
  <c r="G1" i="330"/>
  <c r="J48" i="330"/>
  <c r="P38" i="330"/>
  <c r="L38" i="330"/>
  <c r="AF51" i="330"/>
  <c r="O6" i="331"/>
  <c r="N6" i="331"/>
  <c r="O7" i="332"/>
  <c r="AA2" i="332"/>
  <c r="D19" i="331"/>
  <c r="M6" i="331" s="1"/>
  <c r="O48" i="332"/>
  <c r="R38" i="332"/>
  <c r="P16" i="334"/>
  <c r="J26" i="334"/>
  <c r="P26" i="334" s="1"/>
  <c r="AG27" i="334"/>
  <c r="R52" i="334"/>
  <c r="Q52" i="334"/>
  <c r="N58" i="334"/>
  <c r="R16" i="336"/>
  <c r="Q16" i="336"/>
  <c r="O26" i="336"/>
  <c r="K48" i="324"/>
  <c r="AG30" i="328"/>
  <c r="E22" i="329"/>
  <c r="AG39" i="330"/>
  <c r="O39" i="330"/>
  <c r="AF39" i="330"/>
  <c r="AE2" i="332"/>
  <c r="D21" i="331"/>
  <c r="J26" i="332"/>
  <c r="P26" i="332" s="1"/>
  <c r="L28" i="332"/>
  <c r="L37" i="332" s="1"/>
  <c r="F13" i="331" s="1"/>
  <c r="P28" i="332"/>
  <c r="AF27" i="328"/>
  <c r="AF28" i="328"/>
  <c r="P50" i="328"/>
  <c r="L50" i="328"/>
  <c r="Q50" i="328" s="1"/>
  <c r="AF60" i="328"/>
  <c r="AF18" i="330"/>
  <c r="O18" i="330"/>
  <c r="AD2" i="330"/>
  <c r="L6" i="332"/>
  <c r="L15" i="332" s="1"/>
  <c r="D13" i="331" s="1"/>
  <c r="AF7" i="332"/>
  <c r="AG52" i="332"/>
  <c r="O52" i="332"/>
  <c r="Q18" i="334"/>
  <c r="P79" i="334"/>
  <c r="J22" i="333"/>
  <c r="AG6" i="336"/>
  <c r="AF6" i="336"/>
  <c r="O6" i="336"/>
  <c r="AF50" i="338"/>
  <c r="AG50" i="338"/>
  <c r="O50" i="338"/>
  <c r="J37" i="330"/>
  <c r="P37" i="330" s="1"/>
  <c r="AG79" i="330"/>
  <c r="AH70" i="330" s="1"/>
  <c r="AF79" i="330"/>
  <c r="P39" i="334"/>
  <c r="L39" i="334"/>
  <c r="P58" i="334"/>
  <c r="O70" i="334"/>
  <c r="AF70" i="334"/>
  <c r="N79" i="334"/>
  <c r="AG40" i="336"/>
  <c r="AF40" i="336"/>
  <c r="O40" i="336"/>
  <c r="O51" i="336"/>
  <c r="O58" i="336" s="1"/>
  <c r="AG51" i="336"/>
  <c r="O70" i="336"/>
  <c r="AG70" i="336"/>
  <c r="P26" i="338"/>
  <c r="E22" i="337"/>
  <c r="AF30" i="338"/>
  <c r="AG30" i="338"/>
  <c r="L38" i="338"/>
  <c r="L48" i="338" s="1"/>
  <c r="G13" i="337" s="1"/>
  <c r="P38" i="338"/>
  <c r="J48" i="338"/>
  <c r="O39" i="338"/>
  <c r="AG39" i="338"/>
  <c r="AF39" i="338"/>
  <c r="P6" i="340"/>
  <c r="L6" i="340"/>
  <c r="AG19" i="340"/>
  <c r="O19" i="340"/>
  <c r="E18" i="339"/>
  <c r="Z2" i="340"/>
  <c r="R50" i="336"/>
  <c r="Q50" i="336"/>
  <c r="Q79" i="336"/>
  <c r="AG79" i="336"/>
  <c r="AH70" i="336" s="1"/>
  <c r="AG6" i="338"/>
  <c r="AF6" i="338"/>
  <c r="AF6" i="340"/>
  <c r="AG6" i="340"/>
  <c r="O6" i="340"/>
  <c r="O52" i="340"/>
  <c r="AF52" i="340"/>
  <c r="E20" i="341"/>
  <c r="O6" i="341" s="1"/>
  <c r="AD2" i="342"/>
  <c r="N69" i="330"/>
  <c r="O59" i="330"/>
  <c r="L60" i="330"/>
  <c r="R60" i="330" s="1"/>
  <c r="AG5" i="332"/>
  <c r="N15" i="332"/>
  <c r="D21" i="333"/>
  <c r="O17" i="334"/>
  <c r="AG17" i="334"/>
  <c r="R61" i="334"/>
  <c r="Q61" i="334"/>
  <c r="L39" i="336"/>
  <c r="R39" i="336" s="1"/>
  <c r="AG62" i="336"/>
  <c r="O6" i="338"/>
  <c r="AG16" i="340"/>
  <c r="K26" i="340"/>
  <c r="AF26" i="340" s="1"/>
  <c r="AF16" i="340"/>
  <c r="L16" i="340"/>
  <c r="P59" i="340"/>
  <c r="J69" i="340"/>
  <c r="L59" i="340"/>
  <c r="N48" i="342"/>
  <c r="AG38" i="342"/>
  <c r="AF38" i="342"/>
  <c r="O38" i="342"/>
  <c r="O62" i="342"/>
  <c r="AF62" i="342"/>
  <c r="P26" i="348"/>
  <c r="E22" i="347"/>
  <c r="Q52" i="330"/>
  <c r="AF6" i="332"/>
  <c r="AD2" i="334"/>
  <c r="E20" i="333"/>
  <c r="O6" i="333" s="1"/>
  <c r="L48" i="334"/>
  <c r="G13" i="333" s="1"/>
  <c r="N26" i="336"/>
  <c r="AG16" i="336"/>
  <c r="R49" i="336"/>
  <c r="Q49" i="336"/>
  <c r="G1" i="340"/>
  <c r="AG59" i="342"/>
  <c r="AF59" i="342"/>
  <c r="N69" i="342"/>
  <c r="O59" i="342"/>
  <c r="L5" i="330"/>
  <c r="L15" i="330" s="1"/>
  <c r="D13" i="329" s="1"/>
  <c r="L40" i="330"/>
  <c r="Q79" i="330"/>
  <c r="AG49" i="332"/>
  <c r="N58" i="332"/>
  <c r="AF49" i="332"/>
  <c r="J79" i="332"/>
  <c r="P71" i="332"/>
  <c r="L16" i="334"/>
  <c r="L26" i="334" s="1"/>
  <c r="E13" i="333" s="1"/>
  <c r="AF17" i="334"/>
  <c r="N48" i="334"/>
  <c r="AG38" i="334"/>
  <c r="AF39" i="334"/>
  <c r="R5" i="336"/>
  <c r="Q5" i="336"/>
  <c r="I1" i="336"/>
  <c r="P15" i="336"/>
  <c r="D22" i="335"/>
  <c r="AF16" i="336"/>
  <c r="L18" i="336"/>
  <c r="Q18" i="336" s="1"/>
  <c r="AF50" i="336"/>
  <c r="O18" i="338"/>
  <c r="AG18" i="338"/>
  <c r="L69" i="338"/>
  <c r="I13" i="337" s="1"/>
  <c r="J6" i="337" s="1"/>
  <c r="AG52" i="340"/>
  <c r="L61" i="340"/>
  <c r="R61" i="340" s="1"/>
  <c r="AG61" i="340"/>
  <c r="L6" i="341"/>
  <c r="N37" i="344"/>
  <c r="AF27" i="344"/>
  <c r="O27" i="344"/>
  <c r="AG27" i="344"/>
  <c r="Z2" i="346"/>
  <c r="D18" i="345"/>
  <c r="L6" i="345" s="1"/>
  <c r="R49" i="330"/>
  <c r="R52" i="330"/>
  <c r="L18" i="332"/>
  <c r="Q18" i="332" s="1"/>
  <c r="J69" i="332"/>
  <c r="P69" i="332" s="1"/>
  <c r="Q62" i="332"/>
  <c r="K79" i="332"/>
  <c r="L71" i="332"/>
  <c r="Q71" i="332" s="1"/>
  <c r="N26" i="334"/>
  <c r="O16" i="334"/>
  <c r="AG16" i="334"/>
  <c r="P37" i="334"/>
  <c r="O38" i="334"/>
  <c r="AG39" i="334"/>
  <c r="AF61" i="334"/>
  <c r="L48" i="336"/>
  <c r="G13" i="335" s="1"/>
  <c r="N58" i="336"/>
  <c r="AF49" i="336"/>
  <c r="Q17" i="338"/>
  <c r="AF18" i="338"/>
  <c r="Q28" i="338"/>
  <c r="R28" i="338"/>
  <c r="J58" i="338"/>
  <c r="P58" i="338" s="1"/>
  <c r="M6" i="341"/>
  <c r="K48" i="342"/>
  <c r="L39" i="342"/>
  <c r="L48" i="342" s="1"/>
  <c r="G13" i="341" s="1"/>
  <c r="J79" i="328"/>
  <c r="P79" i="328" s="1"/>
  <c r="J15" i="330"/>
  <c r="P15" i="330" s="1"/>
  <c r="AF59" i="330"/>
  <c r="AF5" i="332"/>
  <c r="R18" i="332"/>
  <c r="P40" i="332"/>
  <c r="L6" i="334"/>
  <c r="P19" i="334"/>
  <c r="R51" i="334"/>
  <c r="AA2" i="336"/>
  <c r="L6" i="335"/>
  <c r="AG49" i="336"/>
  <c r="L59" i="336"/>
  <c r="O60" i="336"/>
  <c r="AF60" i="336"/>
  <c r="AF79" i="336"/>
  <c r="AG52" i="338"/>
  <c r="AF52" i="338"/>
  <c r="O52" i="338"/>
  <c r="AG59" i="338"/>
  <c r="N69" i="338"/>
  <c r="O59" i="338"/>
  <c r="AF59" i="338"/>
  <c r="Q71" i="338"/>
  <c r="R71" i="338"/>
  <c r="L7" i="340"/>
  <c r="L6" i="339"/>
  <c r="AG7" i="342"/>
  <c r="O7" i="342"/>
  <c r="R71" i="342"/>
  <c r="Q71" i="342"/>
  <c r="P51" i="344"/>
  <c r="L51" i="344"/>
  <c r="J58" i="344"/>
  <c r="P58" i="344" s="1"/>
  <c r="O51" i="346"/>
  <c r="AG51" i="346"/>
  <c r="AF51" i="346"/>
  <c r="K15" i="330"/>
  <c r="AF16" i="330"/>
  <c r="Q49" i="330"/>
  <c r="AG59" i="330"/>
  <c r="O70" i="330"/>
  <c r="J37" i="332"/>
  <c r="P37" i="332" s="1"/>
  <c r="J48" i="332"/>
  <c r="P48" i="332" s="1"/>
  <c r="AG39" i="332"/>
  <c r="AF39" i="332"/>
  <c r="L79" i="332"/>
  <c r="J13" i="331" s="1"/>
  <c r="AF50" i="334"/>
  <c r="O50" i="334"/>
  <c r="P59" i="334"/>
  <c r="J69" i="334"/>
  <c r="P69" i="334" s="1"/>
  <c r="O60" i="334"/>
  <c r="AG60" i="334"/>
  <c r="N15" i="336"/>
  <c r="AG5" i="336"/>
  <c r="AG7" i="336"/>
  <c r="AF7" i="336"/>
  <c r="O7" i="336"/>
  <c r="O6" i="335"/>
  <c r="Q71" i="336"/>
  <c r="O5" i="338"/>
  <c r="AG5" i="338"/>
  <c r="N15" i="338"/>
  <c r="L58" i="338"/>
  <c r="H13" i="337" s="1"/>
  <c r="P52" i="338"/>
  <c r="R5" i="340"/>
  <c r="Q5" i="340"/>
  <c r="AG27" i="340"/>
  <c r="AF27" i="340"/>
  <c r="N37" i="340"/>
  <c r="O27" i="340"/>
  <c r="P16" i="344"/>
  <c r="J26" i="344"/>
  <c r="L16" i="344"/>
  <c r="L26" i="344" s="1"/>
  <c r="E13" i="343" s="1"/>
  <c r="AG29" i="334"/>
  <c r="AF29" i="334"/>
  <c r="O29" i="334"/>
  <c r="L28" i="336"/>
  <c r="L37" i="336" s="1"/>
  <c r="F13" i="335" s="1"/>
  <c r="K37" i="336"/>
  <c r="I1" i="338"/>
  <c r="P15" i="338"/>
  <c r="D22" i="337"/>
  <c r="O40" i="338"/>
  <c r="AG40" i="338"/>
  <c r="AF40" i="338"/>
  <c r="N48" i="338"/>
  <c r="N58" i="338"/>
  <c r="AG49" i="338"/>
  <c r="AF49" i="338"/>
  <c r="O49" i="338"/>
  <c r="L79" i="338"/>
  <c r="J13" i="337" s="1"/>
  <c r="M6" i="339"/>
  <c r="R38" i="340"/>
  <c r="Q38" i="340"/>
  <c r="O39" i="340"/>
  <c r="AF39" i="340"/>
  <c r="AG39" i="340"/>
  <c r="R17" i="342"/>
  <c r="Q17" i="342"/>
  <c r="P79" i="332"/>
  <c r="J15" i="334"/>
  <c r="P15" i="334" s="1"/>
  <c r="AG49" i="334"/>
  <c r="AF49" i="334"/>
  <c r="P69" i="336"/>
  <c r="P60" i="338"/>
  <c r="J69" i="338"/>
  <c r="P69" i="338" s="1"/>
  <c r="Q73" i="338"/>
  <c r="R73" i="338"/>
  <c r="J26" i="340"/>
  <c r="P26" i="340" s="1"/>
  <c r="P16" i="340"/>
  <c r="O17" i="340"/>
  <c r="AG17" i="340"/>
  <c r="AF17" i="340"/>
  <c r="L18" i="342"/>
  <c r="R18" i="342" s="1"/>
  <c r="P18" i="342"/>
  <c r="J26" i="342"/>
  <c r="Q28" i="342"/>
  <c r="R28" i="342"/>
  <c r="N79" i="342"/>
  <c r="O70" i="342"/>
  <c r="N69" i="344"/>
  <c r="O59" i="344"/>
  <c r="AG59" i="344"/>
  <c r="AF59" i="344"/>
  <c r="L26" i="336"/>
  <c r="E13" i="335" s="1"/>
  <c r="AG18" i="336"/>
  <c r="AF18" i="336"/>
  <c r="AG39" i="336"/>
  <c r="AF39" i="336"/>
  <c r="AF29" i="338"/>
  <c r="AG29" i="338"/>
  <c r="O29" i="338"/>
  <c r="O70" i="338"/>
  <c r="N79" i="338"/>
  <c r="AG70" i="338"/>
  <c r="R72" i="338"/>
  <c r="Q72" i="338"/>
  <c r="N15" i="340"/>
  <c r="I1" i="340"/>
  <c r="D22" i="339"/>
  <c r="P15" i="340"/>
  <c r="N58" i="340"/>
  <c r="AG49" i="340"/>
  <c r="AF49" i="340"/>
  <c r="AG59" i="340"/>
  <c r="N69" i="340"/>
  <c r="O59" i="340"/>
  <c r="O79" i="340"/>
  <c r="R70" i="340"/>
  <c r="M6" i="345"/>
  <c r="AF38" i="332"/>
  <c r="D18" i="333"/>
  <c r="L6" i="333" s="1"/>
  <c r="N6" i="333"/>
  <c r="J37" i="334"/>
  <c r="P16" i="336"/>
  <c r="N26" i="338"/>
  <c r="P58" i="340"/>
  <c r="H22" i="339"/>
  <c r="N79" i="340"/>
  <c r="AG70" i="340"/>
  <c r="AF70" i="340"/>
  <c r="K69" i="342"/>
  <c r="AG61" i="342"/>
  <c r="AF61" i="342"/>
  <c r="Q71" i="346"/>
  <c r="R71" i="346"/>
  <c r="R27" i="332"/>
  <c r="J48" i="334"/>
  <c r="P48" i="334" s="1"/>
  <c r="AD2" i="338"/>
  <c r="D20" i="337"/>
  <c r="AF16" i="338"/>
  <c r="O27" i="338"/>
  <c r="N37" i="338"/>
  <c r="AG51" i="338"/>
  <c r="AF51" i="338"/>
  <c r="R63" i="338"/>
  <c r="Q63" i="338"/>
  <c r="F22" i="339"/>
  <c r="R7" i="340"/>
  <c r="Q7" i="340"/>
  <c r="Q72" i="340"/>
  <c r="R72" i="340"/>
  <c r="N58" i="342"/>
  <c r="AG49" i="342"/>
  <c r="AF49" i="342"/>
  <c r="O49" i="342"/>
  <c r="L61" i="342"/>
  <c r="R61" i="342" s="1"/>
  <c r="R71" i="344"/>
  <c r="Q71" i="344"/>
  <c r="L48" i="346"/>
  <c r="G13" i="345" s="1"/>
  <c r="AA2" i="334"/>
  <c r="O52" i="336"/>
  <c r="AF52" i="336"/>
  <c r="AE2" i="338"/>
  <c r="D21" i="337"/>
  <c r="R51" i="338"/>
  <c r="P79" i="338"/>
  <c r="O40" i="340"/>
  <c r="AF50" i="340"/>
  <c r="O50" i="340"/>
  <c r="R53" i="340"/>
  <c r="P69" i="340"/>
  <c r="R16" i="342"/>
  <c r="L79" i="342"/>
  <c r="J13" i="341" s="1"/>
  <c r="AG18" i="344"/>
  <c r="AF18" i="344"/>
  <c r="O18" i="344"/>
  <c r="G21" i="343"/>
  <c r="AE2" i="344"/>
  <c r="L62" i="346"/>
  <c r="P62" i="346"/>
  <c r="J69" i="346"/>
  <c r="P69" i="346" s="1"/>
  <c r="G1" i="346"/>
  <c r="R62" i="354"/>
  <c r="Q62" i="354"/>
  <c r="R71" i="354"/>
  <c r="Q71" i="354"/>
  <c r="J79" i="338"/>
  <c r="AG7" i="340"/>
  <c r="AF7" i="340"/>
  <c r="Q18" i="340"/>
  <c r="L62" i="340"/>
  <c r="AE2" i="342"/>
  <c r="R6" i="344"/>
  <c r="Q6" i="344"/>
  <c r="AG27" i="346"/>
  <c r="AF27" i="346"/>
  <c r="O27" i="346"/>
  <c r="N37" i="346"/>
  <c r="AG40" i="346"/>
  <c r="AF40" i="346"/>
  <c r="J58" i="346"/>
  <c r="P58" i="346" s="1"/>
  <c r="P49" i="346"/>
  <c r="AF17" i="348"/>
  <c r="O17" i="348"/>
  <c r="N26" i="348"/>
  <c r="AG17" i="348"/>
  <c r="N6" i="341"/>
  <c r="Z2" i="342"/>
  <c r="P19" i="342"/>
  <c r="L19" i="342"/>
  <c r="L26" i="342" s="1"/>
  <c r="E13" i="341" s="1"/>
  <c r="O51" i="342"/>
  <c r="AG51" i="342"/>
  <c r="AF51" i="342"/>
  <c r="R60" i="342"/>
  <c r="Q60" i="342"/>
  <c r="Q61" i="342"/>
  <c r="O40" i="346"/>
  <c r="AG17" i="350"/>
  <c r="AF17" i="350"/>
  <c r="N26" i="350"/>
  <c r="O17" i="350"/>
  <c r="L5" i="340"/>
  <c r="L15" i="340" s="1"/>
  <c r="D13" i="339" s="1"/>
  <c r="Q16" i="340"/>
  <c r="AF28" i="340"/>
  <c r="N48" i="340"/>
  <c r="AG19" i="342"/>
  <c r="AF19" i="342"/>
  <c r="J69" i="342"/>
  <c r="P69" i="342" s="1"/>
  <c r="P59" i="342"/>
  <c r="L59" i="342"/>
  <c r="AG28" i="344"/>
  <c r="AF28" i="344"/>
  <c r="O28" i="344"/>
  <c r="Q49" i="344"/>
  <c r="M6" i="347"/>
  <c r="L63" i="338"/>
  <c r="K79" i="338"/>
  <c r="AF5" i="340"/>
  <c r="AF38" i="340"/>
  <c r="L60" i="340"/>
  <c r="Q5" i="342"/>
  <c r="O19" i="342"/>
  <c r="AG29" i="342"/>
  <c r="O29" i="342"/>
  <c r="AF37" i="342"/>
  <c r="R63" i="342"/>
  <c r="Q63" i="342"/>
  <c r="O16" i="344"/>
  <c r="N26" i="344"/>
  <c r="AG16" i="344"/>
  <c r="AF16" i="344"/>
  <c r="AG62" i="344"/>
  <c r="L62" i="344"/>
  <c r="R62" i="344" s="1"/>
  <c r="AG15" i="346"/>
  <c r="AH5" i="346" s="1"/>
  <c r="AF15" i="346"/>
  <c r="J37" i="346"/>
  <c r="P37" i="346" s="1"/>
  <c r="P28" i="346"/>
  <c r="K48" i="346"/>
  <c r="Q16" i="348"/>
  <c r="P37" i="338"/>
  <c r="F22" i="337"/>
  <c r="AG60" i="338"/>
  <c r="AF60" i="338"/>
  <c r="AF61" i="338"/>
  <c r="R62" i="338"/>
  <c r="AD2" i="340"/>
  <c r="D20" i="339"/>
  <c r="Q51" i="340"/>
  <c r="K69" i="340"/>
  <c r="AG18" i="342"/>
  <c r="AF18" i="342"/>
  <c r="O27" i="342"/>
  <c r="H22" i="341"/>
  <c r="AF60" i="342"/>
  <c r="AF5" i="344"/>
  <c r="O5" i="344"/>
  <c r="N15" i="344"/>
  <c r="R38" i="344"/>
  <c r="AG39" i="344"/>
  <c r="N48" i="344"/>
  <c r="O39" i="344"/>
  <c r="AF39" i="344"/>
  <c r="L79" i="344"/>
  <c r="J13" i="343" s="1"/>
  <c r="N79" i="346"/>
  <c r="J48" i="336"/>
  <c r="P48" i="336" s="1"/>
  <c r="Q61" i="338"/>
  <c r="K79" i="340"/>
  <c r="AF5" i="342"/>
  <c r="Q18" i="342"/>
  <c r="O39" i="342"/>
  <c r="AF39" i="342"/>
  <c r="AG39" i="342"/>
  <c r="L6" i="343"/>
  <c r="AG19" i="344"/>
  <c r="O19" i="344"/>
  <c r="K37" i="344"/>
  <c r="AF70" i="344"/>
  <c r="AG70" i="344"/>
  <c r="R72" i="348"/>
  <c r="Q72" i="348"/>
  <c r="K79" i="348"/>
  <c r="AG7" i="338"/>
  <c r="AF7" i="338"/>
  <c r="P16" i="338"/>
  <c r="L16" i="338"/>
  <c r="Q62" i="338"/>
  <c r="L28" i="340"/>
  <c r="L37" i="340" s="1"/>
  <c r="F13" i="339" s="1"/>
  <c r="J37" i="340"/>
  <c r="P37" i="340" s="1"/>
  <c r="L49" i="340"/>
  <c r="L58" i="340" s="1"/>
  <c r="H13" i="339" s="1"/>
  <c r="AF61" i="340"/>
  <c r="L79" i="340"/>
  <c r="J13" i="339" s="1"/>
  <c r="R74" i="340"/>
  <c r="Q74" i="340"/>
  <c r="E21" i="341"/>
  <c r="O50" i="342"/>
  <c r="AF50" i="342"/>
  <c r="AG52" i="342"/>
  <c r="O52" i="342"/>
  <c r="AF52" i="342"/>
  <c r="L62" i="342"/>
  <c r="AF19" i="344"/>
  <c r="O70" i="344"/>
  <c r="N79" i="344"/>
  <c r="N6" i="345"/>
  <c r="O6" i="345"/>
  <c r="F22" i="345"/>
  <c r="P52" i="346"/>
  <c r="L52" i="346"/>
  <c r="Q52" i="346" s="1"/>
  <c r="AG40" i="344"/>
  <c r="R50" i="346"/>
  <c r="Q50" i="346"/>
  <c r="Q60" i="346"/>
  <c r="P79" i="346"/>
  <c r="D22" i="347"/>
  <c r="AD2" i="348"/>
  <c r="E20" i="347"/>
  <c r="O6" i="347" s="1"/>
  <c r="AG6" i="350"/>
  <c r="AF6" i="350"/>
  <c r="G1" i="344"/>
  <c r="P26" i="344"/>
  <c r="J37" i="344"/>
  <c r="R63" i="344"/>
  <c r="K58" i="346"/>
  <c r="R6" i="350"/>
  <c r="Q6" i="350"/>
  <c r="K58" i="350"/>
  <c r="AG53" i="350"/>
  <c r="AF53" i="350"/>
  <c r="D20" i="343"/>
  <c r="AD2" i="344"/>
  <c r="P6" i="346"/>
  <c r="L6" i="346"/>
  <c r="J15" i="346"/>
  <c r="P15" i="346" s="1"/>
  <c r="L17" i="346"/>
  <c r="Q17" i="346" s="1"/>
  <c r="L28" i="346"/>
  <c r="L37" i="346" s="1"/>
  <c r="F13" i="345" s="1"/>
  <c r="O38" i="346"/>
  <c r="N48" i="346"/>
  <c r="AG38" i="346"/>
  <c r="R52" i="346"/>
  <c r="Q69" i="346"/>
  <c r="O70" i="346"/>
  <c r="AG70" i="346"/>
  <c r="O28" i="348"/>
  <c r="AG28" i="348"/>
  <c r="AF28" i="348"/>
  <c r="G1" i="350"/>
  <c r="AG51" i="350"/>
  <c r="O51" i="350"/>
  <c r="AF51" i="350"/>
  <c r="P64" i="352"/>
  <c r="L64" i="352"/>
  <c r="J15" i="344"/>
  <c r="P15" i="344" s="1"/>
  <c r="L49" i="344"/>
  <c r="O50" i="344"/>
  <c r="O58" i="344" s="1"/>
  <c r="L61" i="344"/>
  <c r="Q61" i="344" s="1"/>
  <c r="O6" i="346"/>
  <c r="AG6" i="346"/>
  <c r="AG28" i="346"/>
  <c r="AF28" i="346"/>
  <c r="Q29" i="346"/>
  <c r="AF38" i="346"/>
  <c r="L49" i="346"/>
  <c r="L58" i="346" s="1"/>
  <c r="H13" i="345" s="1"/>
  <c r="AG62" i="346"/>
  <c r="AF62" i="346"/>
  <c r="AF70" i="346"/>
  <c r="P49" i="348"/>
  <c r="L49" i="348"/>
  <c r="L58" i="348" s="1"/>
  <c r="H13" i="347" s="1"/>
  <c r="J58" i="348"/>
  <c r="P58" i="348" s="1"/>
  <c r="L51" i="342"/>
  <c r="L58" i="342" s="1"/>
  <c r="H13" i="341" s="1"/>
  <c r="L52" i="342"/>
  <c r="N58" i="344"/>
  <c r="J69" i="344"/>
  <c r="P69" i="344" s="1"/>
  <c r="D22" i="345"/>
  <c r="I1" i="346"/>
  <c r="L16" i="346"/>
  <c r="AF18" i="346"/>
  <c r="J26" i="346"/>
  <c r="P26" i="346" s="1"/>
  <c r="O28" i="346"/>
  <c r="R29" i="346"/>
  <c r="AG52" i="346"/>
  <c r="AF52" i="346"/>
  <c r="AF59" i="346"/>
  <c r="O62" i="346"/>
  <c r="I1" i="348"/>
  <c r="Q7" i="348"/>
  <c r="Z2" i="348"/>
  <c r="K37" i="338"/>
  <c r="G22" i="341"/>
  <c r="N26" i="342"/>
  <c r="I1" i="344"/>
  <c r="P37" i="344"/>
  <c r="P38" i="344"/>
  <c r="AF40" i="344"/>
  <c r="AF51" i="344"/>
  <c r="K69" i="344"/>
  <c r="AF60" i="344"/>
  <c r="O60" i="344"/>
  <c r="R61" i="344"/>
  <c r="L15" i="346"/>
  <c r="D13" i="345" s="1"/>
  <c r="N26" i="346"/>
  <c r="AG18" i="346"/>
  <c r="O49" i="346"/>
  <c r="N58" i="346"/>
  <c r="AG59" i="346"/>
  <c r="AG6" i="348"/>
  <c r="AF6" i="348"/>
  <c r="AF16" i="342"/>
  <c r="Q40" i="344"/>
  <c r="AG51" i="344"/>
  <c r="L59" i="344"/>
  <c r="L69" i="344" s="1"/>
  <c r="I13" i="343" s="1"/>
  <c r="J6" i="343" s="1"/>
  <c r="J79" i="344"/>
  <c r="P79" i="344" s="1"/>
  <c r="P71" i="344"/>
  <c r="AF5" i="346"/>
  <c r="AG5" i="346"/>
  <c r="AF17" i="346"/>
  <c r="R6" i="348"/>
  <c r="Q6" i="348"/>
  <c r="L28" i="350"/>
  <c r="K37" i="350"/>
  <c r="P48" i="338"/>
  <c r="L40" i="340"/>
  <c r="L48" i="340" s="1"/>
  <c r="G13" i="339" s="1"/>
  <c r="I22" i="341"/>
  <c r="AG16" i="342"/>
  <c r="P26" i="342"/>
  <c r="J58" i="342"/>
  <c r="P58" i="342" s="1"/>
  <c r="P59" i="344"/>
  <c r="O5" i="346"/>
  <c r="AF6" i="346"/>
  <c r="AF29" i="346"/>
  <c r="AG49" i="346"/>
  <c r="AF69" i="346"/>
  <c r="L6" i="347"/>
  <c r="G1" i="348"/>
  <c r="O59" i="348"/>
  <c r="AG59" i="348"/>
  <c r="AF59" i="348"/>
  <c r="N69" i="348"/>
  <c r="AG28" i="350"/>
  <c r="O28" i="350"/>
  <c r="AF28" i="350"/>
  <c r="R5" i="352"/>
  <c r="O15" i="352"/>
  <c r="Q5" i="352"/>
  <c r="P18" i="352"/>
  <c r="L18" i="352"/>
  <c r="Q18" i="352" s="1"/>
  <c r="AA2" i="352"/>
  <c r="E19" i="351"/>
  <c r="M6" i="351" s="1"/>
  <c r="O51" i="352"/>
  <c r="AG51" i="352"/>
  <c r="K69" i="352"/>
  <c r="D21" i="353"/>
  <c r="AE2" i="354"/>
  <c r="AG59" i="354"/>
  <c r="K69" i="354"/>
  <c r="L59" i="354"/>
  <c r="L69" i="354" s="1"/>
  <c r="I13" i="353" s="1"/>
  <c r="J6" i="353" s="1"/>
  <c r="F21" i="351"/>
  <c r="AE2" i="352"/>
  <c r="O15" i="348"/>
  <c r="R39" i="348"/>
  <c r="Q39" i="348"/>
  <c r="R71" i="348"/>
  <c r="Q71" i="348"/>
  <c r="J22" i="347"/>
  <c r="P79" i="348"/>
  <c r="L7" i="352"/>
  <c r="P7" i="352"/>
  <c r="J15" i="352"/>
  <c r="P15" i="352" s="1"/>
  <c r="AF51" i="352"/>
  <c r="O72" i="352"/>
  <c r="N79" i="352"/>
  <c r="R61" i="354"/>
  <c r="Q61" i="354"/>
  <c r="P51" i="346"/>
  <c r="L51" i="346"/>
  <c r="Q29" i="348"/>
  <c r="AG5" i="350"/>
  <c r="N15" i="350"/>
  <c r="AF5" i="350"/>
  <c r="P27" i="352"/>
  <c r="J37" i="352"/>
  <c r="P37" i="352" s="1"/>
  <c r="R59" i="352"/>
  <c r="Q59" i="352"/>
  <c r="Q64" i="352"/>
  <c r="R64" i="352"/>
  <c r="L38" i="344"/>
  <c r="L48" i="344" s="1"/>
  <c r="G13" i="343" s="1"/>
  <c r="AF62" i="344"/>
  <c r="N6" i="347"/>
  <c r="Q5" i="348"/>
  <c r="L37" i="348"/>
  <c r="F13" i="347" s="1"/>
  <c r="AF29" i="348"/>
  <c r="O5" i="350"/>
  <c r="AA2" i="350"/>
  <c r="D19" i="349"/>
  <c r="M6" i="349" s="1"/>
  <c r="R60" i="350"/>
  <c r="P62" i="350"/>
  <c r="L62" i="350"/>
  <c r="L27" i="352"/>
  <c r="L37" i="352" s="1"/>
  <c r="F13" i="351" s="1"/>
  <c r="L61" i="352"/>
  <c r="Z2" i="354"/>
  <c r="AG61" i="344"/>
  <c r="AF61" i="344"/>
  <c r="O26" i="346"/>
  <c r="L59" i="346"/>
  <c r="R59" i="346" s="1"/>
  <c r="O61" i="346"/>
  <c r="O69" i="346" s="1"/>
  <c r="AG61" i="346"/>
  <c r="R5" i="348"/>
  <c r="AE2" i="348"/>
  <c r="D21" i="347"/>
  <c r="AG29" i="348"/>
  <c r="L48" i="348"/>
  <c r="G13" i="347" s="1"/>
  <c r="R71" i="350"/>
  <c r="Q71" i="350"/>
  <c r="R38" i="352"/>
  <c r="AF70" i="348"/>
  <c r="AG70" i="348"/>
  <c r="N79" i="348"/>
  <c r="O70" i="348"/>
  <c r="O37" i="350"/>
  <c r="O70" i="350"/>
  <c r="N79" i="350"/>
  <c r="N37" i="352"/>
  <c r="AF27" i="352"/>
  <c r="O27" i="352"/>
  <c r="AG27" i="352"/>
  <c r="AG5" i="348"/>
  <c r="AF5" i="348"/>
  <c r="O19" i="348"/>
  <c r="AG19" i="348"/>
  <c r="N48" i="348"/>
  <c r="O38" i="348"/>
  <c r="O49" i="348"/>
  <c r="N58" i="348"/>
  <c r="AG60" i="348"/>
  <c r="AF60" i="348"/>
  <c r="AF61" i="348"/>
  <c r="AG61" i="348"/>
  <c r="O62" i="348"/>
  <c r="AF18" i="350"/>
  <c r="O18" i="350"/>
  <c r="AG18" i="350"/>
  <c r="P72" i="350"/>
  <c r="L72" i="350"/>
  <c r="J79" i="350"/>
  <c r="P79" i="350" s="1"/>
  <c r="AG19" i="352"/>
  <c r="AF19" i="352"/>
  <c r="J26" i="352"/>
  <c r="P26" i="352" s="1"/>
  <c r="R63" i="352"/>
  <c r="O27" i="354"/>
  <c r="N37" i="354"/>
  <c r="AG27" i="354"/>
  <c r="R38" i="354"/>
  <c r="L58" i="354"/>
  <c r="H13" i="353" s="1"/>
  <c r="AF19" i="348"/>
  <c r="AF38" i="348"/>
  <c r="N58" i="350"/>
  <c r="AF49" i="350"/>
  <c r="O49" i="350"/>
  <c r="AG49" i="350"/>
  <c r="G1" i="352"/>
  <c r="O17" i="352"/>
  <c r="AG17" i="352"/>
  <c r="O19" i="352"/>
  <c r="AF27" i="354"/>
  <c r="AG38" i="348"/>
  <c r="P48" i="348"/>
  <c r="R52" i="348"/>
  <c r="Q52" i="348"/>
  <c r="AF70" i="350"/>
  <c r="P39" i="352"/>
  <c r="J48" i="352"/>
  <c r="R40" i="352"/>
  <c r="Q40" i="352"/>
  <c r="N15" i="354"/>
  <c r="AF5" i="354"/>
  <c r="O5" i="354"/>
  <c r="D19" i="353"/>
  <c r="M6" i="353" s="1"/>
  <c r="AA2" i="354"/>
  <c r="O40" i="354"/>
  <c r="O48" i="354" s="1"/>
  <c r="AG40" i="354"/>
  <c r="J58" i="354"/>
  <c r="P58" i="354" s="1"/>
  <c r="P51" i="354"/>
  <c r="L51" i="354"/>
  <c r="L79" i="346"/>
  <c r="J13" i="345" s="1"/>
  <c r="AF18" i="348"/>
  <c r="Q61" i="348"/>
  <c r="AF62" i="348"/>
  <c r="F22" i="349"/>
  <c r="P37" i="350"/>
  <c r="AF38" i="350"/>
  <c r="O38" i="350"/>
  <c r="N48" i="350"/>
  <c r="AG38" i="350"/>
  <c r="J58" i="350"/>
  <c r="P58" i="350" s="1"/>
  <c r="AG59" i="350"/>
  <c r="O59" i="350"/>
  <c r="N69" i="350"/>
  <c r="AF59" i="350"/>
  <c r="AG70" i="350"/>
  <c r="AF5" i="352"/>
  <c r="N15" i="352"/>
  <c r="AG5" i="352"/>
  <c r="Q16" i="352"/>
  <c r="R16" i="352"/>
  <c r="AG5" i="354"/>
  <c r="AF40" i="354"/>
  <c r="AA2" i="348"/>
  <c r="L6" i="349"/>
  <c r="R53" i="350"/>
  <c r="Q53" i="350"/>
  <c r="P50" i="352"/>
  <c r="L50" i="352"/>
  <c r="L58" i="352" s="1"/>
  <c r="H13" i="351" s="1"/>
  <c r="J58" i="352"/>
  <c r="P58" i="352" s="1"/>
  <c r="R60" i="352"/>
  <c r="Q60" i="352"/>
  <c r="AF61" i="352"/>
  <c r="O61" i="352"/>
  <c r="R39" i="354"/>
  <c r="Q39" i="354"/>
  <c r="AG60" i="354"/>
  <c r="AF60" i="354"/>
  <c r="N79" i="354"/>
  <c r="O70" i="354"/>
  <c r="AG70" i="354"/>
  <c r="AF70" i="354"/>
  <c r="L60" i="346"/>
  <c r="R60" i="346" s="1"/>
  <c r="L16" i="348"/>
  <c r="R16" i="348" s="1"/>
  <c r="AG27" i="348"/>
  <c r="N37" i="348"/>
  <c r="P48" i="350"/>
  <c r="P61" i="350"/>
  <c r="L61" i="350"/>
  <c r="R61" i="350" s="1"/>
  <c r="O62" i="350"/>
  <c r="AG62" i="350"/>
  <c r="R18" i="352"/>
  <c r="AG61" i="352"/>
  <c r="P63" i="352"/>
  <c r="L63" i="352"/>
  <c r="Q63" i="352" s="1"/>
  <c r="AF39" i="354"/>
  <c r="AG51" i="354"/>
  <c r="AF51" i="354"/>
  <c r="O60" i="354"/>
  <c r="L17" i="348"/>
  <c r="L18" i="348"/>
  <c r="O27" i="348"/>
  <c r="P37" i="348"/>
  <c r="AG39" i="348"/>
  <c r="AF39" i="348"/>
  <c r="Z2" i="350"/>
  <c r="L27" i="350"/>
  <c r="L37" i="350" s="1"/>
  <c r="F13" i="349" s="1"/>
  <c r="AF62" i="350"/>
  <c r="E18" i="351"/>
  <c r="L6" i="351" s="1"/>
  <c r="Z2" i="352"/>
  <c r="J69" i="352"/>
  <c r="P69" i="352" s="1"/>
  <c r="L16" i="354"/>
  <c r="K26" i="354"/>
  <c r="AF38" i="354"/>
  <c r="N48" i="354"/>
  <c r="AG38" i="354"/>
  <c r="AG39" i="354"/>
  <c r="R51" i="354"/>
  <c r="Q51" i="354"/>
  <c r="AA2" i="346"/>
  <c r="K69" i="348"/>
  <c r="AD2" i="350"/>
  <c r="D20" i="349"/>
  <c r="P60" i="350"/>
  <c r="L60" i="350"/>
  <c r="Q60" i="350" s="1"/>
  <c r="AG7" i="352"/>
  <c r="AF7" i="352"/>
  <c r="AD2" i="352"/>
  <c r="E20" i="351"/>
  <c r="AG50" i="352"/>
  <c r="AF60" i="352"/>
  <c r="R6" i="354"/>
  <c r="Q6" i="354"/>
  <c r="AG16" i="354"/>
  <c r="O16" i="354"/>
  <c r="N26" i="354"/>
  <c r="AD2" i="354"/>
  <c r="E20" i="353"/>
  <c r="H22" i="347"/>
  <c r="AE2" i="350"/>
  <c r="AF52" i="350"/>
  <c r="O52" i="350"/>
  <c r="L63" i="350"/>
  <c r="K69" i="350"/>
  <c r="D22" i="351"/>
  <c r="AG60" i="352"/>
  <c r="G1" i="354"/>
  <c r="AF16" i="354"/>
  <c r="R18" i="354"/>
  <c r="AF50" i="354"/>
  <c r="AG50" i="354"/>
  <c r="O50" i="354"/>
  <c r="R63" i="354"/>
  <c r="Q63" i="354"/>
  <c r="R63" i="350"/>
  <c r="Q63" i="350"/>
  <c r="O48" i="352"/>
  <c r="P48" i="352"/>
  <c r="AF59" i="352"/>
  <c r="N69" i="352"/>
  <c r="R62" i="352"/>
  <c r="Q62" i="352"/>
  <c r="R28" i="354"/>
  <c r="Q28" i="354"/>
  <c r="AF58" i="354"/>
  <c r="AG58" i="354"/>
  <c r="AH49" i="354" s="1"/>
  <c r="Q58" i="354"/>
  <c r="R39" i="350"/>
  <c r="Q39" i="350"/>
  <c r="P51" i="350"/>
  <c r="L51" i="350"/>
  <c r="L58" i="350" s="1"/>
  <c r="H13" i="349" s="1"/>
  <c r="L59" i="350"/>
  <c r="L69" i="350" s="1"/>
  <c r="I13" i="349" s="1"/>
  <c r="J6" i="349" s="1"/>
  <c r="J69" i="350"/>
  <c r="P69" i="350" s="1"/>
  <c r="L26" i="352"/>
  <c r="E13" i="351" s="1"/>
  <c r="N48" i="352"/>
  <c r="AG59" i="352"/>
  <c r="K79" i="352"/>
  <c r="L71" i="352"/>
  <c r="Q71" i="352" s="1"/>
  <c r="D22" i="353"/>
  <c r="I1" i="354"/>
  <c r="P15" i="354"/>
  <c r="AF28" i="354"/>
  <c r="AF62" i="354"/>
  <c r="AG62" i="354"/>
  <c r="P19" i="354"/>
  <c r="N69" i="354"/>
  <c r="O59" i="354"/>
  <c r="R7" i="354"/>
  <c r="J26" i="354"/>
  <c r="P26" i="354" s="1"/>
  <c r="L18" i="354"/>
  <c r="Q18" i="354" s="1"/>
  <c r="AF59" i="354"/>
  <c r="J26" i="350"/>
  <c r="P26" i="350" s="1"/>
  <c r="N37" i="350"/>
  <c r="K48" i="350"/>
  <c r="L39" i="350"/>
  <c r="L48" i="350" s="1"/>
  <c r="G13" i="349" s="1"/>
  <c r="L39" i="352"/>
  <c r="P51" i="352"/>
  <c r="J22" i="353"/>
  <c r="Q7" i="354"/>
  <c r="Q17" i="354"/>
  <c r="R19" i="354"/>
  <c r="AG61" i="354"/>
  <c r="AF61" i="354"/>
  <c r="R28" i="352"/>
  <c r="P38" i="352"/>
  <c r="L38" i="352"/>
  <c r="R70" i="352"/>
  <c r="L37" i="354"/>
  <c r="F13" i="353" s="1"/>
  <c r="P71" i="352"/>
  <c r="AG49" i="354"/>
  <c r="AF49" i="354"/>
  <c r="F22" i="351"/>
  <c r="N26" i="352"/>
  <c r="AG18" i="352"/>
  <c r="Q28" i="352"/>
  <c r="Q70" i="352"/>
  <c r="R71" i="352"/>
  <c r="AF7" i="354"/>
  <c r="P16" i="354"/>
  <c r="L38" i="354"/>
  <c r="L48" i="354" s="1"/>
  <c r="G13" i="353" s="1"/>
  <c r="R48" i="354" l="1"/>
  <c r="S38" i="354" s="1"/>
  <c r="G14" i="353"/>
  <c r="G15" i="353" s="1"/>
  <c r="R79" i="316"/>
  <c r="S70" i="316" s="1"/>
  <c r="J15" i="315" s="1"/>
  <c r="J14" i="315"/>
  <c r="J14" i="311"/>
  <c r="E14" i="319"/>
  <c r="G2" i="308"/>
  <c r="J3" i="307"/>
  <c r="J3" i="309"/>
  <c r="G2" i="310"/>
  <c r="H6" i="341"/>
  <c r="G2" i="312"/>
  <c r="J3" i="311"/>
  <c r="AF37" i="302"/>
  <c r="AG37" i="302"/>
  <c r="AH27" i="302" s="1"/>
  <c r="Q37" i="302"/>
  <c r="H14" i="335"/>
  <c r="H15" i="335" s="1"/>
  <c r="R58" i="336"/>
  <c r="S49" i="336" s="1"/>
  <c r="R48" i="320"/>
  <c r="S38" i="320" s="1"/>
  <c r="G14" i="319"/>
  <c r="G15" i="319" s="1"/>
  <c r="H14" i="297"/>
  <c r="H15" i="297" s="1"/>
  <c r="R58" i="298"/>
  <c r="S49" i="298" s="1"/>
  <c r="H6" i="331"/>
  <c r="R58" i="332"/>
  <c r="S49" i="332" s="1"/>
  <c r="H14" i="331"/>
  <c r="H15" i="331" s="1"/>
  <c r="H14" i="343"/>
  <c r="H6" i="309"/>
  <c r="E14" i="313"/>
  <c r="D14" i="293"/>
  <c r="I14" i="345"/>
  <c r="Q26" i="3"/>
  <c r="R26" i="3"/>
  <c r="S16" i="3" s="1"/>
  <c r="E14" i="2"/>
  <c r="E15" i="2" s="1"/>
  <c r="Q39" i="352"/>
  <c r="R39" i="352"/>
  <c r="Q69" i="352"/>
  <c r="AG69" i="352"/>
  <c r="AH59" i="352" s="1"/>
  <c r="AF69" i="352"/>
  <c r="AF79" i="352"/>
  <c r="AG79" i="352"/>
  <c r="AH70" i="352" s="1"/>
  <c r="Q79" i="352"/>
  <c r="Q59" i="348"/>
  <c r="O69" i="348"/>
  <c r="R59" i="348"/>
  <c r="O6" i="339"/>
  <c r="N6" i="339"/>
  <c r="G2" i="346"/>
  <c r="J3" i="345"/>
  <c r="R59" i="340"/>
  <c r="Q59" i="340"/>
  <c r="O69" i="340"/>
  <c r="O58" i="338"/>
  <c r="R49" i="338"/>
  <c r="Q49" i="338"/>
  <c r="L48" i="352"/>
  <c r="G13" i="351" s="1"/>
  <c r="Q38" i="352"/>
  <c r="Q62" i="344"/>
  <c r="Q72" i="352"/>
  <c r="R72" i="352"/>
  <c r="O79" i="352"/>
  <c r="J3" i="347"/>
  <c r="G2" i="348"/>
  <c r="AG26" i="346"/>
  <c r="AH16" i="346" s="1"/>
  <c r="AF26" i="346"/>
  <c r="G2" i="350"/>
  <c r="J3" i="349"/>
  <c r="O48" i="346"/>
  <c r="R38" i="346"/>
  <c r="Q38" i="346"/>
  <c r="O79" i="344"/>
  <c r="Q70" i="344"/>
  <c r="R70" i="344"/>
  <c r="Q61" i="340"/>
  <c r="AG15" i="344"/>
  <c r="AH5" i="344" s="1"/>
  <c r="AF15" i="344"/>
  <c r="AF26" i="348"/>
  <c r="AG26" i="348"/>
  <c r="AH16" i="348" s="1"/>
  <c r="R28" i="340"/>
  <c r="AG69" i="340"/>
  <c r="AH59" i="340" s="1"/>
  <c r="AF69" i="340"/>
  <c r="Q69" i="340"/>
  <c r="R29" i="334"/>
  <c r="Q29" i="334"/>
  <c r="R38" i="334"/>
  <c r="Q38" i="334"/>
  <c r="O48" i="334"/>
  <c r="AG26" i="336"/>
  <c r="AH16" i="336" s="1"/>
  <c r="AF26" i="336"/>
  <c r="Q7" i="332"/>
  <c r="R7" i="332"/>
  <c r="R63" i="346"/>
  <c r="Q63" i="346"/>
  <c r="AG58" i="330"/>
  <c r="AH49" i="330" s="1"/>
  <c r="AF58" i="330"/>
  <c r="Q58" i="330"/>
  <c r="R62" i="330"/>
  <c r="Q62" i="330"/>
  <c r="R38" i="336"/>
  <c r="Q38" i="336"/>
  <c r="O48" i="336"/>
  <c r="L15" i="314"/>
  <c r="D13" i="313" s="1"/>
  <c r="AF48" i="330"/>
  <c r="Q48" i="330"/>
  <c r="AG48" i="330"/>
  <c r="AH38" i="330" s="1"/>
  <c r="Q79" i="328"/>
  <c r="AG79" i="328"/>
  <c r="AH70" i="328" s="1"/>
  <c r="AF79" i="328"/>
  <c r="L58" i="330"/>
  <c r="H13" i="329" s="1"/>
  <c r="R7" i="324"/>
  <c r="Q7" i="324"/>
  <c r="R62" i="328"/>
  <c r="Q62" i="328"/>
  <c r="AG15" i="330"/>
  <c r="AH5" i="330" s="1"/>
  <c r="AF15" i="330"/>
  <c r="Q29" i="324"/>
  <c r="R29" i="324"/>
  <c r="AF15" i="322"/>
  <c r="AG15" i="322"/>
  <c r="AH5" i="322" s="1"/>
  <c r="AF58" i="328"/>
  <c r="AG58" i="328"/>
  <c r="AH49" i="328" s="1"/>
  <c r="Q58" i="328"/>
  <c r="R27" i="316"/>
  <c r="Q27" i="316"/>
  <c r="L15" i="316"/>
  <c r="D13" i="315" s="1"/>
  <c r="Q79" i="316"/>
  <c r="AF79" i="316"/>
  <c r="AG79" i="316"/>
  <c r="AH70" i="316" s="1"/>
  <c r="R72" i="310"/>
  <c r="Q72" i="310"/>
  <c r="L26" i="328"/>
  <c r="E13" i="327" s="1"/>
  <c r="O28" i="320"/>
  <c r="AG28" i="320"/>
  <c r="AF28" i="320"/>
  <c r="Q26" i="310"/>
  <c r="R26" i="310"/>
  <c r="S16" i="310" s="1"/>
  <c r="E14" i="309"/>
  <c r="E15" i="309" s="1"/>
  <c r="H14" i="319"/>
  <c r="O15" i="314"/>
  <c r="R5" i="314"/>
  <c r="Q5" i="314"/>
  <c r="O15" i="320"/>
  <c r="Q5" i="320"/>
  <c r="R5" i="320"/>
  <c r="R7" i="314"/>
  <c r="Q7" i="314"/>
  <c r="AF26" i="314"/>
  <c r="AG26" i="314"/>
  <c r="AH16" i="314" s="1"/>
  <c r="Q37" i="304"/>
  <c r="AG37" i="304"/>
  <c r="AH27" i="304" s="1"/>
  <c r="AF37" i="304"/>
  <c r="L79" i="312"/>
  <c r="J13" i="311" s="1"/>
  <c r="Q70" i="312"/>
  <c r="R62" i="310"/>
  <c r="Q62" i="310"/>
  <c r="R17" i="312"/>
  <c r="Q74" i="302"/>
  <c r="Q8" i="302"/>
  <c r="R8" i="302"/>
  <c r="O79" i="294"/>
  <c r="Q70" i="294"/>
  <c r="R70" i="294"/>
  <c r="Q52" i="302"/>
  <c r="R52" i="302"/>
  <c r="R28" i="308"/>
  <c r="Q28" i="308"/>
  <c r="R40" i="304"/>
  <c r="Q40" i="304"/>
  <c r="R73" i="302"/>
  <c r="R28" i="300"/>
  <c r="Q28" i="300"/>
  <c r="R41" i="304"/>
  <c r="Q41" i="304"/>
  <c r="R70" i="302"/>
  <c r="Q70" i="302"/>
  <c r="O79" i="302"/>
  <c r="R38" i="3"/>
  <c r="Q38" i="3"/>
  <c r="O48" i="3"/>
  <c r="R6" i="300"/>
  <c r="R59" i="356"/>
  <c r="Q59" i="356"/>
  <c r="O69" i="356"/>
  <c r="Q27" i="296"/>
  <c r="R27" i="296"/>
  <c r="O37" i="296"/>
  <c r="Q79" i="3"/>
  <c r="AG79" i="3"/>
  <c r="AH70" i="3" s="1"/>
  <c r="AF79" i="3"/>
  <c r="R60" i="3"/>
  <c r="Q60" i="3"/>
  <c r="R6" i="294"/>
  <c r="Q6" i="294"/>
  <c r="Q18" i="308"/>
  <c r="R18" i="308"/>
  <c r="Q50" i="302"/>
  <c r="R50" i="302"/>
  <c r="AG15" i="300"/>
  <c r="AH5" i="300" s="1"/>
  <c r="AF15" i="300"/>
  <c r="Q79" i="306"/>
  <c r="AF79" i="306"/>
  <c r="AG79" i="306"/>
  <c r="AH70" i="306" s="1"/>
  <c r="AG37" i="300"/>
  <c r="AH27" i="300" s="1"/>
  <c r="AF37" i="300"/>
  <c r="Q37" i="300"/>
  <c r="L26" i="298"/>
  <c r="E13" i="297" s="1"/>
  <c r="Q79" i="334"/>
  <c r="AF79" i="334"/>
  <c r="AG79" i="334"/>
  <c r="AH70" i="334" s="1"/>
  <c r="R50" i="338"/>
  <c r="Q50" i="338"/>
  <c r="R40" i="330"/>
  <c r="Q40" i="330"/>
  <c r="Q28" i="332"/>
  <c r="R28" i="332"/>
  <c r="O37" i="332"/>
  <c r="R5" i="334"/>
  <c r="O15" i="334"/>
  <c r="Q5" i="334"/>
  <c r="Q38" i="330"/>
  <c r="R38" i="330"/>
  <c r="O48" i="330"/>
  <c r="O79" i="328"/>
  <c r="Q70" i="328"/>
  <c r="R70" i="328"/>
  <c r="R71" i="332"/>
  <c r="Q79" i="326"/>
  <c r="AG79" i="326"/>
  <c r="AH70" i="326" s="1"/>
  <c r="AF79" i="326"/>
  <c r="I14" i="325"/>
  <c r="R69" i="326"/>
  <c r="S59" i="326" s="1"/>
  <c r="R60" i="322"/>
  <c r="Q60" i="322"/>
  <c r="AG48" i="320"/>
  <c r="AH38" i="320" s="1"/>
  <c r="AF48" i="320"/>
  <c r="Q48" i="320"/>
  <c r="AF79" i="320"/>
  <c r="Q79" i="320"/>
  <c r="AG79" i="320"/>
  <c r="AH70" i="320" s="1"/>
  <c r="G2" i="328"/>
  <c r="J3" i="327"/>
  <c r="Q69" i="336"/>
  <c r="AF69" i="336"/>
  <c r="AG69" i="336"/>
  <c r="AH59" i="336" s="1"/>
  <c r="R27" i="326"/>
  <c r="Q27" i="326"/>
  <c r="O37" i="326"/>
  <c r="AF15" i="316"/>
  <c r="AG15" i="316"/>
  <c r="AH5" i="316" s="1"/>
  <c r="O50" i="310"/>
  <c r="AG50" i="310"/>
  <c r="AF50" i="310"/>
  <c r="N58" i="310"/>
  <c r="R71" i="310"/>
  <c r="Q71" i="310"/>
  <c r="R29" i="314"/>
  <c r="Q29" i="314"/>
  <c r="O37" i="314"/>
  <c r="AF15" i="314"/>
  <c r="AG15" i="314"/>
  <c r="AH5" i="314" s="1"/>
  <c r="AG15" i="320"/>
  <c r="AH5" i="320" s="1"/>
  <c r="AF15" i="320"/>
  <c r="O69" i="314"/>
  <c r="R59" i="314"/>
  <c r="Q59" i="314"/>
  <c r="R72" i="314"/>
  <c r="Q72" i="314"/>
  <c r="Q49" i="312"/>
  <c r="Q16" i="294"/>
  <c r="R16" i="294"/>
  <c r="O26" i="294"/>
  <c r="Q60" i="302"/>
  <c r="R62" i="296"/>
  <c r="Q62" i="296"/>
  <c r="R8" i="304"/>
  <c r="Q8" i="304"/>
  <c r="Q41" i="324"/>
  <c r="R41" i="324"/>
  <c r="AG48" i="322"/>
  <c r="AH38" i="322" s="1"/>
  <c r="AF48" i="322"/>
  <c r="Q48" i="322"/>
  <c r="R51" i="302"/>
  <c r="Q51" i="302"/>
  <c r="R60" i="300"/>
  <c r="Q60" i="300"/>
  <c r="R9" i="294"/>
  <c r="Q9" i="294"/>
  <c r="Q28" i="298"/>
  <c r="R28" i="298"/>
  <c r="Q19" i="300"/>
  <c r="R19" i="300"/>
  <c r="O15" i="302"/>
  <c r="R27" i="3"/>
  <c r="Q27" i="3"/>
  <c r="O37" i="3"/>
  <c r="Q18" i="296"/>
  <c r="R18" i="296"/>
  <c r="AG69" i="3"/>
  <c r="AH59" i="3" s="1"/>
  <c r="AF69" i="3"/>
  <c r="Q69" i="3"/>
  <c r="AF5" i="304"/>
  <c r="N15" i="304"/>
  <c r="O5" i="304"/>
  <c r="AG5" i="304"/>
  <c r="O58" i="296"/>
  <c r="R49" i="296"/>
  <c r="Q49" i="296"/>
  <c r="R51" i="3"/>
  <c r="Q51" i="3"/>
  <c r="Q27" i="302"/>
  <c r="R27" i="302"/>
  <c r="R50" i="356"/>
  <c r="R61" i="356"/>
  <c r="Q61" i="356"/>
  <c r="O79" i="310"/>
  <c r="R70" i="310"/>
  <c r="Q70" i="310"/>
  <c r="Q28" i="302"/>
  <c r="R28" i="302"/>
  <c r="O37" i="356"/>
  <c r="R27" i="356"/>
  <c r="Q27" i="356"/>
  <c r="R70" i="306"/>
  <c r="Q70" i="306"/>
  <c r="O79" i="306"/>
  <c r="Q39" i="294"/>
  <c r="R39" i="294"/>
  <c r="O26" i="296"/>
  <c r="Q79" i="294"/>
  <c r="Q48" i="354"/>
  <c r="AG48" i="354"/>
  <c r="AH38" i="354" s="1"/>
  <c r="AF48" i="354"/>
  <c r="H6" i="345"/>
  <c r="R6" i="346"/>
  <c r="Q6" i="346"/>
  <c r="R5" i="344"/>
  <c r="Q5" i="344"/>
  <c r="O15" i="344"/>
  <c r="Q17" i="348"/>
  <c r="R17" i="348"/>
  <c r="AF79" i="338"/>
  <c r="Q79" i="338"/>
  <c r="AG79" i="338"/>
  <c r="AH70" i="338" s="1"/>
  <c r="R17" i="340"/>
  <c r="Q17" i="340"/>
  <c r="O26" i="340"/>
  <c r="AF15" i="336"/>
  <c r="AG15" i="336"/>
  <c r="AH5" i="336" s="1"/>
  <c r="R29" i="342"/>
  <c r="Q29" i="342"/>
  <c r="R70" i="338"/>
  <c r="Q70" i="338"/>
  <c r="O79" i="338"/>
  <c r="R59" i="344"/>
  <c r="Q59" i="344"/>
  <c r="O69" i="344"/>
  <c r="Q58" i="338"/>
  <c r="AG58" i="338"/>
  <c r="AH49" i="338" s="1"/>
  <c r="AF58" i="338"/>
  <c r="Q70" i="330"/>
  <c r="O79" i="330"/>
  <c r="R70" i="330"/>
  <c r="Q18" i="338"/>
  <c r="R18" i="338"/>
  <c r="O69" i="342"/>
  <c r="R59" i="342"/>
  <c r="Q59" i="342"/>
  <c r="Q48" i="342"/>
  <c r="AG48" i="342"/>
  <c r="AH38" i="342" s="1"/>
  <c r="AF48" i="342"/>
  <c r="R52" i="340"/>
  <c r="Q52" i="340"/>
  <c r="AF58" i="334"/>
  <c r="Q58" i="334"/>
  <c r="AG58" i="334"/>
  <c r="AH49" i="334" s="1"/>
  <c r="Q19" i="336"/>
  <c r="R19" i="336"/>
  <c r="AG48" i="336"/>
  <c r="AH38" i="336" s="1"/>
  <c r="Q48" i="336"/>
  <c r="AF48" i="336"/>
  <c r="G2" i="336"/>
  <c r="J3" i="335"/>
  <c r="Q63" i="330"/>
  <c r="AF15" i="334"/>
  <c r="AG15" i="334"/>
  <c r="AH5" i="334" s="1"/>
  <c r="Q6" i="332"/>
  <c r="R62" i="322"/>
  <c r="Q62" i="322"/>
  <c r="O48" i="328"/>
  <c r="R38" i="328"/>
  <c r="Q38" i="328"/>
  <c r="R60" i="320"/>
  <c r="Q60" i="320"/>
  <c r="R6" i="330"/>
  <c r="Q6" i="330"/>
  <c r="AG69" i="320"/>
  <c r="AH59" i="320" s="1"/>
  <c r="AF69" i="320"/>
  <c r="Q69" i="320"/>
  <c r="Q38" i="314"/>
  <c r="O48" i="314"/>
  <c r="R38" i="314"/>
  <c r="R40" i="322"/>
  <c r="Q40" i="322"/>
  <c r="R60" i="340"/>
  <c r="Q60" i="340"/>
  <c r="R59" i="336"/>
  <c r="Q59" i="336"/>
  <c r="O69" i="336"/>
  <c r="R49" i="328"/>
  <c r="Q49" i="328"/>
  <c r="O58" i="328"/>
  <c r="Q79" i="314"/>
  <c r="AG79" i="314"/>
  <c r="AH70" i="314" s="1"/>
  <c r="AF79" i="314"/>
  <c r="L58" i="322"/>
  <c r="H13" i="321" s="1"/>
  <c r="Q62" i="320"/>
  <c r="R62" i="320"/>
  <c r="O15" i="316"/>
  <c r="R5" i="316"/>
  <c r="Q5" i="316"/>
  <c r="L69" i="310"/>
  <c r="I13" i="309" s="1"/>
  <c r="J6" i="309" s="1"/>
  <c r="R6" i="310"/>
  <c r="Q6" i="310"/>
  <c r="R61" i="304"/>
  <c r="Q61" i="304"/>
  <c r="R50" i="312"/>
  <c r="Q50" i="312"/>
  <c r="O79" i="304"/>
  <c r="R70" i="304"/>
  <c r="Q70" i="304"/>
  <c r="AG26" i="302"/>
  <c r="AH16" i="302" s="1"/>
  <c r="AF26" i="302"/>
  <c r="AG69" i="314"/>
  <c r="AH59" i="314" s="1"/>
  <c r="AF69" i="314"/>
  <c r="Q69" i="314"/>
  <c r="O29" i="310"/>
  <c r="AG29" i="310"/>
  <c r="AF29" i="310"/>
  <c r="R49" i="312"/>
  <c r="R27" i="306"/>
  <c r="O37" i="306"/>
  <c r="Q27" i="306"/>
  <c r="R50" i="296"/>
  <c r="Q50" i="296"/>
  <c r="R38" i="322"/>
  <c r="Q38" i="322"/>
  <c r="O48" i="322"/>
  <c r="AF26" i="306"/>
  <c r="AG26" i="306"/>
  <c r="AH16" i="306" s="1"/>
  <c r="R8" i="294"/>
  <c r="Q8" i="294"/>
  <c r="L79" i="298"/>
  <c r="J13" i="297" s="1"/>
  <c r="AF26" i="3"/>
  <c r="AG26" i="3"/>
  <c r="AH16" i="3" s="1"/>
  <c r="R7" i="3"/>
  <c r="Q7" i="3"/>
  <c r="Q5" i="296"/>
  <c r="O15" i="296"/>
  <c r="R5" i="296"/>
  <c r="Q58" i="296"/>
  <c r="AG58" i="296"/>
  <c r="AH49" i="296" s="1"/>
  <c r="AF58" i="296"/>
  <c r="R18" i="3"/>
  <c r="Q18" i="3"/>
  <c r="Q5" i="302"/>
  <c r="Q17" i="296"/>
  <c r="R17" i="296"/>
  <c r="Q49" i="306"/>
  <c r="R27" i="300"/>
  <c r="Q27" i="300"/>
  <c r="O37" i="300"/>
  <c r="AG58" i="298"/>
  <c r="AH49" i="298" s="1"/>
  <c r="D14" i="351"/>
  <c r="Q15" i="352"/>
  <c r="Q60" i="344"/>
  <c r="R60" i="344"/>
  <c r="Q50" i="344"/>
  <c r="R50" i="344"/>
  <c r="Q28" i="348"/>
  <c r="R28" i="348"/>
  <c r="AG79" i="346"/>
  <c r="AH70" i="346" s="1"/>
  <c r="Q79" i="346"/>
  <c r="AF79" i="346"/>
  <c r="Q69" i="342"/>
  <c r="AF69" i="342"/>
  <c r="AG69" i="342"/>
  <c r="AH59" i="342" s="1"/>
  <c r="O79" i="334"/>
  <c r="Q70" i="334"/>
  <c r="R70" i="334"/>
  <c r="Q18" i="330"/>
  <c r="R18" i="330"/>
  <c r="R62" i="334"/>
  <c r="Q62" i="334"/>
  <c r="O37" i="336"/>
  <c r="R27" i="336"/>
  <c r="Q27" i="336"/>
  <c r="AF26" i="326"/>
  <c r="AG26" i="326"/>
  <c r="AH16" i="326" s="1"/>
  <c r="E14" i="325"/>
  <c r="R6" i="332"/>
  <c r="AF48" i="328"/>
  <c r="AG48" i="328"/>
  <c r="AH38" i="328" s="1"/>
  <c r="Q48" i="328"/>
  <c r="G2" i="324"/>
  <c r="J3" i="323"/>
  <c r="R70" i="326"/>
  <c r="Q70" i="326"/>
  <c r="O79" i="326"/>
  <c r="Q37" i="324"/>
  <c r="AG37" i="324"/>
  <c r="AH27" i="324" s="1"/>
  <c r="AF37" i="324"/>
  <c r="R19" i="326"/>
  <c r="Q19" i="326"/>
  <c r="R61" i="320"/>
  <c r="Q61" i="320"/>
  <c r="AG48" i="314"/>
  <c r="AH38" i="314" s="1"/>
  <c r="Q48" i="314"/>
  <c r="AF48" i="314"/>
  <c r="Q69" i="326"/>
  <c r="AF69" i="326"/>
  <c r="AG69" i="326"/>
  <c r="AH59" i="326" s="1"/>
  <c r="R17" i="326"/>
  <c r="AF37" i="326"/>
  <c r="Q37" i="326"/>
  <c r="AG37" i="326"/>
  <c r="AH27" i="326" s="1"/>
  <c r="R50" i="322"/>
  <c r="R19" i="328"/>
  <c r="L48" i="316"/>
  <c r="G13" i="315" s="1"/>
  <c r="Q61" i="322"/>
  <c r="R61" i="322"/>
  <c r="Q48" i="326"/>
  <c r="AG48" i="326"/>
  <c r="AH38" i="326" s="1"/>
  <c r="AF48" i="326"/>
  <c r="R74" i="310"/>
  <c r="Q74" i="310"/>
  <c r="L37" i="308"/>
  <c r="F13" i="307" s="1"/>
  <c r="Q48" i="316"/>
  <c r="AG48" i="316"/>
  <c r="AH38" i="316" s="1"/>
  <c r="AF48" i="316"/>
  <c r="AG29" i="302"/>
  <c r="AF29" i="302"/>
  <c r="O29" i="302"/>
  <c r="O37" i="302" s="1"/>
  <c r="R64" i="308"/>
  <c r="Q73" i="312"/>
  <c r="R73" i="312"/>
  <c r="O58" i="312"/>
  <c r="AF37" i="306"/>
  <c r="AG37" i="306"/>
  <c r="AH27" i="306" s="1"/>
  <c r="Q37" i="306"/>
  <c r="AF48" i="324"/>
  <c r="Q48" i="324"/>
  <c r="AG48" i="324"/>
  <c r="AH38" i="324" s="1"/>
  <c r="AG69" i="302"/>
  <c r="AH59" i="302" s="1"/>
  <c r="AF69" i="302"/>
  <c r="Q69" i="302"/>
  <c r="Q49" i="300"/>
  <c r="AF48" i="296"/>
  <c r="Q48" i="296"/>
  <c r="AG48" i="296"/>
  <c r="AH38" i="296" s="1"/>
  <c r="L58" i="308"/>
  <c r="H13" i="307" s="1"/>
  <c r="R52" i="312"/>
  <c r="Q52" i="312"/>
  <c r="Q9" i="304"/>
  <c r="R9" i="304"/>
  <c r="Q69" i="356"/>
  <c r="AF69" i="356"/>
  <c r="AG69" i="356"/>
  <c r="AH59" i="356" s="1"/>
  <c r="O15" i="3"/>
  <c r="Q5" i="3"/>
  <c r="R5" i="3"/>
  <c r="R63" i="298"/>
  <c r="Q63" i="298"/>
  <c r="R59" i="3"/>
  <c r="Q59" i="3"/>
  <c r="O69" i="3"/>
  <c r="R8" i="296"/>
  <c r="J3" i="355"/>
  <c r="G2" i="356"/>
  <c r="R59" i="300"/>
  <c r="Q59" i="300"/>
  <c r="O69" i="300"/>
  <c r="R38" i="296"/>
  <c r="R40" i="356"/>
  <c r="Q40" i="356"/>
  <c r="R5" i="302"/>
  <c r="Q37" i="298"/>
  <c r="AG37" i="298"/>
  <c r="AH27" i="298" s="1"/>
  <c r="AF37" i="298"/>
  <c r="R61" i="294"/>
  <c r="Q61" i="294"/>
  <c r="Q37" i="356"/>
  <c r="AG37" i="356"/>
  <c r="AH27" i="356" s="1"/>
  <c r="AF37" i="356"/>
  <c r="H14" i="305"/>
  <c r="H15" i="305" s="1"/>
  <c r="R58" i="306"/>
  <c r="S49" i="306" s="1"/>
  <c r="L15" i="300"/>
  <c r="D13" i="299" s="1"/>
  <c r="Q16" i="3"/>
  <c r="AF58" i="298"/>
  <c r="N6" i="353"/>
  <c r="O6" i="353"/>
  <c r="Q19" i="344"/>
  <c r="R19" i="344"/>
  <c r="Q40" i="340"/>
  <c r="R40" i="340"/>
  <c r="R29" i="338"/>
  <c r="Q29" i="338"/>
  <c r="AF69" i="344"/>
  <c r="AG69" i="344"/>
  <c r="AH59" i="344" s="1"/>
  <c r="Q69" i="344"/>
  <c r="AG48" i="338"/>
  <c r="AH38" i="338" s="1"/>
  <c r="AF48" i="338"/>
  <c r="Q48" i="338"/>
  <c r="AG15" i="338"/>
  <c r="AH5" i="338" s="1"/>
  <c r="AF15" i="338"/>
  <c r="R60" i="334"/>
  <c r="Q60" i="334"/>
  <c r="Q7" i="342"/>
  <c r="R7" i="342"/>
  <c r="Q6" i="334"/>
  <c r="L15" i="334"/>
  <c r="D13" i="333" s="1"/>
  <c r="R6" i="334"/>
  <c r="Q16" i="334"/>
  <c r="R16" i="334"/>
  <c r="O26" i="334"/>
  <c r="AG48" i="334"/>
  <c r="AH38" i="334" s="1"/>
  <c r="AF48" i="334"/>
  <c r="Q48" i="334"/>
  <c r="L69" i="340"/>
  <c r="I13" i="339" s="1"/>
  <c r="J6" i="339" s="1"/>
  <c r="Q6" i="340"/>
  <c r="R6" i="340"/>
  <c r="Q16" i="354"/>
  <c r="O26" i="354"/>
  <c r="R16" i="354"/>
  <c r="L26" i="354"/>
  <c r="E13" i="353" s="1"/>
  <c r="O37" i="348"/>
  <c r="R27" i="348"/>
  <c r="Q27" i="348"/>
  <c r="Q62" i="350"/>
  <c r="R62" i="350"/>
  <c r="AF15" i="354"/>
  <c r="AG15" i="354"/>
  <c r="AH5" i="354" s="1"/>
  <c r="R19" i="352"/>
  <c r="Q19" i="352"/>
  <c r="Q38" i="354"/>
  <c r="Q48" i="348"/>
  <c r="AG48" i="348"/>
  <c r="AH38" i="348" s="1"/>
  <c r="AF48" i="348"/>
  <c r="Q27" i="350"/>
  <c r="L69" i="352"/>
  <c r="I13" i="351" s="1"/>
  <c r="J6" i="351" s="1"/>
  <c r="AF15" i="350"/>
  <c r="AG15" i="350"/>
  <c r="AH5" i="350" s="1"/>
  <c r="Q7" i="352"/>
  <c r="R7" i="352"/>
  <c r="Q38" i="344"/>
  <c r="L58" i="344"/>
  <c r="H13" i="343" s="1"/>
  <c r="F6" i="343" s="1"/>
  <c r="Q52" i="342"/>
  <c r="R52" i="342"/>
  <c r="R19" i="342"/>
  <c r="Q19" i="342"/>
  <c r="R49" i="344"/>
  <c r="H6" i="339"/>
  <c r="Q51" i="342"/>
  <c r="R51" i="342"/>
  <c r="Q28" i="340"/>
  <c r="O58" i="342"/>
  <c r="R49" i="342"/>
  <c r="Q49" i="342"/>
  <c r="Q58" i="340"/>
  <c r="AG58" i="340"/>
  <c r="AH49" i="340" s="1"/>
  <c r="AF58" i="340"/>
  <c r="R70" i="342"/>
  <c r="O79" i="342"/>
  <c r="Q70" i="342"/>
  <c r="AG26" i="334"/>
  <c r="AH16" i="334" s="1"/>
  <c r="AF26" i="334"/>
  <c r="R27" i="344"/>
  <c r="O37" i="344"/>
  <c r="Q27" i="344"/>
  <c r="Q39" i="336"/>
  <c r="Q17" i="334"/>
  <c r="R17" i="334"/>
  <c r="Q19" i="340"/>
  <c r="R19" i="340"/>
  <c r="R6" i="336"/>
  <c r="Q6" i="336"/>
  <c r="R39" i="330"/>
  <c r="Q39" i="330"/>
  <c r="L48" i="330"/>
  <c r="G13" i="329" s="1"/>
  <c r="Q50" i="332"/>
  <c r="R50" i="332"/>
  <c r="Q50" i="330"/>
  <c r="R50" i="330"/>
  <c r="O58" i="330"/>
  <c r="R59" i="332"/>
  <c r="Q59" i="332"/>
  <c r="O69" i="332"/>
  <c r="Q58" i="352"/>
  <c r="AG58" i="352"/>
  <c r="AH49" i="352" s="1"/>
  <c r="AF58" i="352"/>
  <c r="O15" i="332"/>
  <c r="L79" i="324"/>
  <c r="J13" i="323" s="1"/>
  <c r="F6" i="323" s="1"/>
  <c r="R70" i="324"/>
  <c r="AG58" i="320"/>
  <c r="AH49" i="320" s="1"/>
  <c r="AF58" i="320"/>
  <c r="Q58" i="320"/>
  <c r="R52" i="326"/>
  <c r="Q52" i="326"/>
  <c r="O69" i="316"/>
  <c r="R59" i="316"/>
  <c r="Q59" i="316"/>
  <c r="R59" i="328"/>
  <c r="O69" i="328"/>
  <c r="Q59" i="328"/>
  <c r="AG26" i="320"/>
  <c r="AH16" i="320" s="1"/>
  <c r="AF26" i="320"/>
  <c r="L79" i="328"/>
  <c r="J13" i="327" s="1"/>
  <c r="R17" i="332"/>
  <c r="Q17" i="332"/>
  <c r="Q71" i="326"/>
  <c r="L79" i="326"/>
  <c r="J13" i="325" s="1"/>
  <c r="AG58" i="314"/>
  <c r="AH49" i="314" s="1"/>
  <c r="Q58" i="314"/>
  <c r="AF58" i="314"/>
  <c r="J3" i="325"/>
  <c r="G2" i="326"/>
  <c r="Q62" i="324"/>
  <c r="R62" i="324"/>
  <c r="Q8" i="314"/>
  <c r="R52" i="314"/>
  <c r="Q52" i="314"/>
  <c r="R71" i="314"/>
  <c r="Q71" i="314"/>
  <c r="R49" i="322"/>
  <c r="O48" i="326"/>
  <c r="R38" i="326"/>
  <c r="Q38" i="326"/>
  <c r="I14" i="311"/>
  <c r="R69" i="312"/>
  <c r="S59" i="312" s="1"/>
  <c r="L69" i="330"/>
  <c r="I13" i="329" s="1"/>
  <c r="J6" i="329" s="1"/>
  <c r="O6" i="311"/>
  <c r="N6" i="311"/>
  <c r="R30" i="316"/>
  <c r="Q30" i="316"/>
  <c r="O26" i="304"/>
  <c r="R16" i="304"/>
  <c r="Q16" i="304"/>
  <c r="R38" i="316"/>
  <c r="Q38" i="316"/>
  <c r="O48" i="316"/>
  <c r="Q39" i="312"/>
  <c r="R39" i="312"/>
  <c r="Q7" i="310"/>
  <c r="R7" i="310"/>
  <c r="AF19" i="308"/>
  <c r="O19" i="308"/>
  <c r="AG19" i="308"/>
  <c r="R52" i="320"/>
  <c r="Q52" i="320"/>
  <c r="O48" i="324"/>
  <c r="R38" i="324"/>
  <c r="Q38" i="324"/>
  <c r="R18" i="300"/>
  <c r="Q18" i="300"/>
  <c r="L15" i="296"/>
  <c r="D13" i="295" s="1"/>
  <c r="AG58" i="308"/>
  <c r="AH49" i="308" s="1"/>
  <c r="AF58" i="308"/>
  <c r="Q58" i="308"/>
  <c r="R26" i="306"/>
  <c r="S16" i="306" s="1"/>
  <c r="E14" i="305"/>
  <c r="E15" i="305" s="1"/>
  <c r="Q26" i="306"/>
  <c r="Q69" i="310"/>
  <c r="AG69" i="310"/>
  <c r="AH59" i="310" s="1"/>
  <c r="AF69" i="310"/>
  <c r="R39" i="302"/>
  <c r="Q39" i="302"/>
  <c r="R52" i="300"/>
  <c r="Q52" i="300"/>
  <c r="R38" i="304"/>
  <c r="Q38" i="304"/>
  <c r="O48" i="304"/>
  <c r="AG79" i="296"/>
  <c r="AH70" i="296" s="1"/>
  <c r="Q79" i="296"/>
  <c r="AF79" i="296"/>
  <c r="R50" i="308"/>
  <c r="Q50" i="308"/>
  <c r="AF69" i="294"/>
  <c r="Q69" i="294"/>
  <c r="AG69" i="294"/>
  <c r="AH59" i="294" s="1"/>
  <c r="AG26" i="356"/>
  <c r="AH16" i="356" s="1"/>
  <c r="AF26" i="356"/>
  <c r="R38" i="308"/>
  <c r="Q38" i="308"/>
  <c r="R60" i="294"/>
  <c r="Q60" i="294"/>
  <c r="Q69" i="300"/>
  <c r="AG69" i="300"/>
  <c r="AH59" i="300" s="1"/>
  <c r="AF69" i="300"/>
  <c r="AF58" i="294"/>
  <c r="AG58" i="294"/>
  <c r="AH49" i="294" s="1"/>
  <c r="Q58" i="294"/>
  <c r="R48" i="296"/>
  <c r="S38" i="296" s="1"/>
  <c r="G14" i="295"/>
  <c r="G15" i="295" s="1"/>
  <c r="O6" i="355"/>
  <c r="N6" i="355"/>
  <c r="AG26" i="310"/>
  <c r="AH16" i="310" s="1"/>
  <c r="AF26" i="310"/>
  <c r="R49" i="306"/>
  <c r="R16" i="3"/>
  <c r="AG15" i="352"/>
  <c r="AH5" i="352" s="1"/>
  <c r="AF15" i="352"/>
  <c r="Q58" i="348"/>
  <c r="AG58" i="348"/>
  <c r="AH49" i="348" s="1"/>
  <c r="AF58" i="348"/>
  <c r="Q50" i="340"/>
  <c r="R50" i="340"/>
  <c r="AG26" i="338"/>
  <c r="AH16" i="338" s="1"/>
  <c r="AF26" i="338"/>
  <c r="R52" i="338"/>
  <c r="Q52" i="338"/>
  <c r="O79" i="354"/>
  <c r="R70" i="354"/>
  <c r="Q70" i="354"/>
  <c r="Q69" i="350"/>
  <c r="AG69" i="350"/>
  <c r="AH59" i="350" s="1"/>
  <c r="AF69" i="350"/>
  <c r="AG58" i="316"/>
  <c r="AH49" i="316" s="1"/>
  <c r="AF58" i="316"/>
  <c r="Q58" i="316"/>
  <c r="AG26" i="304"/>
  <c r="AH16" i="304" s="1"/>
  <c r="AF26" i="304"/>
  <c r="R37" i="328"/>
  <c r="S27" i="328" s="1"/>
  <c r="F14" i="327"/>
  <c r="F15" i="327" s="1"/>
  <c r="AF26" i="316"/>
  <c r="AG26" i="316"/>
  <c r="AH16" i="316" s="1"/>
  <c r="R52" i="304"/>
  <c r="Q52" i="304"/>
  <c r="Q39" i="308"/>
  <c r="R39" i="308"/>
  <c r="R39" i="300"/>
  <c r="Q39" i="300"/>
  <c r="R49" i="308"/>
  <c r="Q49" i="308"/>
  <c r="O58" i="308"/>
  <c r="G2" i="306"/>
  <c r="J3" i="305"/>
  <c r="Q39" i="306"/>
  <c r="R39" i="306"/>
  <c r="R38" i="300"/>
  <c r="O48" i="300"/>
  <c r="Q38" i="300"/>
  <c r="Q48" i="304"/>
  <c r="AG48" i="304"/>
  <c r="AH38" i="304" s="1"/>
  <c r="AF48" i="304"/>
  <c r="O26" i="300"/>
  <c r="R16" i="300"/>
  <c r="Q16" i="300"/>
  <c r="R70" i="296"/>
  <c r="O79" i="296"/>
  <c r="Q70" i="296"/>
  <c r="Q59" i="296"/>
  <c r="O69" i="296"/>
  <c r="R59" i="296"/>
  <c r="O15" i="356"/>
  <c r="Q5" i="356"/>
  <c r="R5" i="356"/>
  <c r="R61" i="308"/>
  <c r="Q61" i="308"/>
  <c r="R70" i="300"/>
  <c r="O79" i="300"/>
  <c r="Q70" i="300"/>
  <c r="O69" i="294"/>
  <c r="Q59" i="294"/>
  <c r="R59" i="294"/>
  <c r="R49" i="3"/>
  <c r="Q49" i="3"/>
  <c r="O58" i="3"/>
  <c r="O26" i="356"/>
  <c r="R16" i="356"/>
  <c r="Q16" i="356"/>
  <c r="R39" i="3"/>
  <c r="Q39" i="3"/>
  <c r="AG48" i="308"/>
  <c r="AH38" i="308" s="1"/>
  <c r="AF48" i="308"/>
  <c r="Q48" i="308"/>
  <c r="R30" i="296"/>
  <c r="Q30" i="296"/>
  <c r="Q79" i="322"/>
  <c r="AG79" i="322"/>
  <c r="AH70" i="322" s="1"/>
  <c r="AF79" i="322"/>
  <c r="Q72" i="298"/>
  <c r="Q20" i="310"/>
  <c r="R20" i="310"/>
  <c r="R27" i="298"/>
  <c r="O37" i="298"/>
  <c r="Q27" i="298"/>
  <c r="AF37" i="352"/>
  <c r="Q37" i="352"/>
  <c r="AG37" i="352"/>
  <c r="AH27" i="352" s="1"/>
  <c r="L26" i="346"/>
  <c r="E13" i="345" s="1"/>
  <c r="F6" i="345" s="1"/>
  <c r="R16" i="346"/>
  <c r="R48" i="352"/>
  <c r="S38" i="352" s="1"/>
  <c r="G14" i="351"/>
  <c r="G15" i="351" s="1"/>
  <c r="Q49" i="348"/>
  <c r="O58" i="348"/>
  <c r="E2" i="348" s="1"/>
  <c r="R49" i="348"/>
  <c r="AF79" i="354"/>
  <c r="AG79" i="354"/>
  <c r="AH70" i="354" s="1"/>
  <c r="Q79" i="354"/>
  <c r="R38" i="348"/>
  <c r="Q38" i="348"/>
  <c r="O48" i="348"/>
  <c r="O6" i="349"/>
  <c r="N6" i="349"/>
  <c r="R27" i="350"/>
  <c r="R70" i="346"/>
  <c r="O79" i="346"/>
  <c r="Q70" i="346"/>
  <c r="G2" i="344"/>
  <c r="J3" i="343"/>
  <c r="R28" i="344"/>
  <c r="Q28" i="344"/>
  <c r="R18" i="344"/>
  <c r="Q18" i="344"/>
  <c r="Q79" i="342"/>
  <c r="AF79" i="342"/>
  <c r="AG79" i="342"/>
  <c r="AH70" i="342" s="1"/>
  <c r="R39" i="340"/>
  <c r="Q39" i="340"/>
  <c r="R15" i="340"/>
  <c r="S5" i="340" s="1"/>
  <c r="Q15" i="340"/>
  <c r="D14" i="339"/>
  <c r="Q37" i="336"/>
  <c r="AG37" i="336"/>
  <c r="AH27" i="336" s="1"/>
  <c r="AF37" i="336"/>
  <c r="Q69" i="334"/>
  <c r="AG69" i="334"/>
  <c r="AH59" i="334" s="1"/>
  <c r="AF69" i="334"/>
  <c r="R40" i="328"/>
  <c r="Q40" i="328"/>
  <c r="J3" i="331"/>
  <c r="G2" i="332"/>
  <c r="O58" i="352"/>
  <c r="R49" i="352"/>
  <c r="Q49" i="352"/>
  <c r="AG37" i="320"/>
  <c r="AH27" i="320" s="1"/>
  <c r="AF37" i="320"/>
  <c r="Q37" i="320"/>
  <c r="Q69" i="312"/>
  <c r="AG69" i="312"/>
  <c r="AH59" i="312" s="1"/>
  <c r="AF69" i="312"/>
  <c r="R18" i="324"/>
  <c r="Q18" i="324"/>
  <c r="Q69" i="328"/>
  <c r="AF69" i="328"/>
  <c r="AG69" i="328"/>
  <c r="AH59" i="328" s="1"/>
  <c r="L48" i="328"/>
  <c r="G13" i="327" s="1"/>
  <c r="R60" i="326"/>
  <c r="Q60" i="326"/>
  <c r="Q28" i="336"/>
  <c r="Q31" i="324"/>
  <c r="R31" i="324"/>
  <c r="L26" i="316"/>
  <c r="E13" i="315" s="1"/>
  <c r="R17" i="316"/>
  <c r="Q31" i="320"/>
  <c r="R31" i="320"/>
  <c r="AG26" i="322"/>
  <c r="AH16" i="322" s="1"/>
  <c r="AF26" i="322"/>
  <c r="Q50" i="352"/>
  <c r="O69" i="350"/>
  <c r="Q59" i="350"/>
  <c r="R59" i="350"/>
  <c r="R17" i="352"/>
  <c r="Q17" i="352"/>
  <c r="R18" i="350"/>
  <c r="Q18" i="350"/>
  <c r="R19" i="348"/>
  <c r="Q19" i="348"/>
  <c r="F14" i="349"/>
  <c r="F15" i="349" s="1"/>
  <c r="R37" i="350"/>
  <c r="S27" i="350" s="1"/>
  <c r="L15" i="352"/>
  <c r="D13" i="351" s="1"/>
  <c r="R28" i="350"/>
  <c r="Q28" i="350"/>
  <c r="R5" i="346"/>
  <c r="Q5" i="346"/>
  <c r="O15" i="346"/>
  <c r="Q58" i="344"/>
  <c r="AF58" i="344"/>
  <c r="AG58" i="344"/>
  <c r="AH49" i="344" s="1"/>
  <c r="O37" i="342"/>
  <c r="Q27" i="342"/>
  <c r="R27" i="342"/>
  <c r="AG26" i="350"/>
  <c r="AH16" i="350" s="1"/>
  <c r="AF26" i="350"/>
  <c r="AF37" i="338"/>
  <c r="Q37" i="338"/>
  <c r="AG37" i="338"/>
  <c r="AH27" i="338" s="1"/>
  <c r="O26" i="338"/>
  <c r="R40" i="338"/>
  <c r="Q40" i="338"/>
  <c r="R50" i="334"/>
  <c r="Q50" i="334"/>
  <c r="O58" i="334"/>
  <c r="R60" i="336"/>
  <c r="Q60" i="336"/>
  <c r="Q37" i="344"/>
  <c r="AG37" i="344"/>
  <c r="AH27" i="344" s="1"/>
  <c r="AF37" i="344"/>
  <c r="O58" i="340"/>
  <c r="Q16" i="330"/>
  <c r="L26" i="340"/>
  <c r="E13" i="339" s="1"/>
  <c r="F6" i="339" s="1"/>
  <c r="R16" i="340"/>
  <c r="AG15" i="332"/>
  <c r="AH5" i="332" s="1"/>
  <c r="AF15" i="332"/>
  <c r="Q38" i="338"/>
  <c r="R39" i="334"/>
  <c r="Q39" i="334"/>
  <c r="Q28" i="334"/>
  <c r="R28" i="334"/>
  <c r="R28" i="330"/>
  <c r="Q28" i="330"/>
  <c r="AF26" i="330"/>
  <c r="AG26" i="330"/>
  <c r="AH16" i="330" s="1"/>
  <c r="R59" i="334"/>
  <c r="O69" i="334"/>
  <c r="Q59" i="334"/>
  <c r="R61" i="330"/>
  <c r="Q61" i="330"/>
  <c r="AF26" i="328"/>
  <c r="AG26" i="328"/>
  <c r="AH16" i="328" s="1"/>
  <c r="Q37" i="330"/>
  <c r="AG37" i="330"/>
  <c r="AH27" i="330" s="1"/>
  <c r="AF37" i="330"/>
  <c r="R17" i="328"/>
  <c r="Q17" i="328"/>
  <c r="O26" i="328"/>
  <c r="AG15" i="328"/>
  <c r="AH5" i="328" s="1"/>
  <c r="AF15" i="328"/>
  <c r="R39" i="322"/>
  <c r="L58" i="316"/>
  <c r="H13" i="315" s="1"/>
  <c r="AG26" i="340"/>
  <c r="AH16" i="340" s="1"/>
  <c r="L58" i="320"/>
  <c r="H13" i="319" s="1"/>
  <c r="AG6" i="312"/>
  <c r="AF6" i="312"/>
  <c r="O6" i="312"/>
  <c r="N6" i="321"/>
  <c r="O6" i="321"/>
  <c r="Q51" i="320"/>
  <c r="R28" i="336"/>
  <c r="Q58" i="322"/>
  <c r="AG58" i="322"/>
  <c r="AH49" i="322" s="1"/>
  <c r="AF58" i="322"/>
  <c r="R60" i="324"/>
  <c r="Q60" i="324"/>
  <c r="R18" i="320"/>
  <c r="Q6" i="314"/>
  <c r="R6" i="314"/>
  <c r="R71" i="312"/>
  <c r="Q71" i="312"/>
  <c r="O26" i="322"/>
  <c r="R16" i="322"/>
  <c r="Q16" i="322"/>
  <c r="J3" i="315"/>
  <c r="G2" i="316"/>
  <c r="Q5" i="324"/>
  <c r="O15" i="324"/>
  <c r="R5" i="324"/>
  <c r="O58" i="316"/>
  <c r="R49" i="316"/>
  <c r="Q49" i="316"/>
  <c r="R73" i="314"/>
  <c r="J3" i="321"/>
  <c r="G2" i="322"/>
  <c r="L79" i="302"/>
  <c r="J13" i="301" s="1"/>
  <c r="R61" i="314"/>
  <c r="Q61" i="314"/>
  <c r="L15" i="322"/>
  <c r="D13" i="321" s="1"/>
  <c r="Q8" i="308"/>
  <c r="Q61" i="312"/>
  <c r="R61" i="312"/>
  <c r="L15" i="308"/>
  <c r="D13" i="307" s="1"/>
  <c r="Q40" i="312"/>
  <c r="R40" i="312"/>
  <c r="R18" i="306"/>
  <c r="Q18" i="306"/>
  <c r="N26" i="308"/>
  <c r="R50" i="306"/>
  <c r="Q50" i="306"/>
  <c r="L79" i="294"/>
  <c r="J13" i="293" s="1"/>
  <c r="R48" i="294"/>
  <c r="S38" i="294" s="1"/>
  <c r="G14" i="293"/>
  <c r="G15" i="293" s="1"/>
  <c r="N15" i="306"/>
  <c r="O5" i="306"/>
  <c r="AF5" i="306"/>
  <c r="AG5" i="306"/>
  <c r="O69" i="310"/>
  <c r="Q59" i="310"/>
  <c r="R59" i="310"/>
  <c r="J7" i="305"/>
  <c r="Q48" i="300"/>
  <c r="AG48" i="300"/>
  <c r="AH38" i="300" s="1"/>
  <c r="AF48" i="300"/>
  <c r="J3" i="297"/>
  <c r="G2" i="298"/>
  <c r="AG58" i="304"/>
  <c r="AH49" i="304" s="1"/>
  <c r="AF58" i="304"/>
  <c r="Q58" i="304"/>
  <c r="R51" i="296"/>
  <c r="Q51" i="296"/>
  <c r="I14" i="301"/>
  <c r="R69" i="302"/>
  <c r="S59" i="302" s="1"/>
  <c r="Q69" i="296"/>
  <c r="AG69" i="296"/>
  <c r="AH59" i="296" s="1"/>
  <c r="AF69" i="296"/>
  <c r="AG79" i="294"/>
  <c r="AH70" i="294" s="1"/>
  <c r="AG15" i="3"/>
  <c r="AH5" i="3" s="1"/>
  <c r="AF15" i="3"/>
  <c r="R7" i="298"/>
  <c r="Q7" i="298"/>
  <c r="O48" i="356"/>
  <c r="R29" i="294"/>
  <c r="Q29" i="294"/>
  <c r="Q29" i="308"/>
  <c r="R66" i="298"/>
  <c r="Q66" i="298"/>
  <c r="Q19" i="296"/>
  <c r="R19" i="296"/>
  <c r="R18" i="356"/>
  <c r="Q18" i="356"/>
  <c r="Q29" i="3"/>
  <c r="R29" i="3"/>
  <c r="Q70" i="356"/>
  <c r="R70" i="356"/>
  <c r="O79" i="356"/>
  <c r="R64" i="298"/>
  <c r="Q64" i="298"/>
  <c r="Q51" i="294"/>
  <c r="R51" i="294"/>
  <c r="R5" i="310"/>
  <c r="O15" i="310"/>
  <c r="Q5" i="310"/>
  <c r="AG15" i="298"/>
  <c r="AH5" i="298" s="1"/>
  <c r="AF15" i="298"/>
  <c r="R28" i="294"/>
  <c r="Q28" i="294"/>
  <c r="O37" i="294"/>
  <c r="E2" i="294" s="1"/>
  <c r="AG79" i="298"/>
  <c r="AH70" i="298" s="1"/>
  <c r="AF79" i="298"/>
  <c r="Q79" i="298"/>
  <c r="Q7" i="296"/>
  <c r="AG48" i="340"/>
  <c r="AH38" i="340" s="1"/>
  <c r="AF48" i="340"/>
  <c r="Q48" i="340"/>
  <c r="AG37" i="350"/>
  <c r="AH27" i="350" s="1"/>
  <c r="Q37" i="350"/>
  <c r="AF37" i="350"/>
  <c r="Q79" i="350"/>
  <c r="AG79" i="350"/>
  <c r="AH70" i="350" s="1"/>
  <c r="AF79" i="350"/>
  <c r="AG26" i="352"/>
  <c r="AH16" i="352" s="1"/>
  <c r="AF26" i="352"/>
  <c r="R70" i="350"/>
  <c r="O79" i="350"/>
  <c r="Q70" i="350"/>
  <c r="R18" i="348"/>
  <c r="Q18" i="348"/>
  <c r="L79" i="352"/>
  <c r="J13" i="351" s="1"/>
  <c r="R62" i="346"/>
  <c r="Q62" i="346"/>
  <c r="L26" i="338"/>
  <c r="E13" i="337" s="1"/>
  <c r="Q16" i="338"/>
  <c r="R16" i="338"/>
  <c r="R18" i="316"/>
  <c r="Q18" i="316"/>
  <c r="Q50" i="354"/>
  <c r="O58" i="354"/>
  <c r="R50" i="354"/>
  <c r="Q61" i="350"/>
  <c r="R50" i="352"/>
  <c r="R60" i="354"/>
  <c r="Q60" i="354"/>
  <c r="J3" i="351"/>
  <c r="G2" i="352"/>
  <c r="AG37" i="354"/>
  <c r="AH27" i="354" s="1"/>
  <c r="Q37" i="354"/>
  <c r="AF37" i="354"/>
  <c r="R70" i="348"/>
  <c r="Q70" i="348"/>
  <c r="O79" i="348"/>
  <c r="O6" i="343"/>
  <c r="N6" i="343"/>
  <c r="R50" i="342"/>
  <c r="Q50" i="342"/>
  <c r="Q37" i="346"/>
  <c r="AG37" i="346"/>
  <c r="AH27" i="346" s="1"/>
  <c r="AF37" i="346"/>
  <c r="AF58" i="342"/>
  <c r="Q58" i="342"/>
  <c r="AG58" i="342"/>
  <c r="AH49" i="342" s="1"/>
  <c r="Q27" i="338"/>
  <c r="O37" i="338"/>
  <c r="R27" i="338"/>
  <c r="O48" i="340"/>
  <c r="O37" i="340"/>
  <c r="Q27" i="340"/>
  <c r="R27" i="340"/>
  <c r="L69" i="336"/>
  <c r="I13" i="335" s="1"/>
  <c r="J6" i="335" s="1"/>
  <c r="J3" i="339"/>
  <c r="G2" i="340"/>
  <c r="R38" i="338"/>
  <c r="Q70" i="336"/>
  <c r="O79" i="336"/>
  <c r="R70" i="336"/>
  <c r="G2" i="330"/>
  <c r="J3" i="329"/>
  <c r="AF26" i="332"/>
  <c r="AG26" i="332"/>
  <c r="AH16" i="332" s="1"/>
  <c r="R30" i="328"/>
  <c r="Q30" i="328"/>
  <c r="R16" i="330"/>
  <c r="R17" i="330"/>
  <c r="Q17" i="330"/>
  <c r="O26" i="330"/>
  <c r="L26" i="322"/>
  <c r="E13" i="321" s="1"/>
  <c r="H6" i="335"/>
  <c r="AG79" i="332"/>
  <c r="AH70" i="332" s="1"/>
  <c r="AF79" i="332"/>
  <c r="Q79" i="332"/>
  <c r="AG15" i="342"/>
  <c r="AH5" i="342" s="1"/>
  <c r="AF15" i="342"/>
  <c r="R19" i="330"/>
  <c r="Q19" i="330"/>
  <c r="R6" i="316"/>
  <c r="R40" i="326"/>
  <c r="Q40" i="326"/>
  <c r="Q69" i="316"/>
  <c r="AG69" i="316"/>
  <c r="AH59" i="316" s="1"/>
  <c r="AF69" i="316"/>
  <c r="L26" i="326"/>
  <c r="E13" i="325" s="1"/>
  <c r="H6" i="325" s="1"/>
  <c r="Q17" i="324"/>
  <c r="R17" i="324"/>
  <c r="R27" i="322"/>
  <c r="Q27" i="322"/>
  <c r="O37" i="322"/>
  <c r="R17" i="314"/>
  <c r="L26" i="314"/>
  <c r="E13" i="313" s="1"/>
  <c r="R7" i="320"/>
  <c r="Q7" i="320"/>
  <c r="H14" i="313"/>
  <c r="H15" i="313" s="1"/>
  <c r="R58" i="314"/>
  <c r="S49" i="314" s="1"/>
  <c r="Q61" i="326"/>
  <c r="R29" i="322"/>
  <c r="Q29" i="322"/>
  <c r="O69" i="320"/>
  <c r="Q62" i="326"/>
  <c r="R62" i="326"/>
  <c r="R8" i="326"/>
  <c r="Q8" i="326"/>
  <c r="R28" i="312"/>
  <c r="Q28" i="312"/>
  <c r="L69" i="306"/>
  <c r="Q59" i="306"/>
  <c r="Q73" i="314"/>
  <c r="AF37" i="312"/>
  <c r="Q37" i="312"/>
  <c r="AG37" i="312"/>
  <c r="AH27" i="312" s="1"/>
  <c r="AF40" i="308"/>
  <c r="O40" i="308"/>
  <c r="O48" i="308" s="1"/>
  <c r="AG40" i="308"/>
  <c r="R18" i="304"/>
  <c r="Q18" i="304"/>
  <c r="Q40" i="320"/>
  <c r="Q52" i="308"/>
  <c r="H6" i="311"/>
  <c r="F6" i="311"/>
  <c r="O69" i="304"/>
  <c r="R59" i="304"/>
  <c r="Q59" i="304"/>
  <c r="R20" i="302"/>
  <c r="Q60" i="304"/>
  <c r="R60" i="304"/>
  <c r="R27" i="308"/>
  <c r="Q27" i="308"/>
  <c r="O37" i="308"/>
  <c r="R17" i="298"/>
  <c r="Q17" i="298"/>
  <c r="R19" i="304"/>
  <c r="Q19" i="304"/>
  <c r="R17" i="302"/>
  <c r="O26" i="302"/>
  <c r="Q17" i="302"/>
  <c r="R60" i="312"/>
  <c r="Q60" i="312"/>
  <c r="Q49" i="304"/>
  <c r="O58" i="304"/>
  <c r="R49" i="304"/>
  <c r="Q72" i="294"/>
  <c r="Q79" i="300"/>
  <c r="AG79" i="300"/>
  <c r="AH70" i="300" s="1"/>
  <c r="AF79" i="300"/>
  <c r="R18" i="298"/>
  <c r="Q18" i="298"/>
  <c r="R17" i="3"/>
  <c r="Q17" i="3"/>
  <c r="R70" i="322"/>
  <c r="Q70" i="322"/>
  <c r="O79" i="322"/>
  <c r="G2" i="296"/>
  <c r="J3" i="295"/>
  <c r="Q79" i="356"/>
  <c r="AF79" i="356"/>
  <c r="AG79" i="356"/>
  <c r="AH70" i="356" s="1"/>
  <c r="R60" i="298"/>
  <c r="Q60" i="298"/>
  <c r="Q58" i="300"/>
  <c r="AG58" i="300"/>
  <c r="AH49" i="300" s="1"/>
  <c r="AF58" i="300"/>
  <c r="O79" i="298"/>
  <c r="R70" i="298"/>
  <c r="Q70" i="298"/>
  <c r="O15" i="350"/>
  <c r="R5" i="350"/>
  <c r="Q5" i="350"/>
  <c r="R49" i="340"/>
  <c r="H6" i="329"/>
  <c r="F6" i="329"/>
  <c r="R5" i="354"/>
  <c r="Q5" i="354"/>
  <c r="O15" i="354"/>
  <c r="AG26" i="354"/>
  <c r="AH16" i="354" s="1"/>
  <c r="AF26" i="354"/>
  <c r="R72" i="350"/>
  <c r="Q72" i="350"/>
  <c r="L79" i="350"/>
  <c r="J13" i="349" s="1"/>
  <c r="F6" i="349" s="1"/>
  <c r="Q17" i="350"/>
  <c r="R17" i="350"/>
  <c r="O26" i="350"/>
  <c r="Q5" i="338"/>
  <c r="R5" i="338"/>
  <c r="O15" i="338"/>
  <c r="Q58" i="324"/>
  <c r="AG58" i="324"/>
  <c r="AH49" i="324" s="1"/>
  <c r="AF58" i="324"/>
  <c r="R27" i="330"/>
  <c r="Q27" i="330"/>
  <c r="O37" i="330"/>
  <c r="O69" i="354"/>
  <c r="R59" i="354"/>
  <c r="Q59" i="354"/>
  <c r="AF48" i="352"/>
  <c r="Q48" i="352"/>
  <c r="AG48" i="352"/>
  <c r="AH38" i="352" s="1"/>
  <c r="R52" i="350"/>
  <c r="Q52" i="350"/>
  <c r="Q37" i="348"/>
  <c r="AG37" i="348"/>
  <c r="AH27" i="348" s="1"/>
  <c r="AF37" i="348"/>
  <c r="R61" i="352"/>
  <c r="Q61" i="352"/>
  <c r="O69" i="352"/>
  <c r="O37" i="354"/>
  <c r="R27" i="354"/>
  <c r="Q27" i="354"/>
  <c r="R62" i="348"/>
  <c r="Q62" i="348"/>
  <c r="AG79" i="348"/>
  <c r="AH70" i="348" s="1"/>
  <c r="AF79" i="348"/>
  <c r="Q79" i="348"/>
  <c r="R61" i="346"/>
  <c r="Q61" i="346"/>
  <c r="AF69" i="348"/>
  <c r="Q69" i="348"/>
  <c r="AG69" i="348"/>
  <c r="AH59" i="348" s="1"/>
  <c r="Q39" i="342"/>
  <c r="R39" i="342"/>
  <c r="R39" i="344"/>
  <c r="Q39" i="344"/>
  <c r="O48" i="344"/>
  <c r="O26" i="348"/>
  <c r="L69" i="342"/>
  <c r="I13" i="341" s="1"/>
  <c r="J6" i="341" s="1"/>
  <c r="O15" i="342"/>
  <c r="O37" i="346"/>
  <c r="Q27" i="346"/>
  <c r="R27" i="346"/>
  <c r="Q37" i="340"/>
  <c r="AG37" i="340"/>
  <c r="AH27" i="340" s="1"/>
  <c r="AF37" i="340"/>
  <c r="AG58" i="336"/>
  <c r="AH49" i="336" s="1"/>
  <c r="Q58" i="336"/>
  <c r="AF58" i="336"/>
  <c r="Q17" i="336"/>
  <c r="R17" i="336"/>
  <c r="R60" i="328"/>
  <c r="Q29" i="330"/>
  <c r="R29" i="330"/>
  <c r="H6" i="327"/>
  <c r="O58" i="324"/>
  <c r="R49" i="324"/>
  <c r="Q49" i="324"/>
  <c r="R18" i="326"/>
  <c r="Q18" i="326"/>
  <c r="L58" i="326"/>
  <c r="H13" i="325" s="1"/>
  <c r="Q6" i="342"/>
  <c r="R6" i="342"/>
  <c r="R5" i="328"/>
  <c r="Q5" i="328"/>
  <c r="O15" i="328"/>
  <c r="R50" i="324"/>
  <c r="Q50" i="324"/>
  <c r="R19" i="322"/>
  <c r="Q19" i="322"/>
  <c r="R27" i="320"/>
  <c r="Q27" i="320"/>
  <c r="O37" i="320"/>
  <c r="R28" i="322"/>
  <c r="Q28" i="322"/>
  <c r="R52" i="328"/>
  <c r="Q52" i="328"/>
  <c r="N6" i="313"/>
  <c r="L26" i="320"/>
  <c r="E13" i="319" s="1"/>
  <c r="H6" i="319" s="1"/>
  <c r="R16" i="320"/>
  <c r="Q16" i="320"/>
  <c r="R72" i="320"/>
  <c r="Q72" i="320"/>
  <c r="Q20" i="324"/>
  <c r="L48" i="304"/>
  <c r="G13" i="303" s="1"/>
  <c r="H6" i="303" s="1"/>
  <c r="Q17" i="312"/>
  <c r="R7" i="316"/>
  <c r="Q7" i="316"/>
  <c r="AG38" i="312"/>
  <c r="O38" i="312"/>
  <c r="N48" i="312"/>
  <c r="AF38" i="312"/>
  <c r="G2" i="302"/>
  <c r="J3" i="301"/>
  <c r="Q27" i="312"/>
  <c r="R27" i="312"/>
  <c r="O37" i="312"/>
  <c r="AF48" i="310"/>
  <c r="Q48" i="310"/>
  <c r="AG48" i="310"/>
  <c r="AH38" i="310" s="1"/>
  <c r="Q58" i="306"/>
  <c r="AG58" i="306"/>
  <c r="AH49" i="306" s="1"/>
  <c r="AF58" i="306"/>
  <c r="R39" i="304"/>
  <c r="Q39" i="304"/>
  <c r="F14" i="303"/>
  <c r="F15" i="303" s="1"/>
  <c r="R37" i="304"/>
  <c r="S27" i="304" s="1"/>
  <c r="O29" i="316"/>
  <c r="O37" i="316" s="1"/>
  <c r="AG29" i="316"/>
  <c r="AF29" i="316"/>
  <c r="Q63" i="310"/>
  <c r="R63" i="310"/>
  <c r="N6" i="305"/>
  <c r="O6" i="305"/>
  <c r="N48" i="302"/>
  <c r="AG38" i="302"/>
  <c r="AF38" i="302"/>
  <c r="O38" i="302"/>
  <c r="Q69" i="304"/>
  <c r="AG69" i="304"/>
  <c r="AH59" i="304" s="1"/>
  <c r="AF69" i="304"/>
  <c r="H6" i="305"/>
  <c r="AG26" i="298"/>
  <c r="AH16" i="298" s="1"/>
  <c r="AF26" i="298"/>
  <c r="R5" i="308"/>
  <c r="Q5" i="308"/>
  <c r="O15" i="308"/>
  <c r="R5" i="312"/>
  <c r="Q5" i="312"/>
  <c r="Q17" i="300"/>
  <c r="Q50" i="298"/>
  <c r="R50" i="298"/>
  <c r="Q17" i="294"/>
  <c r="R17" i="294"/>
  <c r="Q8" i="298"/>
  <c r="R8" i="298"/>
  <c r="Q69" i="298"/>
  <c r="AF69" i="298"/>
  <c r="AG69" i="298"/>
  <c r="AH59" i="298" s="1"/>
  <c r="R50" i="294"/>
  <c r="Q50" i="294"/>
  <c r="R60" i="356"/>
  <c r="Q60" i="356"/>
  <c r="R30" i="294"/>
  <c r="Q30" i="294"/>
  <c r="AF15" i="310"/>
  <c r="AG15" i="310"/>
  <c r="AH5" i="310" s="1"/>
  <c r="R40" i="3"/>
  <c r="Q40" i="3"/>
  <c r="R6" i="298"/>
  <c r="O15" i="298"/>
  <c r="Q6" i="298"/>
  <c r="AG15" i="356"/>
  <c r="AH5" i="356" s="1"/>
  <c r="AF15" i="356"/>
  <c r="Q48" i="344"/>
  <c r="AG48" i="344"/>
  <c r="AH38" i="344" s="1"/>
  <c r="AF48" i="344"/>
  <c r="AF26" i="344"/>
  <c r="AG26" i="344"/>
  <c r="AH16" i="344" s="1"/>
  <c r="R40" i="346"/>
  <c r="Q40" i="346"/>
  <c r="O6" i="337"/>
  <c r="N6" i="337"/>
  <c r="AF79" i="340"/>
  <c r="AG79" i="340"/>
  <c r="AH70" i="340" s="1"/>
  <c r="Q79" i="340"/>
  <c r="AG15" i="340"/>
  <c r="AH5" i="340" s="1"/>
  <c r="AF15" i="340"/>
  <c r="R7" i="336"/>
  <c r="Q7" i="336"/>
  <c r="Q51" i="346"/>
  <c r="R51" i="346"/>
  <c r="Q58" i="332"/>
  <c r="AF58" i="332"/>
  <c r="AG58" i="332"/>
  <c r="AH49" i="332" s="1"/>
  <c r="Q59" i="330"/>
  <c r="O69" i="330"/>
  <c r="R59" i="330"/>
  <c r="Q51" i="336"/>
  <c r="R51" i="336"/>
  <c r="R48" i="332"/>
  <c r="S38" i="332" s="1"/>
  <c r="G14" i="331"/>
  <c r="G15" i="331" s="1"/>
  <c r="AG37" i="334"/>
  <c r="AH27" i="334" s="1"/>
  <c r="AF37" i="334"/>
  <c r="Q37" i="334"/>
  <c r="R16" i="332"/>
  <c r="Q16" i="332"/>
  <c r="O26" i="332"/>
  <c r="R7" i="334"/>
  <c r="Q7" i="334"/>
  <c r="R60" i="332"/>
  <c r="L69" i="332"/>
  <c r="I13" i="331" s="1"/>
  <c r="J6" i="331" s="1"/>
  <c r="AG58" i="326"/>
  <c r="AH49" i="326" s="1"/>
  <c r="Q58" i="326"/>
  <c r="AF58" i="326"/>
  <c r="AF48" i="332"/>
  <c r="AG48" i="332"/>
  <c r="AH38" i="332" s="1"/>
  <c r="Q48" i="332"/>
  <c r="R70" i="332"/>
  <c r="Q70" i="332"/>
  <c r="O79" i="332"/>
  <c r="H14" i="325"/>
  <c r="H15" i="325" s="1"/>
  <c r="R58" i="326"/>
  <c r="S49" i="326" s="1"/>
  <c r="O6" i="323"/>
  <c r="N6" i="323"/>
  <c r="AF15" i="326"/>
  <c r="AG15" i="326"/>
  <c r="AH5" i="326" s="1"/>
  <c r="Q61" i="310"/>
  <c r="R61" i="310"/>
  <c r="R29" i="320"/>
  <c r="Q29" i="320"/>
  <c r="G2" i="314"/>
  <c r="J3" i="313"/>
  <c r="AF15" i="324"/>
  <c r="AG15" i="324"/>
  <c r="AH5" i="324" s="1"/>
  <c r="L79" i="320"/>
  <c r="J13" i="319" s="1"/>
  <c r="AF26" i="312"/>
  <c r="AG26" i="312"/>
  <c r="AH16" i="312" s="1"/>
  <c r="Q51" i="310"/>
  <c r="R51" i="310"/>
  <c r="R39" i="328"/>
  <c r="R50" i="304"/>
  <c r="Q50" i="304"/>
  <c r="O79" i="314"/>
  <c r="AG37" i="308"/>
  <c r="AH27" i="308" s="1"/>
  <c r="AF37" i="308"/>
  <c r="Q37" i="308"/>
  <c r="AG15" i="308"/>
  <c r="AH5" i="308" s="1"/>
  <c r="AF15" i="308"/>
  <c r="H14" i="301"/>
  <c r="H15" i="301" s="1"/>
  <c r="R58" i="302"/>
  <c r="S49" i="302" s="1"/>
  <c r="Q38" i="298"/>
  <c r="O48" i="298"/>
  <c r="R38" i="298"/>
  <c r="Q17" i="304"/>
  <c r="R17" i="304"/>
  <c r="L26" i="302"/>
  <c r="E13" i="301" s="1"/>
  <c r="Q16" i="302"/>
  <c r="R7" i="300"/>
  <c r="Q7" i="300"/>
  <c r="H6" i="301"/>
  <c r="F6" i="301"/>
  <c r="Q6" i="308"/>
  <c r="R6" i="308"/>
  <c r="R49" i="300"/>
  <c r="AG15" i="294"/>
  <c r="AH5" i="294" s="1"/>
  <c r="AF15" i="294"/>
  <c r="Q6" i="356"/>
  <c r="R6" i="356"/>
  <c r="Q58" i="302"/>
  <c r="AG58" i="302"/>
  <c r="AH49" i="302" s="1"/>
  <c r="AF58" i="302"/>
  <c r="O15" i="300"/>
  <c r="R5" i="300"/>
  <c r="Q5" i="300"/>
  <c r="R51" i="298"/>
  <c r="Q51" i="298"/>
  <c r="Q52" i="294"/>
  <c r="R52" i="294"/>
  <c r="J3" i="353"/>
  <c r="G2" i="354"/>
  <c r="Q69" i="354"/>
  <c r="AG69" i="354"/>
  <c r="AH59" i="354" s="1"/>
  <c r="AF69" i="354"/>
  <c r="O15" i="330"/>
  <c r="Q5" i="330"/>
  <c r="R5" i="330"/>
  <c r="R39" i="320"/>
  <c r="Q39" i="320"/>
  <c r="Q39" i="316"/>
  <c r="Q70" i="320"/>
  <c r="R70" i="320"/>
  <c r="O79" i="320"/>
  <c r="R51" i="322"/>
  <c r="Q51" i="322"/>
  <c r="R59" i="324"/>
  <c r="Q59" i="324"/>
  <c r="O69" i="324"/>
  <c r="L48" i="322"/>
  <c r="G13" i="321" s="1"/>
  <c r="O6" i="351"/>
  <c r="N6" i="351"/>
  <c r="L26" i="348"/>
  <c r="E13" i="347" s="1"/>
  <c r="O26" i="352"/>
  <c r="E2" i="352" s="1"/>
  <c r="AG48" i="350"/>
  <c r="AH38" i="350" s="1"/>
  <c r="Q48" i="350"/>
  <c r="AF48" i="350"/>
  <c r="Q16" i="346"/>
  <c r="R49" i="346"/>
  <c r="Q49" i="346"/>
  <c r="O58" i="346"/>
  <c r="R28" i="346"/>
  <c r="Q28" i="346"/>
  <c r="R17" i="346"/>
  <c r="Q51" i="350"/>
  <c r="R51" i="350"/>
  <c r="O26" i="344"/>
  <c r="Q16" i="344"/>
  <c r="R16" i="344"/>
  <c r="O26" i="342"/>
  <c r="R52" i="336"/>
  <c r="Q52" i="336"/>
  <c r="J14" i="339"/>
  <c r="R79" i="340"/>
  <c r="S70" i="340" s="1"/>
  <c r="J15" i="339" s="1"/>
  <c r="O69" i="338"/>
  <c r="Q59" i="338"/>
  <c r="R59" i="338"/>
  <c r="R18" i="336"/>
  <c r="R62" i="342"/>
  <c r="Q62" i="342"/>
  <c r="R6" i="338"/>
  <c r="Q6" i="338"/>
  <c r="Q69" i="330"/>
  <c r="AG69" i="330"/>
  <c r="AH59" i="330" s="1"/>
  <c r="AF69" i="330"/>
  <c r="Q39" i="338"/>
  <c r="R39" i="338"/>
  <c r="O48" i="338"/>
  <c r="Q40" i="336"/>
  <c r="R40" i="336"/>
  <c r="R52" i="332"/>
  <c r="Q52" i="332"/>
  <c r="L69" i="328"/>
  <c r="I13" i="327" s="1"/>
  <c r="J6" i="327" s="1"/>
  <c r="O37" i="334"/>
  <c r="R27" i="334"/>
  <c r="Q27" i="334"/>
  <c r="AF37" i="328"/>
  <c r="Q37" i="328"/>
  <c r="AG37" i="328"/>
  <c r="AH27" i="328" s="1"/>
  <c r="AF37" i="332"/>
  <c r="AG37" i="332"/>
  <c r="AH27" i="332" s="1"/>
  <c r="Q37" i="332"/>
  <c r="Q40" i="332"/>
  <c r="R40" i="332"/>
  <c r="R79" i="324"/>
  <c r="S70" i="324" s="1"/>
  <c r="J15" i="323" s="1"/>
  <c r="J14" i="323"/>
  <c r="R52" i="324"/>
  <c r="Q52" i="324"/>
  <c r="R19" i="320"/>
  <c r="Q19" i="320"/>
  <c r="R28" i="316"/>
  <c r="Q28" i="316"/>
  <c r="R28" i="324"/>
  <c r="Q28" i="324"/>
  <c r="O37" i="324"/>
  <c r="R50" i="326"/>
  <c r="Q50" i="326"/>
  <c r="AG26" i="324"/>
  <c r="AH16" i="324" s="1"/>
  <c r="AF26" i="324"/>
  <c r="G2" i="320"/>
  <c r="J3" i="319"/>
  <c r="R72" i="316"/>
  <c r="Q72" i="316"/>
  <c r="AG79" i="312"/>
  <c r="AH70" i="312" s="1"/>
  <c r="Q79" i="312"/>
  <c r="AF79" i="312"/>
  <c r="O69" i="322"/>
  <c r="R59" i="322"/>
  <c r="Q59" i="322"/>
  <c r="O15" i="326"/>
  <c r="R5" i="326"/>
  <c r="Q5" i="326"/>
  <c r="R17" i="310"/>
  <c r="Q17" i="310"/>
  <c r="R40" i="314"/>
  <c r="Q40" i="314"/>
  <c r="O69" i="308"/>
  <c r="Q59" i="308"/>
  <c r="R59" i="308"/>
  <c r="O58" i="322"/>
  <c r="R16" i="312"/>
  <c r="Q16" i="312"/>
  <c r="O26" i="312"/>
  <c r="R62" i="308"/>
  <c r="Q62" i="308"/>
  <c r="Q38" i="310"/>
  <c r="R38" i="310"/>
  <c r="O48" i="310"/>
  <c r="AG79" i="304"/>
  <c r="AH70" i="304" s="1"/>
  <c r="AF79" i="304"/>
  <c r="Q79" i="304"/>
  <c r="O26" i="316"/>
  <c r="R18" i="302"/>
  <c r="Q18" i="302"/>
  <c r="R26" i="298"/>
  <c r="S16" i="298" s="1"/>
  <c r="Q26" i="298"/>
  <c r="E14" i="297"/>
  <c r="E15" i="297" s="1"/>
  <c r="R61" i="300"/>
  <c r="Q61" i="300"/>
  <c r="O48" i="306"/>
  <c r="R51" i="314"/>
  <c r="Q51" i="314"/>
  <c r="L26" i="296"/>
  <c r="E13" i="295" s="1"/>
  <c r="R6" i="304"/>
  <c r="Q6" i="304"/>
  <c r="J3" i="299"/>
  <c r="G2" i="300"/>
  <c r="N15" i="312"/>
  <c r="R50" i="3"/>
  <c r="Q50" i="3"/>
  <c r="AG48" i="3"/>
  <c r="AH38" i="3" s="1"/>
  <c r="AF48" i="3"/>
  <c r="Q48" i="3"/>
  <c r="AF26" i="296"/>
  <c r="AG26" i="296"/>
  <c r="AH16" i="296" s="1"/>
  <c r="O58" i="356"/>
  <c r="R49" i="356"/>
  <c r="Q49" i="356"/>
  <c r="G2" i="304"/>
  <c r="J3" i="303"/>
  <c r="L15" i="294"/>
  <c r="D13" i="293" s="1"/>
  <c r="R61" i="3"/>
  <c r="Q61" i="3"/>
  <c r="R29" i="298"/>
  <c r="Q29" i="298"/>
  <c r="AF37" i="294"/>
  <c r="Q37" i="294"/>
  <c r="AG37" i="294"/>
  <c r="AH27" i="294" s="1"/>
  <c r="R70" i="308"/>
  <c r="Q70" i="308"/>
  <c r="O79" i="308"/>
  <c r="H6" i="297"/>
  <c r="F6" i="297"/>
  <c r="AF79" i="310"/>
  <c r="Q79" i="310"/>
  <c r="AG79" i="310"/>
  <c r="AH70" i="310" s="1"/>
  <c r="Q61" i="296"/>
  <c r="R51" i="300"/>
  <c r="Q51" i="300"/>
  <c r="O58" i="300"/>
  <c r="Q48" i="294"/>
  <c r="AG48" i="294"/>
  <c r="AH38" i="294" s="1"/>
  <c r="AF48" i="294"/>
  <c r="H6" i="355"/>
  <c r="F6" i="355"/>
  <c r="O58" i="350"/>
  <c r="R49" i="350"/>
  <c r="Q49" i="350"/>
  <c r="Q59" i="346"/>
  <c r="L69" i="346"/>
  <c r="I13" i="345" s="1"/>
  <c r="J6" i="345" s="1"/>
  <c r="R51" i="352"/>
  <c r="Q51" i="352"/>
  <c r="Q58" i="346"/>
  <c r="AG58" i="346"/>
  <c r="AH49" i="346" s="1"/>
  <c r="AF58" i="346"/>
  <c r="R38" i="350"/>
  <c r="O48" i="350"/>
  <c r="Q38" i="350"/>
  <c r="Q40" i="354"/>
  <c r="R40" i="354"/>
  <c r="AF58" i="350"/>
  <c r="Q58" i="350"/>
  <c r="AG58" i="350"/>
  <c r="AH49" i="350" s="1"/>
  <c r="O37" i="352"/>
  <c r="R27" i="352"/>
  <c r="Q27" i="352"/>
  <c r="E14" i="345"/>
  <c r="E15" i="345" s="1"/>
  <c r="Q26" i="346"/>
  <c r="R26" i="346"/>
  <c r="S16" i="346" s="1"/>
  <c r="R15" i="348"/>
  <c r="S5" i="348" s="1"/>
  <c r="Q15" i="348"/>
  <c r="D14" i="347"/>
  <c r="AG26" i="342"/>
  <c r="AH16" i="342" s="1"/>
  <c r="AF26" i="342"/>
  <c r="AG48" i="346"/>
  <c r="AH38" i="346" s="1"/>
  <c r="AF48" i="346"/>
  <c r="Q48" i="346"/>
  <c r="AF79" i="344"/>
  <c r="Q79" i="344"/>
  <c r="AG79" i="344"/>
  <c r="AH70" i="344" s="1"/>
  <c r="R51" i="344"/>
  <c r="Q51" i="344"/>
  <c r="AG69" i="338"/>
  <c r="AH59" i="338" s="1"/>
  <c r="AF69" i="338"/>
  <c r="Q69" i="338"/>
  <c r="Q49" i="340"/>
  <c r="O15" i="336"/>
  <c r="R38" i="342"/>
  <c r="O48" i="342"/>
  <c r="Q38" i="342"/>
  <c r="R26" i="336"/>
  <c r="S16" i="336" s="1"/>
  <c r="Q26" i="336"/>
  <c r="E14" i="335"/>
  <c r="E15" i="335" s="1"/>
  <c r="Q51" i="332"/>
  <c r="R51" i="332"/>
  <c r="R62" i="340"/>
  <c r="Q62" i="340"/>
  <c r="Q19" i="338"/>
  <c r="R19" i="338"/>
  <c r="Q79" i="324"/>
  <c r="AF79" i="324"/>
  <c r="AG79" i="324"/>
  <c r="AH70" i="324" s="1"/>
  <c r="Q19" i="332"/>
  <c r="R19" i="332"/>
  <c r="R30" i="326"/>
  <c r="Q30" i="326"/>
  <c r="Q41" i="328"/>
  <c r="R41" i="328"/>
  <c r="G2" i="334"/>
  <c r="J3" i="333"/>
  <c r="R16" i="324"/>
  <c r="O26" i="324"/>
  <c r="Q16" i="324"/>
  <c r="AG69" i="324"/>
  <c r="AH59" i="324" s="1"/>
  <c r="AF69" i="324"/>
  <c r="Q69" i="324"/>
  <c r="Q15" i="322"/>
  <c r="R15" i="322"/>
  <c r="S5" i="322" s="1"/>
  <c r="D14" i="321"/>
  <c r="Q6" i="324"/>
  <c r="R6" i="324"/>
  <c r="AF37" i="316"/>
  <c r="Q37" i="316"/>
  <c r="AG37" i="316"/>
  <c r="AH27" i="316" s="1"/>
  <c r="AG69" i="322"/>
  <c r="AH59" i="322" s="1"/>
  <c r="AF69" i="322"/>
  <c r="Q69" i="322"/>
  <c r="R6" i="328"/>
  <c r="Q6" i="328"/>
  <c r="Q72" i="312"/>
  <c r="AF69" i="308"/>
  <c r="Q69" i="308"/>
  <c r="AG69" i="308"/>
  <c r="AH59" i="308" s="1"/>
  <c r="Q49" i="322"/>
  <c r="Q18" i="314"/>
  <c r="R18" i="314"/>
  <c r="R60" i="310"/>
  <c r="R29" i="306"/>
  <c r="Q29" i="306"/>
  <c r="Q7" i="306"/>
  <c r="R7" i="306"/>
  <c r="O26" i="308"/>
  <c r="Q16" i="308"/>
  <c r="R16" i="308"/>
  <c r="R28" i="306"/>
  <c r="Q28" i="306"/>
  <c r="N37" i="310"/>
  <c r="AF27" i="310"/>
  <c r="O27" i="310"/>
  <c r="AG27" i="310"/>
  <c r="O58" i="294"/>
  <c r="R49" i="294"/>
  <c r="Q49" i="294"/>
  <c r="Q41" i="298"/>
  <c r="R41" i="298"/>
  <c r="AG79" i="302"/>
  <c r="AH70" i="302" s="1"/>
  <c r="AF79" i="302"/>
  <c r="Q79" i="302"/>
  <c r="AG58" i="356"/>
  <c r="AH49" i="356" s="1"/>
  <c r="AF58" i="356"/>
  <c r="Q58" i="356"/>
  <c r="Q37" i="296"/>
  <c r="AG37" i="296"/>
  <c r="AH27" i="296" s="1"/>
  <c r="AF37" i="296"/>
  <c r="R70" i="3"/>
  <c r="O79" i="3"/>
  <c r="Q70" i="3"/>
  <c r="O69" i="298"/>
  <c r="R59" i="298"/>
  <c r="Q59" i="298"/>
  <c r="Q19" i="302"/>
  <c r="R19" i="302"/>
  <c r="Q40" i="296"/>
  <c r="R40" i="296"/>
  <c r="AG79" i="308"/>
  <c r="AH70" i="308" s="1"/>
  <c r="AF79" i="308"/>
  <c r="Q79" i="308"/>
  <c r="Q16" i="296"/>
  <c r="L48" i="356"/>
  <c r="G13" i="355" s="1"/>
  <c r="R37" i="316" l="1"/>
  <c r="S27" i="316" s="1"/>
  <c r="F14" i="315"/>
  <c r="F15" i="315" s="1"/>
  <c r="G14" i="307"/>
  <c r="G15" i="307" s="1"/>
  <c r="R48" i="308"/>
  <c r="S38" i="308" s="1"/>
  <c r="R37" i="302"/>
  <c r="S27" i="302" s="1"/>
  <c r="F14" i="301"/>
  <c r="F15" i="301" s="1"/>
  <c r="G14" i="355"/>
  <c r="G15" i="355" s="1"/>
  <c r="R48" i="356"/>
  <c r="S38" i="356" s="1"/>
  <c r="R69" i="334"/>
  <c r="S59" i="334" s="1"/>
  <c r="I14" i="333"/>
  <c r="R79" i="300"/>
  <c r="S70" i="300" s="1"/>
  <c r="J15" i="299" s="1"/>
  <c r="J14" i="299"/>
  <c r="Q26" i="326"/>
  <c r="Q58" i="310"/>
  <c r="AG58" i="310"/>
  <c r="AH49" i="310" s="1"/>
  <c r="AF58" i="310"/>
  <c r="F6" i="303"/>
  <c r="G14" i="345"/>
  <c r="G15" i="345" s="1"/>
  <c r="R48" i="346"/>
  <c r="S38" i="346" s="1"/>
  <c r="I14" i="347"/>
  <c r="R69" i="348"/>
  <c r="S59" i="348" s="1"/>
  <c r="H15" i="343"/>
  <c r="H14" i="311"/>
  <c r="H15" i="311" s="1"/>
  <c r="R58" i="312"/>
  <c r="S49" i="312" s="1"/>
  <c r="R26" i="326"/>
  <c r="S16" i="326" s="1"/>
  <c r="E2" i="316"/>
  <c r="D14" i="315"/>
  <c r="R15" i="316"/>
  <c r="S5" i="316" s="1"/>
  <c r="Q15" i="316"/>
  <c r="R26" i="340"/>
  <c r="S16" i="340" s="1"/>
  <c r="E14" i="339"/>
  <c r="E15" i="339" s="1"/>
  <c r="Q26" i="340"/>
  <c r="R37" i="332"/>
  <c r="S27" i="332" s="1"/>
  <c r="F14" i="331"/>
  <c r="F15" i="331" s="1"/>
  <c r="H6" i="313"/>
  <c r="F6" i="313"/>
  <c r="I15" i="345"/>
  <c r="J7" i="345"/>
  <c r="J8" i="345" s="1"/>
  <c r="R58" i="344"/>
  <c r="S49" i="344" s="1"/>
  <c r="R58" i="300"/>
  <c r="S49" i="300" s="1"/>
  <c r="H14" i="299"/>
  <c r="H15" i="299" s="1"/>
  <c r="H14" i="355"/>
  <c r="H15" i="355" s="1"/>
  <c r="R58" i="356"/>
  <c r="S49" i="356" s="1"/>
  <c r="R26" i="316"/>
  <c r="S16" i="316" s="1"/>
  <c r="Q26" i="316"/>
  <c r="E14" i="315"/>
  <c r="E15" i="315" s="1"/>
  <c r="R58" i="322"/>
  <c r="S49" i="322" s="1"/>
  <c r="H14" i="321"/>
  <c r="H15" i="321" s="1"/>
  <c r="R79" i="320"/>
  <c r="S70" i="320" s="1"/>
  <c r="J15" i="319" s="1"/>
  <c r="J14" i="319"/>
  <c r="J14" i="331"/>
  <c r="R79" i="332"/>
  <c r="S70" i="332" s="1"/>
  <c r="J15" i="331" s="1"/>
  <c r="I13" i="305"/>
  <c r="R69" i="306"/>
  <c r="S59" i="306" s="1"/>
  <c r="F6" i="335"/>
  <c r="R58" i="308"/>
  <c r="S49" i="308" s="1"/>
  <c r="H14" i="307"/>
  <c r="H15" i="307" s="1"/>
  <c r="R69" i="328"/>
  <c r="S59" i="328" s="1"/>
  <c r="I14" i="327"/>
  <c r="E2" i="332"/>
  <c r="D14" i="331"/>
  <c r="R15" i="332"/>
  <c r="S5" i="332" s="1"/>
  <c r="Q15" i="332"/>
  <c r="I14" i="299"/>
  <c r="R69" i="300"/>
  <c r="S59" i="300" s="1"/>
  <c r="E15" i="325"/>
  <c r="R79" i="334"/>
  <c r="S70" i="334" s="1"/>
  <c r="J15" i="333" s="1"/>
  <c r="J14" i="333"/>
  <c r="F14" i="305"/>
  <c r="F15" i="305" s="1"/>
  <c r="R37" i="306"/>
  <c r="S27" i="306" s="1"/>
  <c r="I14" i="313"/>
  <c r="R69" i="314"/>
  <c r="S59" i="314" s="1"/>
  <c r="G14" i="2"/>
  <c r="G15" i="2" s="1"/>
  <c r="R48" i="3"/>
  <c r="S38" i="3" s="1"/>
  <c r="F6" i="319"/>
  <c r="G14" i="335"/>
  <c r="G15" i="335" s="1"/>
  <c r="R48" i="336"/>
  <c r="S38" i="336" s="1"/>
  <c r="R69" i="346"/>
  <c r="S59" i="346" s="1"/>
  <c r="Q26" i="320"/>
  <c r="R37" i="346"/>
  <c r="S27" i="346" s="1"/>
  <c r="F14" i="345"/>
  <c r="F15" i="345" s="1"/>
  <c r="J14" i="353"/>
  <c r="R79" i="354"/>
  <c r="S70" i="354" s="1"/>
  <c r="J15" i="353" s="1"/>
  <c r="H14" i="341"/>
  <c r="H15" i="341" s="1"/>
  <c r="R58" i="342"/>
  <c r="S49" i="342" s="1"/>
  <c r="R15" i="336"/>
  <c r="S5" i="336" s="1"/>
  <c r="Q15" i="336"/>
  <c r="E2" i="336"/>
  <c r="D14" i="335"/>
  <c r="R37" i="352"/>
  <c r="S27" i="352" s="1"/>
  <c r="F14" i="351"/>
  <c r="F15" i="351" s="1"/>
  <c r="I14" i="321"/>
  <c r="R69" i="322"/>
  <c r="S59" i="322" s="1"/>
  <c r="F14" i="323"/>
  <c r="F15" i="323" s="1"/>
  <c r="R37" i="324"/>
  <c r="S27" i="324" s="1"/>
  <c r="E14" i="343"/>
  <c r="E15" i="343" s="1"/>
  <c r="R26" i="344"/>
  <c r="S16" i="344" s="1"/>
  <c r="Q26" i="344"/>
  <c r="J14" i="313"/>
  <c r="R79" i="314"/>
  <c r="S70" i="314" s="1"/>
  <c r="J15" i="313" s="1"/>
  <c r="R37" i="312"/>
  <c r="S27" i="312" s="1"/>
  <c r="F14" i="311"/>
  <c r="F15" i="311" s="1"/>
  <c r="F14" i="319"/>
  <c r="F15" i="319" s="1"/>
  <c r="R37" i="320"/>
  <c r="S27" i="320" s="1"/>
  <c r="Q26" i="348"/>
  <c r="E14" i="347"/>
  <c r="E15" i="347" s="1"/>
  <c r="R26" i="348"/>
  <c r="S16" i="348" s="1"/>
  <c r="F14" i="307"/>
  <c r="F15" i="307" s="1"/>
  <c r="R37" i="308"/>
  <c r="S27" i="308" s="1"/>
  <c r="R37" i="338"/>
  <c r="S27" i="338" s="1"/>
  <c r="F14" i="337"/>
  <c r="F15" i="337" s="1"/>
  <c r="R79" i="348"/>
  <c r="S70" i="348" s="1"/>
  <c r="J15" i="347" s="1"/>
  <c r="J14" i="347"/>
  <c r="R26" i="338"/>
  <c r="S16" i="338" s="1"/>
  <c r="Q26" i="338"/>
  <c r="E14" i="337"/>
  <c r="E15" i="337" s="1"/>
  <c r="D14" i="345"/>
  <c r="Q15" i="346"/>
  <c r="E2" i="346"/>
  <c r="R15" i="346"/>
  <c r="S5" i="346" s="1"/>
  <c r="R26" i="300"/>
  <c r="S16" i="300" s="1"/>
  <c r="Q26" i="300"/>
  <c r="E14" i="299"/>
  <c r="E15" i="299" s="1"/>
  <c r="G14" i="323"/>
  <c r="G15" i="323" s="1"/>
  <c r="R48" i="324"/>
  <c r="S38" i="324" s="1"/>
  <c r="E2" i="3"/>
  <c r="R15" i="3"/>
  <c r="S5" i="3" s="1"/>
  <c r="D14" i="2"/>
  <c r="Q15" i="3"/>
  <c r="R79" i="326"/>
  <c r="S70" i="326" s="1"/>
  <c r="J15" i="325" s="1"/>
  <c r="J14" i="325"/>
  <c r="J14" i="303"/>
  <c r="R79" i="304"/>
  <c r="S70" i="304" s="1"/>
  <c r="J15" i="303" s="1"/>
  <c r="R69" i="344"/>
  <c r="S59" i="344" s="1"/>
  <c r="I14" i="343"/>
  <c r="R50" i="310"/>
  <c r="Q50" i="310"/>
  <c r="O58" i="310"/>
  <c r="H6" i="349"/>
  <c r="R58" i="338"/>
  <c r="S49" i="338" s="1"/>
  <c r="H14" i="337"/>
  <c r="H15" i="337" s="1"/>
  <c r="R26" i="320"/>
  <c r="S16" i="320" s="1"/>
  <c r="G14" i="341"/>
  <c r="G15" i="341" s="1"/>
  <c r="R48" i="342"/>
  <c r="S38" i="342" s="1"/>
  <c r="Q26" i="328"/>
  <c r="E14" i="327"/>
  <c r="E15" i="327" s="1"/>
  <c r="R26" i="328"/>
  <c r="S16" i="328" s="1"/>
  <c r="D15" i="351"/>
  <c r="F14" i="355"/>
  <c r="F15" i="355" s="1"/>
  <c r="R37" i="356"/>
  <c r="S27" i="356" s="1"/>
  <c r="Q28" i="320"/>
  <c r="R28" i="320"/>
  <c r="G14" i="333"/>
  <c r="G15" i="333" s="1"/>
  <c r="R48" i="334"/>
  <c r="S38" i="334" s="1"/>
  <c r="I14" i="339"/>
  <c r="R69" i="340"/>
  <c r="S59" i="340" s="1"/>
  <c r="D15" i="293"/>
  <c r="H6" i="323"/>
  <c r="E15" i="319"/>
  <c r="R37" i="330"/>
  <c r="S27" i="330" s="1"/>
  <c r="F14" i="329"/>
  <c r="F15" i="329" s="1"/>
  <c r="E14" i="323"/>
  <c r="E15" i="323" s="1"/>
  <c r="Q26" i="324"/>
  <c r="R26" i="324"/>
  <c r="S16" i="324" s="1"/>
  <c r="I14" i="309"/>
  <c r="R69" i="310"/>
  <c r="S59" i="310" s="1"/>
  <c r="J7" i="311"/>
  <c r="J8" i="311" s="1"/>
  <c r="I15" i="311"/>
  <c r="R69" i="298"/>
  <c r="S59" i="298" s="1"/>
  <c r="I14" i="297"/>
  <c r="I14" i="329"/>
  <c r="R69" i="330"/>
  <c r="S59" i="330" s="1"/>
  <c r="Q6" i="312"/>
  <c r="R6" i="312"/>
  <c r="R48" i="326"/>
  <c r="S38" i="326" s="1"/>
  <c r="G14" i="325"/>
  <c r="G15" i="325" s="1"/>
  <c r="R69" i="308"/>
  <c r="S59" i="308" s="1"/>
  <c r="I14" i="307"/>
  <c r="F6" i="347"/>
  <c r="H6" i="347"/>
  <c r="F6" i="325"/>
  <c r="Q26" i="332"/>
  <c r="R26" i="332"/>
  <c r="S16" i="332" s="1"/>
  <c r="E14" i="331"/>
  <c r="E15" i="331" s="1"/>
  <c r="E2" i="354"/>
  <c r="R15" i="354"/>
  <c r="S5" i="354" s="1"/>
  <c r="D14" i="353"/>
  <c r="Q15" i="354"/>
  <c r="J14" i="297"/>
  <c r="R79" i="298"/>
  <c r="S70" i="298" s="1"/>
  <c r="J15" i="297" s="1"/>
  <c r="R26" i="330"/>
  <c r="S16" i="330" s="1"/>
  <c r="Q26" i="330"/>
  <c r="E14" i="329"/>
  <c r="E15" i="329" s="1"/>
  <c r="R79" i="350"/>
  <c r="S70" i="350" s="1"/>
  <c r="J15" i="349" s="1"/>
  <c r="J14" i="349"/>
  <c r="AG15" i="306"/>
  <c r="AH5" i="306" s="1"/>
  <c r="AF15" i="306"/>
  <c r="R58" i="316"/>
  <c r="S49" i="316" s="1"/>
  <c r="H14" i="315"/>
  <c r="H15" i="315" s="1"/>
  <c r="H14" i="2"/>
  <c r="H15" i="2" s="1"/>
  <c r="R58" i="3"/>
  <c r="S49" i="3" s="1"/>
  <c r="Q29" i="302"/>
  <c r="R29" i="302"/>
  <c r="R15" i="352"/>
  <c r="S5" i="352" s="1"/>
  <c r="J14" i="301"/>
  <c r="R79" i="302"/>
  <c r="S70" i="302" s="1"/>
  <c r="J15" i="301" s="1"/>
  <c r="D14" i="319"/>
  <c r="E2" i="320"/>
  <c r="R15" i="320"/>
  <c r="S5" i="320" s="1"/>
  <c r="Q15" i="320"/>
  <c r="Q15" i="294"/>
  <c r="R58" i="348"/>
  <c r="S49" i="348" s="1"/>
  <c r="H14" i="347"/>
  <c r="H15" i="347" s="1"/>
  <c r="H6" i="307"/>
  <c r="F6" i="307"/>
  <c r="E14" i="355"/>
  <c r="E15" i="355" s="1"/>
  <c r="R26" i="356"/>
  <c r="S16" i="356" s="1"/>
  <c r="Q26" i="356"/>
  <c r="D15" i="321"/>
  <c r="R79" i="3"/>
  <c r="S70" i="3" s="1"/>
  <c r="J15" i="2" s="1"/>
  <c r="J14" i="2"/>
  <c r="Q26" i="308"/>
  <c r="E14" i="307"/>
  <c r="E15" i="307" s="1"/>
  <c r="R26" i="308"/>
  <c r="S16" i="308" s="1"/>
  <c r="D15" i="347"/>
  <c r="G14" i="305"/>
  <c r="G15" i="305" s="1"/>
  <c r="R48" i="306"/>
  <c r="S38" i="306" s="1"/>
  <c r="R48" i="310"/>
  <c r="S38" i="310" s="1"/>
  <c r="G14" i="309"/>
  <c r="G15" i="309" s="1"/>
  <c r="G14" i="337"/>
  <c r="G15" i="337" s="1"/>
  <c r="R48" i="338"/>
  <c r="S38" i="338" s="1"/>
  <c r="G14" i="297"/>
  <c r="G15" i="297" s="1"/>
  <c r="R48" i="298"/>
  <c r="S38" i="298" s="1"/>
  <c r="R38" i="302"/>
  <c r="Q38" i="302"/>
  <c r="O48" i="302"/>
  <c r="R15" i="338"/>
  <c r="S5" i="338" s="1"/>
  <c r="Q15" i="338"/>
  <c r="D14" i="337"/>
  <c r="E2" i="338"/>
  <c r="R48" i="348"/>
  <c r="S38" i="348" s="1"/>
  <c r="G14" i="347"/>
  <c r="G15" i="347" s="1"/>
  <c r="D14" i="355"/>
  <c r="R15" i="356"/>
  <c r="S5" i="356" s="1"/>
  <c r="Q15" i="356"/>
  <c r="E2" i="356"/>
  <c r="G14" i="303"/>
  <c r="G15" i="303" s="1"/>
  <c r="R48" i="304"/>
  <c r="S38" i="304" s="1"/>
  <c r="Q26" i="304"/>
  <c r="R26" i="304"/>
  <c r="S16" i="304" s="1"/>
  <c r="E14" i="303"/>
  <c r="E15" i="303" s="1"/>
  <c r="R69" i="316"/>
  <c r="S59" i="316" s="1"/>
  <c r="I14" i="315"/>
  <c r="I14" i="331"/>
  <c r="R69" i="332"/>
  <c r="S59" i="332" s="1"/>
  <c r="J14" i="341"/>
  <c r="R79" i="342"/>
  <c r="S70" i="342" s="1"/>
  <c r="J15" i="341" s="1"/>
  <c r="G14" i="327"/>
  <c r="G15" i="327" s="1"/>
  <c r="R48" i="328"/>
  <c r="S38" i="328" s="1"/>
  <c r="R69" i="342"/>
  <c r="S59" i="342" s="1"/>
  <c r="I14" i="341"/>
  <c r="R79" i="338"/>
  <c r="S70" i="338" s="1"/>
  <c r="J15" i="337" s="1"/>
  <c r="J14" i="337"/>
  <c r="F14" i="2"/>
  <c r="F15" i="2" s="1"/>
  <c r="R37" i="3"/>
  <c r="S27" i="3" s="1"/>
  <c r="Q26" i="294"/>
  <c r="R26" i="294"/>
  <c r="S16" i="294" s="1"/>
  <c r="E14" i="293"/>
  <c r="E15" i="293" s="1"/>
  <c r="R37" i="326"/>
  <c r="S27" i="326" s="1"/>
  <c r="F14" i="325"/>
  <c r="F15" i="325" s="1"/>
  <c r="R79" i="328"/>
  <c r="S70" i="328" s="1"/>
  <c r="J15" i="327" s="1"/>
  <c r="J14" i="327"/>
  <c r="R15" i="294"/>
  <c r="S5" i="294" s="1"/>
  <c r="F6" i="331"/>
  <c r="H14" i="303"/>
  <c r="H15" i="303" s="1"/>
  <c r="R58" i="304"/>
  <c r="S49" i="304" s="1"/>
  <c r="R69" i="350"/>
  <c r="S59" i="350" s="1"/>
  <c r="I14" i="349"/>
  <c r="R37" i="336"/>
  <c r="S27" i="336" s="1"/>
  <c r="F14" i="335"/>
  <c r="F15" i="335" s="1"/>
  <c r="Q29" i="310"/>
  <c r="R29" i="310"/>
  <c r="R48" i="314"/>
  <c r="S38" i="314" s="1"/>
  <c r="G14" i="313"/>
  <c r="G15" i="313" s="1"/>
  <c r="R37" i="314"/>
  <c r="S27" i="314" s="1"/>
  <c r="F14" i="313"/>
  <c r="F15" i="313" s="1"/>
  <c r="R48" i="330"/>
  <c r="S38" i="330" s="1"/>
  <c r="G14" i="329"/>
  <c r="G15" i="329" s="1"/>
  <c r="R37" i="296"/>
  <c r="S27" i="296" s="1"/>
  <c r="F14" i="295"/>
  <c r="F15" i="295" s="1"/>
  <c r="R79" i="352"/>
  <c r="S70" i="352" s="1"/>
  <c r="J15" i="351" s="1"/>
  <c r="J14" i="351"/>
  <c r="E15" i="313"/>
  <c r="F6" i="341"/>
  <c r="R79" i="312"/>
  <c r="S70" i="312" s="1"/>
  <c r="J15" i="311" s="1"/>
  <c r="Q26" i="342"/>
  <c r="E14" i="341"/>
  <c r="E15" i="341" s="1"/>
  <c r="R26" i="342"/>
  <c r="S16" i="342" s="1"/>
  <c r="J14" i="345"/>
  <c r="R79" i="346"/>
  <c r="S70" i="346" s="1"/>
  <c r="J15" i="345" s="1"/>
  <c r="R37" i="344"/>
  <c r="S27" i="344" s="1"/>
  <c r="F14" i="343"/>
  <c r="F15" i="343" s="1"/>
  <c r="R79" i="322"/>
  <c r="S70" i="322" s="1"/>
  <c r="J15" i="321" s="1"/>
  <c r="J14" i="321"/>
  <c r="F7" i="321" s="1"/>
  <c r="F8" i="321" s="1"/>
  <c r="O15" i="306"/>
  <c r="R5" i="306"/>
  <c r="Q5" i="306"/>
  <c r="R40" i="308"/>
  <c r="Q40" i="308"/>
  <c r="R37" i="322"/>
  <c r="S27" i="322" s="1"/>
  <c r="F14" i="321"/>
  <c r="F15" i="321" s="1"/>
  <c r="E2" i="324"/>
  <c r="R15" i="324"/>
  <c r="S5" i="324" s="1"/>
  <c r="Q15" i="324"/>
  <c r="D14" i="323"/>
  <c r="R19" i="308"/>
  <c r="Q19" i="308"/>
  <c r="R26" i="334"/>
  <c r="S16" i="334" s="1"/>
  <c r="Q26" i="334"/>
  <c r="E14" i="333"/>
  <c r="E15" i="333" s="1"/>
  <c r="R58" i="350"/>
  <c r="S49" i="350" s="1"/>
  <c r="H14" i="349"/>
  <c r="H15" i="349" s="1"/>
  <c r="D14" i="307"/>
  <c r="E2" i="308"/>
  <c r="R15" i="308"/>
  <c r="S5" i="308" s="1"/>
  <c r="Q15" i="308"/>
  <c r="H14" i="323"/>
  <c r="H15" i="323" s="1"/>
  <c r="R58" i="324"/>
  <c r="S49" i="324" s="1"/>
  <c r="H6" i="321"/>
  <c r="F6" i="321"/>
  <c r="F6" i="351"/>
  <c r="H6" i="351"/>
  <c r="R69" i="296"/>
  <c r="S59" i="296" s="1"/>
  <c r="I14" i="295"/>
  <c r="R48" i="300"/>
  <c r="S38" i="300" s="1"/>
  <c r="G14" i="299"/>
  <c r="G15" i="299" s="1"/>
  <c r="R37" i="348"/>
  <c r="S27" i="348" s="1"/>
  <c r="F14" i="347"/>
  <c r="F15" i="347" s="1"/>
  <c r="I14" i="2"/>
  <c r="R69" i="3"/>
  <c r="S59" i="3" s="1"/>
  <c r="F14" i="299"/>
  <c r="F15" i="299" s="1"/>
  <c r="R37" i="300"/>
  <c r="S27" i="300" s="1"/>
  <c r="G14" i="321"/>
  <c r="G15" i="321" s="1"/>
  <c r="R48" i="322"/>
  <c r="S38" i="322" s="1"/>
  <c r="R58" i="328"/>
  <c r="S49" i="328" s="1"/>
  <c r="H14" i="327"/>
  <c r="H15" i="327" s="1"/>
  <c r="Q26" i="296"/>
  <c r="R26" i="296"/>
  <c r="S16" i="296" s="1"/>
  <c r="E14" i="295"/>
  <c r="E15" i="295" s="1"/>
  <c r="H14" i="295"/>
  <c r="H15" i="295" s="1"/>
  <c r="R58" i="296"/>
  <c r="S49" i="296" s="1"/>
  <c r="E2" i="314"/>
  <c r="D14" i="313"/>
  <c r="R15" i="314"/>
  <c r="S5" i="314" s="1"/>
  <c r="Q15" i="314"/>
  <c r="Q26" i="314"/>
  <c r="R15" i="342"/>
  <c r="S5" i="342" s="1"/>
  <c r="E2" i="342"/>
  <c r="D14" i="341"/>
  <c r="Q15" i="342"/>
  <c r="Q15" i="350"/>
  <c r="D14" i="349"/>
  <c r="E2" i="350"/>
  <c r="R15" i="350"/>
  <c r="S5" i="350" s="1"/>
  <c r="G14" i="339"/>
  <c r="G15" i="339" s="1"/>
  <c r="R48" i="340"/>
  <c r="S38" i="340" s="1"/>
  <c r="H14" i="353"/>
  <c r="H15" i="353" s="1"/>
  <c r="R58" i="354"/>
  <c r="S49" i="354" s="1"/>
  <c r="R15" i="310"/>
  <c r="S5" i="310" s="1"/>
  <c r="Q15" i="310"/>
  <c r="D14" i="309"/>
  <c r="R48" i="350"/>
  <c r="S38" i="350" s="1"/>
  <c r="G14" i="349"/>
  <c r="G15" i="349" s="1"/>
  <c r="H6" i="293"/>
  <c r="F6" i="293"/>
  <c r="H14" i="345"/>
  <c r="H15" i="345" s="1"/>
  <c r="R58" i="346"/>
  <c r="S49" i="346" s="1"/>
  <c r="R69" i="324"/>
  <c r="S59" i="324" s="1"/>
  <c r="I14" i="323"/>
  <c r="AF48" i="302"/>
  <c r="AG48" i="302"/>
  <c r="AH38" i="302" s="1"/>
  <c r="Q48" i="302"/>
  <c r="Q48" i="312"/>
  <c r="AG48" i="312"/>
  <c r="AH38" i="312" s="1"/>
  <c r="AF48" i="312"/>
  <c r="R37" i="354"/>
  <c r="S27" i="354" s="1"/>
  <c r="F14" i="353"/>
  <c r="F15" i="353" s="1"/>
  <c r="Q26" i="350"/>
  <c r="E14" i="349"/>
  <c r="E15" i="349" s="1"/>
  <c r="R26" i="350"/>
  <c r="S16" i="350" s="1"/>
  <c r="E14" i="301"/>
  <c r="E15" i="301" s="1"/>
  <c r="Q26" i="302"/>
  <c r="R26" i="302"/>
  <c r="S16" i="302" s="1"/>
  <c r="R69" i="320"/>
  <c r="S59" i="320" s="1"/>
  <c r="I14" i="319"/>
  <c r="D15" i="339"/>
  <c r="H14" i="329"/>
  <c r="H15" i="329" s="1"/>
  <c r="R58" i="330"/>
  <c r="S49" i="330" s="1"/>
  <c r="H6" i="353"/>
  <c r="F6" i="353"/>
  <c r="D14" i="295"/>
  <c r="E2" i="296"/>
  <c r="R15" i="296"/>
  <c r="S5" i="296" s="1"/>
  <c r="Q15" i="296"/>
  <c r="E2" i="344"/>
  <c r="D14" i="343"/>
  <c r="R15" i="344"/>
  <c r="S5" i="344" s="1"/>
  <c r="Q15" i="344"/>
  <c r="J14" i="309"/>
  <c r="R79" i="310"/>
  <c r="S70" i="310" s="1"/>
  <c r="J15" i="309" s="1"/>
  <c r="R15" i="302"/>
  <c r="S5" i="302" s="1"/>
  <c r="E2" i="302"/>
  <c r="Q15" i="302"/>
  <c r="D14" i="301"/>
  <c r="R79" i="294"/>
  <c r="S70" i="294" s="1"/>
  <c r="J15" i="293" s="1"/>
  <c r="J14" i="293"/>
  <c r="H15" i="319"/>
  <c r="R79" i="344"/>
  <c r="S70" i="344" s="1"/>
  <c r="J15" i="343" s="1"/>
  <c r="J14" i="343"/>
  <c r="R26" i="314"/>
  <c r="S16" i="314" s="1"/>
  <c r="R37" i="334"/>
  <c r="S27" i="334" s="1"/>
  <c r="F14" i="333"/>
  <c r="F15" i="333" s="1"/>
  <c r="F14" i="339"/>
  <c r="F15" i="339" s="1"/>
  <c r="R37" i="340"/>
  <c r="S27" i="340" s="1"/>
  <c r="Q37" i="310"/>
  <c r="AF37" i="310"/>
  <c r="AG37" i="310"/>
  <c r="AH27" i="310" s="1"/>
  <c r="R48" i="316"/>
  <c r="S38" i="316" s="1"/>
  <c r="G14" i="315"/>
  <c r="G15" i="315" s="1"/>
  <c r="H14" i="339"/>
  <c r="H15" i="339" s="1"/>
  <c r="R58" i="340"/>
  <c r="S49" i="340" s="1"/>
  <c r="AG15" i="312"/>
  <c r="AH5" i="312" s="1"/>
  <c r="AF15" i="312"/>
  <c r="D14" i="299"/>
  <c r="E2" i="300"/>
  <c r="Q15" i="300"/>
  <c r="R15" i="300"/>
  <c r="S5" i="300" s="1"/>
  <c r="R38" i="312"/>
  <c r="Q38" i="312"/>
  <c r="O48" i="312"/>
  <c r="D14" i="327"/>
  <c r="Q15" i="328"/>
  <c r="R15" i="328"/>
  <c r="S5" i="328" s="1"/>
  <c r="E2" i="328"/>
  <c r="R69" i="352"/>
  <c r="S59" i="352" s="1"/>
  <c r="I14" i="351"/>
  <c r="R79" i="330"/>
  <c r="S70" i="330" s="1"/>
  <c r="J15" i="329" s="1"/>
  <c r="J14" i="329"/>
  <c r="R5" i="304"/>
  <c r="Q5" i="304"/>
  <c r="O15" i="304"/>
  <c r="I14" i="355"/>
  <c r="R69" i="356"/>
  <c r="S59" i="356" s="1"/>
  <c r="R58" i="320"/>
  <c r="S49" i="320" s="1"/>
  <c r="R15" i="326"/>
  <c r="S5" i="326" s="1"/>
  <c r="Q15" i="326"/>
  <c r="E2" i="326"/>
  <c r="D14" i="325"/>
  <c r="E14" i="321"/>
  <c r="E15" i="321" s="1"/>
  <c r="R26" i="322"/>
  <c r="S16" i="322" s="1"/>
  <c r="Q26" i="322"/>
  <c r="Q26" i="352"/>
  <c r="R26" i="352"/>
  <c r="S16" i="352" s="1"/>
  <c r="E14" i="351"/>
  <c r="E15" i="351" s="1"/>
  <c r="R29" i="316"/>
  <c r="Q29" i="316"/>
  <c r="G14" i="343"/>
  <c r="G15" i="343" s="1"/>
  <c r="R48" i="344"/>
  <c r="S38" i="344" s="1"/>
  <c r="R79" i="336"/>
  <c r="S70" i="336" s="1"/>
  <c r="J15" i="335" s="1"/>
  <c r="J14" i="335"/>
  <c r="E2" i="322"/>
  <c r="I14" i="337"/>
  <c r="R69" i="338"/>
  <c r="S59" i="338" s="1"/>
  <c r="E2" i="298"/>
  <c r="R15" i="298"/>
  <c r="S5" i="298" s="1"/>
  <c r="Q15" i="298"/>
  <c r="D14" i="297"/>
  <c r="O15" i="312"/>
  <c r="H14" i="293"/>
  <c r="H15" i="293" s="1"/>
  <c r="R58" i="294"/>
  <c r="S49" i="294" s="1"/>
  <c r="R15" i="330"/>
  <c r="S5" i="330" s="1"/>
  <c r="E2" i="330"/>
  <c r="Q15" i="330"/>
  <c r="D14" i="329"/>
  <c r="F6" i="327"/>
  <c r="F6" i="337"/>
  <c r="H6" i="337"/>
  <c r="R37" i="294"/>
  <c r="S27" i="294" s="1"/>
  <c r="F14" i="293"/>
  <c r="F15" i="293" s="1"/>
  <c r="J14" i="355"/>
  <c r="R79" i="356"/>
  <c r="S70" i="356" s="1"/>
  <c r="J15" i="355" s="1"/>
  <c r="J7" i="301"/>
  <c r="J8" i="301" s="1"/>
  <c r="I15" i="301"/>
  <c r="R58" i="334"/>
  <c r="S49" i="334" s="1"/>
  <c r="H14" i="333"/>
  <c r="H15" i="333" s="1"/>
  <c r="R58" i="352"/>
  <c r="S49" i="352" s="1"/>
  <c r="H14" i="351"/>
  <c r="H15" i="351" s="1"/>
  <c r="E2" i="340"/>
  <c r="R69" i="294"/>
  <c r="S59" i="294" s="1"/>
  <c r="I14" i="293"/>
  <c r="H6" i="295"/>
  <c r="F6" i="295"/>
  <c r="Q27" i="310"/>
  <c r="O37" i="310"/>
  <c r="R27" i="310"/>
  <c r="R79" i="308"/>
  <c r="S70" i="308" s="1"/>
  <c r="J15" i="307" s="1"/>
  <c r="J14" i="307"/>
  <c r="R26" i="312"/>
  <c r="S16" i="312" s="1"/>
  <c r="E14" i="311"/>
  <c r="E15" i="311" s="1"/>
  <c r="Q26" i="312"/>
  <c r="R69" i="354"/>
  <c r="S59" i="354" s="1"/>
  <c r="I14" i="353"/>
  <c r="I14" i="303"/>
  <c r="R69" i="304"/>
  <c r="S59" i="304" s="1"/>
  <c r="AG26" i="308"/>
  <c r="AH16" i="308" s="1"/>
  <c r="AF26" i="308"/>
  <c r="F14" i="341"/>
  <c r="F15" i="341" s="1"/>
  <c r="R37" i="342"/>
  <c r="S27" i="342" s="1"/>
  <c r="R37" i="298"/>
  <c r="S27" i="298" s="1"/>
  <c r="F14" i="297"/>
  <c r="F15" i="297" s="1"/>
  <c r="R79" i="296"/>
  <c r="S70" i="296" s="1"/>
  <c r="J15" i="295" s="1"/>
  <c r="J14" i="295"/>
  <c r="E14" i="353"/>
  <c r="E15" i="353" s="1"/>
  <c r="R26" i="354"/>
  <c r="S16" i="354" s="1"/>
  <c r="Q26" i="354"/>
  <c r="H6" i="333"/>
  <c r="F6" i="333"/>
  <c r="H6" i="299"/>
  <c r="F6" i="299"/>
  <c r="R69" i="336"/>
  <c r="S59" i="336" s="1"/>
  <c r="I14" i="335"/>
  <c r="J14" i="305"/>
  <c r="R79" i="306"/>
  <c r="S70" i="306" s="1"/>
  <c r="J15" i="305" s="1"/>
  <c r="AG15" i="304"/>
  <c r="AH5" i="304" s="1"/>
  <c r="AF15" i="304"/>
  <c r="J7" i="325"/>
  <c r="J8" i="325" s="1"/>
  <c r="I15" i="325"/>
  <c r="R15" i="334"/>
  <c r="S5" i="334" s="1"/>
  <c r="Q15" i="334"/>
  <c r="D14" i="333"/>
  <c r="E2" i="334"/>
  <c r="H6" i="315"/>
  <c r="F6" i="315"/>
  <c r="F6" i="309"/>
  <c r="H6" i="343"/>
  <c r="D15" i="325" l="1"/>
  <c r="H7" i="325"/>
  <c r="H8" i="325" s="1"/>
  <c r="F7" i="325"/>
  <c r="F8" i="325" s="1"/>
  <c r="R37" i="310"/>
  <c r="S27" i="310" s="1"/>
  <c r="F14" i="309"/>
  <c r="F15" i="309" s="1"/>
  <c r="Q15" i="306"/>
  <c r="E2" i="306"/>
  <c r="R15" i="306"/>
  <c r="S5" i="306" s="1"/>
  <c r="D14" i="305"/>
  <c r="F7" i="339"/>
  <c r="F8" i="339" s="1"/>
  <c r="I15" i="2"/>
  <c r="J8" i="2" s="1"/>
  <c r="J7" i="2"/>
  <c r="H7" i="323"/>
  <c r="H8" i="323" s="1"/>
  <c r="F7" i="323"/>
  <c r="F8" i="323" s="1"/>
  <c r="D15" i="323"/>
  <c r="D15" i="355"/>
  <c r="H7" i="355"/>
  <c r="H8" i="355" s="1"/>
  <c r="F7" i="355"/>
  <c r="F8" i="355" s="1"/>
  <c r="H7" i="353"/>
  <c r="H8" i="353" s="1"/>
  <c r="F7" i="353"/>
  <c r="F8" i="353" s="1"/>
  <c r="D15" i="353"/>
  <c r="I15" i="313"/>
  <c r="J7" i="313"/>
  <c r="J8" i="313" s="1"/>
  <c r="I15" i="327"/>
  <c r="J7" i="327"/>
  <c r="J8" i="327" s="1"/>
  <c r="J7" i="333"/>
  <c r="J8" i="333" s="1"/>
  <c r="I15" i="333"/>
  <c r="H7" i="345"/>
  <c r="H8" i="345" s="1"/>
  <c r="F7" i="345"/>
  <c r="F8" i="345" s="1"/>
  <c r="D15" i="345"/>
  <c r="I15" i="353"/>
  <c r="J7" i="353"/>
  <c r="J8" i="353" s="1"/>
  <c r="I15" i="293"/>
  <c r="J7" i="293"/>
  <c r="J8" i="293" s="1"/>
  <c r="D15" i="297"/>
  <c r="F7" i="297"/>
  <c r="F8" i="297" s="1"/>
  <c r="H7" i="297"/>
  <c r="H8" i="297" s="1"/>
  <c r="F7" i="327"/>
  <c r="F8" i="327" s="1"/>
  <c r="H7" i="327"/>
  <c r="H8" i="327" s="1"/>
  <c r="D15" i="327"/>
  <c r="I15" i="319"/>
  <c r="J7" i="319"/>
  <c r="J8" i="319" s="1"/>
  <c r="E2" i="310"/>
  <c r="H7" i="321"/>
  <c r="H8" i="321" s="1"/>
  <c r="D15" i="2"/>
  <c r="F7" i="2"/>
  <c r="H7" i="2"/>
  <c r="J7" i="321"/>
  <c r="J8" i="321" s="1"/>
  <c r="I15" i="321"/>
  <c r="J7" i="347"/>
  <c r="J8" i="347" s="1"/>
  <c r="I15" i="347"/>
  <c r="J7" i="331"/>
  <c r="J8" i="331" s="1"/>
  <c r="I15" i="331"/>
  <c r="Q15" i="312"/>
  <c r="R15" i="312"/>
  <c r="S5" i="312" s="1"/>
  <c r="E2" i="312"/>
  <c r="D14" i="311"/>
  <c r="I15" i="315"/>
  <c r="J7" i="315"/>
  <c r="J8" i="315" s="1"/>
  <c r="D14" i="303"/>
  <c r="R15" i="304"/>
  <c r="S5" i="304" s="1"/>
  <c r="Q15" i="304"/>
  <c r="E2" i="304"/>
  <c r="I15" i="295"/>
  <c r="J7" i="295"/>
  <c r="J8" i="295" s="1"/>
  <c r="I15" i="297"/>
  <c r="J7" i="297"/>
  <c r="J8" i="297" s="1"/>
  <c r="R58" i="310"/>
  <c r="S49" i="310" s="1"/>
  <c r="H14" i="309"/>
  <c r="H15" i="309" s="1"/>
  <c r="H7" i="343"/>
  <c r="H8" i="343" s="1"/>
  <c r="F7" i="343"/>
  <c r="F8" i="343" s="1"/>
  <c r="D15" i="343"/>
  <c r="R48" i="312"/>
  <c r="S38" i="312" s="1"/>
  <c r="G14" i="311"/>
  <c r="G15" i="311" s="1"/>
  <c r="D15" i="309"/>
  <c r="D15" i="307"/>
  <c r="H7" i="307"/>
  <c r="H8" i="307" s="1"/>
  <c r="F7" i="307"/>
  <c r="F8" i="307" s="1"/>
  <c r="D15" i="337"/>
  <c r="F7" i="337"/>
  <c r="F8" i="337" s="1"/>
  <c r="H7" i="337"/>
  <c r="H8" i="337" s="1"/>
  <c r="H7" i="319"/>
  <c r="H8" i="319" s="1"/>
  <c r="F7" i="319"/>
  <c r="F8" i="319" s="1"/>
  <c r="D15" i="319"/>
  <c r="J7" i="329"/>
  <c r="J8" i="329" s="1"/>
  <c r="I15" i="329"/>
  <c r="H7" i="301"/>
  <c r="H8" i="301" s="1"/>
  <c r="D15" i="301"/>
  <c r="I15" i="341"/>
  <c r="J7" i="341"/>
  <c r="J8" i="341" s="1"/>
  <c r="F7" i="347"/>
  <c r="F8" i="347" s="1"/>
  <c r="F7" i="293"/>
  <c r="F8" i="293" s="1"/>
  <c r="F7" i="351"/>
  <c r="F8" i="351" s="1"/>
  <c r="H7" i="335"/>
  <c r="H8" i="335" s="1"/>
  <c r="F7" i="335"/>
  <c r="F8" i="335" s="1"/>
  <c r="D15" i="335"/>
  <c r="J6" i="305"/>
  <c r="J8" i="305" s="1"/>
  <c r="I15" i="305"/>
  <c r="F6" i="305"/>
  <c r="D15" i="299"/>
  <c r="H7" i="299"/>
  <c r="H8" i="299" s="1"/>
  <c r="F7" i="299"/>
  <c r="F8" i="299" s="1"/>
  <c r="H7" i="339"/>
  <c r="H8" i="339" s="1"/>
  <c r="D15" i="341"/>
  <c r="H7" i="341"/>
  <c r="H8" i="341" s="1"/>
  <c r="F7" i="341"/>
  <c r="F8" i="341" s="1"/>
  <c r="H7" i="295"/>
  <c r="H8" i="295" s="1"/>
  <c r="F7" i="295"/>
  <c r="F8" i="295" s="1"/>
  <c r="D15" i="295"/>
  <c r="J7" i="323"/>
  <c r="J8" i="323" s="1"/>
  <c r="I15" i="323"/>
  <c r="R48" i="302"/>
  <c r="S38" i="302" s="1"/>
  <c r="G14" i="301"/>
  <c r="G15" i="301" s="1"/>
  <c r="H7" i="293"/>
  <c r="H8" i="293" s="1"/>
  <c r="H7" i="351"/>
  <c r="H8" i="351" s="1"/>
  <c r="J7" i="299"/>
  <c r="J8" i="299" s="1"/>
  <c r="I15" i="299"/>
  <c r="H7" i="313"/>
  <c r="H8" i="313" s="1"/>
  <c r="F7" i="313"/>
  <c r="F8" i="313" s="1"/>
  <c r="D15" i="313"/>
  <c r="I15" i="349"/>
  <c r="J7" i="349"/>
  <c r="J8" i="349" s="1"/>
  <c r="I15" i="335"/>
  <c r="J7" i="335"/>
  <c r="J8" i="335" s="1"/>
  <c r="D15" i="329"/>
  <c r="H7" i="329"/>
  <c r="H8" i="329" s="1"/>
  <c r="F7" i="329"/>
  <c r="F8" i="329" s="1"/>
  <c r="J7" i="337"/>
  <c r="J8" i="337" s="1"/>
  <c r="I15" i="337"/>
  <c r="H7" i="347"/>
  <c r="H8" i="347" s="1"/>
  <c r="I15" i="343"/>
  <c r="J7" i="343"/>
  <c r="J8" i="343" s="1"/>
  <c r="D15" i="315"/>
  <c r="H7" i="315"/>
  <c r="H8" i="315" s="1"/>
  <c r="F7" i="315"/>
  <c r="F8" i="315" s="1"/>
  <c r="J7" i="351"/>
  <c r="J8" i="351" s="1"/>
  <c r="I15" i="351"/>
  <c r="F7" i="333"/>
  <c r="F8" i="333" s="1"/>
  <c r="H7" i="333"/>
  <c r="H8" i="333" s="1"/>
  <c r="D15" i="333"/>
  <c r="H7" i="349"/>
  <c r="H8" i="349" s="1"/>
  <c r="D15" i="349"/>
  <c r="F7" i="349"/>
  <c r="F8" i="349" s="1"/>
  <c r="J7" i="303"/>
  <c r="J8" i="303" s="1"/>
  <c r="I15" i="303"/>
  <c r="I15" i="355"/>
  <c r="J7" i="355"/>
  <c r="J8" i="355" s="1"/>
  <c r="I15" i="307"/>
  <c r="J7" i="307"/>
  <c r="J8" i="307" s="1"/>
  <c r="J7" i="309"/>
  <c r="J8" i="309" s="1"/>
  <c r="I15" i="309"/>
  <c r="J7" i="339"/>
  <c r="J8" i="339" s="1"/>
  <c r="I15" i="339"/>
  <c r="D15" i="331"/>
  <c r="H7" i="331"/>
  <c r="H8" i="331" s="1"/>
  <c r="F7" i="331"/>
  <c r="F8" i="331" s="1"/>
  <c r="H7" i="303" l="1"/>
  <c r="H8" i="303" s="1"/>
  <c r="F7" i="303"/>
  <c r="F8" i="303" s="1"/>
  <c r="D15" i="303"/>
  <c r="F7" i="311"/>
  <c r="F8" i="311" s="1"/>
  <c r="H7" i="311"/>
  <c r="H8" i="311" s="1"/>
  <c r="D15" i="311"/>
  <c r="H8" i="2"/>
  <c r="F8" i="2"/>
  <c r="H7" i="305"/>
  <c r="H8" i="305" s="1"/>
  <c r="F7" i="305"/>
  <c r="F8" i="305" s="1"/>
  <c r="D15" i="305"/>
  <c r="F7" i="301"/>
  <c r="F8" i="301" s="1"/>
  <c r="F7" i="309"/>
  <c r="F8" i="309" s="1"/>
  <c r="H7" i="309"/>
  <c r="H8" i="309" s="1"/>
</calcChain>
</file>

<file path=xl/sharedStrings.xml><?xml version="1.0" encoding="utf-8"?>
<sst xmlns="http://schemas.openxmlformats.org/spreadsheetml/2006/main" count="6579" uniqueCount="239">
  <si>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</si>
  <si>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</si>
  <si>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</si>
  <si>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</si>
  <si>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</si>
  <si>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</si>
  <si>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</si>
  <si>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</si>
  <si>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</si>
  <si>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</si>
  <si>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</si>
  <si>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</si>
  <si>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</si>
  <si>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</si>
  <si>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</si>
  <si>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</si>
  <si>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</si>
  <si>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</si>
  <si>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</si>
  <si>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</si>
  <si>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</si>
  <si>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</si>
  <si>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</si>
  <si>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</si>
  <si>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</si>
  <si>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</si>
  <si>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</si>
  <si>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</si>
  <si>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</si>
  <si>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</si>
  <si>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</si>
  <si>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</si>
  <si>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</si>
  <si>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</si>
  <si>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</si>
  <si>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</si>
  <si>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</si>
  <si>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</si>
  <si>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</si>
  <si>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</si>
  <si>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</si>
  <si>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</si>
  <si>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</si>
  <si>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</si>
  <si>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</si>
  <si>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</si>
  <si>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</si>
  <si>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</si>
  <si>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</si>
  <si>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</si>
  <si>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</si>
  <si>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</si>
  <si>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</si>
  <si>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</si>
  <si>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</si>
  <si>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</si>
  <si>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</si>
  <si>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</si>
  <si>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</si>
  <si>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</si>
  <si>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</si>
  <si>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</si>
  <si>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</si>
  <si>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</si>
  <si>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</si>
  <si>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</si>
  <si>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</si>
  <si>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</si>
  <si>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</si>
  <si>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</si>
  <si>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</si>
  <si>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</si>
  <si>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</si>
  <si>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</si>
  <si>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</si>
  <si>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</si>
  <si>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</si>
  <si>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</si>
  <si>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</si>
  <si>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</si>
  <si>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</si>
  <si>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</si>
  <si>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</si>
  <si>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</si>
  <si>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</si>
  <si>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</si>
  <si>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</si>
  <si>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</si>
  <si>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</si>
  <si>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</si>
  <si>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</si>
  <si>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</si>
  <si>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</si>
  <si>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</si>
  <si>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</si>
  <si>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</si>
  <si>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</si>
  <si>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</si>
  <si>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</si>
  <si>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</si>
  <si>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</si>
  <si>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</si>
  <si>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</si>
  <si>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</si>
  <si>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</si>
  <si>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</si>
  <si>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</si>
  <si>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</si>
  <si>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</si>
  <si>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</si>
  <si>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</si>
  <si>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</si>
  <si>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03月01日  星期日</t>
  </si>
  <si>
    <t>白酒蛤蜊義大利麵</t>
  </si>
  <si>
    <t>新進學生加入，教育訓練</t>
  </si>
  <si>
    <t>青醬蛤蜊義大利麵</t>
  </si>
  <si>
    <t>辣味香菜雞肉義大利麵</t>
  </si>
  <si>
    <t>奶油培根義大利麵</t>
  </si>
  <si>
    <t>義式蕃茄起司義大利麵</t>
  </si>
  <si>
    <t>惡魔乳酪生義大利麵</t>
  </si>
  <si>
    <t>熱乾麵</t>
  </si>
  <si>
    <t>青花椒麻雞肉拌麵</t>
  </si>
  <si>
    <t>沙茶豬肉炒麵</t>
  </si>
  <si>
    <t>剝皮辣椒雞奶油扁麵</t>
  </si>
  <si>
    <t>府城鹽水意麵</t>
  </si>
  <si>
    <t>奶油起司蝦仁通心粉</t>
  </si>
  <si>
    <t>湯凍異常確認</t>
  </si>
  <si>
    <t>焗烤起司雙饗筆尖麵</t>
  </si>
  <si>
    <t>小吃、微波</t>
  </si>
  <si>
    <t>小滷青蔬</t>
  </si>
  <si>
    <t>起司馬鈴薯</t>
  </si>
  <si>
    <t>三杯菇菇米血</t>
  </si>
  <si>
    <t>焗烤起司肉醬筆尖麵</t>
  </si>
  <si>
    <t>金檢機異常</t>
  </si>
  <si>
    <t>濃拿坡里義大利麵</t>
  </si>
  <si>
    <t>03月02日  星期一</t>
  </si>
  <si>
    <t>03月03日  星期二</t>
  </si>
  <si>
    <t>燻火腿貓耳朵麵</t>
  </si>
  <si>
    <t>麻辣雞心</t>
  </si>
  <si>
    <t>調理1、調理2綜合人力</t>
  </si>
  <si>
    <t>03月04日  星期三</t>
  </si>
  <si>
    <t>封膜異常，手抓麵作業</t>
  </si>
  <si>
    <t>手抓麵作業</t>
  </si>
  <si>
    <t>注醬機塞管清機</t>
  </si>
  <si>
    <t>03月05日  星期四</t>
  </si>
  <si>
    <t>10:25-10:35注醬機異常 停線</t>
  </si>
  <si>
    <t>八爪機故障 手挖醬作業</t>
  </si>
  <si>
    <t>03月06日  星期五</t>
  </si>
  <si>
    <t>玉取機停麵</t>
  </si>
  <si>
    <t>7:54-08:09重檢機異常</t>
  </si>
  <si>
    <t>11:10-11:20確認半成品</t>
  </si>
  <si>
    <t>03月07日  星期六</t>
  </si>
  <si>
    <t>08:33-08:43停線</t>
  </si>
  <si>
    <t>03月08日  星期日</t>
  </si>
  <si>
    <t>08:50-09:00停線</t>
  </si>
  <si>
    <t>手工作業</t>
  </si>
  <si>
    <t>03月09日  星期一</t>
  </si>
  <si>
    <t>7:00-7:10注醬機異常 停線</t>
  </si>
  <si>
    <t>03月10日  星期二</t>
  </si>
  <si>
    <t>03月11日  星期三</t>
  </si>
  <si>
    <t>03月12日  星期四</t>
  </si>
  <si>
    <t>7:57-8:05待麵</t>
  </si>
  <si>
    <t>03月13日  星期五</t>
  </si>
  <si>
    <t>03月14日  星期六</t>
  </si>
  <si>
    <t>7:50~7:56待麵</t>
  </si>
  <si>
    <t>封膜異常</t>
  </si>
  <si>
    <t>03月15日  星期日</t>
  </si>
  <si>
    <t>L型封膜異常</t>
  </si>
  <si>
    <t>03月16日  星期一</t>
  </si>
  <si>
    <t>封膜設備異常</t>
  </si>
  <si>
    <t>注餡機異常</t>
  </si>
  <si>
    <t>03月17日  星期二</t>
  </si>
  <si>
    <t>蒜香奶油蝦蝦義大利麵</t>
  </si>
  <si>
    <t>新品上市</t>
  </si>
  <si>
    <t>生產數量少</t>
  </si>
  <si>
    <t>初次生產</t>
  </si>
  <si>
    <t>熱轉印異常</t>
  </si>
  <si>
    <t>手工線</t>
  </si>
  <si>
    <t>挑雞毛</t>
  </si>
  <si>
    <t>03月18日  星期三</t>
  </si>
  <si>
    <t>玉取機異常，手抓麵</t>
  </si>
  <si>
    <t>湯凍性狀異常</t>
  </si>
  <si>
    <t>手工挖醬</t>
  </si>
  <si>
    <t>封口機異常</t>
  </si>
  <si>
    <t>03月19日  星期四</t>
  </si>
  <si>
    <t>9:51-10:35半成品未冷卻完成</t>
  </si>
  <si>
    <t>訂單數不足、玉取機停麵</t>
  </si>
  <si>
    <t>八爪機異常</t>
  </si>
  <si>
    <t>03月20日  星期五</t>
  </si>
  <si>
    <t/>
  </si>
  <si>
    <t>11:45~12:05手工挖醬(湯凍不足)</t>
  </si>
  <si>
    <t>03月21日  星期六</t>
  </si>
  <si>
    <t>注醬機清洗7分</t>
  </si>
  <si>
    <t>手挖醬</t>
  </si>
  <si>
    <t>封口異常</t>
  </si>
  <si>
    <t>03月22日  星期日</t>
  </si>
  <si>
    <t>封口機異常、金檢機</t>
  </si>
  <si>
    <t>10:05~10:30注醬機異常</t>
  </si>
  <si>
    <t>03月23日  星期一</t>
  </si>
  <si>
    <t>設備異常</t>
  </si>
  <si>
    <t>03月24日  星期二</t>
  </si>
  <si>
    <t>薑纖維堵住充填機、改為冰杓</t>
  </si>
  <si>
    <t>出勤人數不足、無法達到每小時產能</t>
  </si>
  <si>
    <t>03月25日  星期三</t>
  </si>
  <si>
    <t>03月26日  星期四</t>
  </si>
  <si>
    <t>支援4線製作，生產數量較少</t>
  </si>
  <si>
    <t>03月27日  星期五</t>
  </si>
  <si>
    <t>7:12~7:30手抓麵</t>
  </si>
  <si>
    <t>13:57-14:10待麵</t>
  </si>
  <si>
    <t>7:12~7:22手抓麵</t>
  </si>
  <si>
    <t>7:52~8:06手抓麵</t>
  </si>
  <si>
    <t>9:15-9:22停線休息</t>
  </si>
  <si>
    <t>支援4線製作</t>
  </si>
  <si>
    <t>check</t>
  </si>
  <si>
    <t>類別</t>
  </si>
  <si>
    <t>4度C</t>
  </si>
  <si>
    <t>南洋紅咖哩豬義大利麵</t>
  </si>
  <si>
    <t>奶油蒜香雞義大利麵</t>
  </si>
  <si>
    <t>焗烤明太子筆尖麵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</si>
  <si>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</si>
  <si>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</si>
  <si>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</si>
  <si>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</si>
  <si>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</si>
  <si>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</si>
  <si>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</si>
  <si>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</si>
  <si>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</si>
  <si>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03月24日  星期三</t>
  </si>
  <si>
    <t>03月29日  星期日</t>
  </si>
  <si>
    <t>03月30日  星期一</t>
  </si>
  <si>
    <t>品項</t>
  </si>
  <si>
    <t>產能</t>
  </si>
  <si>
    <t>白酒蛤蜊義大利麵-手</t>
  </si>
  <si>
    <t>剝皮辣椒雞奶油扁麵-降速生產(3線)</t>
  </si>
  <si>
    <t>調理包</t>
  </si>
  <si>
    <t>台式綜合甜不辣</t>
  </si>
  <si>
    <t>更新日期03/04</t>
  </si>
  <si>
    <r>
      <t>03月31日  星期</t>
    </r>
    <r>
      <rPr>
        <sz val="14"/>
        <rFont val="Microsoft JhengHei UI"/>
        <family val="2"/>
        <charset val="136"/>
      </rPr>
      <t>二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</si>
</sst>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</numFmts>
  <fonts count="3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506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43" fontId="17" fillId="0" borderId="91" xfId="14" applyFont="1" applyBorder="1" applyAlignment="1">
      <alignment horizontal="center" vertical="center"/>
    </xf>
    <xf numFmtId="0" fontId="17" fillId="0" borderId="70" xfId="11" applyFont="1" applyBorder="1" applyAlignment="1"/>
    <xf numFmtId="43" fontId="17" fillId="0" borderId="87" xfId="14" applyFont="1" applyBorder="1" applyAlignment="1">
      <alignment horizontal="center" vertical="center"/>
    </xf>
    <xf numFmtId="1" fontId="17" fillId="3" borderId="49" xfId="12" applyNumberFormat="1" applyFont="1" applyFill="1" applyBorder="1" applyAlignment="1">
      <alignment horizontal="center" vertical="center"/>
    </xf>
    <xf numFmtId="1" fontId="17" fillId="3" borderId="39" xfId="12" applyNumberFormat="1" applyFont="1" applyFill="1" applyBorder="1" applyAlignment="1">
      <alignment horizontal="center" vertical="center"/>
    </xf>
    <xf numFmtId="43" fontId="17" fillId="11" borderId="14" xfId="14" applyFont="1" applyFill="1" applyBorder="1" applyAlignment="1">
      <alignment horizontal="center" vertical="center"/>
    </xf>
    <xf numFmtId="0" fontId="17" fillId="11" borderId="15" xfId="12" applyFont="1" applyFill="1" applyBorder="1" applyAlignment="1">
      <alignment horizontal="center" vertical="center"/>
    </xf>
    <xf numFmtId="1" fontId="17" fillId="11" borderId="101" xfId="12" applyNumberFormat="1" applyFont="1" applyFill="1" applyBorder="1" applyAlignment="1">
      <alignment horizontal="center" vertical="center"/>
    </xf>
    <xf numFmtId="1" fontId="17" fillId="11" borderId="77" xfId="12" applyNumberFormat="1" applyFont="1" applyFill="1" applyBorder="1" applyAlignment="1">
      <alignment horizontal="center" vertical="center"/>
    </xf>
    <xf numFmtId="179" fontId="17" fillId="11" borderId="1" xfId="12" applyNumberFormat="1" applyFont="1" applyFill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 wrapText="1"/>
    </xf>
    <xf numFmtId="0" fontId="6" fillId="8" borderId="14" xfId="12" applyFont="1" applyFill="1" applyBorder="1" applyAlignment="1">
      <alignment horizontal="center" vertical="center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 wrapText="1"/>
    </xf>
    <xf numFmtId="0" fontId="17" fillId="0" borderId="3" xfId="12" applyFont="1" applyBorder="1" applyAlignment="1">
      <alignment horizontal="center" vertical="center" wrapText="1"/>
    </xf>
    <xf numFmtId="20" fontId="17" fillId="0" borderId="2" xfId="12" applyNumberFormat="1" applyFont="1" applyBorder="1" applyAlignment="1">
      <alignment horizontal="center" vertical="center" wrapText="1"/>
    </xf>
    <xf numFmtId="0" fontId="17" fillId="0" borderId="5" xfId="12" applyFont="1" applyBorder="1" applyAlignment="1">
      <alignment horizontal="center" vertical="center" wrapText="1"/>
    </xf>
    <xf numFmtId="0" fontId="17" fillId="0" borderId="6" xfId="12" applyFont="1" applyBorder="1" applyAlignment="1">
      <alignment horizontal="center" vertical="center" wrapText="1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3" totalsRowShown="0">
  <autoFilter ref="A1:E53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3"/>
  <sheetViews>
    <sheetView workbookViewId="0">
      <selection activeCell="C12" sqref="C12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69" width="10.28515625" style="347" customWidth="1"/>
    <col min="70" max="16384" width="10.28515625" style="347"/>
  </cols>
  <sheetData>
    <row r="1" spans="1:7">
      <c r="A1" s="351" t="s">
        <v>213</v>
      </c>
      <c r="B1" s="352" t="s">
        <v>89</v>
      </c>
      <c r="C1" s="352" t="s">
        <v>19</v>
      </c>
      <c r="D1" s="352" t="s">
        <v>214</v>
      </c>
      <c r="E1" s="352" t="s">
        <v>20</v>
      </c>
    </row>
    <row r="2" spans="1:7">
      <c r="A2" s="353"/>
      <c r="B2" s="354" t="s">
        <v>215</v>
      </c>
      <c r="C2" s="75" t="s">
        <v>113</v>
      </c>
      <c r="D2" s="354" t="s">
        <v>81</v>
      </c>
      <c r="E2" s="75">
        <v>57.21</v>
      </c>
    </row>
    <row r="3" spans="1:7">
      <c r="A3" s="353"/>
      <c r="B3" s="354" t="s">
        <v>215</v>
      </c>
      <c r="C3" s="75" t="s">
        <v>216</v>
      </c>
      <c r="D3" s="354" t="s">
        <v>81</v>
      </c>
      <c r="E3" s="75">
        <v>56.43</v>
      </c>
    </row>
    <row r="4" spans="1:7">
      <c r="A4" s="353"/>
      <c r="B4" s="354" t="s">
        <v>215</v>
      </c>
      <c r="C4" s="75" t="s">
        <v>118</v>
      </c>
      <c r="D4" s="354" t="s">
        <v>81</v>
      </c>
      <c r="E4" s="75">
        <v>50.39</v>
      </c>
    </row>
    <row r="5" spans="1:7">
      <c r="A5" s="353"/>
      <c r="B5" s="354" t="s">
        <v>215</v>
      </c>
      <c r="C5" s="75" t="s">
        <v>127</v>
      </c>
      <c r="D5" s="354" t="s">
        <v>81</v>
      </c>
      <c r="E5" s="75">
        <v>49.97</v>
      </c>
    </row>
    <row r="6" spans="1:7">
      <c r="A6" s="353"/>
      <c r="B6" s="354" t="s">
        <v>215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215</v>
      </c>
      <c r="C7" s="355" t="s">
        <v>137</v>
      </c>
      <c r="D7" s="354" t="s">
        <v>81</v>
      </c>
      <c r="E7" s="75">
        <v>58.17</v>
      </c>
    </row>
    <row r="8" spans="1:7">
      <c r="A8" s="353"/>
      <c r="B8" s="354" t="s">
        <v>215</v>
      </c>
      <c r="C8" s="355" t="s">
        <v>119</v>
      </c>
      <c r="D8" s="354" t="s">
        <v>81</v>
      </c>
      <c r="E8" s="75">
        <v>57.3</v>
      </c>
    </row>
    <row r="9" spans="1:7">
      <c r="A9" s="353"/>
      <c r="B9" s="354" t="s">
        <v>215</v>
      </c>
      <c r="C9" s="350" t="s">
        <v>132</v>
      </c>
      <c r="D9" s="354" t="s">
        <v>81</v>
      </c>
      <c r="E9" s="75">
        <v>50.67</v>
      </c>
    </row>
    <row r="10" spans="1:7">
      <c r="A10" s="353"/>
      <c r="B10" s="354" t="s">
        <v>215</v>
      </c>
      <c r="C10" s="350" t="s">
        <v>116</v>
      </c>
      <c r="D10" s="354" t="s">
        <v>81</v>
      </c>
      <c r="E10" s="75">
        <v>56.28</v>
      </c>
    </row>
    <row r="11" spans="1:7">
      <c r="A11" s="353"/>
      <c r="B11" s="354" t="s">
        <v>215</v>
      </c>
      <c r="C11" s="75" t="s">
        <v>172</v>
      </c>
      <c r="D11" s="354" t="s">
        <v>81</v>
      </c>
      <c r="E11" s="75">
        <v>57.21</v>
      </c>
    </row>
    <row r="12" spans="1:7">
      <c r="A12" s="353"/>
      <c r="B12" s="354" t="s">
        <v>215</v>
      </c>
      <c r="C12" s="75" t="s">
        <v>123</v>
      </c>
      <c r="D12" s="354" t="s">
        <v>81</v>
      </c>
      <c r="E12" s="75">
        <v>56.87</v>
      </c>
    </row>
    <row r="13" spans="1:7">
      <c r="A13" s="353"/>
      <c r="B13" s="354" t="s">
        <v>215</v>
      </c>
      <c r="C13" s="75" t="s">
        <v>217</v>
      </c>
      <c r="D13" s="354" t="s">
        <v>81</v>
      </c>
      <c r="E13" s="75">
        <v>55.13</v>
      </c>
      <c r="G13" s="349"/>
    </row>
    <row r="14" spans="1:7">
      <c r="A14" s="353"/>
      <c r="B14" s="354" t="s">
        <v>215</v>
      </c>
      <c r="C14" s="75" t="s">
        <v>115</v>
      </c>
      <c r="D14" s="354" t="s">
        <v>81</v>
      </c>
      <c r="E14" s="75">
        <v>50.67</v>
      </c>
    </row>
    <row r="15" spans="1:7">
      <c r="A15" s="353"/>
      <c r="B15" s="354" t="s">
        <v>215</v>
      </c>
      <c r="C15" s="75" t="s">
        <v>218</v>
      </c>
      <c r="D15" s="354" t="s">
        <v>81</v>
      </c>
      <c r="E15" s="75">
        <v>57.3</v>
      </c>
    </row>
    <row r="16" spans="1:7">
      <c r="A16" s="353"/>
      <c r="B16" s="354" t="s">
        <v>215</v>
      </c>
      <c r="C16" s="75" t="s">
        <v>134</v>
      </c>
      <c r="D16" s="354" t="s">
        <v>81</v>
      </c>
      <c r="E16" s="75">
        <v>56.43</v>
      </c>
    </row>
    <row r="17" spans="1:5">
      <c r="A17" s="353"/>
      <c r="B17" s="354" t="s">
        <v>215</v>
      </c>
      <c r="C17" s="75" t="s">
        <v>125</v>
      </c>
      <c r="D17" s="354" t="s">
        <v>81</v>
      </c>
      <c r="E17" s="75">
        <v>47.71</v>
      </c>
    </row>
    <row r="18" spans="1:5">
      <c r="A18" s="353"/>
      <c r="B18" s="354" t="s">
        <v>215</v>
      </c>
      <c r="C18" s="75" t="s">
        <v>121</v>
      </c>
      <c r="D18" s="354" t="s">
        <v>120</v>
      </c>
      <c r="E18" s="75">
        <v>49.91</v>
      </c>
    </row>
    <row r="19" spans="1:5">
      <c r="A19" s="353"/>
      <c r="B19" s="354" t="s">
        <v>215</v>
      </c>
      <c r="C19" s="75" t="s">
        <v>124</v>
      </c>
      <c r="D19" s="354" t="s">
        <v>120</v>
      </c>
      <c r="E19" s="75">
        <v>44.3</v>
      </c>
    </row>
    <row r="20" spans="1:5">
      <c r="A20" s="353"/>
      <c r="B20" s="354" t="s">
        <v>215</v>
      </c>
      <c r="C20" s="75" t="s">
        <v>122</v>
      </c>
      <c r="D20" s="354" t="s">
        <v>120</v>
      </c>
      <c r="E20" s="75">
        <v>49.52</v>
      </c>
    </row>
    <row r="21" spans="1:5">
      <c r="A21" s="353"/>
      <c r="B21" s="354" t="s">
        <v>215</v>
      </c>
      <c r="C21" s="75" t="s">
        <v>131</v>
      </c>
      <c r="D21" s="354" t="s">
        <v>128</v>
      </c>
      <c r="E21" s="75">
        <v>28.26</v>
      </c>
    </row>
    <row r="22" spans="1:5">
      <c r="A22" s="353"/>
      <c r="B22" s="354" t="s">
        <v>215</v>
      </c>
      <c r="C22" s="75" t="s">
        <v>129</v>
      </c>
      <c r="D22" s="354" t="s">
        <v>128</v>
      </c>
      <c r="E22" s="75">
        <v>26.99</v>
      </c>
    </row>
    <row r="23" spans="1:5">
      <c r="A23" s="353"/>
      <c r="B23" s="354" t="s">
        <v>215</v>
      </c>
      <c r="C23" s="75" t="s">
        <v>130</v>
      </c>
      <c r="D23" s="354" t="s">
        <v>128</v>
      </c>
      <c r="E23" s="75">
        <v>28.26</v>
      </c>
    </row>
    <row r="24" spans="1:5">
      <c r="A24" s="353"/>
      <c r="B24" s="354" t="s">
        <v>215</v>
      </c>
      <c r="C24" s="75" t="s">
        <v>138</v>
      </c>
      <c r="D24" s="354" t="s">
        <v>128</v>
      </c>
      <c r="E24" s="75">
        <v>28.26</v>
      </c>
    </row>
    <row r="25" spans="1:5">
      <c r="A25" s="353"/>
      <c r="B25" s="354"/>
      <c r="C25" s="75"/>
      <c r="D25" s="354"/>
      <c r="E25" s="75"/>
    </row>
    <row r="26" spans="1:5">
      <c r="A26" s="353"/>
      <c r="B26" s="354"/>
      <c r="C26" s="75"/>
      <c r="D26" s="354"/>
      <c r="E26" s="75"/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1"/>
      <c r="B31" s="354"/>
      <c r="C31" s="75"/>
      <c r="D31" s="354"/>
      <c r="E31" s="75"/>
    </row>
    <row r="32" spans="1:5">
      <c r="A32" s="351"/>
      <c r="B32" s="354"/>
      <c r="C32" s="354"/>
      <c r="D32" s="354"/>
      <c r="E32" s="75"/>
    </row>
    <row r="33" spans="1:5">
      <c r="A33" s="351"/>
      <c r="B33" s="354"/>
      <c r="C33" s="354"/>
      <c r="D33" s="354"/>
      <c r="E33" s="354"/>
    </row>
    <row r="34" spans="1:5">
      <c r="A34" s="351"/>
      <c r="B34" s="354"/>
      <c r="C34" s="354"/>
      <c r="D34" s="354"/>
      <c r="E34" s="354"/>
    </row>
    <row r="35" spans="1:5">
      <c r="A35" s="351"/>
      <c r="B35" s="356"/>
      <c r="C35" s="354"/>
      <c r="D35" s="356"/>
      <c r="E35" s="354"/>
    </row>
    <row r="36" spans="1:5">
      <c r="A36" s="351"/>
      <c r="B36" s="356"/>
      <c r="C36" s="354"/>
      <c r="D36" s="356"/>
      <c r="E36" s="354"/>
    </row>
    <row r="37" spans="1:5">
      <c r="A37" s="351"/>
      <c r="B37" s="356"/>
      <c r="C37" s="75"/>
      <c r="D37" s="356"/>
      <c r="E37" s="75"/>
    </row>
    <row r="38" spans="1:5">
      <c r="A38" s="351"/>
      <c r="B38" s="356"/>
      <c r="C38" s="350"/>
      <c r="D38" s="356"/>
      <c r="E38" s="75"/>
    </row>
    <row r="39" spans="1:5">
      <c r="A39" s="351"/>
      <c r="B39" s="356"/>
      <c r="C39" s="354"/>
      <c r="D39" s="356"/>
      <c r="E39" s="354"/>
    </row>
    <row r="40" spans="1:5">
      <c r="A40" s="351"/>
      <c r="B40" s="357"/>
      <c r="C40" s="357"/>
      <c r="D40" s="357"/>
      <c r="E40" s="357"/>
    </row>
    <row r="41" spans="1:5">
      <c r="A41" s="351"/>
      <c r="B41" s="357"/>
      <c r="C41" s="357"/>
      <c r="D41" s="357"/>
      <c r="E41" s="357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4" t="s">
        <v>219</v>
      </c>
      <c r="C44" s="75" t="s">
        <v>115</v>
      </c>
      <c r="D44" s="354" t="s">
        <v>220</v>
      </c>
      <c r="E44" s="75">
        <v>29.38</v>
      </c>
    </row>
    <row r="45" spans="1:5">
      <c r="A45" s="351"/>
      <c r="B45" s="354" t="s">
        <v>219</v>
      </c>
      <c r="C45" s="75" t="s">
        <v>221</v>
      </c>
      <c r="D45" s="354" t="s">
        <v>220</v>
      </c>
      <c r="E45" s="75">
        <v>29.38</v>
      </c>
    </row>
    <row r="46" spans="1:5">
      <c r="A46" s="351"/>
      <c r="B46" s="354" t="s">
        <v>219</v>
      </c>
      <c r="C46" s="75" t="s">
        <v>222</v>
      </c>
      <c r="D46" s="354" t="s">
        <v>220</v>
      </c>
      <c r="E46" s="75">
        <v>29.38</v>
      </c>
    </row>
    <row r="47" spans="1:5">
      <c r="A47" s="351"/>
      <c r="B47" s="354" t="s">
        <v>219</v>
      </c>
      <c r="C47" s="75" t="s">
        <v>223</v>
      </c>
      <c r="D47" s="354" t="s">
        <v>220</v>
      </c>
      <c r="E47" s="75">
        <v>29.38</v>
      </c>
    </row>
    <row r="48" spans="1:5">
      <c r="A48" s="351"/>
      <c r="B48" s="354" t="s">
        <v>219</v>
      </c>
      <c r="C48" s="75" t="s">
        <v>224</v>
      </c>
      <c r="D48" s="354" t="s">
        <v>220</v>
      </c>
      <c r="E48" s="75">
        <v>29.38</v>
      </c>
    </row>
    <row r="49" spans="1:5">
      <c r="A49" s="351"/>
      <c r="B49" s="354" t="s">
        <v>219</v>
      </c>
      <c r="C49" s="75" t="s">
        <v>225</v>
      </c>
      <c r="D49" s="354" t="s">
        <v>220</v>
      </c>
      <c r="E49" s="75">
        <v>29.38</v>
      </c>
    </row>
    <row r="50" spans="1:5">
      <c r="A50" s="351"/>
      <c r="B50" s="354" t="s">
        <v>219</v>
      </c>
      <c r="C50" s="75"/>
      <c r="D50" s="354" t="s">
        <v>220</v>
      </c>
      <c r="E50" s="75"/>
    </row>
    <row r="51" spans="1:5">
      <c r="A51" s="351"/>
      <c r="B51" s="354" t="s">
        <v>219</v>
      </c>
      <c r="C51" s="354" t="s">
        <v>226</v>
      </c>
      <c r="D51" s="354" t="s">
        <v>220</v>
      </c>
      <c r="E51" s="75">
        <v>29.38</v>
      </c>
    </row>
    <row r="52" spans="1:5">
      <c r="A52" s="351"/>
      <c r="B52" s="354" t="s">
        <v>219</v>
      </c>
      <c r="C52" s="354"/>
      <c r="D52" s="354" t="s">
        <v>220</v>
      </c>
      <c r="E52" s="354"/>
    </row>
    <row r="53" spans="1:5">
      <c r="A53" s="351"/>
      <c r="B53" s="354" t="s">
        <v>219</v>
      </c>
      <c r="C53" s="354" t="s">
        <v>227</v>
      </c>
      <c r="D53" s="354" t="s">
        <v>220</v>
      </c>
      <c r="E53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G32"/>
  <sheetViews>
    <sheetView workbookViewId="0">
      <selection activeCell="I22" sqref="I22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69" width="10.28515625" style="347" customWidth="1"/>
    <col min="70" max="16384" width="10.28515625" style="347"/>
  </cols>
  <sheetData>
    <row r="1" spans="1:7">
      <c r="A1" s="345" t="s">
        <v>231</v>
      </c>
      <c r="B1" s="345" t="s">
        <v>24</v>
      </c>
      <c r="C1" s="345" t="s">
        <v>232</v>
      </c>
      <c r="D1" s="346"/>
    </row>
    <row r="2" spans="1:7">
      <c r="A2" s="345" t="s">
        <v>81</v>
      </c>
      <c r="B2" s="345"/>
      <c r="C2" s="345"/>
      <c r="D2" s="346"/>
    </row>
    <row r="3" spans="1:7">
      <c r="A3" s="345" t="s">
        <v>113</v>
      </c>
      <c r="B3" s="345">
        <v>12</v>
      </c>
      <c r="C3" s="345">
        <v>2105</v>
      </c>
      <c r="D3" s="348" t="s">
        <v>106</v>
      </c>
    </row>
    <row r="4" spans="1:7">
      <c r="A4" s="345" t="s">
        <v>233</v>
      </c>
      <c r="B4" s="345">
        <v>15</v>
      </c>
      <c r="C4" s="345">
        <v>1565</v>
      </c>
      <c r="D4" s="348" t="s">
        <v>107</v>
      </c>
    </row>
    <row r="5" spans="1:7">
      <c r="A5" s="345" t="s">
        <v>115</v>
      </c>
      <c r="B5" s="345">
        <v>12</v>
      </c>
      <c r="C5" s="345">
        <v>2100</v>
      </c>
      <c r="D5" s="346"/>
    </row>
    <row r="6" spans="1:7">
      <c r="A6" s="345" t="s">
        <v>118</v>
      </c>
      <c r="B6" s="345">
        <v>11</v>
      </c>
      <c r="C6" s="345">
        <v>2100</v>
      </c>
      <c r="D6" s="346"/>
    </row>
    <row r="7" spans="1:7">
      <c r="A7" s="345" t="s">
        <v>127</v>
      </c>
      <c r="B7" s="345">
        <v>16</v>
      </c>
      <c r="C7" s="345">
        <v>1714</v>
      </c>
      <c r="D7" s="346"/>
    </row>
    <row r="8" spans="1:7">
      <c r="A8" s="345" t="s">
        <v>117</v>
      </c>
      <c r="B8" s="345">
        <v>13</v>
      </c>
      <c r="C8" s="345">
        <v>2100</v>
      </c>
      <c r="D8" s="346"/>
    </row>
    <row r="9" spans="1:7">
      <c r="A9" s="345" t="s">
        <v>123</v>
      </c>
      <c r="B9" s="345">
        <v>17</v>
      </c>
      <c r="C9" s="345">
        <v>1565</v>
      </c>
      <c r="D9" s="346"/>
    </row>
    <row r="10" spans="1:7">
      <c r="A10" s="345" t="s">
        <v>121</v>
      </c>
      <c r="B10" s="345">
        <v>15</v>
      </c>
      <c r="C10" s="345">
        <v>1565</v>
      </c>
      <c r="D10" s="346"/>
    </row>
    <row r="11" spans="1:7">
      <c r="A11" s="345" t="s">
        <v>134</v>
      </c>
      <c r="B11" s="345">
        <v>16</v>
      </c>
      <c r="C11" s="345">
        <v>1406</v>
      </c>
      <c r="D11" s="346"/>
    </row>
    <row r="12" spans="1:7">
      <c r="A12" s="345" t="s">
        <v>125</v>
      </c>
      <c r="B12" s="345">
        <v>16</v>
      </c>
      <c r="C12" s="345">
        <v>1636</v>
      </c>
      <c r="D12" s="346"/>
      <c r="G12" s="349"/>
    </row>
    <row r="13" spans="1:7">
      <c r="A13" s="345" t="s">
        <v>234</v>
      </c>
      <c r="B13" s="345">
        <v>16</v>
      </c>
      <c r="C13" s="345">
        <v>1440</v>
      </c>
      <c r="D13" s="346"/>
    </row>
    <row r="14" spans="1:7">
      <c r="A14" s="345" t="s">
        <v>116</v>
      </c>
      <c r="B14" s="345">
        <v>15</v>
      </c>
      <c r="C14" s="345">
        <v>1800</v>
      </c>
      <c r="D14" s="346"/>
    </row>
    <row r="15" spans="1:7">
      <c r="A15" s="345" t="s">
        <v>119</v>
      </c>
      <c r="B15" s="345">
        <v>14</v>
      </c>
      <c r="C15" s="345">
        <v>1500</v>
      </c>
      <c r="D15" s="346"/>
    </row>
    <row r="16" spans="1:7">
      <c r="A16" s="345" t="s">
        <v>122</v>
      </c>
      <c r="B16" s="345">
        <v>17</v>
      </c>
      <c r="C16" s="345">
        <v>1440</v>
      </c>
      <c r="D16" s="346"/>
    </row>
    <row r="17" spans="1:5">
      <c r="A17" s="345" t="s">
        <v>124</v>
      </c>
      <c r="B17" s="345">
        <v>17</v>
      </c>
      <c r="C17" s="345">
        <v>1565</v>
      </c>
      <c r="D17" s="346"/>
    </row>
    <row r="18" spans="1:5">
      <c r="A18" s="350" t="s">
        <v>132</v>
      </c>
      <c r="B18" s="345">
        <v>10</v>
      </c>
      <c r="C18" s="345">
        <v>1125</v>
      </c>
      <c r="D18" s="346"/>
    </row>
    <row r="19" spans="1:5">
      <c r="A19" s="345" t="s">
        <v>137</v>
      </c>
      <c r="B19" s="345">
        <v>16</v>
      </c>
      <c r="C19" s="345">
        <v>1565</v>
      </c>
      <c r="D19" s="346"/>
    </row>
    <row r="20" spans="1:5">
      <c r="A20" s="345" t="s">
        <v>172</v>
      </c>
      <c r="B20" s="345">
        <v>15</v>
      </c>
      <c r="C20" s="345">
        <v>2000</v>
      </c>
      <c r="D20" s="346"/>
    </row>
    <row r="21" spans="1:5">
      <c r="A21" s="345"/>
      <c r="B21" s="345"/>
      <c r="C21" s="345"/>
      <c r="D21" s="346"/>
    </row>
    <row r="22" spans="1:5">
      <c r="A22" s="345"/>
      <c r="B22" s="345"/>
      <c r="C22" s="345"/>
      <c r="D22" s="346"/>
    </row>
    <row r="23" spans="1:5">
      <c r="A23" s="350"/>
      <c r="B23" s="345"/>
      <c r="C23" s="345"/>
      <c r="D23" s="346"/>
    </row>
    <row r="24" spans="1:5">
      <c r="A24" s="345" t="s">
        <v>235</v>
      </c>
      <c r="B24" s="345"/>
      <c r="C24" s="345"/>
      <c r="D24" s="346"/>
    </row>
    <row r="25" spans="1:5">
      <c r="A25" s="345" t="s">
        <v>129</v>
      </c>
      <c r="B25" s="345">
        <v>13</v>
      </c>
      <c r="C25" s="345">
        <v>1565</v>
      </c>
      <c r="D25" s="346"/>
    </row>
    <row r="26" spans="1:5">
      <c r="A26" s="345" t="s">
        <v>130</v>
      </c>
      <c r="B26" s="345">
        <v>12</v>
      </c>
      <c r="C26" s="345">
        <v>1565</v>
      </c>
      <c r="D26" s="346"/>
    </row>
    <row r="27" spans="1:5">
      <c r="A27" s="345" t="s">
        <v>236</v>
      </c>
      <c r="B27" s="345">
        <v>12</v>
      </c>
      <c r="C27" s="345">
        <v>1565</v>
      </c>
    </row>
    <row r="28" spans="1:5">
      <c r="A28" s="345" t="s">
        <v>131</v>
      </c>
      <c r="B28" s="345">
        <v>12</v>
      </c>
      <c r="C28" s="345">
        <v>1565</v>
      </c>
    </row>
    <row r="29" spans="1:5">
      <c r="A29" s="345" t="s">
        <v>138</v>
      </c>
      <c r="B29" s="345">
        <v>9</v>
      </c>
      <c r="C29" s="345">
        <v>1636</v>
      </c>
    </row>
    <row r="30" spans="1:5">
      <c r="A30" s="345"/>
      <c r="B30" s="345"/>
      <c r="C30" s="345"/>
    </row>
    <row r="31" spans="1:5">
      <c r="A31" s="345"/>
      <c r="B31" s="345"/>
      <c r="C31" s="345"/>
    </row>
    <row r="32" spans="1:5">
      <c r="E32" s="347" t="s">
        <v>237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46015</v>
      </c>
      <c r="E3" s="466"/>
      <c r="F3" s="3" t="s">
        <v>72</v>
      </c>
      <c r="G3" s="467">
        <f>範本!E1</f>
        <v>43309</v>
      </c>
      <c r="H3" s="467"/>
      <c r="I3" s="3" t="s">
        <v>2</v>
      </c>
      <c r="J3" s="468" t="e">
        <f>範本!G1</f>
        <v>#N/A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 t="e">
        <f>AVERAGE(D13:J13)</f>
        <v>#N/A</v>
      </c>
      <c r="G6" s="473"/>
      <c r="H6" s="474" t="e">
        <f>AVERAGE(D13:H13)</f>
        <v>#N/A</v>
      </c>
      <c r="I6" s="474"/>
      <c r="J6" s="474" t="e">
        <f>AVERAGE(I13:J13)</f>
        <v>#N/A</v>
      </c>
      <c r="K6" s="474"/>
      <c r="L6" s="476">
        <f>範本!Z2</f>
        <v>0</v>
      </c>
      <c r="M6" s="477">
        <f>範本!AA2</f>
        <v>0</v>
      </c>
      <c r="N6" s="478">
        <f>範本!AD2</f>
        <v>0</v>
      </c>
      <c r="O6" s="477">
        <f>範本!AE2</f>
        <v>0</v>
      </c>
    </row>
    <row r="7" spans="2:15" s="6" customFormat="1" ht="39.6" customHeight="1">
      <c r="B7" s="462"/>
      <c r="C7" s="462"/>
      <c r="D7" s="469" t="s">
        <v>87</v>
      </c>
      <c r="E7" s="469"/>
      <c r="F7" s="497">
        <f>AVERAGE(D14:J14)</f>
        <v>116.11474837607263</v>
      </c>
      <c r="G7" s="497"/>
      <c r="H7" s="498">
        <f>AVERAGE(D14:H14)</f>
        <v>117.36074805627914</v>
      </c>
      <c r="I7" s="498"/>
      <c r="J7" s="498">
        <f>AVERAGE(I14:J14)</f>
        <v>112.99974917555633</v>
      </c>
      <c r="K7" s="498"/>
      <c r="L7" s="476"/>
      <c r="M7" s="477"/>
      <c r="N7" s="478"/>
      <c r="O7" s="477"/>
    </row>
    <row r="8" spans="2:15" s="6" customFormat="1" ht="39.6" customHeight="1">
      <c r="B8" s="462"/>
      <c r="C8" s="462"/>
      <c r="D8" s="469" t="s">
        <v>27</v>
      </c>
      <c r="E8" s="469"/>
      <c r="F8" s="470" t="e">
        <f>AVERAGE(D15:J15)</f>
        <v>#N/A</v>
      </c>
      <c r="G8" s="470"/>
      <c r="H8" s="470" t="e">
        <f>AVERAGE(D15:H15)</f>
        <v>#N/A</v>
      </c>
      <c r="I8" s="470"/>
      <c r="J8" s="470" t="e">
        <f>AVERAGE(I15:J15)</f>
        <v>#N/A</v>
      </c>
      <c r="K8" s="470"/>
      <c r="L8" s="476"/>
      <c r="M8" s="477"/>
      <c r="N8" s="478"/>
      <c r="O8" s="47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2"/>
      <c r="C15" s="10" t="s">
        <v>26</v>
      </c>
      <c r="D15" s="14" t="e">
        <f>D14/D13</f>
        <v>#N/A</v>
      </c>
      <c r="E15" s="14" t="e">
        <f t="shared" ref="E15:I15" si="0">E14/E13</f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9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9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9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9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9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9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79" t="s">
        <v>104</v>
      </c>
      <c r="C22" s="480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13</v>
      </c>
      <c r="B2" s="44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e">
        <f>VLOOKUP(D5,廠價表!$C$1:$E$41,2,0)</f>
        <v>#N/A</v>
      </c>
      <c r="C5" s="40"/>
      <c r="D5" s="168"/>
      <c r="E5" s="41"/>
      <c r="F5" s="39" t="e">
        <f>VLOOKUP(D5,廠價表!$C$1:$E$41,3,0)</f>
        <v>#N/A</v>
      </c>
      <c r="G5" s="42">
        <v>2263</v>
      </c>
      <c r="H5" s="43" t="e">
        <f>F5*G5</f>
        <v>#N/A</v>
      </c>
      <c r="I5" s="44"/>
      <c r="J5" s="45" t="e">
        <f>VLOOKUP(D5,產線配置圖!$A$3:$C$38,2,0)</f>
        <v>#N/A</v>
      </c>
      <c r="K5" s="46" t="e">
        <f>VLOOKUP(D5,產線配置圖!$A$3:$C$38,3,0)</f>
        <v>#N/A</v>
      </c>
      <c r="L5" s="47" t="e">
        <f t="shared" ref="L5:L7" si="0">K5/J5</f>
        <v>#N/A</v>
      </c>
      <c r="M5" s="48">
        <v>15</v>
      </c>
      <c r="N5" s="46">
        <f t="shared" ref="N5:N7" si="1">G5/W5*60</f>
        <v>1444.4680851063781</v>
      </c>
      <c r="O5" s="47">
        <f t="shared" ref="O5:O7" si="2">N5/M5</f>
        <v>96.297872340425201</v>
      </c>
      <c r="P5" s="49" t="e">
        <f t="shared" ref="P5:P7" si="3">M5-J5</f>
        <v>#N/A</v>
      </c>
      <c r="Q5" s="50" t="e">
        <f t="shared" ref="Q5:Q7" si="4">O5-L5</f>
        <v>#N/A</v>
      </c>
      <c r="R5" s="51" t="e">
        <f t="shared" ref="R5:R7" si="5">O5/L5</f>
        <v>#N/A</v>
      </c>
      <c r="S5" s="376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6">(U5-T5)*24*60</f>
        <v>94.000000000000313</v>
      </c>
      <c r="X5" s="55"/>
      <c r="Y5" s="290"/>
      <c r="Z5" s="169"/>
      <c r="AA5" s="169"/>
      <c r="AB5" s="381"/>
      <c r="AC5" s="381"/>
      <c r="AD5" s="135"/>
      <c r="AE5" s="135"/>
      <c r="AF5" s="229" t="e">
        <f t="shared" ref="AF5:AF11" si="7">N5-K5</f>
        <v>#N/A</v>
      </c>
      <c r="AG5" s="52" t="e">
        <f t="shared" ref="AG5:AG11" si="8">N5/K5</f>
        <v>#N/A</v>
      </c>
      <c r="AH5" s="382" t="e">
        <f>AG15</f>
        <v>#N/A</v>
      </c>
    </row>
    <row r="6" spans="1:34" ht="15" customHeight="1">
      <c r="A6" s="423"/>
      <c r="B6" s="57" t="e">
        <f>VLOOKUP(D6,廠價表!$C$1:$E$41,2,0)</f>
        <v>#N/A</v>
      </c>
      <c r="C6" s="58"/>
      <c r="D6" s="59"/>
      <c r="E6" s="60"/>
      <c r="F6" s="61" t="e">
        <f>VLOOKUP(D6,廠價表!$C$1:$E$41,3,0)</f>
        <v>#N/A</v>
      </c>
      <c r="G6" s="62">
        <v>1180</v>
      </c>
      <c r="H6" s="63" t="e">
        <f>F6*G6</f>
        <v>#N/A</v>
      </c>
      <c r="I6" s="64"/>
      <c r="J6" s="65" t="e">
        <f>VLOOKUP(D6,產線配置圖!$A$3:$C$38,2,0)</f>
        <v>#N/A</v>
      </c>
      <c r="K6" s="66" t="e">
        <f>VLOOKUP(D6,產線配置圖!$A$3:$C$38,3,0)</f>
        <v>#N/A</v>
      </c>
      <c r="L6" s="67" t="e">
        <f t="shared" si="0"/>
        <v>#N/A</v>
      </c>
      <c r="M6" s="68">
        <v>17</v>
      </c>
      <c r="N6" s="66">
        <f t="shared" si="1"/>
        <v>1609.0909090908858</v>
      </c>
      <c r="O6" s="67">
        <f t="shared" si="2"/>
        <v>94.652406417110925</v>
      </c>
      <c r="P6" s="69" t="e">
        <f t="shared" si="3"/>
        <v>#N/A</v>
      </c>
      <c r="Q6" s="70" t="e">
        <f t="shared" si="4"/>
        <v>#N/A</v>
      </c>
      <c r="R6" s="71" t="e">
        <f t="shared" si="5"/>
        <v>#N/A</v>
      </c>
      <c r="S6" s="377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6"/>
        <v>44.000000000000639</v>
      </c>
      <c r="X6" s="22"/>
      <c r="Y6" s="84"/>
      <c r="Z6" s="90"/>
      <c r="AA6" s="90"/>
      <c r="AB6" s="417"/>
      <c r="AC6" s="417"/>
      <c r="AD6" s="149"/>
      <c r="AE6" s="149"/>
      <c r="AF6" s="307" t="e">
        <f t="shared" si="7"/>
        <v>#N/A</v>
      </c>
      <c r="AG6" s="72" t="e">
        <f t="shared" si="8"/>
        <v>#N/A</v>
      </c>
      <c r="AH6" s="384"/>
    </row>
    <row r="7" spans="1:34" ht="15" customHeight="1">
      <c r="A7" s="423"/>
      <c r="B7" s="75" t="e">
        <f>VLOOKUP(D7,廠價表!$C$1:$E$41,2,0)</f>
        <v>#N/A</v>
      </c>
      <c r="C7" s="76"/>
      <c r="D7" s="59"/>
      <c r="E7" s="77"/>
      <c r="F7" s="75" t="e">
        <f>VLOOKUP(D7,廠價表!$C$1:$E$41,3,0)</f>
        <v>#N/A</v>
      </c>
      <c r="G7" s="66">
        <v>3398</v>
      </c>
      <c r="H7" s="78" t="e">
        <f>F7*G7</f>
        <v>#N/A</v>
      </c>
      <c r="I7" s="73"/>
      <c r="J7" s="79" t="e">
        <f>VLOOKUP(D7,產線配置圖!$A$3:$C$38,2,0)</f>
        <v>#N/A</v>
      </c>
      <c r="K7" s="80" t="e">
        <f>VLOOKUP(D7,產線配置圖!$A$3:$C$38,3,0)</f>
        <v>#N/A</v>
      </c>
      <c r="L7" s="81" t="e">
        <f t="shared" si="0"/>
        <v>#N/A</v>
      </c>
      <c r="M7" s="82">
        <v>13</v>
      </c>
      <c r="N7" s="80">
        <f t="shared" si="1"/>
        <v>1960.3846153846225</v>
      </c>
      <c r="O7" s="81">
        <f t="shared" si="2"/>
        <v>150.7988165680479</v>
      </c>
      <c r="P7" s="74" t="e">
        <f t="shared" si="3"/>
        <v>#N/A</v>
      </c>
      <c r="Q7" s="83" t="e">
        <f t="shared" si="4"/>
        <v>#N/A</v>
      </c>
      <c r="R7" s="72" t="e">
        <f t="shared" si="5"/>
        <v>#N/A</v>
      </c>
      <c r="S7" s="377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6"/>
        <v>103.99999999999963</v>
      </c>
      <c r="X7" s="22"/>
      <c r="Y7" s="84"/>
      <c r="Z7" s="90"/>
      <c r="AA7" s="90"/>
      <c r="AB7" s="388"/>
      <c r="AC7" s="388"/>
      <c r="AD7" s="92"/>
      <c r="AE7" s="92"/>
      <c r="AF7" s="307" t="e">
        <f t="shared" si="7"/>
        <v>#N/A</v>
      </c>
      <c r="AG7" s="72" t="e">
        <f t="shared" si="8"/>
        <v>#N/A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 t="e">
        <f t="shared" ref="J15:O15" si="9">AVERAGE(J5:J14)</f>
        <v>#N/A</v>
      </c>
      <c r="K15" s="120" t="e">
        <f t="shared" si="9"/>
        <v>#N/A</v>
      </c>
      <c r="L15" s="117" t="e">
        <f t="shared" si="9"/>
        <v>#N/A</v>
      </c>
      <c r="M15" s="120">
        <f t="shared" si="9"/>
        <v>15</v>
      </c>
      <c r="N15" s="120">
        <f t="shared" si="9"/>
        <v>1671.3145365272956</v>
      </c>
      <c r="O15" s="117">
        <f t="shared" si="9"/>
        <v>113.916365108528</v>
      </c>
      <c r="P15" s="121" t="e">
        <f t="shared" ref="P15:P18" si="10">M15-J15</f>
        <v>#N/A</v>
      </c>
      <c r="Q15" s="122" t="e">
        <f t="shared" ref="Q15:Q18" si="11">O15-L15</f>
        <v>#N/A</v>
      </c>
      <c r="R15" s="123" t="e">
        <f t="shared" ref="R15:R18" si="12">O15/L15</f>
        <v>#N/A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 t="e">
        <f t="shared" ref="AF15:AF19" si="13">N15-K15</f>
        <v>#N/A</v>
      </c>
      <c r="AG15" s="124" t="e">
        <f t="shared" ref="AG15:AG19" si="14">N15/K15</f>
        <v>#N/A</v>
      </c>
      <c r="AH15" s="386"/>
    </row>
    <row r="16" spans="1:34" ht="15" customHeight="1">
      <c r="A16" s="418" t="s">
        <v>43</v>
      </c>
      <c r="B16" s="129" t="e">
        <f>VLOOKUP(D16,廠價表!$C$1:$E$41,2,0)</f>
        <v>#N/A</v>
      </c>
      <c r="C16" s="130"/>
      <c r="D16" s="131"/>
      <c r="E16" s="132"/>
      <c r="F16" s="129" t="e">
        <f>VLOOKUP(D16,廠價表!$C$1:$E$41,3,0)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VLOOKUP(D16,產線配置圖!$A$3:$C$38,2,0)</f>
        <v>#N/A</v>
      </c>
      <c r="K16" s="137" t="e">
        <f>VLOOKUP(D16,產線配置圖!$A$3:$C$38,3,0)</f>
        <v>#N/A</v>
      </c>
      <c r="L16" s="138" t="e">
        <f t="shared" ref="L16:L18" si="15">K16/J16</f>
        <v>#N/A</v>
      </c>
      <c r="M16" s="139">
        <v>13</v>
      </c>
      <c r="N16" s="140">
        <f t="shared" ref="N16:N18" si="16"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 t="shared" si="11"/>
        <v>#N/A</v>
      </c>
      <c r="R16" s="144" t="e">
        <f>O16/L16</f>
        <v>#N/A</v>
      </c>
      <c r="S16" s="413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17">(U16-T16)*24*60</f>
        <v>60.999999999999787</v>
      </c>
      <c r="X16" s="141"/>
      <c r="Y16" s="296"/>
      <c r="Z16" s="169"/>
      <c r="AA16" s="169"/>
      <c r="AB16" s="381"/>
      <c r="AC16" s="381"/>
      <c r="AD16" s="135"/>
      <c r="AE16" s="135"/>
      <c r="AF16" s="229" t="e">
        <f t="shared" si="13"/>
        <v>#N/A</v>
      </c>
      <c r="AG16" s="52" t="e">
        <f t="shared" si="14"/>
        <v>#N/A</v>
      </c>
      <c r="AH16" s="382" t="e">
        <f>AG26</f>
        <v>#N/A</v>
      </c>
    </row>
    <row r="17" spans="1:34" ht="15" customHeight="1">
      <c r="A17" s="419"/>
      <c r="B17" s="75" t="e">
        <f>VLOOKUP(D17,廠價表!$C$1:$E$41,2,0)</f>
        <v>#N/A</v>
      </c>
      <c r="C17" s="76"/>
      <c r="D17" s="59"/>
      <c r="E17" s="77"/>
      <c r="F17" s="75" t="e">
        <f>VLOOKUP(D17,廠價表!$C$1:$E$41,3,0)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VLOOKUP(D17,產線配置圖!$A$3:$C$38,2,0)</f>
        <v>#N/A</v>
      </c>
      <c r="K17" s="80" t="e">
        <f>VLOOKUP(D17,產線配置圖!$A$3:$C$38,3,0)</f>
        <v>#N/A</v>
      </c>
      <c r="L17" s="81" t="e">
        <f t="shared" si="15"/>
        <v>#N/A</v>
      </c>
      <c r="M17" s="148">
        <v>13</v>
      </c>
      <c r="N17" s="95">
        <f>G17/W17*60</f>
        <v>823.25581395349127</v>
      </c>
      <c r="O17" s="96">
        <f t="shared" ref="O17:O18" si="18">N17/M17</f>
        <v>63.327370304114716</v>
      </c>
      <c r="P17" s="97" t="e">
        <f t="shared" si="10"/>
        <v>#N/A</v>
      </c>
      <c r="Q17" s="98" t="e">
        <f t="shared" si="11"/>
        <v>#N/A</v>
      </c>
      <c r="R17" s="99" t="e">
        <f t="shared" si="12"/>
        <v>#N/A</v>
      </c>
      <c r="S17" s="414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17"/>
        <v>85.999999999999687</v>
      </c>
      <c r="X17" s="19"/>
      <c r="Y17" s="297"/>
      <c r="Z17" s="90"/>
      <c r="AA17" s="90"/>
      <c r="AB17" s="388"/>
      <c r="AC17" s="388"/>
      <c r="AD17" s="92"/>
      <c r="AE17" s="92"/>
      <c r="AF17" s="307" t="e">
        <f t="shared" si="13"/>
        <v>#N/A</v>
      </c>
      <c r="AG17" s="72" t="e">
        <f t="shared" si="14"/>
        <v>#N/A</v>
      </c>
      <c r="AH17" s="384"/>
    </row>
    <row r="18" spans="1:34" ht="15" customHeight="1">
      <c r="A18" s="419"/>
      <c r="B18" s="75" t="e">
        <f>VLOOKUP(D18,廠價表!$C$1:$E$41,2,0)</f>
        <v>#N/A</v>
      </c>
      <c r="C18" s="76"/>
      <c r="D18" s="59"/>
      <c r="E18" s="77"/>
      <c r="F18" s="75" t="e">
        <f>VLOOKUP(D18,廠價表!$C$1:$E$41,3,0)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VLOOKUP(D18,產線配置圖!$A$3:$C$38,2,0)</f>
        <v>#N/A</v>
      </c>
      <c r="K18" s="80" t="e">
        <f>VLOOKUP(D18,產線配置圖!$A$3:$C$38,3,0)</f>
        <v>#N/A</v>
      </c>
      <c r="L18" s="81" t="e">
        <f t="shared" si="15"/>
        <v>#N/A</v>
      </c>
      <c r="M18" s="148">
        <v>12</v>
      </c>
      <c r="N18" s="95">
        <f t="shared" si="16"/>
        <v>1941.7142857142762</v>
      </c>
      <c r="O18" s="96">
        <f t="shared" si="18"/>
        <v>161.80952380952303</v>
      </c>
      <c r="P18" s="97" t="e">
        <f t="shared" si="10"/>
        <v>#N/A</v>
      </c>
      <c r="Q18" s="98" t="e">
        <f t="shared" si="11"/>
        <v>#N/A</v>
      </c>
      <c r="R18" s="99" t="e">
        <f t="shared" si="12"/>
        <v>#N/A</v>
      </c>
      <c r="S18" s="414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17"/>
        <v>105.00000000000051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 t="e">
        <f t="shared" si="13"/>
        <v>#N/A</v>
      </c>
      <c r="AG18" s="72" t="e">
        <f t="shared" si="14"/>
        <v>#N/A</v>
      </c>
      <c r="AH18" s="384"/>
    </row>
    <row r="19" spans="1:34" ht="15" customHeight="1">
      <c r="A19" s="41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14"/>
      <c r="T19" s="19"/>
      <c r="U19" s="19"/>
      <c r="V19" s="30">
        <f>(T19-U18)*24*60</f>
        <v>-695.00000000000011</v>
      </c>
      <c r="W19" s="149">
        <f t="shared" si="17"/>
        <v>0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0</v>
      </c>
      <c r="AG19" s="72" t="e">
        <f t="shared" si="14"/>
        <v>#DIV/0!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>
        <f>(T20-U19)*24*60</f>
        <v>0</v>
      </c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 t="e">
        <f t="shared" ref="J26:O26" si="20">AVERAGE(J16:J25)</f>
        <v>#N/A</v>
      </c>
      <c r="K26" s="155" t="e">
        <f t="shared" si="20"/>
        <v>#N/A</v>
      </c>
      <c r="L26" s="158" t="e">
        <f t="shared" si="20"/>
        <v>#N/A</v>
      </c>
      <c r="M26" s="155">
        <f t="shared" si="20"/>
        <v>12.666666666666666</v>
      </c>
      <c r="N26" s="155">
        <f t="shared" si="20"/>
        <v>1663.6239130040128</v>
      </c>
      <c r="O26" s="158">
        <f t="shared" si="20"/>
        <v>132.12003238004002</v>
      </c>
      <c r="P26" s="159" t="e">
        <f t="shared" ref="P26:P29" si="21">M26-J26</f>
        <v>#N/A</v>
      </c>
      <c r="Q26" s="160" t="e">
        <f t="shared" ref="Q26:Q29" si="22">O26-L26</f>
        <v>#N/A</v>
      </c>
      <c r="R26" s="161" t="e">
        <f>O26/L26</f>
        <v>#N/A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 t="e">
        <f t="shared" ref="AF26:AF31" si="23">N26-K26</f>
        <v>#N/A</v>
      </c>
      <c r="AG26" s="124" t="e">
        <f t="shared" ref="AG26:AG31" si="24">N26/K26</f>
        <v>#N/A</v>
      </c>
      <c r="AH26" s="386"/>
    </row>
    <row r="27" spans="1:34" ht="15" customHeight="1">
      <c r="A27" s="410" t="s">
        <v>45</v>
      </c>
      <c r="B27" s="167" t="e">
        <f>VLOOKUP(D27,廠價表!$C$1:$E$41,2,0)</f>
        <v>#N/A</v>
      </c>
      <c r="C27" s="130"/>
      <c r="D27" s="168"/>
      <c r="E27" s="132"/>
      <c r="F27" s="129" t="e">
        <f>VLOOKUP(D27,廠價表!$C$1:$E$41,3,0)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VLOOKUP(D27,產線配置圖!$A$3:$C$38,2,0)</f>
        <v>#N/A</v>
      </c>
      <c r="K27" s="137" t="e">
        <f>VLOOKUP(D27,產線配置圖!$A$3:$C$38,3,0)</f>
        <v>#N/A</v>
      </c>
      <c r="L27" s="138" t="e">
        <f t="shared" ref="L27:L29" si="25"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 t="shared" si="21"/>
        <v>#N/A</v>
      </c>
      <c r="Q27" s="143" t="e">
        <f t="shared" si="22"/>
        <v>#N/A</v>
      </c>
      <c r="R27" s="144" t="e">
        <f>O27/L27</f>
        <v>#N/A</v>
      </c>
      <c r="S27" s="413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17"/>
        <v>111.99999999999888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 t="e">
        <f t="shared" si="23"/>
        <v>#N/A</v>
      </c>
      <c r="AG27" s="172" t="e">
        <f t="shared" si="24"/>
        <v>#N/A</v>
      </c>
      <c r="AH27" s="382" t="e">
        <f>AG37</f>
        <v>#N/A</v>
      </c>
    </row>
    <row r="28" spans="1:34" ht="15" customHeight="1">
      <c r="A28" s="411"/>
      <c r="B28" s="75" t="e">
        <f>VLOOKUP(D28,廠價表!$C$1:$E$41,2,0)</f>
        <v>#N/A</v>
      </c>
      <c r="C28" s="173"/>
      <c r="D28" s="59"/>
      <c r="E28" s="104"/>
      <c r="F28" s="75" t="e">
        <f>VLOOKUP(D28,廠價表!$C$1:$E$41,3,0)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VLOOKUP(D28,產線配置圖!$A$3:$C$38,2,0)</f>
        <v>#N/A</v>
      </c>
      <c r="K28" s="80" t="e">
        <f>VLOOKUP(D28,產線配置圖!$A$3:$C$38,3,0)</f>
        <v>#N/A</v>
      </c>
      <c r="L28" s="93" t="e">
        <f t="shared" si="25"/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 t="shared" si="21"/>
        <v>#N/A</v>
      </c>
      <c r="Q28" s="98" t="e">
        <f t="shared" si="22"/>
        <v>#N/A</v>
      </c>
      <c r="R28" s="99" t="e">
        <f t="shared" ref="R28:R29" si="26">O28/L28</f>
        <v>#N/A</v>
      </c>
      <c r="S28" s="414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17"/>
        <v>65.000000000000171</v>
      </c>
      <c r="X28" s="174"/>
      <c r="Y28" s="301"/>
      <c r="Z28" s="335"/>
      <c r="AA28" s="335"/>
      <c r="AB28" s="388"/>
      <c r="AC28" s="388"/>
      <c r="AD28" s="92"/>
      <c r="AE28" s="92"/>
      <c r="AF28" s="311" t="e">
        <f t="shared" si="23"/>
        <v>#N/A</v>
      </c>
      <c r="AG28" s="99" t="e">
        <f t="shared" si="24"/>
        <v>#N/A</v>
      </c>
      <c r="AH28" s="383"/>
    </row>
    <row r="29" spans="1:34" ht="15" customHeight="1">
      <c r="A29" s="411"/>
      <c r="B29" s="75" t="e">
        <f>VLOOKUP(D29,廠價表!$C$1:$E$41,2,0)</f>
        <v>#N/A</v>
      </c>
      <c r="C29" s="173"/>
      <c r="D29" s="59"/>
      <c r="E29" s="104"/>
      <c r="F29" s="75" t="e">
        <f>VLOOKUP(D29,廠價表!$C$1:$E$41,3,0)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VLOOKUP(D29,產線配置圖!$A$3:$C$38,2,0)</f>
        <v>#N/A</v>
      </c>
      <c r="K29" s="80" t="e">
        <f>VLOOKUP(D29,產線配置圖!$A$3:$C$38,3,0)</f>
        <v>#N/A</v>
      </c>
      <c r="L29" s="93" t="e">
        <f t="shared" si="25"/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 t="shared" si="21"/>
        <v>#N/A</v>
      </c>
      <c r="Q29" s="98" t="e">
        <f t="shared" si="22"/>
        <v>#N/A</v>
      </c>
      <c r="R29" s="99" t="e">
        <f t="shared" si="26"/>
        <v>#N/A</v>
      </c>
      <c r="S29" s="414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17"/>
        <v>64.99999999999865</v>
      </c>
      <c r="X29" s="22"/>
      <c r="Y29" s="84"/>
      <c r="Z29" s="90"/>
      <c r="AA29" s="90"/>
      <c r="AB29" s="388"/>
      <c r="AC29" s="388"/>
      <c r="AD29" s="92"/>
      <c r="AE29" s="92"/>
      <c r="AF29" s="312" t="e">
        <f t="shared" si="23"/>
        <v>#N/A</v>
      </c>
      <c r="AG29" s="99" t="e">
        <f t="shared" si="24"/>
        <v>#N/A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17"/>
        <v>42.999999999999844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 t="e">
        <f t="shared" ref="J37:O37" si="28">AVERAGE(J27:J36)</f>
        <v>#N/A</v>
      </c>
      <c r="K37" s="155" t="e">
        <f t="shared" si="28"/>
        <v>#N/A</v>
      </c>
      <c r="L37" s="158" t="e">
        <f t="shared" si="28"/>
        <v>#N/A</v>
      </c>
      <c r="M37" s="155">
        <f t="shared" si="28"/>
        <v>14.666666666666666</v>
      </c>
      <c r="N37" s="155">
        <f t="shared" si="28"/>
        <v>1812.7225274725522</v>
      </c>
      <c r="O37" s="158">
        <f t="shared" si="28"/>
        <v>126.23842229199551</v>
      </c>
      <c r="P37" s="159" t="e">
        <f>M37-J37</f>
        <v>#N/A</v>
      </c>
      <c r="Q37" s="160" t="e">
        <f>N37-K37</f>
        <v>#N/A</v>
      </c>
      <c r="R37" s="161" t="e">
        <f t="shared" ref="R37:R40" si="29">O37/L37</f>
        <v>#N/A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 t="e">
        <f t="shared" ref="AF37:AF41" si="30">N37-K37</f>
        <v>#N/A</v>
      </c>
      <c r="AG37" s="124" t="e">
        <f t="shared" ref="AG37:AG41" si="31">N37/K37</f>
        <v>#N/A</v>
      </c>
      <c r="AH37" s="386"/>
    </row>
    <row r="38" spans="1:34" s="196" customFormat="1" ht="15" customHeight="1">
      <c r="A38" s="401" t="s">
        <v>48</v>
      </c>
      <c r="B38" s="167" t="e">
        <f>VLOOKUP(D38,廠價表!$C$1:$E$41,2,0)</f>
        <v>#N/A</v>
      </c>
      <c r="C38" s="129"/>
      <c r="D38" s="184"/>
      <c r="E38" s="185"/>
      <c r="F38" s="39" t="e">
        <f>VLOOKUP(D38,廠價表!$C$1:$E$41,3,0)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VLOOKUP(D38,產線配置圖!$A$3:$C$38,2,0)</f>
        <v>#N/A</v>
      </c>
      <c r="K38" s="188" t="e">
        <f>VLOOKUP(D38,產線配置圖!$A$3:$C$38,3,0)</f>
        <v>#N/A</v>
      </c>
      <c r="L38" s="189" t="e">
        <f t="shared" ref="L38:L40" si="32"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 t="shared" ref="P38:P40" si="33">M38-J38</f>
        <v>#N/A</v>
      </c>
      <c r="Q38" s="143" t="e">
        <f t="shared" ref="Q38:Q40" si="34">O38-L38</f>
        <v>#N/A</v>
      </c>
      <c r="R38" s="144" t="e">
        <f>O38/L38</f>
        <v>#N/A</v>
      </c>
      <c r="S38" s="40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17"/>
        <v>69.000000000000469</v>
      </c>
      <c r="X38" s="194"/>
      <c r="Y38" s="302"/>
      <c r="Z38" s="336"/>
      <c r="AA38" s="336"/>
      <c r="AB38" s="406"/>
      <c r="AC38" s="406"/>
      <c r="AD38" s="192"/>
      <c r="AE38" s="192"/>
      <c r="AF38" s="313" t="e">
        <f t="shared" si="30"/>
        <v>#N/A</v>
      </c>
      <c r="AG38" s="195" t="e">
        <f t="shared" si="31"/>
        <v>#N/A</v>
      </c>
      <c r="AH38" s="398" t="e">
        <f>AG48</f>
        <v>#N/A</v>
      </c>
    </row>
    <row r="39" spans="1:34" s="196" customFormat="1" ht="15" customHeight="1">
      <c r="A39" s="402"/>
      <c r="B39" s="75" t="e">
        <f>VLOOKUP(D39,廠價表!$C$1:$E$41,2,0)</f>
        <v>#N/A</v>
      </c>
      <c r="C39" s="197"/>
      <c r="D39" s="198"/>
      <c r="E39" s="176"/>
      <c r="F39" s="75" t="e">
        <f>VLOOKUP(D39,廠價表!$C$1:$E$41,3,0)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VLOOKUP(D39,產線配置圖!$A$3:$C$38,2,0)</f>
        <v>#N/A</v>
      </c>
      <c r="K39" s="95" t="e">
        <f>VLOOKUP(D39,產線配置圖!$A$3:$C$38,3,0)</f>
        <v>#N/A</v>
      </c>
      <c r="L39" s="96" t="e">
        <f t="shared" si="32"/>
        <v>#N/A</v>
      </c>
      <c r="M39" s="201">
        <v>14</v>
      </c>
      <c r="N39" s="202">
        <f>G39/W39*60</f>
        <v>885.00000000000932</v>
      </c>
      <c r="O39" s="203">
        <f t="shared" ref="O39:O40" si="35">N39/M39</f>
        <v>63.214285714286383</v>
      </c>
      <c r="P39" s="97" t="e">
        <f t="shared" si="33"/>
        <v>#N/A</v>
      </c>
      <c r="Q39" s="98" t="e">
        <f t="shared" si="34"/>
        <v>#N/A</v>
      </c>
      <c r="R39" s="99" t="e">
        <f t="shared" si="29"/>
        <v>#N/A</v>
      </c>
      <c r="S39" s="40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17"/>
        <v>79.999999999999162</v>
      </c>
      <c r="X39" s="22"/>
      <c r="Y39" s="84"/>
      <c r="Z39" s="90"/>
      <c r="AA39" s="90"/>
      <c r="AB39" s="387"/>
      <c r="AC39" s="387"/>
      <c r="AD39" s="200"/>
      <c r="AE39" s="200"/>
      <c r="AF39" s="314" t="e">
        <f t="shared" si="30"/>
        <v>#N/A</v>
      </c>
      <c r="AG39" s="206" t="e">
        <f t="shared" si="31"/>
        <v>#N/A</v>
      </c>
      <c r="AH39" s="399"/>
    </row>
    <row r="40" spans="1:34" s="196" customFormat="1" ht="15" customHeight="1">
      <c r="A40" s="402"/>
      <c r="B40" s="75" t="e">
        <f>VLOOKUP(D40,廠價表!$C$1:$E$41,2,0)</f>
        <v>#N/A</v>
      </c>
      <c r="C40" s="207"/>
      <c r="D40" s="198"/>
      <c r="E40" s="178"/>
      <c r="F40" s="75" t="e">
        <f>VLOOKUP(D40,廠價表!$C$1:$E$41,3,0)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VLOOKUP(D40,產線配置圖!$A$3:$C$38,2,0)</f>
        <v>#N/A</v>
      </c>
      <c r="K40" s="95" t="e">
        <f>VLOOKUP(D40,產線配置圖!$A$3:$C$38,3,0)</f>
        <v>#N/A</v>
      </c>
      <c r="L40" s="96" t="e">
        <f t="shared" si="32"/>
        <v>#N/A</v>
      </c>
      <c r="M40" s="201">
        <v>14</v>
      </c>
      <c r="N40" s="202">
        <f>G40/W40*60</f>
        <v>1853.4545454545439</v>
      </c>
      <c r="O40" s="203">
        <f t="shared" si="35"/>
        <v>132.38961038961028</v>
      </c>
      <c r="P40" s="97" t="e">
        <f t="shared" si="33"/>
        <v>#N/A</v>
      </c>
      <c r="Q40" s="98" t="e">
        <f t="shared" si="34"/>
        <v>#N/A</v>
      </c>
      <c r="R40" s="99" t="e">
        <f t="shared" si="29"/>
        <v>#N/A</v>
      </c>
      <c r="S40" s="377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17"/>
        <v>110.00000000000009</v>
      </c>
      <c r="X40" s="208"/>
      <c r="Y40" s="209"/>
      <c r="Z40" s="337"/>
      <c r="AA40" s="337"/>
      <c r="AB40" s="388"/>
      <c r="AC40" s="388"/>
      <c r="AD40" s="92"/>
      <c r="AE40" s="92"/>
      <c r="AF40" s="314" t="e">
        <f t="shared" si="30"/>
        <v>#N/A</v>
      </c>
      <c r="AG40" s="206" t="e">
        <f t="shared" si="31"/>
        <v>#N/A</v>
      </c>
      <c r="AH40" s="399"/>
    </row>
    <row r="41" spans="1:34" s="196" customFormat="1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0</v>
      </c>
      <c r="AG41" s="206" t="e">
        <f t="shared" si="31"/>
        <v>#DIV/0!</v>
      </c>
      <c r="AH41" s="399"/>
    </row>
    <row r="42" spans="1:34" s="196" customFormat="1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s="196" customFormat="1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s="196" customFormat="1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s="196" customFormat="1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s="196" customFormat="1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s="196" customFormat="1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 t="e">
        <f t="shared" ref="J48:O48" si="37">AVERAGE(J38:J47)</f>
        <v>#N/A</v>
      </c>
      <c r="K48" s="155" t="e">
        <f t="shared" si="37"/>
        <v>#N/A</v>
      </c>
      <c r="L48" s="158" t="e">
        <f t="shared" si="37"/>
        <v>#N/A</v>
      </c>
      <c r="M48" s="155">
        <f t="shared" si="37"/>
        <v>14</v>
      </c>
      <c r="N48" s="155">
        <f t="shared" si="37"/>
        <v>1568.7602108036872</v>
      </c>
      <c r="O48" s="158">
        <f t="shared" si="37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 t="e">
        <f t="shared" ref="AF48:AF53" si="38">N48-K48</f>
        <v>#N/A</v>
      </c>
      <c r="AG48" s="162" t="e">
        <f t="shared" ref="AG48:AG53" si="39">N48/K48</f>
        <v>#N/A</v>
      </c>
      <c r="AH48" s="400"/>
    </row>
    <row r="49" spans="1:34" ht="15" customHeight="1">
      <c r="A49" s="395" t="s">
        <v>50</v>
      </c>
      <c r="B49" s="129" t="e">
        <f>VLOOKUP(D49,廠價表!$C$1:$E$41,2,0)</f>
        <v>#N/A</v>
      </c>
      <c r="C49" s="130"/>
      <c r="D49" s="131"/>
      <c r="E49" s="132"/>
      <c r="F49" s="129" t="e">
        <f>VLOOKUP(D49,廠價表!$C$1:$E$41,3,0)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VLOOKUP(D49,產線配置圖!$A$3:$C$38,2,0)</f>
        <v>#N/A</v>
      </c>
      <c r="K49" s="137" t="e">
        <f>VLOOKUP(D49,產線配置圖!$A$3:$C$38,3,0)</f>
        <v>#N/A</v>
      </c>
      <c r="L49" s="138" t="e">
        <f t="shared" ref="L49:L51" si="40"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76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17"/>
        <v>67.999999999999673</v>
      </c>
      <c r="X49" s="55"/>
      <c r="Y49" s="290"/>
      <c r="Z49" s="169"/>
      <c r="AA49" s="169"/>
      <c r="AB49" s="381"/>
      <c r="AC49" s="381"/>
      <c r="AD49" s="135"/>
      <c r="AE49" s="135"/>
      <c r="AF49" s="229" t="e">
        <f t="shared" si="38"/>
        <v>#N/A</v>
      </c>
      <c r="AG49" s="52" t="e">
        <f t="shared" si="39"/>
        <v>#N/A</v>
      </c>
      <c r="AH49" s="382" t="e">
        <f>AG58</f>
        <v>#N/A</v>
      </c>
    </row>
    <row r="50" spans="1:34" ht="15" customHeight="1">
      <c r="A50" s="396"/>
      <c r="B50" s="75" t="e">
        <f>VLOOKUP(D50,廠價表!$C$1:$E$41,2,0)</f>
        <v>#N/A</v>
      </c>
      <c r="C50" s="76"/>
      <c r="D50" s="59"/>
      <c r="E50" s="77"/>
      <c r="F50" s="75" t="e">
        <f>VLOOKUP(D50,廠價表!$C$1:$E$41,3,0)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VLOOKUP(D50,產線配置圖!$A$3:$C$38,2,0)</f>
        <v>#N/A</v>
      </c>
      <c r="K50" s="80" t="e">
        <f>VLOOKUP(D50,產線配置圖!$A$3:$C$38,3,0)</f>
        <v>#N/A</v>
      </c>
      <c r="L50" s="81" t="e">
        <f t="shared" si="40"/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77"/>
      <c r="T50" s="21">
        <v>0.34513888888888899</v>
      </c>
      <c r="U50" s="21">
        <v>0.39444444444444399</v>
      </c>
      <c r="V50" s="30">
        <f t="shared" ref="V50:V52" si="41">(T50-U49)*24*60</f>
        <v>8.999999999999968</v>
      </c>
      <c r="W50" s="236">
        <f t="shared" si="17"/>
        <v>70.99999999999919</v>
      </c>
      <c r="X50" s="22"/>
      <c r="Y50" s="84"/>
      <c r="Z50" s="90"/>
      <c r="AA50" s="90"/>
      <c r="AB50" s="388"/>
      <c r="AC50" s="388"/>
      <c r="AD50" s="92"/>
      <c r="AE50" s="92"/>
      <c r="AF50" s="307" t="e">
        <f t="shared" si="38"/>
        <v>#N/A</v>
      </c>
      <c r="AG50" s="72" t="e">
        <f t="shared" si="39"/>
        <v>#N/A</v>
      </c>
      <c r="AH50" s="384"/>
    </row>
    <row r="51" spans="1:34" ht="15" customHeight="1">
      <c r="A51" s="396"/>
      <c r="B51" s="75" t="e">
        <f>VLOOKUP(D51,廠價表!$C$1:$E$41,2,0)</f>
        <v>#N/A</v>
      </c>
      <c r="C51" s="76"/>
      <c r="D51" s="59"/>
      <c r="E51" s="77"/>
      <c r="F51" s="75" t="e">
        <f>VLOOKUP(D51,廠價表!$C$1:$E$41,3,0)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VLOOKUP(D51,產線配置圖!$A$3:$C$38,2,0)</f>
        <v>#N/A</v>
      </c>
      <c r="K51" s="80" t="e">
        <f>VLOOKUP(D51,產線配置圖!$A$3:$C$38,3,0)</f>
        <v>#N/A</v>
      </c>
      <c r="L51" s="81" t="e">
        <f t="shared" si="40"/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77"/>
      <c r="T51" s="21">
        <v>0.40138888888888902</v>
      </c>
      <c r="U51" s="19">
        <v>0.46041666666666697</v>
      </c>
      <c r="V51" s="30">
        <f t="shared" si="41"/>
        <v>10.000000000000844</v>
      </c>
      <c r="W51" s="236">
        <f t="shared" si="17"/>
        <v>85.000000000000256</v>
      </c>
      <c r="X51" s="22"/>
      <c r="Y51" s="84"/>
      <c r="Z51" s="90"/>
      <c r="AA51" s="90"/>
      <c r="AB51" s="388"/>
      <c r="AC51" s="388"/>
      <c r="AD51" s="92"/>
      <c r="AE51" s="92"/>
      <c r="AF51" s="307" t="e">
        <f t="shared" si="38"/>
        <v>#N/A</v>
      </c>
      <c r="AG51" s="72" t="e">
        <f t="shared" si="39"/>
        <v>#N/A</v>
      </c>
      <c r="AH51" s="384"/>
    </row>
    <row r="52" spans="1:34" ht="15" customHeight="1">
      <c r="A52" s="396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77"/>
      <c r="T52" s="21">
        <v>0.52986111111111101</v>
      </c>
      <c r="U52" s="21">
        <v>0.58333333333333304</v>
      </c>
      <c r="V52" s="30">
        <f t="shared" si="41"/>
        <v>99.999999999999403</v>
      </c>
      <c r="W52" s="236">
        <f t="shared" si="17"/>
        <v>76.99999999999973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0</v>
      </c>
      <c r="AG52" s="72" t="e">
        <f t="shared" si="39"/>
        <v>#DIV/0!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 t="e">
        <f t="shared" ref="J58:O58" si="42">AVERAGE(J49:J57)</f>
        <v>#N/A</v>
      </c>
      <c r="K58" s="120" t="e">
        <f t="shared" si="42"/>
        <v>#N/A</v>
      </c>
      <c r="L58" s="117" t="e">
        <f t="shared" si="42"/>
        <v>#N/A</v>
      </c>
      <c r="M58" s="120">
        <f t="shared" si="42"/>
        <v>17.666666666666668</v>
      </c>
      <c r="N58" s="120">
        <f t="shared" si="42"/>
        <v>1797.5120132560112</v>
      </c>
      <c r="O58" s="117">
        <f t="shared" si="42"/>
        <v>102.47461972914017</v>
      </c>
      <c r="P58" s="121" t="e">
        <f>M58-J58</f>
        <v>#N/A</v>
      </c>
      <c r="Q58" s="122" t="e">
        <f>N58-K58</f>
        <v>#N/A</v>
      </c>
      <c r="R58" s="123" t="e">
        <f t="shared" ref="R58:R60" si="43">O58/L58</f>
        <v>#N/A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 t="e">
        <f t="shared" ref="AF58:AF61" si="44">N58-K58</f>
        <v>#N/A</v>
      </c>
      <c r="AG58" s="124" t="e">
        <f t="shared" ref="AG58:AG61" si="45">N58/K58</f>
        <v>#N/A</v>
      </c>
      <c r="AH58" s="386"/>
    </row>
    <row r="59" spans="1:34" ht="15" customHeight="1">
      <c r="A59" s="390" t="s">
        <v>52</v>
      </c>
      <c r="B59" s="129" t="e">
        <f>VLOOKUP(D59,廠價表!$C$1:$E$41,2,0)</f>
        <v>#N/A</v>
      </c>
      <c r="C59" s="130"/>
      <c r="D59" s="131"/>
      <c r="E59" s="132"/>
      <c r="F59" s="129" t="e">
        <f>VLOOKUP(D59,廠價表!$C$1:$E$41,3,0)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VLOOKUP(D59,產線配置圖!$A$3:$C$38,2,0)</f>
        <v>#N/A</v>
      </c>
      <c r="K59" s="137" t="e">
        <f>VLOOKUP(D59,產線配置圖!$A$3:$C$38,3,0)</f>
        <v>#N/A</v>
      </c>
      <c r="L59" s="138" t="e">
        <f t="shared" ref="L59:L61" si="46">K59/J59</f>
        <v>#N/A</v>
      </c>
      <c r="M59" s="244">
        <v>13</v>
      </c>
      <c r="N59" s="137">
        <f t="shared" ref="N59:N61" si="47">G59/W59*60</f>
        <v>1131.5000000000048</v>
      </c>
      <c r="O59" s="138">
        <f t="shared" ref="O59:O61" si="48">N59/M59</f>
        <v>87.038461538461902</v>
      </c>
      <c r="P59" s="56" t="e">
        <f t="shared" ref="P59:P61" si="49">M59-J59</f>
        <v>#N/A</v>
      </c>
      <c r="Q59" s="230" t="e">
        <f t="shared" ref="Q59:Q61" si="50">O59-L59</f>
        <v>#N/A</v>
      </c>
      <c r="R59" s="52" t="e">
        <f t="shared" si="43"/>
        <v>#N/A</v>
      </c>
      <c r="S59" s="376" t="e">
        <f>R69</f>
        <v>#N/A</v>
      </c>
      <c r="T59" s="245">
        <v>0.29166666666666702</v>
      </c>
      <c r="U59" s="245">
        <v>0.375</v>
      </c>
      <c r="V59" s="55"/>
      <c r="W59" s="54">
        <f t="shared" si="17"/>
        <v>119.99999999999949</v>
      </c>
      <c r="X59" s="55"/>
      <c r="Y59" s="290"/>
      <c r="Z59" s="169"/>
      <c r="AA59" s="169"/>
      <c r="AB59" s="381"/>
      <c r="AC59" s="381"/>
      <c r="AD59" s="135"/>
      <c r="AE59" s="135"/>
      <c r="AF59" s="310" t="e">
        <f t="shared" si="44"/>
        <v>#N/A</v>
      </c>
      <c r="AG59" s="246" t="e">
        <f t="shared" si="45"/>
        <v>#N/A</v>
      </c>
      <c r="AH59" s="382" t="e">
        <f>AG69</f>
        <v>#N/A</v>
      </c>
    </row>
    <row r="60" spans="1:34" ht="15" customHeight="1">
      <c r="A60" s="391"/>
      <c r="B60" s="75" t="e">
        <f>VLOOKUP(D60,廠價表!$C$1:$E$41,2,0)</f>
        <v>#N/A</v>
      </c>
      <c r="C60" s="86"/>
      <c r="D60" s="175"/>
      <c r="E60" s="87"/>
      <c r="F60" s="75" t="e">
        <f>VLOOKUP(D60,廠價表!$C$1:$E$41,3,0)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VLOOKUP(D60,產線配置圖!$A$3:$C$38,2,0)</f>
        <v>#N/A</v>
      </c>
      <c r="K60" s="80" t="e">
        <f>VLOOKUP(D60,產線配置圖!$A$3:$C$38,3,0)</f>
        <v>#N/A</v>
      </c>
      <c r="L60" s="81" t="e">
        <f t="shared" si="46"/>
        <v>#N/A</v>
      </c>
      <c r="M60" s="82">
        <v>12</v>
      </c>
      <c r="N60" s="80">
        <f t="shared" si="47"/>
        <v>2360.00000000004</v>
      </c>
      <c r="O60" s="81">
        <f t="shared" si="48"/>
        <v>196.66666666667001</v>
      </c>
      <c r="P60" s="74" t="e">
        <f t="shared" si="49"/>
        <v>#N/A</v>
      </c>
      <c r="Q60" s="83" t="e">
        <f t="shared" si="50"/>
        <v>#N/A</v>
      </c>
      <c r="R60" s="72" t="e">
        <f t="shared" si="43"/>
        <v>#N/A</v>
      </c>
      <c r="S60" s="394"/>
      <c r="T60" s="22">
        <v>0.38541666666666702</v>
      </c>
      <c r="U60" s="22">
        <v>0.40625</v>
      </c>
      <c r="V60" s="30">
        <f t="shared" ref="V60:V61" si="51">(T60-U59)*24*60</f>
        <v>15.000000000000506</v>
      </c>
      <c r="W60" s="248">
        <f t="shared" si="17"/>
        <v>29.999999999999496</v>
      </c>
      <c r="X60" s="232"/>
      <c r="Y60" s="177"/>
      <c r="Z60" s="90"/>
      <c r="AA60" s="90"/>
      <c r="AB60" s="388"/>
      <c r="AC60" s="388"/>
      <c r="AD60" s="92"/>
      <c r="AE60" s="92"/>
      <c r="AF60" s="316" t="e">
        <f t="shared" si="44"/>
        <v>#N/A</v>
      </c>
      <c r="AG60" s="249" t="e">
        <f t="shared" si="45"/>
        <v>#N/A</v>
      </c>
      <c r="AH60" s="389"/>
    </row>
    <row r="61" spans="1:34" ht="15" customHeight="1">
      <c r="A61" s="392"/>
      <c r="B61" s="250" t="e">
        <f>VLOOKUP(D61,廠價表!$C$1:$E$41,2,0)</f>
        <v>#N/A</v>
      </c>
      <c r="C61" s="251"/>
      <c r="D61" s="252"/>
      <c r="E61" s="253"/>
      <c r="F61" s="250" t="e">
        <f>VLOOKUP(D61,廠價表!$C$1:$E$41,3,0)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VLOOKUP(D61,產線配置圖!$A$3:$C$38,2,0)</f>
        <v>#N/A</v>
      </c>
      <c r="K61" s="107" t="e">
        <f>VLOOKUP(D61,產線配置圖!$A$3:$C$38,3,0)</f>
        <v>#N/A</v>
      </c>
      <c r="L61" s="238" t="e">
        <f t="shared" si="46"/>
        <v>#N/A</v>
      </c>
      <c r="M61" s="108">
        <v>12</v>
      </c>
      <c r="N61" s="107">
        <f t="shared" si="47"/>
        <v>2192.2580645161406</v>
      </c>
      <c r="O61" s="238">
        <f t="shared" si="48"/>
        <v>182.68817204301172</v>
      </c>
      <c r="P61" s="111" t="e">
        <f t="shared" si="49"/>
        <v>#N/A</v>
      </c>
      <c r="Q61" s="255" t="e">
        <f t="shared" si="50"/>
        <v>#N/A</v>
      </c>
      <c r="R61" s="85" t="e">
        <f>O61/L61</f>
        <v>#N/A</v>
      </c>
      <c r="S61" s="377"/>
      <c r="T61" s="22">
        <v>0.42361111111111099</v>
      </c>
      <c r="U61" s="22">
        <v>0.48819444444444399</v>
      </c>
      <c r="V61" s="30">
        <f t="shared" si="51"/>
        <v>24.999999999999829</v>
      </c>
      <c r="W61" s="256">
        <f t="shared" si="17"/>
        <v>92.999999999999517</v>
      </c>
      <c r="X61" s="22"/>
      <c r="Y61" s="84"/>
      <c r="Z61" s="90"/>
      <c r="AA61" s="90"/>
      <c r="AB61" s="388"/>
      <c r="AC61" s="388"/>
      <c r="AD61" s="92"/>
      <c r="AE61" s="92"/>
      <c r="AF61" s="317" t="e">
        <f t="shared" si="44"/>
        <v>#N/A</v>
      </c>
      <c r="AG61" s="247" t="e">
        <f t="shared" si="45"/>
        <v>#N/A</v>
      </c>
      <c r="AH61" s="384"/>
    </row>
    <row r="62" spans="1:34" ht="15" customHeight="1">
      <c r="A62" s="392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77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0</v>
      </c>
      <c r="AG62" s="247" t="e">
        <f>N62/K62</f>
        <v>#DIV/0!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 t="e">
        <f t="shared" ref="J69:O69" si="52">AVERAGE(J59:J68)</f>
        <v>#N/A</v>
      </c>
      <c r="K69" s="240" t="e">
        <f t="shared" si="52"/>
        <v>#N/A</v>
      </c>
      <c r="L69" s="268" t="e">
        <f t="shared" si="52"/>
        <v>#N/A</v>
      </c>
      <c r="M69" s="240">
        <f t="shared" si="52"/>
        <v>12.333333333333334</v>
      </c>
      <c r="N69" s="240">
        <f t="shared" si="52"/>
        <v>1894.5860215053951</v>
      </c>
      <c r="O69" s="268">
        <f t="shared" si="52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86"/>
    </row>
    <row r="70" spans="1:36" ht="15" customHeight="1">
      <c r="A70" s="373" t="s">
        <v>55</v>
      </c>
      <c r="B70" s="129" t="e">
        <f>VLOOKUP(D70,廠價表!$C$1:$E$41,2,0)</f>
        <v>#N/A</v>
      </c>
      <c r="C70" s="129"/>
      <c r="D70" s="131"/>
      <c r="E70" s="132"/>
      <c r="F70" s="129" t="e">
        <f>VLOOKUP(D70,廠價表!$C$1:$E$41,3,0)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VLOOKUP(D70,產線配置圖!$A$3:$C$38,2,0)</f>
        <v>#N/A</v>
      </c>
      <c r="K70" s="137" t="e">
        <f>VLOOKUP(D70,產線配置圖!$A$3:$C$38,3,0)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76" t="e">
        <f>R79</f>
        <v>#N/A</v>
      </c>
      <c r="T70" s="245">
        <v>0.34722222222222199</v>
      </c>
      <c r="U70" s="245">
        <v>0.46875</v>
      </c>
      <c r="V70" s="55"/>
      <c r="W70" s="54">
        <f t="shared" si="17"/>
        <v>175.00000000000034</v>
      </c>
      <c r="X70" s="270"/>
      <c r="Y70" s="292"/>
      <c r="Z70" s="169"/>
      <c r="AA70" s="169"/>
      <c r="AB70" s="381"/>
      <c r="AC70" s="381"/>
      <c r="AD70" s="135"/>
      <c r="AE70" s="135"/>
      <c r="AF70" s="310" t="e">
        <f>N70-K70</f>
        <v>#N/A</v>
      </c>
      <c r="AG70" s="246" t="e">
        <f>N70/K70</f>
        <v>#N/A</v>
      </c>
      <c r="AH70" s="382" t="e">
        <f>AG79</f>
        <v>#N/A</v>
      </c>
    </row>
    <row r="71" spans="1:36" ht="15" customHeight="1">
      <c r="A71" s="374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77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 t="e">
        <f t="shared" ref="J79:O79" si="54">AVERAGE(J70:J78)</f>
        <v>#N/A</v>
      </c>
      <c r="K79" s="240" t="e">
        <f t="shared" si="54"/>
        <v>#N/A</v>
      </c>
      <c r="L79" s="268" t="e">
        <f t="shared" si="54"/>
        <v>#N/A</v>
      </c>
      <c r="M79" s="240">
        <f t="shared" si="54"/>
        <v>11</v>
      </c>
      <c r="N79" s="240">
        <f t="shared" si="54"/>
        <v>775.88571428571277</v>
      </c>
      <c r="O79" s="268">
        <f t="shared" si="54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T3:U3"/>
    <mergeCell ref="P1:S2"/>
    <mergeCell ref="AB1:AC2"/>
    <mergeCell ref="P3:P4"/>
    <mergeCell ref="Q3:Q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</mergeCells>
  <phoneticPr fontId="6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C292-AB3F-4544-8B04-CA887A56EBB3}">
  <dimension ref="B1:O26"/>
  <sheetViews>
    <sheetView zoomScale="70" zoomScaleNormal="70" workbookViewId="0">
      <selection activeCell="AB5" sqref="AB5:AC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46082</v>
      </c>
      <c r="E3" s="466"/>
      <c r="F3" s="3" t="s">
        <v>72</v>
      </c>
      <c r="G3" s="467">
        <f>'0301'!E1</f>
        <v>61259</v>
      </c>
      <c r="H3" s="467"/>
      <c r="I3" s="3" t="s">
        <v>2</v>
      </c>
      <c r="J3" s="468">
        <f>'0301'!G1</f>
        <v>2919228.5999999996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122.70261641952816</v>
      </c>
      <c r="G6" s="473"/>
      <c r="H6" s="474">
        <f>AVERAGE(D13:H13,J13)</f>
        <v>121.97427756067459</v>
      </c>
      <c r="I6" s="474"/>
      <c r="J6" s="474">
        <f>AVERAGE(I13)</f>
        <v>127.07264957264958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108.01116895970264</v>
      </c>
      <c r="G7" s="497"/>
      <c r="H7" s="498">
        <f>AVERAGE(D14:H14,J14)</f>
        <v>107.28981616727215</v>
      </c>
      <c r="I7" s="498"/>
      <c r="J7" s="498">
        <f>AVERAGE(I14)</f>
        <v>112.33928571428557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0.8802678550097538</v>
      </c>
      <c r="G8" s="470"/>
      <c r="H8" s="470">
        <f>H7/H6</f>
        <v>0.87961017939952268</v>
      </c>
      <c r="I8" s="470"/>
      <c r="J8" s="470">
        <f>J7/J6</f>
        <v>0.88405558624996872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VALUE('0301'!L15)</f>
        <v>158.69871794871796</v>
      </c>
      <c r="E13" s="13">
        <f>VALUE('0301'!L26)</f>
        <v>183.0587121212121</v>
      </c>
      <c r="F13" s="13">
        <f>VALUE('0301'!L37)</f>
        <v>93.436274509803908</v>
      </c>
      <c r="G13" s="13">
        <f>VALUE('0301'!L48)</f>
        <v>92.058823529411768</v>
      </c>
      <c r="H13" s="13">
        <f>VALUE('0301'!L58)</f>
        <v>100.30147058823529</v>
      </c>
      <c r="I13" s="13">
        <f>VALUE('0301'!L69)</f>
        <v>127.07264957264958</v>
      </c>
      <c r="J13" s="13">
        <f>'0301'!L79</f>
        <v>104.29166666666667</v>
      </c>
    </row>
    <row r="14" spans="2:15" ht="39.950000000000003" customHeight="1">
      <c r="B14" s="491"/>
      <c r="C14" s="12" t="s">
        <v>100</v>
      </c>
      <c r="D14" s="13">
        <f>VALUE('0301'!O15)</f>
        <v>133.94323388008993</v>
      </c>
      <c r="E14" s="13">
        <f>VALUE('0301'!O26)</f>
        <v>147.83973020877573</v>
      </c>
      <c r="F14" s="13">
        <f>VALUE('0301'!O37)</f>
        <v>90.259802149604297</v>
      </c>
      <c r="G14" s="13">
        <f>VALUE('0301'!O48)</f>
        <v>80.81716289296935</v>
      </c>
      <c r="H14" s="13">
        <f>VALUE('0301'!O58)</f>
        <v>99.076319394287196</v>
      </c>
      <c r="I14" s="13">
        <f>VALUE('0301'!O69)</f>
        <v>112.33928571428557</v>
      </c>
      <c r="J14" s="13">
        <f>'0301'!O79</f>
        <v>91.802648477906317</v>
      </c>
    </row>
    <row r="15" spans="2:15" ht="39.950000000000003" customHeight="1">
      <c r="B15" s="492"/>
      <c r="C15" s="10" t="s">
        <v>26</v>
      </c>
      <c r="D15" s="14">
        <f>D14/D13</f>
        <v>0.84400955225972574</v>
      </c>
      <c r="E15" s="14">
        <f t="shared" ref="E15:I15" si="1">E14/E13</f>
        <v>0.80760827220768294</v>
      </c>
      <c r="F15" s="14">
        <f t="shared" si="1"/>
        <v>0.96600386330828814</v>
      </c>
      <c r="G15" s="14">
        <f t="shared" si="1"/>
        <v>0.87788611449231879</v>
      </c>
      <c r="H15" s="14">
        <f t="shared" si="1"/>
        <v>0.98778531175302831</v>
      </c>
      <c r="I15" s="14">
        <f t="shared" si="1"/>
        <v>0.88405558624996872</v>
      </c>
      <c r="J15" s="15">
        <f>'0301'!S70</f>
        <v>0.88024912643617714</v>
      </c>
    </row>
    <row r="16" spans="2:15" ht="17.25" customHeight="1">
      <c r="B16" s="493" t="s">
        <v>101</v>
      </c>
      <c r="C16" s="10" t="s">
        <v>34</v>
      </c>
      <c r="D16" s="16">
        <f>'0301'!T5</f>
        <v>0.29166666666666702</v>
      </c>
      <c r="E16" s="16">
        <f>'0301'!T16</f>
        <v>0.297222222222222</v>
      </c>
      <c r="F16" s="16">
        <f>'0301'!T27</f>
        <v>0.28819444444444398</v>
      </c>
      <c r="G16" s="16">
        <f>'0301'!T38</f>
        <v>0.33333333333333298</v>
      </c>
      <c r="H16" s="16">
        <f>'0301'!T49</f>
        <v>0.29166666666666702</v>
      </c>
      <c r="I16" s="16">
        <f>'0301'!T59</f>
        <v>0.29166666666666702</v>
      </c>
      <c r="J16" s="16">
        <f>'0301'!T70</f>
        <v>0.35486111111111102</v>
      </c>
    </row>
    <row r="17" spans="2:10" ht="17.25" customHeight="1">
      <c r="B17" s="494"/>
      <c r="C17" s="10" t="s">
        <v>35</v>
      </c>
      <c r="D17" s="16">
        <v>0.62916666666666698</v>
      </c>
      <c r="E17" s="19">
        <v>0.61805555555555602</v>
      </c>
      <c r="F17" s="19">
        <v>0.55138888888888904</v>
      </c>
      <c r="G17" s="20">
        <v>0.65486111111111101</v>
      </c>
      <c r="H17" s="21">
        <v>0.64166666666666705</v>
      </c>
      <c r="I17" s="22">
        <v>0.51388888888888895</v>
      </c>
      <c r="J17" s="22">
        <v>0.61666666666666703</v>
      </c>
    </row>
    <row r="18" spans="2:10" ht="17.25" customHeight="1">
      <c r="B18" s="495" t="s">
        <v>102</v>
      </c>
      <c r="C18" s="330" t="s">
        <v>36</v>
      </c>
      <c r="D18" s="358">
        <f>'0301'!Z15</f>
        <v>0</v>
      </c>
      <c r="E18" s="359">
        <f>'0301'!Z26</f>
        <v>0</v>
      </c>
      <c r="F18" s="359">
        <f>'0301'!Z37</f>
        <v>0</v>
      </c>
      <c r="G18" s="360">
        <f>'0301'!Z48</f>
        <v>0</v>
      </c>
      <c r="H18" s="360">
        <f>'0301'!Z58</f>
        <v>0</v>
      </c>
      <c r="I18" s="359">
        <f>'0301'!Z69</f>
        <v>0</v>
      </c>
      <c r="J18" s="359">
        <f>'0301'!AA79</f>
        <v>0</v>
      </c>
    </row>
    <row r="19" spans="2:10" ht="17.25" customHeight="1">
      <c r="B19" s="496"/>
      <c r="C19" s="330" t="s">
        <v>37</v>
      </c>
      <c r="D19" s="358">
        <f>'0301'!AA15</f>
        <v>0</v>
      </c>
      <c r="E19" s="359">
        <f>'0301'!AA26</f>
        <v>0</v>
      </c>
      <c r="F19" s="359">
        <f>'0301'!AA37</f>
        <v>0</v>
      </c>
      <c r="G19" s="360">
        <f>'0301'!AA48</f>
        <v>0</v>
      </c>
      <c r="H19" s="360">
        <f>'0301'!AA58</f>
        <v>0</v>
      </c>
      <c r="I19" s="359">
        <f>'0301'!AA69</f>
        <v>0</v>
      </c>
      <c r="J19" s="359">
        <f>'0301'!AB79</f>
        <v>0</v>
      </c>
    </row>
    <row r="20" spans="2:10" ht="17.25" customHeight="1">
      <c r="B20" s="495" t="s">
        <v>103</v>
      </c>
      <c r="C20" s="330" t="s">
        <v>36</v>
      </c>
      <c r="D20" s="358">
        <f>'0301'!AD15</f>
        <v>0</v>
      </c>
      <c r="E20" s="359">
        <f>'0301'!AD26</f>
        <v>0</v>
      </c>
      <c r="F20" s="359">
        <f>'0301'!AD37</f>
        <v>0</v>
      </c>
      <c r="G20" s="360">
        <f>'0301'!AD48</f>
        <v>0</v>
      </c>
      <c r="H20" s="360">
        <f>'0301'!AD58</f>
        <v>0</v>
      </c>
      <c r="I20" s="359">
        <f>'0301'!AD69</f>
        <v>0</v>
      </c>
      <c r="J20" s="359">
        <f>'0301'!AD79</f>
        <v>0</v>
      </c>
    </row>
    <row r="21" spans="2:10" ht="17.25" customHeight="1">
      <c r="B21" s="496"/>
      <c r="C21" s="330" t="s">
        <v>85</v>
      </c>
      <c r="D21" s="358">
        <f>'0301'!AE15</f>
        <v>0</v>
      </c>
      <c r="E21" s="359">
        <f>'0301'!AE26</f>
        <v>0</v>
      </c>
      <c r="F21" s="359">
        <f>'0301'!AE37</f>
        <v>0</v>
      </c>
      <c r="G21" s="360">
        <f>'0301'!AE48</f>
        <v>0</v>
      </c>
      <c r="H21" s="360">
        <f>'0301'!AE58</f>
        <v>0</v>
      </c>
      <c r="I21" s="359">
        <f>'0301'!AE69</f>
        <v>0</v>
      </c>
      <c r="J21" s="359">
        <f>'0301'!AE79</f>
        <v>0</v>
      </c>
    </row>
    <row r="22" spans="2:10" ht="17.25" customHeight="1">
      <c r="B22" s="479" t="s">
        <v>104</v>
      </c>
      <c r="C22" s="480"/>
      <c r="D22" s="23">
        <f>VALUE('0301'!M15)</f>
        <v>15.4</v>
      </c>
      <c r="E22" s="23">
        <f>VALUE('0301'!M26)</f>
        <v>15</v>
      </c>
      <c r="F22" s="23">
        <f>VALUE('0301'!M37)</f>
        <v>15.5</v>
      </c>
      <c r="G22" s="23">
        <f>VALUE('0301'!M48)</f>
        <v>17</v>
      </c>
      <c r="H22" s="23">
        <f>VALUE('0301'!M58)</f>
        <v>16.5</v>
      </c>
      <c r="I22" s="23">
        <f>VALUE('0301'!M69)</f>
        <v>13.333333333333334</v>
      </c>
      <c r="J22" s="23">
        <f>'0301'!M79</f>
        <v>12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F9AC-B11B-47A1-8E6F-1E02D1FD0F56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AB5" sqref="AB5:AC8"/>
      <selection pane="topRight" activeCell="AB5" sqref="AB5:AC8"/>
      <selection pane="bottomLeft" activeCell="AB5" sqref="AB5:AC8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61259</v>
      </c>
      <c r="F1" s="30" t="s">
        <v>2</v>
      </c>
      <c r="G1" s="31">
        <f>SUM(H5:H79)</f>
        <v>2919228.5999999996</v>
      </c>
      <c r="H1" s="32" t="s">
        <v>3</v>
      </c>
      <c r="I1" s="33">
        <f>M15+M26+M48+M58+M69+M79+M37</f>
        <v>104.73333333333333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112</v>
      </c>
      <c r="B2" s="447"/>
      <c r="C2" s="28"/>
      <c r="D2" s="28" t="s">
        <v>14</v>
      </c>
      <c r="E2" s="35">
        <f>AVERAGE(O15,O26,O37,O48,O58,O69,O79)</f>
        <v>108.01116895970264</v>
      </c>
      <c r="F2" s="36" t="s">
        <v>15</v>
      </c>
      <c r="G2" s="37">
        <f>G1/E1</f>
        <v>47.653872900308521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2306</v>
      </c>
      <c r="H5" s="43">
        <f>F5*G5</f>
        <v>131926.26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9" si="0">K5/J5</f>
        <v>175.41666666666666</v>
      </c>
      <c r="M5" s="48">
        <v>16</v>
      </c>
      <c r="N5" s="46">
        <f t="shared" ref="N5:N9" si="1">G5/W5*60</f>
        <v>2161.8750000000214</v>
      </c>
      <c r="O5" s="47">
        <f t="shared" ref="O5:O9" si="2">N5/M5</f>
        <v>135.11718750000134</v>
      </c>
      <c r="P5" s="49">
        <f t="shared" ref="P5:P9" si="3">M5-J5</f>
        <v>4</v>
      </c>
      <c r="Q5" s="50">
        <f t="shared" ref="Q5:Q9" si="4">O5-L5</f>
        <v>-40.299479166665321</v>
      </c>
      <c r="R5" s="51">
        <f t="shared" ref="R5:R9" si="5">O5/L5</f>
        <v>0.77026425178148039</v>
      </c>
      <c r="S5" s="376">
        <f>R15</f>
        <v>0.84400955225972574</v>
      </c>
      <c r="T5" s="319">
        <v>0.29166666666666702</v>
      </c>
      <c r="U5" s="320">
        <v>0.33611111111111103</v>
      </c>
      <c r="V5" s="53"/>
      <c r="W5" s="54">
        <f t="shared" ref="W5:W14" si="6">(U5-T5)*24*60</f>
        <v>63.999999999999375</v>
      </c>
      <c r="X5" s="55"/>
      <c r="Y5" s="290"/>
      <c r="Z5" s="169"/>
      <c r="AA5" s="169"/>
      <c r="AB5" s="381" t="s">
        <v>114</v>
      </c>
      <c r="AC5" s="381"/>
      <c r="AD5" s="135"/>
      <c r="AE5" s="135"/>
      <c r="AF5" s="229">
        <f t="shared" ref="AF5:AF11" si="7">N5-K5</f>
        <v>56.875000000021373</v>
      </c>
      <c r="AG5" s="52">
        <f t="shared" ref="AG5:AG11" si="8">N5/K5</f>
        <v>1.027019002375307</v>
      </c>
      <c r="AH5" s="382">
        <f>AG15</f>
        <v>1.0017295836422808</v>
      </c>
    </row>
    <row r="6" spans="1:34" ht="15" customHeight="1">
      <c r="A6" s="423"/>
      <c r="B6" s="57" t="s">
        <v>81</v>
      </c>
      <c r="C6" s="58"/>
      <c r="D6" s="59" t="s">
        <v>115</v>
      </c>
      <c r="E6" s="60"/>
      <c r="F6" s="61">
        <f>VLOOKUP(D6,廠價表!$C$1:$E$41,3,0)</f>
        <v>50.67</v>
      </c>
      <c r="G6" s="62">
        <v>1547</v>
      </c>
      <c r="H6" s="63">
        <f>F6*G6</f>
        <v>78386.490000000005</v>
      </c>
      <c r="I6" s="64"/>
      <c r="J6" s="65">
        <f>VLOOKUP(D6,產線配置圖!$A$3:$C$38,2,0)</f>
        <v>12</v>
      </c>
      <c r="K6" s="66">
        <f>VLOOKUP(D6,產線配置圖!$A$3:$C$38,3,0)</f>
        <v>2100</v>
      </c>
      <c r="L6" s="67">
        <f t="shared" si="0"/>
        <v>175</v>
      </c>
      <c r="M6" s="68">
        <v>15</v>
      </c>
      <c r="N6" s="66">
        <f t="shared" si="1"/>
        <v>2109.5454545454236</v>
      </c>
      <c r="O6" s="67">
        <f t="shared" si="2"/>
        <v>140.63636363636158</v>
      </c>
      <c r="P6" s="69">
        <f t="shared" si="3"/>
        <v>3</v>
      </c>
      <c r="Q6" s="70">
        <f t="shared" si="4"/>
        <v>-34.36363636363842</v>
      </c>
      <c r="R6" s="71">
        <f t="shared" si="5"/>
        <v>0.80363636363635194</v>
      </c>
      <c r="S6" s="377"/>
      <c r="T6" s="16">
        <v>0.34722222222222199</v>
      </c>
      <c r="U6" s="16">
        <v>0.37777777777777799</v>
      </c>
      <c r="V6" s="30">
        <f>(T6-U5)*24*60</f>
        <v>15.999999999999783</v>
      </c>
      <c r="W6" s="73">
        <f t="shared" si="6"/>
        <v>44.000000000000639</v>
      </c>
      <c r="X6" s="22"/>
      <c r="Y6" s="84"/>
      <c r="Z6" s="90"/>
      <c r="AA6" s="90"/>
      <c r="AB6" s="501" t="s">
        <v>114</v>
      </c>
      <c r="AC6" s="502"/>
      <c r="AD6" s="149"/>
      <c r="AE6" s="149"/>
      <c r="AF6" s="307">
        <f t="shared" si="7"/>
        <v>9.5454545454235813</v>
      </c>
      <c r="AG6" s="72">
        <f t="shared" si="8"/>
        <v>1.0045454545454398</v>
      </c>
      <c r="AH6" s="384"/>
    </row>
    <row r="7" spans="1:34" ht="15" customHeight="1">
      <c r="A7" s="423"/>
      <c r="B7" s="75" t="s">
        <v>81</v>
      </c>
      <c r="C7" s="76"/>
      <c r="D7" s="59" t="s">
        <v>116</v>
      </c>
      <c r="E7" s="77"/>
      <c r="F7" s="75">
        <f>VLOOKUP(D7,廠價表!$C$1:$E$41,3,0)</f>
        <v>56.28</v>
      </c>
      <c r="G7" s="66">
        <v>1462</v>
      </c>
      <c r="H7" s="78">
        <f>F7*G7</f>
        <v>82281.36</v>
      </c>
      <c r="I7" s="73"/>
      <c r="J7" s="79">
        <f>VLOOKUP(D7,產線配置圖!$A$3:$C$38,2,0)</f>
        <v>15</v>
      </c>
      <c r="K7" s="80">
        <f>VLOOKUP(D7,產線配置圖!$A$3:$C$38,3,0)</f>
        <v>1800</v>
      </c>
      <c r="L7" s="81">
        <f t="shared" si="0"/>
        <v>120</v>
      </c>
      <c r="M7" s="82">
        <v>17</v>
      </c>
      <c r="N7" s="80">
        <f t="shared" si="1"/>
        <v>1827.4999999999636</v>
      </c>
      <c r="O7" s="81">
        <f t="shared" si="2"/>
        <v>107.49999999999785</v>
      </c>
      <c r="P7" s="74">
        <f t="shared" si="3"/>
        <v>2</v>
      </c>
      <c r="Q7" s="83">
        <f t="shared" si="4"/>
        <v>-12.500000000002146</v>
      </c>
      <c r="R7" s="72">
        <f t="shared" si="5"/>
        <v>0.8958333333333155</v>
      </c>
      <c r="S7" s="377"/>
      <c r="T7" s="18">
        <v>0.38472222222222202</v>
      </c>
      <c r="U7" s="18">
        <v>0.41805555555555601</v>
      </c>
      <c r="V7" s="30">
        <f>(T7-U6)*24*60</f>
        <v>9.9999999999994049</v>
      </c>
      <c r="W7" s="73">
        <f t="shared" si="6"/>
        <v>48.000000000000952</v>
      </c>
      <c r="X7" s="22"/>
      <c r="Y7" s="84"/>
      <c r="Z7" s="90"/>
      <c r="AA7" s="90"/>
      <c r="AB7" s="501" t="s">
        <v>114</v>
      </c>
      <c r="AC7" s="502"/>
      <c r="AD7" s="92"/>
      <c r="AE7" s="92"/>
      <c r="AF7" s="307">
        <f t="shared" si="7"/>
        <v>27.49999999996362</v>
      </c>
      <c r="AG7" s="72">
        <f t="shared" si="8"/>
        <v>1.0152777777777575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2345</v>
      </c>
      <c r="H8" s="78">
        <f t="shared" ref="H8:H9" si="9">F8*G8</f>
        <v>115233.3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16</v>
      </c>
      <c r="N8" s="80">
        <f t="shared" si="1"/>
        <v>2131.818181818197</v>
      </c>
      <c r="O8" s="81">
        <f t="shared" si="2"/>
        <v>133.23863636363731</v>
      </c>
      <c r="P8" s="74">
        <f t="shared" si="3"/>
        <v>3</v>
      </c>
      <c r="Q8" s="83">
        <f t="shared" si="4"/>
        <v>-28.299825174824235</v>
      </c>
      <c r="R8" s="72">
        <f t="shared" si="5"/>
        <v>0.82481060606061185</v>
      </c>
      <c r="S8" s="377"/>
      <c r="T8" s="16">
        <v>0.42638888888888898</v>
      </c>
      <c r="U8" s="16">
        <v>0.47222222222222199</v>
      </c>
      <c r="V8" s="30">
        <f t="shared" ref="V8:V9" si="10">(T8-U7)*24*60</f>
        <v>11.999999999999478</v>
      </c>
      <c r="W8" s="73">
        <f t="shared" si="6"/>
        <v>65.999999999999531</v>
      </c>
      <c r="X8" s="22">
        <v>0.48611111111111099</v>
      </c>
      <c r="Y8" s="84">
        <v>0.52777777777777801</v>
      </c>
      <c r="Z8" s="90"/>
      <c r="AA8" s="90"/>
      <c r="AB8" s="501" t="s">
        <v>114</v>
      </c>
      <c r="AC8" s="502"/>
      <c r="AD8" s="149"/>
      <c r="AE8" s="149"/>
      <c r="AF8" s="307">
        <f t="shared" si="7"/>
        <v>31.81818181819699</v>
      </c>
      <c r="AG8" s="72">
        <f t="shared" si="8"/>
        <v>1.0151515151515225</v>
      </c>
      <c r="AH8" s="384"/>
    </row>
    <row r="9" spans="1:34" ht="15" customHeight="1">
      <c r="A9" s="424"/>
      <c r="B9" s="75" t="s">
        <v>81</v>
      </c>
      <c r="C9" s="76"/>
      <c r="D9" s="59" t="s">
        <v>117</v>
      </c>
      <c r="E9" s="77"/>
      <c r="F9" s="75">
        <f>VLOOKUP(D9,廠價表!$C$1:$E$41,3,0)</f>
        <v>49.14</v>
      </c>
      <c r="G9" s="66">
        <v>4515</v>
      </c>
      <c r="H9" s="78">
        <f t="shared" si="9"/>
        <v>221867.1</v>
      </c>
      <c r="I9" s="73"/>
      <c r="J9" s="79">
        <f>VLOOKUP(D9,產線配置圖!$A$3:$C$38,2,0)</f>
        <v>13</v>
      </c>
      <c r="K9" s="80">
        <f>VLOOKUP(D9,產線配置圖!$A$3:$C$38,3,0)</f>
        <v>2100</v>
      </c>
      <c r="L9" s="81">
        <f t="shared" si="0"/>
        <v>161.53846153846155</v>
      </c>
      <c r="M9" s="82">
        <v>13</v>
      </c>
      <c r="N9" s="80">
        <f t="shared" si="1"/>
        <v>1991.9117647058706</v>
      </c>
      <c r="O9" s="81">
        <f t="shared" si="2"/>
        <v>153.22398190045158</v>
      </c>
      <c r="P9" s="74">
        <f t="shared" si="3"/>
        <v>0</v>
      </c>
      <c r="Q9" s="83">
        <f t="shared" si="4"/>
        <v>-8.3144796380099706</v>
      </c>
      <c r="R9" s="72">
        <f t="shared" si="5"/>
        <v>0.94852941176470018</v>
      </c>
      <c r="S9" s="378"/>
      <c r="T9" s="16">
        <v>0.53472222222222199</v>
      </c>
      <c r="U9" s="16">
        <v>0.62916666666666698</v>
      </c>
      <c r="V9" s="30">
        <f t="shared" si="10"/>
        <v>90</v>
      </c>
      <c r="W9" s="73">
        <f t="shared" si="6"/>
        <v>136.0000000000008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-108.08823529412939</v>
      </c>
      <c r="AG9" s="72">
        <f t="shared" si="8"/>
        <v>0.94852941176470029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1">AVERAGE(J5:J14)</f>
        <v>13</v>
      </c>
      <c r="K15" s="120">
        <f t="shared" si="11"/>
        <v>2041</v>
      </c>
      <c r="L15" s="117">
        <f t="shared" si="11"/>
        <v>158.69871794871796</v>
      </c>
      <c r="M15" s="120">
        <f t="shared" si="11"/>
        <v>15.4</v>
      </c>
      <c r="N15" s="120">
        <f t="shared" si="11"/>
        <v>2044.530080213895</v>
      </c>
      <c r="O15" s="117">
        <f t="shared" si="11"/>
        <v>133.94323388008993</v>
      </c>
      <c r="P15" s="121">
        <f t="shared" ref="P15:P19" si="12">M15-J15</f>
        <v>2.4000000000000004</v>
      </c>
      <c r="Q15" s="122">
        <f t="shared" ref="Q15:Q19" si="13">O15-L15</f>
        <v>-24.755484068628022</v>
      </c>
      <c r="R15" s="123">
        <f t="shared" ref="R15:R19" si="14">O15/L15</f>
        <v>0.84400955225972574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5">N15-K15</f>
        <v>3.5300802138949621</v>
      </c>
      <c r="AG15" s="124">
        <f t="shared" ref="AG15:AG19" si="16">N15/K15</f>
        <v>1.0017295836422808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2095</v>
      </c>
      <c r="H16" s="134">
        <f>F16*G16</f>
        <v>119854.95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7">K16/J16</f>
        <v>175.41666666666666</v>
      </c>
      <c r="M16" s="139">
        <v>15</v>
      </c>
      <c r="N16" s="140">
        <f t="shared" ref="N16:N19" si="18">G16/W16*60</f>
        <v>2371.6981132075202</v>
      </c>
      <c r="O16" s="141">
        <f>N16/M16</f>
        <v>158.113207547168</v>
      </c>
      <c r="P16" s="142">
        <f>M16-J16</f>
        <v>3</v>
      </c>
      <c r="Q16" s="143">
        <f t="shared" si="13"/>
        <v>-17.303459119498655</v>
      </c>
      <c r="R16" s="144">
        <f>O16/L16</f>
        <v>0.90135795276295305</v>
      </c>
      <c r="S16" s="413">
        <f>R26</f>
        <v>0.80760827220768294</v>
      </c>
      <c r="T16" s="145">
        <v>0.297222222222222</v>
      </c>
      <c r="U16" s="145">
        <v>0.33402777777777798</v>
      </c>
      <c r="V16" s="135"/>
      <c r="W16" s="146">
        <f t="shared" ref="W16:W78" si="19">(U16-T16)*24*60</f>
        <v>53.000000000000611</v>
      </c>
      <c r="X16" s="141"/>
      <c r="Y16" s="296"/>
      <c r="Z16" s="169"/>
      <c r="AA16" s="169"/>
      <c r="AB16" s="381" t="s">
        <v>114</v>
      </c>
      <c r="AC16" s="381"/>
      <c r="AD16" s="135"/>
      <c r="AE16" s="135"/>
      <c r="AF16" s="229">
        <f t="shared" si="15"/>
        <v>266.69811320752024</v>
      </c>
      <c r="AG16" s="52">
        <f t="shared" si="16"/>
        <v>1.1266974409536914</v>
      </c>
      <c r="AH16" s="382">
        <f>AG26</f>
        <v>1.0553698765647288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3085</v>
      </c>
      <c r="H17" s="78">
        <f>F17*G17</f>
        <v>156316.95000000001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7"/>
        <v>175</v>
      </c>
      <c r="M17" s="148">
        <v>15</v>
      </c>
      <c r="N17" s="95">
        <f>G17/W17*60</f>
        <v>2230.1204819277059</v>
      </c>
      <c r="O17" s="96">
        <f t="shared" ref="O17:O19" si="20">N17/M17</f>
        <v>148.6746987951804</v>
      </c>
      <c r="P17" s="97">
        <f t="shared" si="12"/>
        <v>3</v>
      </c>
      <c r="Q17" s="98">
        <f t="shared" si="13"/>
        <v>-26.325301204819596</v>
      </c>
      <c r="R17" s="99">
        <f t="shared" si="14"/>
        <v>0.84956970740103088</v>
      </c>
      <c r="S17" s="414"/>
      <c r="T17" s="19">
        <v>0.34375</v>
      </c>
      <c r="U17" s="19">
        <v>0.40138888888888902</v>
      </c>
      <c r="V17" s="30">
        <f>(T17-U16)*24*60</f>
        <v>13.99999999999971</v>
      </c>
      <c r="W17" s="149">
        <f t="shared" si="19"/>
        <v>83.000000000000185</v>
      </c>
      <c r="X17" s="19"/>
      <c r="Y17" s="297"/>
      <c r="Z17" s="90"/>
      <c r="AA17" s="90"/>
      <c r="AB17" s="501" t="s">
        <v>114</v>
      </c>
      <c r="AC17" s="502"/>
      <c r="AD17" s="92"/>
      <c r="AE17" s="92"/>
      <c r="AF17" s="307">
        <f t="shared" si="15"/>
        <v>130.1204819277059</v>
      </c>
      <c r="AG17" s="72">
        <f t="shared" si="16"/>
        <v>1.0619621342512886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2587</v>
      </c>
      <c r="H18" s="78">
        <f>F18*G18</f>
        <v>130358.93000000001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7"/>
        <v>190.90909090909091</v>
      </c>
      <c r="M18" s="148">
        <v>15</v>
      </c>
      <c r="N18" s="95">
        <f t="shared" si="18"/>
        <v>2249.5652173913359</v>
      </c>
      <c r="O18" s="96">
        <f t="shared" si="20"/>
        <v>149.97101449275573</v>
      </c>
      <c r="P18" s="97">
        <f t="shared" si="12"/>
        <v>4</v>
      </c>
      <c r="Q18" s="98">
        <f t="shared" si="13"/>
        <v>-40.938076416335178</v>
      </c>
      <c r="R18" s="99">
        <f t="shared" si="14"/>
        <v>0.78556245686681569</v>
      </c>
      <c r="S18" s="414"/>
      <c r="T18" s="19">
        <v>0.42430555555555599</v>
      </c>
      <c r="U18" s="19">
        <v>0.47222222222222199</v>
      </c>
      <c r="V18" s="30">
        <f>(T18-U17)*24*60</f>
        <v>33.000000000000441</v>
      </c>
      <c r="W18" s="149">
        <f t="shared" si="19"/>
        <v>68.999999999999034</v>
      </c>
      <c r="X18" s="22">
        <v>0.48611111111111099</v>
      </c>
      <c r="Y18" s="84">
        <v>0.52777777777777801</v>
      </c>
      <c r="Z18" s="90"/>
      <c r="AA18" s="90"/>
      <c r="AB18" s="501" t="s">
        <v>114</v>
      </c>
      <c r="AC18" s="502"/>
      <c r="AD18" s="92"/>
      <c r="AE18" s="92"/>
      <c r="AF18" s="307">
        <f t="shared" si="15"/>
        <v>149.56521739133586</v>
      </c>
      <c r="AG18" s="72">
        <f t="shared" si="16"/>
        <v>1.0712215320911123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4038</v>
      </c>
      <c r="H19" s="78">
        <f>F19*G19</f>
        <v>203474.82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7"/>
        <v>190.90909090909091</v>
      </c>
      <c r="M19" s="148">
        <v>15</v>
      </c>
      <c r="N19" s="95">
        <f t="shared" si="18"/>
        <v>2018.9999999999829</v>
      </c>
      <c r="O19" s="96">
        <f t="shared" si="20"/>
        <v>134.59999999999886</v>
      </c>
      <c r="P19" s="97">
        <f t="shared" si="12"/>
        <v>4</v>
      </c>
      <c r="Q19" s="98">
        <f t="shared" si="13"/>
        <v>-56.309090909092049</v>
      </c>
      <c r="R19" s="99">
        <f t="shared" si="14"/>
        <v>0.70504761904761304</v>
      </c>
      <c r="S19" s="414"/>
      <c r="T19" s="19">
        <v>0.53472222222222199</v>
      </c>
      <c r="U19" s="19">
        <v>0.61805555555555602</v>
      </c>
      <c r="V19" s="30">
        <f>(T19-U18)*24*60</f>
        <v>90</v>
      </c>
      <c r="W19" s="149">
        <f t="shared" si="19"/>
        <v>120.00000000000101</v>
      </c>
      <c r="X19" s="22"/>
      <c r="Y19" s="84"/>
      <c r="Z19" s="90"/>
      <c r="AA19" s="90"/>
      <c r="AB19" s="501" t="s">
        <v>114</v>
      </c>
      <c r="AC19" s="502"/>
      <c r="AD19" s="149"/>
      <c r="AE19" s="149"/>
      <c r="AF19" s="307">
        <f t="shared" si="15"/>
        <v>-81.000000000017053</v>
      </c>
      <c r="AG19" s="72">
        <f t="shared" si="16"/>
        <v>0.96142857142856331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9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2101.25</v>
      </c>
      <c r="L26" s="158">
        <f t="shared" si="22"/>
        <v>183.0587121212121</v>
      </c>
      <c r="M26" s="155">
        <f t="shared" si="22"/>
        <v>15</v>
      </c>
      <c r="N26" s="155">
        <f t="shared" si="22"/>
        <v>2217.5959531316362</v>
      </c>
      <c r="O26" s="158">
        <f t="shared" si="22"/>
        <v>147.83973020877573</v>
      </c>
      <c r="P26" s="159">
        <f t="shared" ref="P26:P30" si="23">M26-J26</f>
        <v>3.5</v>
      </c>
      <c r="Q26" s="160">
        <f t="shared" ref="Q26:Q30" si="24">O26-L26</f>
        <v>-35.218981912436362</v>
      </c>
      <c r="R26" s="161">
        <f>O26/L26</f>
        <v>0.80760827220768294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5">N26-K26</f>
        <v>116.34595313163618</v>
      </c>
      <c r="AG26" s="124">
        <f t="shared" ref="AG26:AG31" si="26">N26/K26</f>
        <v>1.0553698765647288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VLOOKUP(D27,廠價表!$C$1:$E$41,3,0)</f>
        <v>57.3</v>
      </c>
      <c r="G27" s="169">
        <v>1186</v>
      </c>
      <c r="H27" s="134">
        <f>F27*G27</f>
        <v>67957.8</v>
      </c>
      <c r="I27" s="135"/>
      <c r="J27" s="136">
        <v>15</v>
      </c>
      <c r="K27" s="137">
        <f>VLOOKUP(D27,產線配置圖!$A$3:$C$38,3,0)</f>
        <v>1500</v>
      </c>
      <c r="L27" s="138">
        <f t="shared" ref="L27:L30" si="27">K27/J27</f>
        <v>100</v>
      </c>
      <c r="M27" s="170">
        <v>15</v>
      </c>
      <c r="N27" s="140">
        <f>G27/W27*60</f>
        <v>1482.4999999999682</v>
      </c>
      <c r="O27" s="141">
        <f>N27/M27</f>
        <v>98.833333333331211</v>
      </c>
      <c r="P27" s="142">
        <f t="shared" si="23"/>
        <v>0</v>
      </c>
      <c r="Q27" s="143">
        <f t="shared" si="24"/>
        <v>-1.1666666666687888</v>
      </c>
      <c r="R27" s="144">
        <f>O27/L27</f>
        <v>0.98833333333331208</v>
      </c>
      <c r="S27" s="413">
        <f>R37</f>
        <v>0.96600386330828814</v>
      </c>
      <c r="T27" s="171">
        <v>0.28819444444444398</v>
      </c>
      <c r="U27" s="171">
        <v>0.32152777777777802</v>
      </c>
      <c r="V27" s="135"/>
      <c r="W27" s="146">
        <f t="shared" si="19"/>
        <v>48.00000000000103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5"/>
        <v>-17.500000000031832</v>
      </c>
      <c r="AG27" s="172">
        <f t="shared" si="26"/>
        <v>0.98833333333331208</v>
      </c>
      <c r="AH27" s="382">
        <f>AG37</f>
        <v>0.93891575351005618</v>
      </c>
    </row>
    <row r="28" spans="1:34" ht="15" customHeight="1">
      <c r="A28" s="411"/>
      <c r="B28" s="75" t="s">
        <v>120</v>
      </c>
      <c r="C28" s="173"/>
      <c r="D28" s="59" t="s">
        <v>121</v>
      </c>
      <c r="E28" s="104"/>
      <c r="F28" s="75">
        <f>VLOOKUP(D28,廠價表!$C$1:$E$41,3,0)</f>
        <v>49.91</v>
      </c>
      <c r="G28" s="90">
        <v>3190</v>
      </c>
      <c r="H28" s="91">
        <f>F28*G28</f>
        <v>159212.9</v>
      </c>
      <c r="I28" s="92"/>
      <c r="J28" s="79">
        <f>VLOOKUP(D28,產線配置圖!$A$3:$C$38,2,0)</f>
        <v>15</v>
      </c>
      <c r="K28" s="80">
        <f>VLOOKUP(D28,產線配置圖!$A$3:$C$38,3,0)</f>
        <v>1565</v>
      </c>
      <c r="L28" s="93">
        <f t="shared" si="27"/>
        <v>104.33333333333333</v>
      </c>
      <c r="M28" s="94">
        <v>15</v>
      </c>
      <c r="N28" s="95">
        <f>G28/W28*60</f>
        <v>1439.0977443609038</v>
      </c>
      <c r="O28" s="96">
        <f>N28/M28</f>
        <v>95.939849624060258</v>
      </c>
      <c r="P28" s="97">
        <f t="shared" si="23"/>
        <v>0</v>
      </c>
      <c r="Q28" s="98">
        <f t="shared" si="24"/>
        <v>-8.3934837092730703</v>
      </c>
      <c r="R28" s="99">
        <f t="shared" ref="R28:R30" si="28">O28/L28</f>
        <v>0.91955127435201534</v>
      </c>
      <c r="S28" s="414"/>
      <c r="T28" s="19">
        <v>0.32638888888888901</v>
      </c>
      <c r="U28" s="19">
        <v>0.41875000000000001</v>
      </c>
      <c r="V28" s="92">
        <f>(T28-U27)*24*60</f>
        <v>6.9999999999998153</v>
      </c>
      <c r="W28" s="149">
        <f t="shared" si="19"/>
        <v>132.99999999999986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5"/>
        <v>-125.90225563909621</v>
      </c>
      <c r="AG28" s="99">
        <f t="shared" si="26"/>
        <v>0.91955127435201522</v>
      </c>
      <c r="AH28" s="383"/>
    </row>
    <row r="29" spans="1:34" ht="15" customHeight="1">
      <c r="A29" s="411"/>
      <c r="B29" s="75" t="s">
        <v>120</v>
      </c>
      <c r="C29" s="173"/>
      <c r="D29" s="59" t="s">
        <v>122</v>
      </c>
      <c r="E29" s="104"/>
      <c r="F29" s="75">
        <f>VLOOKUP(D29,廠價表!$C$1:$E$41,3,0)</f>
        <v>49.52</v>
      </c>
      <c r="G29" s="90">
        <v>1150</v>
      </c>
      <c r="H29" s="91">
        <f>F29*G29</f>
        <v>56948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 t="shared" si="27"/>
        <v>84.705882352941174</v>
      </c>
      <c r="M29" s="94">
        <v>16</v>
      </c>
      <c r="N29" s="95">
        <f>G29/W29*60</f>
        <v>1326.9230769230796</v>
      </c>
      <c r="O29" s="96">
        <f>N29/M29</f>
        <v>82.932692307692477</v>
      </c>
      <c r="P29" s="97">
        <f t="shared" si="23"/>
        <v>-1</v>
      </c>
      <c r="Q29" s="98">
        <f t="shared" si="24"/>
        <v>-1.7731900452486968</v>
      </c>
      <c r="R29" s="99">
        <f t="shared" si="28"/>
        <v>0.97906650641025839</v>
      </c>
      <c r="S29" s="414"/>
      <c r="T29" s="19">
        <v>0.42499999999999999</v>
      </c>
      <c r="U29" s="19">
        <v>0.46111111111111103</v>
      </c>
      <c r="V29" s="92">
        <f>(T29-U28)*24*60</f>
        <v>8.999999999999968</v>
      </c>
      <c r="W29" s="149">
        <f t="shared" si="19"/>
        <v>51.999999999999893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5"/>
        <v>-113.07692307692037</v>
      </c>
      <c r="AG29" s="99">
        <f t="shared" si="26"/>
        <v>0.92147435897436081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800</v>
      </c>
      <c r="H30" s="91">
        <f>F30*G30</f>
        <v>39616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 t="shared" si="27"/>
        <v>84.705882352941174</v>
      </c>
      <c r="M30" s="94">
        <v>16</v>
      </c>
      <c r="N30" s="95">
        <f>G30/W30*60</f>
        <v>1333.3333333333321</v>
      </c>
      <c r="O30" s="96">
        <f>N30/M30</f>
        <v>83.333333333333258</v>
      </c>
      <c r="P30" s="97">
        <f t="shared" si="23"/>
        <v>-1</v>
      </c>
      <c r="Q30" s="98">
        <f t="shared" si="24"/>
        <v>-1.3725490196079164</v>
      </c>
      <c r="R30" s="99">
        <f t="shared" si="28"/>
        <v>0.98379629629629539</v>
      </c>
      <c r="S30" s="414"/>
      <c r="T30" s="19">
        <v>0.52638888888888902</v>
      </c>
      <c r="U30" s="19">
        <v>0.55138888888888904</v>
      </c>
      <c r="V30" s="92">
        <f>(T30-U29)*24*60</f>
        <v>94.000000000000313</v>
      </c>
      <c r="W30" s="149">
        <f t="shared" si="19"/>
        <v>36.000000000000028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5"/>
        <v>-106.66666666666788</v>
      </c>
      <c r="AG30" s="99">
        <f t="shared" si="26"/>
        <v>0.92592592592592504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5"/>
        <v>0</v>
      </c>
      <c r="AG31" s="99" t="e">
        <f t="shared" si="26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30">AVERAGE(J27:J36)</f>
        <v>16</v>
      </c>
      <c r="K37" s="155">
        <f t="shared" si="30"/>
        <v>1486.25</v>
      </c>
      <c r="L37" s="158">
        <f t="shared" si="30"/>
        <v>93.436274509803908</v>
      </c>
      <c r="M37" s="155">
        <f t="shared" si="30"/>
        <v>15.5</v>
      </c>
      <c r="N37" s="155">
        <f t="shared" si="30"/>
        <v>1395.4635386543209</v>
      </c>
      <c r="O37" s="158">
        <f t="shared" si="30"/>
        <v>90.259802149604297</v>
      </c>
      <c r="P37" s="159">
        <f>M37-J37</f>
        <v>-0.5</v>
      </c>
      <c r="Q37" s="160">
        <f>N37-K37</f>
        <v>-90.786461345679072</v>
      </c>
      <c r="R37" s="161">
        <f t="shared" ref="R37:R40" si="31">O37/L37</f>
        <v>0.96600386330828814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2">N37-K37</f>
        <v>-90.786461345679072</v>
      </c>
      <c r="AG37" s="124">
        <f t="shared" ref="AG37:AG41" si="33">N37/K37</f>
        <v>0.93891575351005618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1543</v>
      </c>
      <c r="H38" s="134">
        <f>F38*G38</f>
        <v>87750.409999999989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4">K38/J38</f>
        <v>92.058823529411768</v>
      </c>
      <c r="M38" s="190">
        <v>17</v>
      </c>
      <c r="N38" s="140">
        <f>G38/W38*60</f>
        <v>1303.9436619718194</v>
      </c>
      <c r="O38" s="141">
        <f>N38/M38</f>
        <v>76.702568351283503</v>
      </c>
      <c r="P38" s="142">
        <f t="shared" ref="P38:P40" si="35">M38-J38</f>
        <v>0</v>
      </c>
      <c r="Q38" s="143">
        <f t="shared" ref="Q38:Q40" si="36">O38-L38</f>
        <v>-15.356255178128265</v>
      </c>
      <c r="R38" s="144">
        <f>O38/L38</f>
        <v>0.83319083832065144</v>
      </c>
      <c r="S38" s="404">
        <f>R48</f>
        <v>0.87788611449231879</v>
      </c>
      <c r="T38" s="191">
        <v>0.33333333333333298</v>
      </c>
      <c r="U38" s="191">
        <v>0.38263888888888897</v>
      </c>
      <c r="V38" s="192"/>
      <c r="W38" s="193">
        <f t="shared" si="19"/>
        <v>71.000000000000625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2"/>
        <v>-261.05633802818056</v>
      </c>
      <c r="AG38" s="195">
        <f t="shared" si="33"/>
        <v>0.83319083832065144</v>
      </c>
      <c r="AH38" s="398">
        <f>AG48</f>
        <v>0.8778861144923189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3488</v>
      </c>
      <c r="H39" s="91">
        <f>F39*G39</f>
        <v>154518.39999999999</v>
      </c>
      <c r="I39" s="200"/>
      <c r="J39" s="148">
        <f>VLOOKUP(D39,產線配置圖!$A$3:$C$38,2,0)</f>
        <v>17</v>
      </c>
      <c r="K39" s="95">
        <v>1565</v>
      </c>
      <c r="L39" s="96">
        <f t="shared" si="34"/>
        <v>92.058823529411768</v>
      </c>
      <c r="M39" s="201">
        <v>17</v>
      </c>
      <c r="N39" s="202">
        <f>G39/W39*60</f>
        <v>1395.1999999999953</v>
      </c>
      <c r="O39" s="203">
        <f t="shared" ref="O39:O40" si="37">N39/M39</f>
        <v>82.07058823529384</v>
      </c>
      <c r="P39" s="97">
        <f t="shared" si="35"/>
        <v>0</v>
      </c>
      <c r="Q39" s="98">
        <f t="shared" si="36"/>
        <v>-9.9882352941179278</v>
      </c>
      <c r="R39" s="99">
        <f t="shared" si="31"/>
        <v>0.89150159744408641</v>
      </c>
      <c r="S39" s="405"/>
      <c r="T39" s="20">
        <v>0.38888888888888901</v>
      </c>
      <c r="U39" s="20">
        <v>0.49305555555555602</v>
      </c>
      <c r="V39" s="92">
        <f>(T39-U38)*24*60</f>
        <v>9.000000000000048</v>
      </c>
      <c r="W39" s="205">
        <f t="shared" si="19"/>
        <v>150.00000000000051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2"/>
        <v>-169.80000000000473</v>
      </c>
      <c r="AG39" s="206">
        <f t="shared" si="33"/>
        <v>0.89150159744408641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3746</v>
      </c>
      <c r="H40" s="91">
        <f>F40*G40</f>
        <v>165947.79999999999</v>
      </c>
      <c r="I40" s="200"/>
      <c r="J40" s="148">
        <f>VLOOKUP(D40,產線配置圖!$A$3:$C$38,2,0)</f>
        <v>17</v>
      </c>
      <c r="K40" s="95">
        <v>1565</v>
      </c>
      <c r="L40" s="96">
        <f t="shared" si="34"/>
        <v>92.058823529411768</v>
      </c>
      <c r="M40" s="201">
        <v>17</v>
      </c>
      <c r="N40" s="202">
        <f>G40/W40*60</f>
        <v>1422.5316455696225</v>
      </c>
      <c r="O40" s="203">
        <f t="shared" si="37"/>
        <v>83.678332092330734</v>
      </c>
      <c r="P40" s="97">
        <f t="shared" si="35"/>
        <v>0</v>
      </c>
      <c r="Q40" s="98">
        <f t="shared" si="36"/>
        <v>-8.3804914370810337</v>
      </c>
      <c r="R40" s="99">
        <f t="shared" si="31"/>
        <v>0.90896590771221886</v>
      </c>
      <c r="S40" s="377"/>
      <c r="T40" s="20">
        <v>0.54513888888888895</v>
      </c>
      <c r="U40" s="20">
        <v>0.65486111111111101</v>
      </c>
      <c r="V40" s="92">
        <f>(T40-U39)*24*60</f>
        <v>74.999999999999417</v>
      </c>
      <c r="W40" s="205">
        <f t="shared" si="19"/>
        <v>157.99999999999977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2"/>
        <v>-142.46835443037753</v>
      </c>
      <c r="AG40" s="206">
        <f t="shared" si="33"/>
        <v>0.90896590771221886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2"/>
        <v>0</v>
      </c>
      <c r="AG41" s="206" t="e">
        <f t="shared" si="33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9">AVERAGE(J38:J47)</f>
        <v>17</v>
      </c>
      <c r="K48" s="155">
        <f t="shared" si="39"/>
        <v>1565</v>
      </c>
      <c r="L48" s="158">
        <f t="shared" si="39"/>
        <v>92.058823529411768</v>
      </c>
      <c r="M48" s="155">
        <f t="shared" si="39"/>
        <v>17</v>
      </c>
      <c r="N48" s="155">
        <f t="shared" si="39"/>
        <v>1373.8917691804791</v>
      </c>
      <c r="O48" s="158">
        <f t="shared" si="39"/>
        <v>80.81716289296935</v>
      </c>
      <c r="P48" s="221">
        <f>M48-J48</f>
        <v>0</v>
      </c>
      <c r="Q48" s="222">
        <f>N48-K48</f>
        <v>-191.10823081952094</v>
      </c>
      <c r="R48" s="223">
        <f>O48/L48</f>
        <v>0.87788611449231879</v>
      </c>
      <c r="S48" s="380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40">N48-K48</f>
        <v>-191.10823081952094</v>
      </c>
      <c r="AG48" s="162">
        <f t="shared" ref="AG48:AG53" si="41">N48/K48</f>
        <v>0.8778861144923189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VLOOKUP(D49,廠價表!$C$1:$E$41,3,0)</f>
        <v>47.71</v>
      </c>
      <c r="G49" s="228">
        <v>2903</v>
      </c>
      <c r="H49" s="134">
        <f>F49*G49</f>
        <v>138502.13</v>
      </c>
      <c r="I49" s="135"/>
      <c r="J49" s="136">
        <f>VLOOKUP(D49,產線配置圖!$A$3:$C$38,2,0)</f>
        <v>16</v>
      </c>
      <c r="K49" s="137">
        <f>VLOOKUP(D49,產線配置圖!$A$3:$C$38,3,0)</f>
        <v>1636</v>
      </c>
      <c r="L49" s="138">
        <f t="shared" ref="L49:L52" si="42">K49/J49</f>
        <v>102.25</v>
      </c>
      <c r="M49" s="170">
        <v>17</v>
      </c>
      <c r="N49" s="140">
        <f>G49/W49*60</f>
        <v>1724.5544554455425</v>
      </c>
      <c r="O49" s="141">
        <f>N49/M49</f>
        <v>101.44437973209074</v>
      </c>
      <c r="P49" s="229">
        <f>M49-J49</f>
        <v>1</v>
      </c>
      <c r="Q49" s="230">
        <f>O49-L49</f>
        <v>-0.80562026790926211</v>
      </c>
      <c r="R49" s="52">
        <f>O49/L49</f>
        <v>0.9921210731744815</v>
      </c>
      <c r="S49" s="376">
        <f>R58</f>
        <v>0.98778531175302831</v>
      </c>
      <c r="T49" s="191">
        <v>0.29166666666666702</v>
      </c>
      <c r="U49" s="191">
        <v>0.36180555555555599</v>
      </c>
      <c r="V49" s="55"/>
      <c r="W49" s="193">
        <f t="shared" si="19"/>
        <v>101.00000000000011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0"/>
        <v>88.554455445542544</v>
      </c>
      <c r="AG49" s="52">
        <f t="shared" si="41"/>
        <v>1.0541286402478867</v>
      </c>
      <c r="AH49" s="382">
        <f>AG58</f>
        <v>1.0032383740744637</v>
      </c>
    </row>
    <row r="50" spans="1:34" ht="15" customHeight="1">
      <c r="A50" s="396"/>
      <c r="B50" s="75" t="s">
        <v>120</v>
      </c>
      <c r="C50" s="76"/>
      <c r="D50" s="59" t="s">
        <v>122</v>
      </c>
      <c r="E50" s="77"/>
      <c r="F50" s="75">
        <f>VLOOKUP(D50,廠價表!$C$1:$E$41,3,0)</f>
        <v>49.52</v>
      </c>
      <c r="G50" s="202">
        <v>797</v>
      </c>
      <c r="H50" s="231">
        <f>F50*G50</f>
        <v>39467.440000000002</v>
      </c>
      <c r="I50" s="232"/>
      <c r="J50" s="79">
        <f>VLOOKUP(D50,產線配置圖!$A$3:$C$38,2,0)</f>
        <v>17</v>
      </c>
      <c r="K50" s="80">
        <f>VLOOKUP(D50,產線配置圖!$A$3:$C$38,3,0)</f>
        <v>1440</v>
      </c>
      <c r="L50" s="81">
        <f t="shared" si="42"/>
        <v>84.705882352941174</v>
      </c>
      <c r="M50" s="233">
        <v>17</v>
      </c>
      <c r="N50" s="234">
        <f>G50/W50*60</f>
        <v>1406.4705882353023</v>
      </c>
      <c r="O50" s="235">
        <f>N50/M50</f>
        <v>82.733564013841317</v>
      </c>
      <c r="P50" s="74">
        <f>M50-J50</f>
        <v>0</v>
      </c>
      <c r="Q50" s="83">
        <f>O50-L50</f>
        <v>-1.9723183390998571</v>
      </c>
      <c r="R50" s="72">
        <f>O50/L50</f>
        <v>0.97671568627451555</v>
      </c>
      <c r="S50" s="377"/>
      <c r="T50" s="21">
        <v>0.38750000000000001</v>
      </c>
      <c r="U50" s="19">
        <v>0.41111111111111098</v>
      </c>
      <c r="V50" s="30">
        <f t="shared" ref="V50:V52" si="43">(T50-U49)*24*60</f>
        <v>36.999999999999389</v>
      </c>
      <c r="W50" s="236">
        <f t="shared" si="19"/>
        <v>33.999999999999801</v>
      </c>
      <c r="X50" s="22"/>
      <c r="Y50" s="84"/>
      <c r="Z50" s="90"/>
      <c r="AA50" s="90"/>
      <c r="AB50" s="388" t="s">
        <v>126</v>
      </c>
      <c r="AC50" s="388"/>
      <c r="AD50" s="92"/>
      <c r="AE50" s="92"/>
      <c r="AF50" s="307">
        <f t="shared" si="40"/>
        <v>-33.52941176469767</v>
      </c>
      <c r="AG50" s="72">
        <f t="shared" si="41"/>
        <v>0.97671568627451555</v>
      </c>
      <c r="AH50" s="384"/>
    </row>
    <row r="51" spans="1:34" ht="15" customHeight="1">
      <c r="A51" s="396"/>
      <c r="B51" s="75" t="s">
        <v>81</v>
      </c>
      <c r="C51" s="86"/>
      <c r="D51" s="59" t="s">
        <v>127</v>
      </c>
      <c r="E51" s="87"/>
      <c r="F51" s="75">
        <f>VLOOKUP(D51,廠價表!$C$1:$E$41,3,0)</f>
        <v>49.97</v>
      </c>
      <c r="G51" s="202">
        <v>2925</v>
      </c>
      <c r="H51" s="231">
        <f t="shared" ref="H51:H52" si="44">F51*G51</f>
        <v>146162.25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2"/>
        <v>107.125</v>
      </c>
      <c r="M51" s="233">
        <v>16</v>
      </c>
      <c r="N51" s="234">
        <f t="shared" ref="N51:N52" si="45">G51/W51*60</f>
        <v>1703.8834951456254</v>
      </c>
      <c r="O51" s="235">
        <f t="shared" ref="O51:O52" si="46">N51/M51</f>
        <v>106.49271844660159</v>
      </c>
      <c r="P51" s="74">
        <f t="shared" ref="P51:P52" si="47">M51-J51</f>
        <v>0</v>
      </c>
      <c r="Q51" s="83">
        <f t="shared" ref="Q51:Q52" si="48">O51-L51</f>
        <v>-0.63228155339841408</v>
      </c>
      <c r="R51" s="72">
        <f t="shared" ref="R51:R52" si="49">O51/L51</f>
        <v>0.99409772178857958</v>
      </c>
      <c r="S51" s="377"/>
      <c r="T51" s="21">
        <v>0.421527777777778</v>
      </c>
      <c r="U51" s="21">
        <v>0.49305555555555602</v>
      </c>
      <c r="V51" s="30">
        <f t="shared" si="43"/>
        <v>15.000000000000506</v>
      </c>
      <c r="W51" s="236">
        <f t="shared" si="19"/>
        <v>103.00000000000036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0"/>
        <v>-10.116504854374625</v>
      </c>
      <c r="AG51" s="72">
        <f t="shared" si="41"/>
        <v>0.99409772178857958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3662</v>
      </c>
      <c r="H52" s="231">
        <f t="shared" si="44"/>
        <v>182990.13999999998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2"/>
        <v>107.125</v>
      </c>
      <c r="M52" s="108">
        <v>16</v>
      </c>
      <c r="N52" s="234">
        <f t="shared" si="45"/>
        <v>1690.1538461538416</v>
      </c>
      <c r="O52" s="235">
        <f t="shared" si="46"/>
        <v>105.6346153846151</v>
      </c>
      <c r="P52" s="74">
        <f t="shared" si="47"/>
        <v>0</v>
      </c>
      <c r="Q52" s="83">
        <f t="shared" si="48"/>
        <v>-1.4903846153848974</v>
      </c>
      <c r="R52" s="72">
        <f t="shared" si="49"/>
        <v>0.98608742482721212</v>
      </c>
      <c r="S52" s="377"/>
      <c r="T52" s="21">
        <v>0.55138888888888904</v>
      </c>
      <c r="U52" s="21">
        <v>0.64166666666666705</v>
      </c>
      <c r="V52" s="30">
        <f t="shared" si="43"/>
        <v>83.999999999999545</v>
      </c>
      <c r="W52" s="236">
        <f t="shared" si="19"/>
        <v>130.00000000000034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40"/>
        <v>-23.846153846158359</v>
      </c>
      <c r="AG52" s="72">
        <f t="shared" si="41"/>
        <v>0.98608742482721212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40"/>
        <v>0</v>
      </c>
      <c r="AG53" s="72" t="e">
        <f t="shared" si="41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50">AVERAGE(J49:J57)</f>
        <v>16.25</v>
      </c>
      <c r="K58" s="120">
        <f t="shared" si="50"/>
        <v>1626</v>
      </c>
      <c r="L58" s="117">
        <f t="shared" si="50"/>
        <v>100.30147058823529</v>
      </c>
      <c r="M58" s="120">
        <f t="shared" si="50"/>
        <v>16.5</v>
      </c>
      <c r="N58" s="120">
        <f t="shared" si="50"/>
        <v>1631.2655962450781</v>
      </c>
      <c r="O58" s="117">
        <f t="shared" si="50"/>
        <v>99.076319394287196</v>
      </c>
      <c r="P58" s="121">
        <f>M58-J58</f>
        <v>0.25</v>
      </c>
      <c r="Q58" s="122">
        <f>N58-K58</f>
        <v>5.2655962450780862</v>
      </c>
      <c r="R58" s="123">
        <f t="shared" ref="R58:R60" si="51">O58/L58</f>
        <v>0.98778531175302831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52">N58-K58</f>
        <v>5.2655962450780862</v>
      </c>
      <c r="AG58" s="124">
        <f t="shared" ref="AG58:AG61" si="53">N58/K58</f>
        <v>1.0032383740744637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4182</v>
      </c>
      <c r="H59" s="243">
        <f>F59*G59</f>
        <v>112872.18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1" si="54">K59/J59</f>
        <v>120.38461538461539</v>
      </c>
      <c r="M59" s="244">
        <v>14</v>
      </c>
      <c r="N59" s="137">
        <f t="shared" ref="N59:N61" si="55">G59/W59*60</f>
        <v>1568.2500000000016</v>
      </c>
      <c r="O59" s="138">
        <f t="shared" ref="O59:O61" si="56">N59/M59</f>
        <v>112.01785714285725</v>
      </c>
      <c r="P59" s="56">
        <f t="shared" ref="P59:P61" si="57">M59-J59</f>
        <v>1</v>
      </c>
      <c r="Q59" s="230">
        <f t="shared" ref="Q59:Q61" si="58">O59-L59</f>
        <v>-8.3667582417581343</v>
      </c>
      <c r="R59" s="52">
        <f t="shared" si="51"/>
        <v>0.93049977179370236</v>
      </c>
      <c r="S59" s="376">
        <f>R69</f>
        <v>0.88405558624996872</v>
      </c>
      <c r="T59" s="245">
        <v>0.29166666666666702</v>
      </c>
      <c r="U59" s="245">
        <v>0.40277777777777801</v>
      </c>
      <c r="V59" s="55"/>
      <c r="W59" s="54">
        <f t="shared" si="19"/>
        <v>159.99999999999983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52"/>
        <v>3.2500000000015916</v>
      </c>
      <c r="AG59" s="246">
        <f t="shared" si="53"/>
        <v>1.002076677316295</v>
      </c>
      <c r="AH59" s="382">
        <f>AG69</f>
        <v>0.95876312186216184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1632</v>
      </c>
      <c r="H60" s="78">
        <f>F60*G60</f>
        <v>46120.32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4"/>
        <v>130.41666666666666</v>
      </c>
      <c r="M60" s="82">
        <v>14</v>
      </c>
      <c r="N60" s="80">
        <f t="shared" si="55"/>
        <v>1631.9999999999864</v>
      </c>
      <c r="O60" s="81">
        <f t="shared" si="56"/>
        <v>116.5714285714276</v>
      </c>
      <c r="P60" s="74">
        <f t="shared" si="57"/>
        <v>2</v>
      </c>
      <c r="Q60" s="83">
        <f t="shared" si="58"/>
        <v>-13.845238095239054</v>
      </c>
      <c r="R60" s="72">
        <f t="shared" si="51"/>
        <v>0.89383842994065899</v>
      </c>
      <c r="S60" s="394"/>
      <c r="T60" s="22">
        <v>0.41319444444444398</v>
      </c>
      <c r="U60" s="22">
        <v>0.45486111111111099</v>
      </c>
      <c r="V60" s="30">
        <f t="shared" ref="V60:V61" si="59">(T60-U59)*24*60</f>
        <v>14.999999999998987</v>
      </c>
      <c r="W60" s="248">
        <f t="shared" si="19"/>
        <v>60.000000000000504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52"/>
        <v>66.999999999986358</v>
      </c>
      <c r="AG60" s="249">
        <f t="shared" si="53"/>
        <v>1.0428115015974353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1518</v>
      </c>
      <c r="H61" s="254">
        <f>F61*G61</f>
        <v>42898.68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4"/>
        <v>130.41666666666666</v>
      </c>
      <c r="M61" s="108">
        <v>12</v>
      </c>
      <c r="N61" s="107">
        <f t="shared" si="55"/>
        <v>1301.1428571428619</v>
      </c>
      <c r="O61" s="238">
        <f t="shared" si="56"/>
        <v>108.42857142857183</v>
      </c>
      <c r="P61" s="111">
        <f t="shared" si="57"/>
        <v>0</v>
      </c>
      <c r="Q61" s="255">
        <f t="shared" si="58"/>
        <v>-21.988095238094829</v>
      </c>
      <c r="R61" s="85">
        <f>O61/L61</f>
        <v>0.83140118667275531</v>
      </c>
      <c r="S61" s="377"/>
      <c r="T61" s="22">
        <v>0.46527777777777801</v>
      </c>
      <c r="U61" s="22">
        <v>0.51388888888888895</v>
      </c>
      <c r="V61" s="30">
        <f t="shared" si="59"/>
        <v>15.000000000000506</v>
      </c>
      <c r="W61" s="256">
        <f t="shared" si="19"/>
        <v>69.999999999999744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52"/>
        <v>-263.85714285713811</v>
      </c>
      <c r="AG61" s="247">
        <f t="shared" si="53"/>
        <v>0.8314011866727552</v>
      </c>
      <c r="AH61" s="384"/>
    </row>
    <row r="62" spans="1:34" ht="15" customHeight="1">
      <c r="A62" s="392"/>
      <c r="B62" s="258"/>
      <c r="C62" s="58"/>
      <c r="D62" s="259"/>
      <c r="E62" s="60"/>
      <c r="F62" s="250"/>
      <c r="G62" s="260"/>
      <c r="H62" s="254"/>
      <c r="I62" s="260"/>
      <c r="J62" s="106"/>
      <c r="K62" s="107"/>
      <c r="L62" s="238"/>
      <c r="M62" s="68"/>
      <c r="N62" s="107"/>
      <c r="O62" s="238"/>
      <c r="P62" s="111"/>
      <c r="Q62" s="255"/>
      <c r="R62" s="85"/>
      <c r="S62" s="377"/>
      <c r="T62" s="22"/>
      <c r="U62" s="22"/>
      <c r="V62" s="30"/>
      <c r="W62" s="248">
        <f t="shared" si="19"/>
        <v>0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0</v>
      </c>
      <c r="AG62" s="247" t="e">
        <f>N62/K62</f>
        <v>#DIV/0!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60">AVERAGE(J59:J68)</f>
        <v>12.333333333333334</v>
      </c>
      <c r="K69" s="240">
        <f t="shared" si="60"/>
        <v>1565</v>
      </c>
      <c r="L69" s="268">
        <f t="shared" si="60"/>
        <v>127.07264957264958</v>
      </c>
      <c r="M69" s="240">
        <f t="shared" si="60"/>
        <v>13.333333333333334</v>
      </c>
      <c r="N69" s="240">
        <f t="shared" si="60"/>
        <v>1500.4642857142833</v>
      </c>
      <c r="O69" s="268">
        <f t="shared" si="60"/>
        <v>112.33928571428557</v>
      </c>
      <c r="P69" s="269">
        <f>M69-J69</f>
        <v>1</v>
      </c>
      <c r="Q69" s="222">
        <f>N69-K69</f>
        <v>-64.535714285716722</v>
      </c>
      <c r="R69" s="123">
        <f>O69/L69</f>
        <v>0.88405558624996872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-64.535714285716722</v>
      </c>
      <c r="AG69" s="124">
        <f>N69/K69</f>
        <v>0.95876312186216184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1774</v>
      </c>
      <c r="H70" s="243">
        <f>F70*G70</f>
        <v>89888.58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12</v>
      </c>
      <c r="N70" s="137">
        <f>G70/W70*60</f>
        <v>1097.319587628868</v>
      </c>
      <c r="O70" s="138">
        <f>N70/M70</f>
        <v>91.44329896907233</v>
      </c>
      <c r="P70" s="56">
        <f>M70-J70</f>
        <v>2</v>
      </c>
      <c r="Q70" s="230">
        <f>O70-L70</f>
        <v>-21.05670103092767</v>
      </c>
      <c r="R70" s="52">
        <f>O70/L70</f>
        <v>0.8128293241695318</v>
      </c>
      <c r="S70" s="376">
        <f>R79</f>
        <v>0.88024912643617714</v>
      </c>
      <c r="T70" s="245">
        <v>0.35486111111111102</v>
      </c>
      <c r="U70" s="245">
        <v>0.422222222222222</v>
      </c>
      <c r="V70" s="55"/>
      <c r="W70" s="54">
        <f t="shared" si="19"/>
        <v>96.999999999999815</v>
      </c>
      <c r="X70" s="270"/>
      <c r="Y70" s="292"/>
      <c r="Z70" s="169"/>
      <c r="AA70" s="169"/>
      <c r="AB70" s="381" t="s">
        <v>133</v>
      </c>
      <c r="AC70" s="381"/>
      <c r="AD70" s="135"/>
      <c r="AE70" s="135"/>
      <c r="AF70" s="310">
        <f>N70-K70</f>
        <v>-27.680412371131979</v>
      </c>
      <c r="AG70" s="246">
        <f>N70/K70</f>
        <v>0.97539518900343825</v>
      </c>
      <c r="AH70" s="382">
        <f>AG79</f>
        <v>0.87427098991904273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75">
        <f>VLOOKUP(D71,廠價表!$C$1:$E$41,3,0)</f>
        <v>56.43</v>
      </c>
      <c r="G71" s="30">
        <v>1330</v>
      </c>
      <c r="H71" s="78">
        <f>F71*G71</f>
        <v>75051.899999999994</v>
      </c>
      <c r="I71" s="30"/>
      <c r="J71" s="79">
        <f>VLOOKUP(D71,產線配置圖!$A$3:$C$38,2,0)</f>
        <v>16</v>
      </c>
      <c r="K71" s="80">
        <f>VLOOKUP(D71,產線配置圖!$A$3:$C$38,3,0)</f>
        <v>1406</v>
      </c>
      <c r="L71" s="81">
        <f t="shared" ref="L71:L72" si="61">K71/J71</f>
        <v>87.875</v>
      </c>
      <c r="M71" s="82">
        <v>15</v>
      </c>
      <c r="N71" s="80">
        <f t="shared" ref="N71:N72" si="62">G71/W71*60</f>
        <v>1108.3333333333323</v>
      </c>
      <c r="O71" s="81">
        <f t="shared" ref="O71:O72" si="63">N71/M71</f>
        <v>73.888888888888829</v>
      </c>
      <c r="P71" s="74">
        <f t="shared" ref="P71:P72" si="64">M71-J71</f>
        <v>-1</v>
      </c>
      <c r="Q71" s="83">
        <f t="shared" ref="Q71:Q72" si="65">O71-L71</f>
        <v>-13.986111111111171</v>
      </c>
      <c r="R71" s="72">
        <f>O71/L71</f>
        <v>0.84084084084084021</v>
      </c>
      <c r="S71" s="377"/>
      <c r="T71" s="22">
        <v>0.42916666666666697</v>
      </c>
      <c r="U71" s="22">
        <v>0.47916666666666702</v>
      </c>
      <c r="V71" s="30">
        <f t="shared" ref="V71:V72" si="66">(T71-U70)*24*60</f>
        <v>10.000000000000764</v>
      </c>
      <c r="W71" s="73">
        <f t="shared" si="19"/>
        <v>72.000000000000057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132</v>
      </c>
      <c r="E72" s="77"/>
      <c r="F72" s="250">
        <f>VLOOKUP(D72,廠價表!$C$1:$E$41,3,0)</f>
        <v>50.67</v>
      </c>
      <c r="G72" s="202">
        <v>1453</v>
      </c>
      <c r="H72" s="254">
        <f>F72*G72</f>
        <v>73623.510000000009</v>
      </c>
      <c r="I72" s="182"/>
      <c r="J72" s="106">
        <f>VLOOKUP(D72,產線配置圖!$A$3:$C$38,2,0)</f>
        <v>10</v>
      </c>
      <c r="K72" s="107">
        <f>VLOOKUP(D72,產線配置圖!$A$3:$C$38,3,0)</f>
        <v>1125</v>
      </c>
      <c r="L72" s="238">
        <f t="shared" si="61"/>
        <v>112.5</v>
      </c>
      <c r="M72" s="82">
        <v>9</v>
      </c>
      <c r="N72" s="107">
        <f t="shared" si="62"/>
        <v>990.68181818181995</v>
      </c>
      <c r="O72" s="238">
        <f t="shared" si="63"/>
        <v>110.07575757575778</v>
      </c>
      <c r="P72" s="111">
        <f t="shared" si="64"/>
        <v>-1</v>
      </c>
      <c r="Q72" s="255">
        <f t="shared" si="65"/>
        <v>-2.4242424242422231</v>
      </c>
      <c r="R72" s="85">
        <f>O72/L72</f>
        <v>0.97845117845118024</v>
      </c>
      <c r="S72" s="377"/>
      <c r="T72" s="22">
        <v>0.55555555555555602</v>
      </c>
      <c r="U72" s="22">
        <v>0.61666666666666703</v>
      </c>
      <c r="V72" s="30">
        <f t="shared" si="66"/>
        <v>110.00000000000017</v>
      </c>
      <c r="W72" s="73">
        <f t="shared" si="19"/>
        <v>87.999999999999844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8">AVERAGE(J70:J78)</f>
        <v>12</v>
      </c>
      <c r="K79" s="240">
        <f t="shared" si="68"/>
        <v>1218.6666666666667</v>
      </c>
      <c r="L79" s="268">
        <f t="shared" si="68"/>
        <v>104.29166666666667</v>
      </c>
      <c r="M79" s="240">
        <f t="shared" si="68"/>
        <v>12</v>
      </c>
      <c r="N79" s="240">
        <f t="shared" si="68"/>
        <v>1065.4449130480068</v>
      </c>
      <c r="O79" s="268">
        <f t="shared" si="68"/>
        <v>91.802648477906317</v>
      </c>
      <c r="P79" s="269">
        <f>M79-J79</f>
        <v>0</v>
      </c>
      <c r="Q79" s="222">
        <f>N79-K79</f>
        <v>-153.22175361865993</v>
      </c>
      <c r="R79" s="223">
        <f>O79/L79</f>
        <v>0.88024912643617714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-153.22175361865993</v>
      </c>
      <c r="AG79" s="124">
        <f>N79/K79</f>
        <v>0.87427098991904273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5:AH15"/>
    <mergeCell ref="M3:M4"/>
    <mergeCell ref="AG3:AG4"/>
    <mergeCell ref="AH3:AH4"/>
    <mergeCell ref="S3:S4"/>
    <mergeCell ref="P3:P4"/>
    <mergeCell ref="Q3:Q4"/>
    <mergeCell ref="R3:R4"/>
    <mergeCell ref="AB13:AC13"/>
    <mergeCell ref="S5:S15"/>
    <mergeCell ref="AB5:AC5"/>
    <mergeCell ref="AB15:AC15"/>
    <mergeCell ref="AB8:AC8"/>
    <mergeCell ref="AB9:AC9"/>
    <mergeCell ref="AB10:AC10"/>
    <mergeCell ref="H3:H4"/>
    <mergeCell ref="I3:I4"/>
    <mergeCell ref="G3:G4"/>
    <mergeCell ref="AB12:AC12"/>
    <mergeCell ref="AB6:AC6"/>
    <mergeCell ref="AB7:AC7"/>
    <mergeCell ref="AB11:AC11"/>
    <mergeCell ref="A2:B2"/>
    <mergeCell ref="A3:A4"/>
    <mergeCell ref="B3:B4"/>
    <mergeCell ref="D3:E4"/>
    <mergeCell ref="F3:F4"/>
    <mergeCell ref="AB3:AC4"/>
    <mergeCell ref="J1:L2"/>
    <mergeCell ref="M1:O2"/>
    <mergeCell ref="N3:N4"/>
    <mergeCell ref="O3:O4"/>
    <mergeCell ref="A5:A15"/>
    <mergeCell ref="D15:E15"/>
    <mergeCell ref="AB14:AC14"/>
    <mergeCell ref="AF1:AH2"/>
    <mergeCell ref="J3:J4"/>
    <mergeCell ref="K3:K4"/>
    <mergeCell ref="L3:L4"/>
    <mergeCell ref="P1:S2"/>
    <mergeCell ref="T1:Y2"/>
    <mergeCell ref="AB1:AC2"/>
    <mergeCell ref="AD3:AE3"/>
    <mergeCell ref="AF3:AF4"/>
    <mergeCell ref="T3:U3"/>
    <mergeCell ref="V3:V4"/>
    <mergeCell ref="W3:W4"/>
    <mergeCell ref="X3:Y3"/>
    <mergeCell ref="Z3:AA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23596-48F3-468E-9574-79C3C4442F8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43B5-C7F7-4780-9570-64D09C77FDD5}">
  <dimension ref="B1:O26"/>
  <sheetViews>
    <sheetView zoomScale="70" zoomScaleNormal="70" workbookViewId="0">
      <selection activeCell="AB5" sqref="AB5:AC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46083</v>
      </c>
      <c r="E3" s="466"/>
      <c r="F3" s="3" t="s">
        <v>72</v>
      </c>
      <c r="G3" s="467">
        <f>'0302'!E1</f>
        <v>57654</v>
      </c>
      <c r="H3" s="467"/>
      <c r="I3" s="3" t="s">
        <v>2</v>
      </c>
      <c r="J3" s="468">
        <f>'0302'!G1</f>
        <v>2739861.82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123.81979470109719</v>
      </c>
      <c r="G6" s="473"/>
      <c r="H6" s="474">
        <f>AVERAGE(D13:H13,J13)</f>
        <v>123.13831817692109</v>
      </c>
      <c r="I6" s="474"/>
      <c r="J6" s="474">
        <f>AVERAGE(I13)</f>
        <v>127.90865384615384</v>
      </c>
      <c r="K6" s="474"/>
      <c r="L6" s="499">
        <f>SUM(D18:J18)</f>
        <v>0</v>
      </c>
      <c r="M6" s="477">
        <f>SUM(D19:J19)</f>
        <v>0</v>
      </c>
      <c r="N6" s="500">
        <f>SUM(D20:J20)</f>
        <v>7</v>
      </c>
      <c r="O6" s="477">
        <f>SUM(D20:J20)</f>
        <v>7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109.39194185953907</v>
      </c>
      <c r="G7" s="497"/>
      <c r="H7" s="498">
        <f>AVERAGE(D14:H14,J14)</f>
        <v>109.80813341073546</v>
      </c>
      <c r="I7" s="498"/>
      <c r="J7" s="498">
        <f>AVERAGE(I14)</f>
        <v>106.89479255236077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0.88347700885478631</v>
      </c>
      <c r="G8" s="470"/>
      <c r="H8" s="470">
        <f>H7/H6</f>
        <v>0.89174624955464099</v>
      </c>
      <c r="I8" s="470"/>
      <c r="J8" s="470">
        <f>J7/J6</f>
        <v>0.83571196582939455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VALUE('0302'!L15)</f>
        <v>158.69871794871796</v>
      </c>
      <c r="E13" s="13">
        <f>VALUE('0302'!L26)</f>
        <v>183.0587121212121</v>
      </c>
      <c r="F13" s="13">
        <f>VALUE('0302'!L37)</f>
        <v>95.2219887955182</v>
      </c>
      <c r="G13" s="13">
        <f>VALUE('0302'!L48)</f>
        <v>92.058823529411768</v>
      </c>
      <c r="H13" s="13">
        <f>VALUE('0302'!L58)</f>
        <v>105.5</v>
      </c>
      <c r="I13" s="13">
        <f>VALUE('0302'!L69)</f>
        <v>127.90865384615384</v>
      </c>
      <c r="J13" s="13">
        <f>'0302'!L79</f>
        <v>104.29166666666667</v>
      </c>
    </row>
    <row r="14" spans="2:15" ht="39.950000000000003" customHeight="1">
      <c r="B14" s="491"/>
      <c r="C14" s="12" t="s">
        <v>100</v>
      </c>
      <c r="D14" s="13">
        <f>VALUE('0302'!O15)</f>
        <v>128.34913788733814</v>
      </c>
      <c r="E14" s="13">
        <f>VALUE('0302'!O26)</f>
        <v>159.08015612706194</v>
      </c>
      <c r="F14" s="13">
        <f>VALUE('0302'!O37)</f>
        <v>91.581588794617076</v>
      </c>
      <c r="G14" s="13">
        <f>VALUE('0302'!O48)</f>
        <v>81.604238907243612</v>
      </c>
      <c r="H14" s="13">
        <f>VALUE('0302'!O58)</f>
        <v>102.69917582417554</v>
      </c>
      <c r="I14" s="13">
        <f>VALUE('0302'!O69)</f>
        <v>106.89479255236077</v>
      </c>
      <c r="J14" s="13">
        <f>'0302'!O79</f>
        <v>95.534502923976575</v>
      </c>
    </row>
    <row r="15" spans="2:15" ht="39.950000000000003" customHeight="1">
      <c r="B15" s="492"/>
      <c r="C15" s="10" t="s">
        <v>26</v>
      </c>
      <c r="D15" s="14">
        <f>D14/D13</f>
        <v>0.80875976533605642</v>
      </c>
      <c r="E15" s="14">
        <f t="shared" ref="E15:I15" si="1">E14/E13</f>
        <v>0.86901166452939549</v>
      </c>
      <c r="F15" s="14">
        <f t="shared" si="1"/>
        <v>0.96176933451034508</v>
      </c>
      <c r="G15" s="14">
        <f t="shared" si="1"/>
        <v>0.88643582199561743</v>
      </c>
      <c r="H15" s="14">
        <f t="shared" si="1"/>
        <v>0.97345190354668754</v>
      </c>
      <c r="I15" s="14">
        <f t="shared" si="1"/>
        <v>0.83571196582939455</v>
      </c>
      <c r="J15" s="15">
        <f>'0302'!S70</f>
        <v>0.91603198968255606</v>
      </c>
    </row>
    <row r="16" spans="2:15" ht="17.25" customHeight="1">
      <c r="B16" s="493" t="s">
        <v>101</v>
      </c>
      <c r="C16" s="10" t="s">
        <v>34</v>
      </c>
      <c r="D16" s="16">
        <f>'0302'!T5</f>
        <v>0.29166666666666702</v>
      </c>
      <c r="E16" s="16">
        <f>'0302'!T16</f>
        <v>0.29027777777777802</v>
      </c>
      <c r="F16" s="16">
        <f>'0302'!T27</f>
        <v>0.28819444444444398</v>
      </c>
      <c r="G16" s="16">
        <f>'0302'!T38</f>
        <v>0.33333333333333298</v>
      </c>
      <c r="H16" s="16">
        <f>'0302'!T49</f>
        <v>0.29166666666666702</v>
      </c>
      <c r="I16" s="16">
        <f>'0302'!T59</f>
        <v>0.28819444444444398</v>
      </c>
      <c r="J16" s="16">
        <f>'0302'!T70</f>
        <v>0.33333333333333298</v>
      </c>
    </row>
    <row r="17" spans="2:10" ht="17.25" customHeight="1">
      <c r="B17" s="494"/>
      <c r="C17" s="10" t="s">
        <v>35</v>
      </c>
      <c r="D17" s="16">
        <v>0.62986111111111098</v>
      </c>
      <c r="E17" s="19">
        <v>0.60208333333333297</v>
      </c>
      <c r="F17" s="19">
        <v>0.57499999999999996</v>
      </c>
      <c r="G17" s="20">
        <v>0.64444444444444404</v>
      </c>
      <c r="H17" s="19">
        <v>0.58402777777777803</v>
      </c>
      <c r="I17" s="22">
        <v>0.56944444444444398</v>
      </c>
      <c r="J17" s="22">
        <v>0.59722222222222199</v>
      </c>
    </row>
    <row r="18" spans="2:10" ht="17.25" customHeight="1">
      <c r="B18" s="495" t="s">
        <v>102</v>
      </c>
      <c r="C18" s="330" t="s">
        <v>36</v>
      </c>
      <c r="D18" s="358">
        <f>'0302'!Z15</f>
        <v>0</v>
      </c>
      <c r="E18" s="359">
        <f>'0302'!Z26</f>
        <v>0</v>
      </c>
      <c r="F18" s="359">
        <f>'0302'!Z37</f>
        <v>0</v>
      </c>
      <c r="G18" s="360">
        <f>'0302'!Z48</f>
        <v>0</v>
      </c>
      <c r="H18" s="360">
        <f>'0302'!Z58</f>
        <v>0</v>
      </c>
      <c r="I18" s="359">
        <f>'0302'!Z69</f>
        <v>0</v>
      </c>
      <c r="J18" s="359">
        <f>'0302'!AA79</f>
        <v>0</v>
      </c>
    </row>
    <row r="19" spans="2:10" ht="17.25" customHeight="1">
      <c r="B19" s="496"/>
      <c r="C19" s="330" t="s">
        <v>37</v>
      </c>
      <c r="D19" s="358">
        <f>'0302'!AA15</f>
        <v>0</v>
      </c>
      <c r="E19" s="359">
        <f>'0302'!AA26</f>
        <v>0</v>
      </c>
      <c r="F19" s="359">
        <f>'0302'!AA37</f>
        <v>0</v>
      </c>
      <c r="G19" s="360">
        <f>'0302'!AA48</f>
        <v>0</v>
      </c>
      <c r="H19" s="360">
        <f>'0302'!AA58</f>
        <v>0</v>
      </c>
      <c r="I19" s="359">
        <f>'0302'!AA69</f>
        <v>0</v>
      </c>
      <c r="J19" s="359">
        <f>'0302'!AB79</f>
        <v>0</v>
      </c>
    </row>
    <row r="20" spans="2:10" ht="17.25" customHeight="1">
      <c r="B20" s="495" t="s">
        <v>103</v>
      </c>
      <c r="C20" s="330" t="s">
        <v>36</v>
      </c>
      <c r="D20" s="358">
        <f>'0302'!AD15</f>
        <v>2</v>
      </c>
      <c r="E20" s="359">
        <f>'0302'!AD26</f>
        <v>5</v>
      </c>
      <c r="F20" s="359">
        <f>'0302'!AD37</f>
        <v>0</v>
      </c>
      <c r="G20" s="360">
        <f>'0302'!AD48</f>
        <v>0</v>
      </c>
      <c r="H20" s="360">
        <f>'0302'!AD58</f>
        <v>0</v>
      </c>
      <c r="I20" s="359">
        <f>'0302'!AD69</f>
        <v>0</v>
      </c>
      <c r="J20" s="359">
        <f>'0302'!AD79</f>
        <v>0</v>
      </c>
    </row>
    <row r="21" spans="2:10" ht="17.25" customHeight="1">
      <c r="B21" s="496"/>
      <c r="C21" s="330" t="s">
        <v>85</v>
      </c>
      <c r="D21" s="358">
        <f>'0302'!AE15</f>
        <v>2</v>
      </c>
      <c r="E21" s="359">
        <f>'0302'!AE26</f>
        <v>6</v>
      </c>
      <c r="F21" s="359">
        <f>'0302'!AE37</f>
        <v>0</v>
      </c>
      <c r="G21" s="360">
        <f>'0302'!AE48</f>
        <v>0</v>
      </c>
      <c r="H21" s="360">
        <f>'0302'!AE58</f>
        <v>0</v>
      </c>
      <c r="I21" s="359">
        <f>'0302'!AE69</f>
        <v>0</v>
      </c>
      <c r="J21" s="359">
        <f>'0302'!AE79</f>
        <v>0</v>
      </c>
    </row>
    <row r="22" spans="2:10" ht="17.25" customHeight="1">
      <c r="B22" s="479" t="s">
        <v>104</v>
      </c>
      <c r="C22" s="480"/>
      <c r="D22" s="23">
        <f>VALUE('0302'!M15)</f>
        <v>14.2</v>
      </c>
      <c r="E22" s="23">
        <f>VALUE('0302'!M26)</f>
        <v>12.5</v>
      </c>
      <c r="F22" s="23">
        <f>VALUE('0302'!M37)</f>
        <v>14.75</v>
      </c>
      <c r="G22" s="23">
        <f>VALUE('0302'!M48)</f>
        <v>16.666666666666668</v>
      </c>
      <c r="H22" s="23">
        <f>VALUE('0302'!M58)</f>
        <v>16</v>
      </c>
      <c r="I22" s="23">
        <f>VALUE('0302'!M69)</f>
        <v>13</v>
      </c>
      <c r="J22" s="23">
        <f>'0302'!M79</f>
        <v>11.333333333333334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17AC-F141-4276-B73E-0B3077A61914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AB5" sqref="AB5:AC8"/>
      <selection pane="topRight" activeCell="AB5" sqref="AB5:AC8"/>
      <selection pane="bottomLeft" activeCell="AB5" sqref="AB5:AC8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57654</v>
      </c>
      <c r="F1" s="30" t="s">
        <v>2</v>
      </c>
      <c r="G1" s="31">
        <f>SUM(H5:H79)</f>
        <v>2739861.82</v>
      </c>
      <c r="H1" s="32" t="s">
        <v>3</v>
      </c>
      <c r="I1" s="33">
        <f>M15+M26+M48+M58+M69+M79+M37</f>
        <v>98.45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135</v>
      </c>
      <c r="B2" s="447"/>
      <c r="C2" s="28"/>
      <c r="D2" s="28" t="s">
        <v>14</v>
      </c>
      <c r="E2" s="35">
        <f>AVERAGE(O15,O26,O37,O48,O58,O69,O79)</f>
        <v>109.39194185953907</v>
      </c>
      <c r="F2" s="36" t="s">
        <v>15</v>
      </c>
      <c r="G2" s="37">
        <f>G1/E1</f>
        <v>47.522493148784122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7</v>
      </c>
      <c r="AE2" s="340">
        <f>AE15+AE26+AE37+AE48+AE58+AE69+AE79</f>
        <v>8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2173</v>
      </c>
      <c r="H5" s="43">
        <f>F5*G5</f>
        <v>124317.33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9" si="0">K5/J5</f>
        <v>175.41666666666666</v>
      </c>
      <c r="M5" s="48">
        <v>15</v>
      </c>
      <c r="N5" s="46">
        <f t="shared" ref="N5:N9" si="1">G5/W5*60</f>
        <v>2102.9032258064808</v>
      </c>
      <c r="O5" s="47">
        <f t="shared" ref="O5:O9" si="2">N5/M5</f>
        <v>140.19354838709873</v>
      </c>
      <c r="P5" s="49">
        <f t="shared" ref="P5:P9" si="3">M5-J5</f>
        <v>3</v>
      </c>
      <c r="Q5" s="50">
        <f t="shared" ref="Q5:Q9" si="4">O5-L5</f>
        <v>-35.223118279567927</v>
      </c>
      <c r="R5" s="51">
        <f t="shared" ref="R5:R9" si="5">O5/L5</f>
        <v>0.79920312619723743</v>
      </c>
      <c r="S5" s="376">
        <f>R15</f>
        <v>0.80875976533605642</v>
      </c>
      <c r="T5" s="319">
        <v>0.29166666666666702</v>
      </c>
      <c r="U5" s="320">
        <v>0.33472222222222198</v>
      </c>
      <c r="V5" s="53"/>
      <c r="W5" s="54">
        <f t="shared" ref="W5:W14" si="6">(U5-T5)*24*60</f>
        <v>61.99999999999914</v>
      </c>
      <c r="X5" s="55"/>
      <c r="Y5" s="290"/>
      <c r="Z5" s="169"/>
      <c r="AA5" s="169"/>
      <c r="AB5" s="381" t="s">
        <v>114</v>
      </c>
      <c r="AC5" s="381"/>
      <c r="AD5" s="135">
        <v>1</v>
      </c>
      <c r="AE5" s="135">
        <v>1</v>
      </c>
      <c r="AF5" s="229">
        <f t="shared" ref="AF5:AF11" si="7">N5-K5</f>
        <v>-2.0967741935191953</v>
      </c>
      <c r="AG5" s="52">
        <f t="shared" ref="AG5:AG11" si="8">N5/K5</f>
        <v>0.99900390774654668</v>
      </c>
      <c r="AH5" s="382">
        <f>AG15</f>
        <v>0.89065148193272148</v>
      </c>
    </row>
    <row r="6" spans="1:34" ht="15" customHeight="1">
      <c r="A6" s="423"/>
      <c r="B6" s="57" t="s">
        <v>81</v>
      </c>
      <c r="C6" s="58"/>
      <c r="D6" s="59" t="s">
        <v>115</v>
      </c>
      <c r="E6" s="60"/>
      <c r="F6" s="61">
        <f>VLOOKUP(D6,廠價表!$C$1:$E$41,3,0)</f>
        <v>50.67</v>
      </c>
      <c r="G6" s="62">
        <v>1153</v>
      </c>
      <c r="H6" s="63">
        <f>F6*G6</f>
        <v>58422.51</v>
      </c>
      <c r="I6" s="64"/>
      <c r="J6" s="65">
        <f>VLOOKUP(D6,產線配置圖!$A$3:$C$38,2,0)</f>
        <v>12</v>
      </c>
      <c r="K6" s="66">
        <f>VLOOKUP(D6,產線配置圖!$A$3:$C$38,3,0)</f>
        <v>2100</v>
      </c>
      <c r="L6" s="67">
        <f t="shared" si="0"/>
        <v>175</v>
      </c>
      <c r="M6" s="68">
        <v>14</v>
      </c>
      <c r="N6" s="66">
        <f t="shared" si="1"/>
        <v>1572.2727272727557</v>
      </c>
      <c r="O6" s="67">
        <f t="shared" si="2"/>
        <v>112.30519480519683</v>
      </c>
      <c r="P6" s="69">
        <f t="shared" si="3"/>
        <v>2</v>
      </c>
      <c r="Q6" s="70">
        <f t="shared" si="4"/>
        <v>-62.694805194803166</v>
      </c>
      <c r="R6" s="71">
        <f t="shared" si="5"/>
        <v>0.64174397031541053</v>
      </c>
      <c r="S6" s="377"/>
      <c r="T6" s="16">
        <v>0.34166666666666701</v>
      </c>
      <c r="U6" s="16">
        <v>0.37222222222222201</v>
      </c>
      <c r="V6" s="30">
        <f>(T6-U5)*24*60</f>
        <v>10.000000000000844</v>
      </c>
      <c r="W6" s="73">
        <f t="shared" si="6"/>
        <v>43.999999999999204</v>
      </c>
      <c r="X6" s="22"/>
      <c r="Y6" s="84"/>
      <c r="Z6" s="90"/>
      <c r="AA6" s="90"/>
      <c r="AB6" s="501" t="s">
        <v>114</v>
      </c>
      <c r="AC6" s="502"/>
      <c r="AD6" s="149">
        <v>1</v>
      </c>
      <c r="AE6" s="149">
        <v>1</v>
      </c>
      <c r="AF6" s="307">
        <f t="shared" si="7"/>
        <v>-527.72727272724433</v>
      </c>
      <c r="AG6" s="72">
        <f t="shared" si="8"/>
        <v>0.74870129870131219</v>
      </c>
      <c r="AH6" s="384"/>
    </row>
    <row r="7" spans="1:34" ht="15" customHeight="1">
      <c r="A7" s="423"/>
      <c r="B7" s="75" t="s">
        <v>81</v>
      </c>
      <c r="C7" s="76"/>
      <c r="D7" s="59" t="s">
        <v>116</v>
      </c>
      <c r="E7" s="77"/>
      <c r="F7" s="75">
        <f>VLOOKUP(D7,廠價表!$C$1:$E$41,3,0)</f>
        <v>56.28</v>
      </c>
      <c r="G7" s="66">
        <v>1536</v>
      </c>
      <c r="H7" s="78">
        <f>F7*G7</f>
        <v>86446.080000000002</v>
      </c>
      <c r="I7" s="73"/>
      <c r="J7" s="79">
        <f>VLOOKUP(D7,產線配置圖!$A$3:$C$38,2,0)</f>
        <v>15</v>
      </c>
      <c r="K7" s="80">
        <f>VLOOKUP(D7,產線配置圖!$A$3:$C$38,3,0)</f>
        <v>1800</v>
      </c>
      <c r="L7" s="81">
        <f t="shared" si="0"/>
        <v>120</v>
      </c>
      <c r="M7" s="82">
        <v>15</v>
      </c>
      <c r="N7" s="80">
        <f t="shared" si="1"/>
        <v>1772.307692307696</v>
      </c>
      <c r="O7" s="81">
        <f t="shared" si="2"/>
        <v>118.1538461538464</v>
      </c>
      <c r="P7" s="74">
        <f t="shared" si="3"/>
        <v>0</v>
      </c>
      <c r="Q7" s="83">
        <f t="shared" si="4"/>
        <v>-1.846153846153598</v>
      </c>
      <c r="R7" s="72">
        <f t="shared" si="5"/>
        <v>0.98461538461538667</v>
      </c>
      <c r="S7" s="377"/>
      <c r="T7" s="18">
        <v>0.37847222222222199</v>
      </c>
      <c r="U7" s="18">
        <v>0.41458333333333303</v>
      </c>
      <c r="V7" s="30">
        <f>(T7-U6)*24*60</f>
        <v>8.999999999999968</v>
      </c>
      <c r="W7" s="73">
        <f t="shared" si="6"/>
        <v>51.999999999999893</v>
      </c>
      <c r="X7" s="22"/>
      <c r="Y7" s="84"/>
      <c r="Z7" s="90"/>
      <c r="AA7" s="90"/>
      <c r="AB7" s="501" t="s">
        <v>114</v>
      </c>
      <c r="AC7" s="502"/>
      <c r="AD7" s="92"/>
      <c r="AE7" s="92"/>
      <c r="AF7" s="307">
        <f t="shared" si="7"/>
        <v>-27.692307692303984</v>
      </c>
      <c r="AG7" s="72">
        <f t="shared" si="8"/>
        <v>0.98461538461538667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1945</v>
      </c>
      <c r="H8" s="78">
        <f t="shared" ref="H8:H9" si="9">F8*G8</f>
        <v>95577.3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14</v>
      </c>
      <c r="N8" s="80">
        <f t="shared" si="1"/>
        <v>1643.6619718309694</v>
      </c>
      <c r="O8" s="81">
        <f t="shared" si="2"/>
        <v>117.40442655935496</v>
      </c>
      <c r="P8" s="74">
        <f t="shared" si="3"/>
        <v>1</v>
      </c>
      <c r="Q8" s="83">
        <f t="shared" si="4"/>
        <v>-44.134034979106588</v>
      </c>
      <c r="R8" s="72">
        <f t="shared" si="5"/>
        <v>0.72678930727219737</v>
      </c>
      <c r="S8" s="377"/>
      <c r="T8" s="16">
        <v>0.42847222222222198</v>
      </c>
      <c r="U8" s="16">
        <v>0.47777777777777802</v>
      </c>
      <c r="V8" s="30">
        <f t="shared" ref="V8:V9" si="10">(T8-U7)*24*60</f>
        <v>20.000000000000089</v>
      </c>
      <c r="W8" s="73">
        <f t="shared" si="6"/>
        <v>71.000000000000711</v>
      </c>
      <c r="X8" s="22">
        <v>0.48611111111111099</v>
      </c>
      <c r="Y8" s="84">
        <v>0.52777777777777801</v>
      </c>
      <c r="Z8" s="90"/>
      <c r="AA8" s="90"/>
      <c r="AB8" s="501" t="s">
        <v>114</v>
      </c>
      <c r="AC8" s="502"/>
      <c r="AD8" s="149"/>
      <c r="AE8" s="149"/>
      <c r="AF8" s="307">
        <f t="shared" si="7"/>
        <v>-456.33802816903062</v>
      </c>
      <c r="AG8" s="72">
        <f t="shared" si="8"/>
        <v>0.78269617706236638</v>
      </c>
      <c r="AH8" s="384"/>
    </row>
    <row r="9" spans="1:34" ht="15" customHeight="1">
      <c r="A9" s="424"/>
      <c r="B9" s="75" t="s">
        <v>81</v>
      </c>
      <c r="C9" s="76"/>
      <c r="D9" s="59" t="s">
        <v>117</v>
      </c>
      <c r="E9" s="77"/>
      <c r="F9" s="75">
        <f>VLOOKUP(D9,廠價表!$C$1:$E$41,3,0)</f>
        <v>49.14</v>
      </c>
      <c r="G9" s="66">
        <v>4229</v>
      </c>
      <c r="H9" s="78">
        <f t="shared" si="9"/>
        <v>207813.06</v>
      </c>
      <c r="I9" s="73"/>
      <c r="J9" s="79">
        <f>VLOOKUP(D9,產線配置圖!$A$3:$C$38,2,0)</f>
        <v>13</v>
      </c>
      <c r="K9" s="80">
        <f>VLOOKUP(D9,產線配置圖!$A$3:$C$38,3,0)</f>
        <v>2100</v>
      </c>
      <c r="L9" s="81">
        <f t="shared" si="0"/>
        <v>161.53846153846155</v>
      </c>
      <c r="M9" s="82">
        <v>13</v>
      </c>
      <c r="N9" s="80">
        <f t="shared" si="1"/>
        <v>1997.9527559055214</v>
      </c>
      <c r="O9" s="81">
        <f t="shared" si="2"/>
        <v>153.68867353119396</v>
      </c>
      <c r="P9" s="74">
        <f t="shared" si="3"/>
        <v>0</v>
      </c>
      <c r="Q9" s="83">
        <f t="shared" si="4"/>
        <v>-7.8497880072675912</v>
      </c>
      <c r="R9" s="72">
        <f t="shared" si="5"/>
        <v>0.95140607424072443</v>
      </c>
      <c r="S9" s="378"/>
      <c r="T9" s="16">
        <v>0.54166666666666696</v>
      </c>
      <c r="U9" s="16">
        <v>0.62986111111111098</v>
      </c>
      <c r="V9" s="30">
        <f t="shared" si="10"/>
        <v>92.000000000000071</v>
      </c>
      <c r="W9" s="73">
        <f t="shared" si="6"/>
        <v>126.99999999999939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-102.04724409447863</v>
      </c>
      <c r="AG9" s="72">
        <f t="shared" si="8"/>
        <v>0.95140607424072443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1">AVERAGE(J5:J14)</f>
        <v>13</v>
      </c>
      <c r="K15" s="120">
        <f t="shared" si="11"/>
        <v>2041</v>
      </c>
      <c r="L15" s="117">
        <f t="shared" si="11"/>
        <v>158.69871794871796</v>
      </c>
      <c r="M15" s="120">
        <f t="shared" si="11"/>
        <v>14.2</v>
      </c>
      <c r="N15" s="120">
        <f t="shared" si="11"/>
        <v>1817.8196746246845</v>
      </c>
      <c r="O15" s="117">
        <f t="shared" si="11"/>
        <v>128.34913788733814</v>
      </c>
      <c r="P15" s="121">
        <f t="shared" ref="P15:P19" si="12">M15-J15</f>
        <v>1.1999999999999993</v>
      </c>
      <c r="Q15" s="122">
        <f t="shared" ref="Q15:Q19" si="13">O15-L15</f>
        <v>-30.349580061379811</v>
      </c>
      <c r="R15" s="123">
        <f t="shared" ref="R15:R19" si="14">O15/L15</f>
        <v>0.80875976533605642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2</v>
      </c>
      <c r="AE15" s="323">
        <f>SUM(AE5:AE14)</f>
        <v>2</v>
      </c>
      <c r="AF15" s="309">
        <f t="shared" ref="AF15:AF19" si="15">N15-K15</f>
        <v>-223.18032537531553</v>
      </c>
      <c r="AG15" s="124">
        <f t="shared" ref="AG15:AG19" si="16">N15/K15</f>
        <v>0.89065148193272148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1931</v>
      </c>
      <c r="H16" s="134">
        <f>F16*G16</f>
        <v>110472.51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7">K16/J16</f>
        <v>175.41666666666666</v>
      </c>
      <c r="M16" s="139">
        <v>15</v>
      </c>
      <c r="N16" s="140">
        <f t="shared" ref="N16:N19" si="18">G16/W16*60</f>
        <v>2032.631578947387</v>
      </c>
      <c r="O16" s="141">
        <f>N16/M16</f>
        <v>135.5087719298258</v>
      </c>
      <c r="P16" s="142">
        <f>M16-J16</f>
        <v>3</v>
      </c>
      <c r="Q16" s="143">
        <f t="shared" si="13"/>
        <v>-39.907894736840859</v>
      </c>
      <c r="R16" s="144">
        <f>O16/L16</f>
        <v>0.77249656207026585</v>
      </c>
      <c r="S16" s="413">
        <f>R26</f>
        <v>0.86901166452939549</v>
      </c>
      <c r="T16" s="145">
        <v>0.29027777777777802</v>
      </c>
      <c r="U16" s="145">
        <v>0.32986111111111099</v>
      </c>
      <c r="V16" s="135"/>
      <c r="W16" s="146">
        <f t="shared" ref="W16:W78" si="19">(U16-T16)*24*60</f>
        <v>56.999999999999474</v>
      </c>
      <c r="X16" s="141"/>
      <c r="Y16" s="296"/>
      <c r="Z16" s="169"/>
      <c r="AA16" s="169"/>
      <c r="AB16" s="381" t="s">
        <v>114</v>
      </c>
      <c r="AC16" s="381"/>
      <c r="AD16" s="135">
        <v>1</v>
      </c>
      <c r="AE16" s="135">
        <v>1</v>
      </c>
      <c r="AF16" s="229">
        <f t="shared" si="15"/>
        <v>-72.36842105261303</v>
      </c>
      <c r="AG16" s="52">
        <f t="shared" si="16"/>
        <v>0.96562070258783228</v>
      </c>
      <c r="AH16" s="382">
        <f>AG26</f>
        <v>0.93628422772804476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3055</v>
      </c>
      <c r="H17" s="78">
        <f>F17*G17</f>
        <v>154796.85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7"/>
        <v>175</v>
      </c>
      <c r="M17" s="148">
        <v>13</v>
      </c>
      <c r="N17" s="95">
        <f>G17/W17*60</f>
        <v>2131.395348837219</v>
      </c>
      <c r="O17" s="96">
        <f t="shared" ref="O17:O19" si="20">N17/M17</f>
        <v>163.95348837209377</v>
      </c>
      <c r="P17" s="97">
        <f t="shared" si="12"/>
        <v>1</v>
      </c>
      <c r="Q17" s="98">
        <f t="shared" si="13"/>
        <v>-11.046511627906227</v>
      </c>
      <c r="R17" s="99">
        <f t="shared" si="14"/>
        <v>0.93687707641196438</v>
      </c>
      <c r="S17" s="414"/>
      <c r="T17" s="19">
        <v>0.33611111111111103</v>
      </c>
      <c r="U17" s="19">
        <v>0.39583333333333298</v>
      </c>
      <c r="V17" s="30">
        <f>(T17-U16)*24*60</f>
        <v>9.000000000000048</v>
      </c>
      <c r="W17" s="149">
        <f t="shared" si="19"/>
        <v>85.999999999999616</v>
      </c>
      <c r="X17" s="19"/>
      <c r="Y17" s="297"/>
      <c r="Z17" s="90"/>
      <c r="AA17" s="90"/>
      <c r="AB17" s="501" t="s">
        <v>114</v>
      </c>
      <c r="AC17" s="502"/>
      <c r="AD17" s="92">
        <v>3</v>
      </c>
      <c r="AE17" s="92">
        <v>4</v>
      </c>
      <c r="AF17" s="307">
        <f t="shared" si="15"/>
        <v>31.39534883721899</v>
      </c>
      <c r="AG17" s="72">
        <f t="shared" si="16"/>
        <v>1.0149501661129614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3334</v>
      </c>
      <c r="H18" s="78">
        <f>F18*G18</f>
        <v>168000.26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7"/>
        <v>190.90909090909091</v>
      </c>
      <c r="M18" s="148">
        <v>11</v>
      </c>
      <c r="N18" s="95">
        <f t="shared" si="18"/>
        <v>1818.5454545454518</v>
      </c>
      <c r="O18" s="96">
        <f t="shared" si="20"/>
        <v>165.32231404958654</v>
      </c>
      <c r="P18" s="97">
        <f t="shared" si="12"/>
        <v>0</v>
      </c>
      <c r="Q18" s="98">
        <f t="shared" si="13"/>
        <v>-25.586776859504369</v>
      </c>
      <c r="R18" s="99">
        <f t="shared" si="14"/>
        <v>0.86597402597402473</v>
      </c>
      <c r="S18" s="414"/>
      <c r="T18" s="19">
        <v>0.40277777777777801</v>
      </c>
      <c r="U18" s="19">
        <v>0.47916666666666702</v>
      </c>
      <c r="V18" s="30">
        <f>(T18-U17)*24*60</f>
        <v>10.000000000000844</v>
      </c>
      <c r="W18" s="149">
        <f t="shared" si="19"/>
        <v>110.00000000000017</v>
      </c>
      <c r="X18" s="22">
        <v>0.48611111111111099</v>
      </c>
      <c r="Y18" s="84">
        <v>0.52777777777777801</v>
      </c>
      <c r="Z18" s="90"/>
      <c r="AA18" s="90"/>
      <c r="AB18" s="501" t="s">
        <v>114</v>
      </c>
      <c r="AC18" s="502"/>
      <c r="AD18" s="92">
        <v>1</v>
      </c>
      <c r="AE18" s="92">
        <v>1</v>
      </c>
      <c r="AF18" s="307">
        <f t="shared" si="15"/>
        <v>-281.45454545454822</v>
      </c>
      <c r="AG18" s="72">
        <f t="shared" si="16"/>
        <v>0.86597402597402462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2736</v>
      </c>
      <c r="H19" s="78">
        <f>F19*G19</f>
        <v>137867.04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7"/>
        <v>190.90909090909091</v>
      </c>
      <c r="M19" s="148">
        <v>11</v>
      </c>
      <c r="N19" s="95">
        <f t="shared" si="18"/>
        <v>1886.8965517241586</v>
      </c>
      <c r="O19" s="96">
        <f t="shared" si="20"/>
        <v>171.53605015674168</v>
      </c>
      <c r="P19" s="97">
        <f t="shared" si="12"/>
        <v>0</v>
      </c>
      <c r="Q19" s="98">
        <f t="shared" si="13"/>
        <v>-19.373040752349226</v>
      </c>
      <c r="R19" s="99">
        <f t="shared" si="14"/>
        <v>0.89852216748769453</v>
      </c>
      <c r="S19" s="414"/>
      <c r="T19" s="19">
        <v>0.54166666666666696</v>
      </c>
      <c r="U19" s="19">
        <v>0.60208333333333297</v>
      </c>
      <c r="V19" s="30">
        <f>(T19-U18)*24*60</f>
        <v>89.999999999999915</v>
      </c>
      <c r="W19" s="149">
        <f t="shared" si="19"/>
        <v>86.999999999999048</v>
      </c>
      <c r="X19" s="22"/>
      <c r="Y19" s="84"/>
      <c r="Z19" s="90"/>
      <c r="AA19" s="90"/>
      <c r="AB19" s="501" t="s">
        <v>114</v>
      </c>
      <c r="AC19" s="502"/>
      <c r="AD19" s="149"/>
      <c r="AE19" s="149"/>
      <c r="AF19" s="307">
        <f t="shared" si="15"/>
        <v>-213.1034482758414</v>
      </c>
      <c r="AG19" s="72">
        <f t="shared" si="16"/>
        <v>0.89852216748769453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9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2101.25</v>
      </c>
      <c r="L26" s="158">
        <f t="shared" si="22"/>
        <v>183.0587121212121</v>
      </c>
      <c r="M26" s="155">
        <f t="shared" si="22"/>
        <v>12.5</v>
      </c>
      <c r="N26" s="155">
        <f t="shared" si="22"/>
        <v>1967.3672335135541</v>
      </c>
      <c r="O26" s="158">
        <f t="shared" si="22"/>
        <v>159.08015612706194</v>
      </c>
      <c r="P26" s="159">
        <f t="shared" ref="P26:P30" si="23">M26-J26</f>
        <v>1</v>
      </c>
      <c r="Q26" s="160">
        <f t="shared" ref="Q26:Q30" si="24">O26-L26</f>
        <v>-23.978555994150156</v>
      </c>
      <c r="R26" s="161">
        <f>O26/L26</f>
        <v>0.86901166452939549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5</v>
      </c>
      <c r="AE26" s="323">
        <f>SUM(AE16:AE25)</f>
        <v>6</v>
      </c>
      <c r="AF26" s="309">
        <f t="shared" ref="AF26:AF31" si="25">N26-K26</f>
        <v>-133.88276648644592</v>
      </c>
      <c r="AG26" s="124">
        <f t="shared" ref="AG26:AG31" si="26">N26/K26</f>
        <v>0.93628422772804476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VLOOKUP(D27,廠價表!$C$1:$E$41,3,0)</f>
        <v>57.3</v>
      </c>
      <c r="G27" s="169">
        <v>1246</v>
      </c>
      <c r="H27" s="134">
        <f>F27*G27</f>
        <v>71395.8</v>
      </c>
      <c r="I27" s="135"/>
      <c r="J27" s="136">
        <f>VLOOKUP(D27,產線配置圖!$A$3:$C$38,2,0)</f>
        <v>14</v>
      </c>
      <c r="K27" s="137">
        <f>VLOOKUP(D27,產線配置圖!$A$3:$C$38,3,0)</f>
        <v>1500</v>
      </c>
      <c r="L27" s="138">
        <f t="shared" ref="L27:L30" si="27">K27/J27</f>
        <v>107.14285714285714</v>
      </c>
      <c r="M27" s="170">
        <v>14</v>
      </c>
      <c r="N27" s="140">
        <f>G27/W27*60</f>
        <v>1495.1999999999648</v>
      </c>
      <c r="O27" s="141">
        <f>N27/M27</f>
        <v>106.79999999999748</v>
      </c>
      <c r="P27" s="142">
        <f t="shared" si="23"/>
        <v>0</v>
      </c>
      <c r="Q27" s="143">
        <f t="shared" si="24"/>
        <v>-0.34285714285965696</v>
      </c>
      <c r="R27" s="144">
        <f>O27/L27</f>
        <v>0.99679999999997648</v>
      </c>
      <c r="S27" s="413">
        <f>R37</f>
        <v>0.96176933451034508</v>
      </c>
      <c r="T27" s="171">
        <v>0.28819444444444398</v>
      </c>
      <c r="U27" s="171">
        <v>0.32291666666666702</v>
      </c>
      <c r="V27" s="135"/>
      <c r="W27" s="146">
        <f t="shared" si="19"/>
        <v>50.00000000000118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5"/>
        <v>-4.8000000000351974</v>
      </c>
      <c r="AG27" s="172">
        <f t="shared" si="26"/>
        <v>0.99679999999997648</v>
      </c>
      <c r="AH27" s="382">
        <f>AG37</f>
        <v>0.90632385663196413</v>
      </c>
    </row>
    <row r="28" spans="1:34" ht="15" customHeight="1">
      <c r="A28" s="411"/>
      <c r="B28" s="75" t="s">
        <v>120</v>
      </c>
      <c r="C28" s="173"/>
      <c r="D28" s="59" t="s">
        <v>121</v>
      </c>
      <c r="E28" s="104"/>
      <c r="F28" s="75">
        <f>VLOOKUP(D28,廠價表!$C$1:$E$41,3,0)</f>
        <v>49.91</v>
      </c>
      <c r="G28" s="90">
        <v>3059</v>
      </c>
      <c r="H28" s="91">
        <f>F28*G28</f>
        <v>152674.69</v>
      </c>
      <c r="I28" s="92"/>
      <c r="J28" s="79">
        <f>VLOOKUP(D28,產線配置圖!$A$3:$C$38,2,0)</f>
        <v>15</v>
      </c>
      <c r="K28" s="80">
        <f>VLOOKUP(D28,產線配置圖!$A$3:$C$38,3,0)</f>
        <v>1565</v>
      </c>
      <c r="L28" s="93">
        <f t="shared" si="27"/>
        <v>104.33333333333333</v>
      </c>
      <c r="M28" s="94">
        <v>15</v>
      </c>
      <c r="N28" s="95">
        <f>G28/W28*60</f>
        <v>1401.0687022900797</v>
      </c>
      <c r="O28" s="96">
        <f>N28/M28</f>
        <v>93.404580152671983</v>
      </c>
      <c r="P28" s="97">
        <f t="shared" si="23"/>
        <v>0</v>
      </c>
      <c r="Q28" s="98">
        <f t="shared" si="24"/>
        <v>-10.928753180661346</v>
      </c>
      <c r="R28" s="99">
        <f t="shared" ref="R28:R30" si="28">O28/L28</f>
        <v>0.89525156695851749</v>
      </c>
      <c r="S28" s="414"/>
      <c r="T28" s="19">
        <v>0.327777777777778</v>
      </c>
      <c r="U28" s="19">
        <v>0.41875000000000001</v>
      </c>
      <c r="V28" s="92">
        <f>(T28-U27)*24*60</f>
        <v>6.9999999999998153</v>
      </c>
      <c r="W28" s="149">
        <f t="shared" si="19"/>
        <v>130.99999999999969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5"/>
        <v>-163.93129770992027</v>
      </c>
      <c r="AG28" s="99">
        <f t="shared" si="26"/>
        <v>0.89525156695851738</v>
      </c>
      <c r="AH28" s="383"/>
    </row>
    <row r="29" spans="1:34" ht="15" customHeight="1">
      <c r="A29" s="411"/>
      <c r="B29" s="75" t="s">
        <v>120</v>
      </c>
      <c r="C29" s="173"/>
      <c r="D29" s="59" t="s">
        <v>122</v>
      </c>
      <c r="E29" s="104"/>
      <c r="F29" s="75">
        <f>VLOOKUP(D29,廠價表!$C$1:$E$41,3,0)</f>
        <v>49.52</v>
      </c>
      <c r="G29" s="90">
        <v>1187</v>
      </c>
      <c r="H29" s="91">
        <f>F29*G29</f>
        <v>58780.240000000005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 t="shared" si="27"/>
        <v>84.705882352941174</v>
      </c>
      <c r="M29" s="94">
        <v>15</v>
      </c>
      <c r="N29" s="95">
        <f>G29/W29*60</f>
        <v>1249.4736842105044</v>
      </c>
      <c r="O29" s="96">
        <f>N29/M29</f>
        <v>83.298245614033632</v>
      </c>
      <c r="P29" s="97">
        <f t="shared" si="23"/>
        <v>-2</v>
      </c>
      <c r="Q29" s="98">
        <f t="shared" si="24"/>
        <v>-1.4076367389075415</v>
      </c>
      <c r="R29" s="99">
        <f t="shared" si="28"/>
        <v>0.98338206627678593</v>
      </c>
      <c r="S29" s="414"/>
      <c r="T29" s="19">
        <v>0.42569444444444399</v>
      </c>
      <c r="U29" s="19">
        <v>0.46527777777777801</v>
      </c>
      <c r="V29" s="92">
        <f>(T29-U28)*24*60</f>
        <v>9.999999999999325</v>
      </c>
      <c r="W29" s="149">
        <f t="shared" si="19"/>
        <v>57.000000000000995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5"/>
        <v>-190.52631578949558</v>
      </c>
      <c r="AG29" s="99">
        <f t="shared" si="26"/>
        <v>0.86769005847951697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1408</v>
      </c>
      <c r="H30" s="91">
        <f>F30*G30</f>
        <v>69724.160000000003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 t="shared" si="27"/>
        <v>84.705882352941174</v>
      </c>
      <c r="M30" s="94">
        <v>15</v>
      </c>
      <c r="N30" s="95">
        <f>G30/W30*60</f>
        <v>1242.352941176478</v>
      </c>
      <c r="O30" s="96">
        <f>N30/M30</f>
        <v>82.823529411765193</v>
      </c>
      <c r="P30" s="97">
        <f t="shared" si="23"/>
        <v>-2</v>
      </c>
      <c r="Q30" s="98">
        <f t="shared" si="24"/>
        <v>-1.8823529411759807</v>
      </c>
      <c r="R30" s="99">
        <f t="shared" si="28"/>
        <v>0.97777777777778352</v>
      </c>
      <c r="S30" s="414"/>
      <c r="T30" s="19">
        <v>0.52777777777777801</v>
      </c>
      <c r="U30" s="19">
        <v>0.57499999999999996</v>
      </c>
      <c r="V30" s="92">
        <f>(T30-U29)*24*60</f>
        <v>90</v>
      </c>
      <c r="W30" s="149">
        <f t="shared" si="19"/>
        <v>67.999999999999602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5"/>
        <v>-197.647058823522</v>
      </c>
      <c r="AG30" s="99">
        <f t="shared" si="26"/>
        <v>0.86274509803922084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5"/>
        <v>0</v>
      </c>
      <c r="AG31" s="99" t="e">
        <f t="shared" si="26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9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30">AVERAGE(J27:J36)</f>
        <v>15.75</v>
      </c>
      <c r="K37" s="155">
        <f t="shared" si="30"/>
        <v>1486.25</v>
      </c>
      <c r="L37" s="158">
        <f t="shared" si="30"/>
        <v>95.2219887955182</v>
      </c>
      <c r="M37" s="155">
        <f t="shared" si="30"/>
        <v>14.75</v>
      </c>
      <c r="N37" s="155">
        <f t="shared" si="30"/>
        <v>1347.0238319192567</v>
      </c>
      <c r="O37" s="158">
        <f t="shared" si="30"/>
        <v>91.581588794617076</v>
      </c>
      <c r="P37" s="159">
        <f>M37-J37</f>
        <v>-1</v>
      </c>
      <c r="Q37" s="160">
        <f>N37-K37</f>
        <v>-139.22616808074326</v>
      </c>
      <c r="R37" s="161">
        <f t="shared" ref="R37:R40" si="31">O37/L37</f>
        <v>0.96176933451034508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2">N37-K37</f>
        <v>-139.22616808074326</v>
      </c>
      <c r="AG37" s="124">
        <f t="shared" ref="AG37:AG41" si="33">N37/K37</f>
        <v>0.90632385663196413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1557</v>
      </c>
      <c r="H38" s="134">
        <f>F38*G38</f>
        <v>88546.59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4">K38/J38</f>
        <v>92.058823529411768</v>
      </c>
      <c r="M38" s="190">
        <v>16</v>
      </c>
      <c r="N38" s="140">
        <f>G38/W38*60</f>
        <v>1213.2467532467349</v>
      </c>
      <c r="O38" s="141">
        <f>N38/M38</f>
        <v>75.827922077920931</v>
      </c>
      <c r="P38" s="142">
        <f t="shared" ref="P38:P40" si="35">M38-J38</f>
        <v>-1</v>
      </c>
      <c r="Q38" s="143">
        <f t="shared" ref="Q38:Q40" si="36">O38-L38</f>
        <v>-16.230901451490837</v>
      </c>
      <c r="R38" s="144">
        <f>O38/L38</f>
        <v>0.82368988838636148</v>
      </c>
      <c r="S38" s="404">
        <f>R48</f>
        <v>0.88643582199561743</v>
      </c>
      <c r="T38" s="191">
        <v>0.33333333333333298</v>
      </c>
      <c r="U38" s="191">
        <v>0.38680555555555601</v>
      </c>
      <c r="V38" s="192"/>
      <c r="W38" s="193">
        <f t="shared" si="19"/>
        <v>77.000000000001165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2"/>
        <v>-351.7532467532651</v>
      </c>
      <c r="AG38" s="195">
        <f t="shared" si="33"/>
        <v>0.77523754201069317</v>
      </c>
      <c r="AH38" s="398">
        <f>AG48</f>
        <v>0.87028503987039474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3469</v>
      </c>
      <c r="H39" s="91">
        <f>F39*G39</f>
        <v>153676.69999999998</v>
      </c>
      <c r="I39" s="200"/>
      <c r="J39" s="148">
        <f>VLOOKUP(D39,產線配置圖!$A$3:$C$38,2,0)</f>
        <v>17</v>
      </c>
      <c r="K39" s="95">
        <v>1565</v>
      </c>
      <c r="L39" s="96">
        <f t="shared" si="34"/>
        <v>92.058823529411768</v>
      </c>
      <c r="M39" s="201">
        <v>17</v>
      </c>
      <c r="N39" s="202">
        <f>G39/W39*60</f>
        <v>1435.4482758620604</v>
      </c>
      <c r="O39" s="203">
        <f t="shared" ref="O39:O40" si="37">N39/M39</f>
        <v>84.438133874238844</v>
      </c>
      <c r="P39" s="97">
        <f t="shared" si="35"/>
        <v>0</v>
      </c>
      <c r="Q39" s="98">
        <f t="shared" si="36"/>
        <v>-7.6206896551729244</v>
      </c>
      <c r="R39" s="99">
        <f t="shared" si="31"/>
        <v>0.91721934559876062</v>
      </c>
      <c r="S39" s="405"/>
      <c r="T39" s="20">
        <v>0.39236111111111099</v>
      </c>
      <c r="U39" s="20">
        <v>0.49305555555555602</v>
      </c>
      <c r="V39" s="92">
        <f>(T39-U38)*24*60</f>
        <v>7.9999999999991722</v>
      </c>
      <c r="W39" s="205">
        <f t="shared" si="19"/>
        <v>145.00000000000085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2"/>
        <v>-129.55172413793957</v>
      </c>
      <c r="AG39" s="206">
        <f t="shared" si="33"/>
        <v>0.91721934559876062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3186</v>
      </c>
      <c r="H40" s="91">
        <f>F40*G40</f>
        <v>141139.79999999999</v>
      </c>
      <c r="I40" s="200"/>
      <c r="J40" s="148">
        <f>VLOOKUP(D40,產線配置圖!$A$3:$C$38,2,0)</f>
        <v>17</v>
      </c>
      <c r="K40" s="95">
        <v>1565</v>
      </c>
      <c r="L40" s="96">
        <f t="shared" si="34"/>
        <v>92.058823529411768</v>
      </c>
      <c r="M40" s="201">
        <v>17</v>
      </c>
      <c r="N40" s="202">
        <f>G40/W40*60</f>
        <v>1437.2932330827082</v>
      </c>
      <c r="O40" s="203">
        <f t="shared" si="37"/>
        <v>84.546660769571076</v>
      </c>
      <c r="P40" s="97">
        <f t="shared" si="35"/>
        <v>0</v>
      </c>
      <c r="Q40" s="98">
        <f t="shared" si="36"/>
        <v>-7.5121627598406917</v>
      </c>
      <c r="R40" s="99">
        <f t="shared" si="31"/>
        <v>0.91839823200173054</v>
      </c>
      <c r="S40" s="377"/>
      <c r="T40" s="20">
        <v>0.55208333333333304</v>
      </c>
      <c r="U40" s="20">
        <v>0.64444444444444404</v>
      </c>
      <c r="V40" s="92">
        <f>(T40-U39)*24*60</f>
        <v>84.999999999998892</v>
      </c>
      <c r="W40" s="205">
        <f t="shared" si="19"/>
        <v>132.99999999999986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2"/>
        <v>-127.70676691729182</v>
      </c>
      <c r="AG40" s="206">
        <f t="shared" si="33"/>
        <v>0.91839823200173043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2"/>
        <v>0</v>
      </c>
      <c r="AG41" s="206" t="e">
        <f t="shared" si="33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9">AVERAGE(J38:J47)</f>
        <v>17</v>
      </c>
      <c r="K48" s="155">
        <f t="shared" si="39"/>
        <v>1565</v>
      </c>
      <c r="L48" s="158">
        <f t="shared" si="39"/>
        <v>92.058823529411768</v>
      </c>
      <c r="M48" s="155">
        <f t="shared" si="39"/>
        <v>16.666666666666668</v>
      </c>
      <c r="N48" s="155">
        <f t="shared" si="39"/>
        <v>1361.9960873971677</v>
      </c>
      <c r="O48" s="158">
        <f t="shared" si="39"/>
        <v>81.604238907243612</v>
      </c>
      <c r="P48" s="221">
        <f>M48-J48</f>
        <v>-0.33333333333333215</v>
      </c>
      <c r="Q48" s="222">
        <f>N48-K48</f>
        <v>-203.00391260283232</v>
      </c>
      <c r="R48" s="223">
        <f>O48/L48</f>
        <v>0.88643582199561743</v>
      </c>
      <c r="S48" s="380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40">N48-K48</f>
        <v>-203.00391260283232</v>
      </c>
      <c r="AG48" s="162">
        <f t="shared" ref="AG48:AG53" si="41">N48/K48</f>
        <v>0.87028503987039474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125</v>
      </c>
      <c r="E49" s="132"/>
      <c r="F49" s="129">
        <f>VLOOKUP(D49,廠價表!$C$1:$E$41,3,0)</f>
        <v>47.71</v>
      </c>
      <c r="G49" s="228">
        <v>2740</v>
      </c>
      <c r="H49" s="134">
        <f>F49*G49</f>
        <v>130725.40000000001</v>
      </c>
      <c r="I49" s="135"/>
      <c r="J49" s="136">
        <f>VLOOKUP(D49,產線配置圖!$A$3:$C$38,2,0)</f>
        <v>16</v>
      </c>
      <c r="K49" s="137">
        <f>VLOOKUP(D49,產線配置圖!$A$3:$C$38,3,0)</f>
        <v>1636</v>
      </c>
      <c r="L49" s="138">
        <f t="shared" ref="L49:L51" si="42">K49/J49</f>
        <v>102.25</v>
      </c>
      <c r="M49" s="170">
        <v>16</v>
      </c>
      <c r="N49" s="140">
        <f>G49/W49*60</f>
        <v>1580.7692307692364</v>
      </c>
      <c r="O49" s="141">
        <f>N49/M49</f>
        <v>98.798076923077275</v>
      </c>
      <c r="P49" s="229">
        <f>M49-J49</f>
        <v>0</v>
      </c>
      <c r="Q49" s="230">
        <f>O49-L49</f>
        <v>-3.4519230769227249</v>
      </c>
      <c r="R49" s="52">
        <f>O49/L49</f>
        <v>0.96624036110589018</v>
      </c>
      <c r="S49" s="376">
        <f>R58</f>
        <v>0.97345190354668754</v>
      </c>
      <c r="T49" s="191">
        <v>0.29166666666666702</v>
      </c>
      <c r="U49" s="191">
        <v>0.36388888888888898</v>
      </c>
      <c r="V49" s="55"/>
      <c r="W49" s="193">
        <f t="shared" si="19"/>
        <v>103.99999999999963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0"/>
        <v>-55.230769230763599</v>
      </c>
      <c r="AG49" s="52">
        <f t="shared" si="41"/>
        <v>0.96624036110589018</v>
      </c>
      <c r="AH49" s="382">
        <f>AG58</f>
        <v>0.97345190354668754</v>
      </c>
    </row>
    <row r="50" spans="1:34" ht="15" customHeight="1">
      <c r="A50" s="396"/>
      <c r="B50" s="75" t="s">
        <v>81</v>
      </c>
      <c r="C50" s="76"/>
      <c r="D50" s="59" t="s">
        <v>127</v>
      </c>
      <c r="E50" s="77"/>
      <c r="F50" s="75">
        <f>VLOOKUP(D50,廠價表!$C$1:$E$41,3,0)</f>
        <v>49.97</v>
      </c>
      <c r="G50" s="202">
        <v>4272</v>
      </c>
      <c r="H50" s="231">
        <f>F50*G50</f>
        <v>213471.84</v>
      </c>
      <c r="I50" s="232"/>
      <c r="J50" s="79">
        <f>VLOOKUP(D50,產線配置圖!$A$3:$C$38,2,0)</f>
        <v>16</v>
      </c>
      <c r="K50" s="80">
        <f>VLOOKUP(D50,產線配置圖!$A$3:$C$38,3,0)</f>
        <v>1714</v>
      </c>
      <c r="L50" s="81">
        <f t="shared" si="42"/>
        <v>107.125</v>
      </c>
      <c r="M50" s="233">
        <v>16</v>
      </c>
      <c r="N50" s="234">
        <f>G50/W50*60</f>
        <v>1643.0769230769129</v>
      </c>
      <c r="O50" s="235">
        <f>N50/M50</f>
        <v>102.69230769230705</v>
      </c>
      <c r="P50" s="74">
        <f>M50-J50</f>
        <v>0</v>
      </c>
      <c r="Q50" s="83">
        <f>O50-L50</f>
        <v>-4.4326923076929461</v>
      </c>
      <c r="R50" s="72">
        <f>O50/L50</f>
        <v>0.95862130867964579</v>
      </c>
      <c r="S50" s="377"/>
      <c r="T50" s="21">
        <v>0.37083333333333302</v>
      </c>
      <c r="U50" s="21">
        <v>0.47916666666666702</v>
      </c>
      <c r="V50" s="30">
        <f t="shared" ref="V50:V51" si="43">(T50-U49)*24*60</f>
        <v>9.9999999999994049</v>
      </c>
      <c r="W50" s="236">
        <f t="shared" si="19"/>
        <v>156.00000000000097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40"/>
        <v>-70.923076923087137</v>
      </c>
      <c r="AG50" s="72">
        <f t="shared" si="41"/>
        <v>0.95862130867964579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1592</v>
      </c>
      <c r="H51" s="231">
        <f>F51*G51</f>
        <v>79552.240000000005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2"/>
        <v>107.125</v>
      </c>
      <c r="M51" s="233">
        <v>16</v>
      </c>
      <c r="N51" s="234">
        <f>G51/W51*60</f>
        <v>1705.7142857142771</v>
      </c>
      <c r="O51" s="235">
        <f>N51/M51</f>
        <v>106.60714285714232</v>
      </c>
      <c r="P51" s="74">
        <f>M51-J51</f>
        <v>0</v>
      </c>
      <c r="Q51" s="83">
        <f>O51-L51</f>
        <v>-0.51785714285767881</v>
      </c>
      <c r="R51" s="72">
        <f>O51/L51</f>
        <v>0.99516586097682447</v>
      </c>
      <c r="S51" s="377"/>
      <c r="T51" s="21">
        <v>0.54513888888888895</v>
      </c>
      <c r="U51" s="19">
        <v>0.58402777777777803</v>
      </c>
      <c r="V51" s="30">
        <f t="shared" si="43"/>
        <v>94.999999999999588</v>
      </c>
      <c r="W51" s="236">
        <f t="shared" si="19"/>
        <v>56.000000000000284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0"/>
        <v>-8.285714285722861</v>
      </c>
      <c r="AG51" s="72">
        <f t="shared" si="41"/>
        <v>0.99516586097682447</v>
      </c>
      <c r="AH51" s="384"/>
    </row>
    <row r="52" spans="1:34" ht="15" customHeight="1">
      <c r="A52" s="396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77"/>
      <c r="T52" s="21"/>
      <c r="U52" s="21"/>
      <c r="V52" s="30"/>
      <c r="W52" s="236">
        <f t="shared" si="19"/>
        <v>0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40"/>
        <v>0</v>
      </c>
      <c r="AG52" s="72" t="e">
        <f t="shared" si="41"/>
        <v>#DIV/0!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40"/>
        <v>0</v>
      </c>
      <c r="AG53" s="72" t="e">
        <f t="shared" si="41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4">AVERAGE(J49:J57)</f>
        <v>16</v>
      </c>
      <c r="K58" s="120">
        <f t="shared" si="44"/>
        <v>1688</v>
      </c>
      <c r="L58" s="117">
        <f t="shared" si="44"/>
        <v>105.5</v>
      </c>
      <c r="M58" s="120">
        <f t="shared" si="44"/>
        <v>16</v>
      </c>
      <c r="N58" s="120">
        <f t="shared" si="44"/>
        <v>1643.1868131868086</v>
      </c>
      <c r="O58" s="117">
        <f t="shared" si="44"/>
        <v>102.69917582417554</v>
      </c>
      <c r="P58" s="121">
        <f>M58-J58</f>
        <v>0</v>
      </c>
      <c r="Q58" s="122">
        <f>N58-K58</f>
        <v>-44.813186813191351</v>
      </c>
      <c r="R58" s="123">
        <f t="shared" ref="R58:R60" si="45">O58/L58</f>
        <v>0.97345190354668754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6">N58-K58</f>
        <v>-44.813186813191351</v>
      </c>
      <c r="AG58" s="124">
        <f t="shared" ref="AG58:AG61" si="47">N58/K58</f>
        <v>0.97345190354668754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3984</v>
      </c>
      <c r="H59" s="243">
        <f>F59*G59</f>
        <v>107528.15999999999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8">K59/J59</f>
        <v>120.38461538461539</v>
      </c>
      <c r="M59" s="244">
        <v>13</v>
      </c>
      <c r="N59" s="137">
        <f t="shared" ref="N59:N62" si="49">G59/W59*60</f>
        <v>1542.193548387095</v>
      </c>
      <c r="O59" s="138">
        <f t="shared" ref="O59:O62" si="50">N59/M59</f>
        <v>118.63027295285346</v>
      </c>
      <c r="P59" s="56">
        <f t="shared" ref="P59:P62" si="51">M59-J59</f>
        <v>0</v>
      </c>
      <c r="Q59" s="230">
        <f t="shared" ref="Q59:Q62" si="52">O59-L59</f>
        <v>-1.7543424317619269</v>
      </c>
      <c r="R59" s="52">
        <f t="shared" si="45"/>
        <v>0.98542718746779234</v>
      </c>
      <c r="S59" s="376">
        <f>R69</f>
        <v>0.83571196582939455</v>
      </c>
      <c r="T59" s="245">
        <v>0.28819444444444398</v>
      </c>
      <c r="U59" s="245">
        <v>0.39583333333333298</v>
      </c>
      <c r="V59" s="55"/>
      <c r="W59" s="54">
        <f t="shared" si="19"/>
        <v>155.00000000000017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6"/>
        <v>-22.806451612904993</v>
      </c>
      <c r="AG59" s="246">
        <f t="shared" si="47"/>
        <v>0.98542718746779234</v>
      </c>
      <c r="AH59" s="382">
        <f>AG69</f>
        <v>0.88794396369373163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1766</v>
      </c>
      <c r="H60" s="78">
        <f>F60*G60</f>
        <v>49907.16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8"/>
        <v>130.41666666666666</v>
      </c>
      <c r="M60" s="82">
        <v>13</v>
      </c>
      <c r="N60" s="80">
        <f t="shared" si="49"/>
        <v>1630.1538461538419</v>
      </c>
      <c r="O60" s="81">
        <f t="shared" si="50"/>
        <v>125.39644970414169</v>
      </c>
      <c r="P60" s="74">
        <f t="shared" si="51"/>
        <v>1</v>
      </c>
      <c r="Q60" s="83">
        <f t="shared" si="52"/>
        <v>-5.0202169625249695</v>
      </c>
      <c r="R60" s="72">
        <f t="shared" si="45"/>
        <v>0.96150632361003219</v>
      </c>
      <c r="S60" s="394"/>
      <c r="T60" s="22">
        <v>0.40277777777777801</v>
      </c>
      <c r="U60" s="22">
        <v>0.44791666666666702</v>
      </c>
      <c r="V60" s="30">
        <f t="shared" ref="V60:V62" si="53">(T60-U59)*24*60</f>
        <v>10.000000000000844</v>
      </c>
      <c r="W60" s="248">
        <f t="shared" si="19"/>
        <v>65.000000000000171</v>
      </c>
      <c r="X60" s="232"/>
      <c r="Y60" s="177"/>
      <c r="Z60" s="90"/>
      <c r="AA60" s="90"/>
      <c r="AB60" s="501" t="s">
        <v>114</v>
      </c>
      <c r="AC60" s="502"/>
      <c r="AD60" s="92"/>
      <c r="AE60" s="92"/>
      <c r="AF60" s="316">
        <f t="shared" si="46"/>
        <v>65.153846153841869</v>
      </c>
      <c r="AG60" s="249">
        <f t="shared" si="47"/>
        <v>1.0416318505775348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1102</v>
      </c>
      <c r="H61" s="254">
        <f>F61*G61</f>
        <v>31142.52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8"/>
        <v>130.41666666666666</v>
      </c>
      <c r="M61" s="108">
        <v>13</v>
      </c>
      <c r="N61" s="107">
        <f t="shared" si="49"/>
        <v>1202.1818181817998</v>
      </c>
      <c r="O61" s="238">
        <f t="shared" si="50"/>
        <v>92.475524475523059</v>
      </c>
      <c r="P61" s="111">
        <f t="shared" si="51"/>
        <v>1</v>
      </c>
      <c r="Q61" s="255">
        <f t="shared" si="52"/>
        <v>-37.941142191143598</v>
      </c>
      <c r="R61" s="85">
        <f>O61/L61</f>
        <v>0.70907750396567204</v>
      </c>
      <c r="S61" s="377"/>
      <c r="T61" s="22">
        <v>0.45833333333333298</v>
      </c>
      <c r="U61" s="22">
        <v>0.49652777777777801</v>
      </c>
      <c r="V61" s="30">
        <f t="shared" si="53"/>
        <v>14.999999999998987</v>
      </c>
      <c r="W61" s="256">
        <f t="shared" si="19"/>
        <v>55.000000000000846</v>
      </c>
      <c r="X61" s="22"/>
      <c r="Y61" s="84"/>
      <c r="Z61" s="90"/>
      <c r="AA61" s="90"/>
      <c r="AB61" s="501" t="s">
        <v>114</v>
      </c>
      <c r="AC61" s="502"/>
      <c r="AD61" s="92"/>
      <c r="AE61" s="92"/>
      <c r="AF61" s="317">
        <f t="shared" si="46"/>
        <v>-362.81818181820017</v>
      </c>
      <c r="AG61" s="247">
        <f t="shared" si="47"/>
        <v>0.76816729596281141</v>
      </c>
      <c r="AH61" s="384"/>
    </row>
    <row r="62" spans="1:34" ht="15" customHeight="1">
      <c r="A62" s="392"/>
      <c r="B62" s="250" t="s">
        <v>128</v>
      </c>
      <c r="C62" s="251"/>
      <c r="D62" s="257" t="s">
        <v>131</v>
      </c>
      <c r="E62" s="253"/>
      <c r="F62" s="250">
        <f>VLOOKUP(D62,廠價表!$C$1:$E$41,3,0)</f>
        <v>28.26</v>
      </c>
      <c r="G62" s="38">
        <v>592</v>
      </c>
      <c r="H62" s="254">
        <f>F62*G62</f>
        <v>16729.920000000002</v>
      </c>
      <c r="I62" s="182"/>
      <c r="J62" s="106">
        <f>VLOOKUP(D62,產線配置圖!$A$3:$C$38,2,0)</f>
        <v>12</v>
      </c>
      <c r="K62" s="107">
        <f>VLOOKUP(D62,產線配置圖!$A$3:$C$38,3,0)</f>
        <v>1565</v>
      </c>
      <c r="L62" s="238">
        <f t="shared" si="48"/>
        <v>130.41666666666666</v>
      </c>
      <c r="M62" s="108">
        <v>13</v>
      </c>
      <c r="N62" s="107">
        <f t="shared" si="49"/>
        <v>1184.0000000000232</v>
      </c>
      <c r="O62" s="238">
        <f t="shared" si="50"/>
        <v>91.076923076924857</v>
      </c>
      <c r="P62" s="111">
        <f t="shared" si="51"/>
        <v>1</v>
      </c>
      <c r="Q62" s="255">
        <f t="shared" si="52"/>
        <v>-39.339743589741801</v>
      </c>
      <c r="R62" s="85">
        <f>O62/L62</f>
        <v>0.69835340378472743</v>
      </c>
      <c r="S62" s="377"/>
      <c r="T62" s="22">
        <v>0.54861111111111105</v>
      </c>
      <c r="U62" s="22">
        <v>0.56944444444444398</v>
      </c>
      <c r="V62" s="30">
        <f t="shared" si="53"/>
        <v>74.999999999999574</v>
      </c>
      <c r="W62" s="248">
        <f t="shared" si="19"/>
        <v>29.999999999999414</v>
      </c>
      <c r="X62" s="22">
        <v>0.50347222222222199</v>
      </c>
      <c r="Y62" s="84">
        <v>0.54513888888888895</v>
      </c>
      <c r="Z62" s="90"/>
      <c r="AA62" s="90"/>
      <c r="AB62" s="501" t="s">
        <v>114</v>
      </c>
      <c r="AC62" s="502"/>
      <c r="AD62" s="92"/>
      <c r="AE62" s="92"/>
      <c r="AF62" s="317">
        <f>N62-K62</f>
        <v>-380.99999999997681</v>
      </c>
      <c r="AG62" s="247">
        <f>N62/K62</f>
        <v>0.75654952076678794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4">AVERAGE(J59:J68)</f>
        <v>12.25</v>
      </c>
      <c r="K69" s="240">
        <f t="shared" si="54"/>
        <v>1565</v>
      </c>
      <c r="L69" s="268">
        <f t="shared" si="54"/>
        <v>127.90865384615384</v>
      </c>
      <c r="M69" s="240">
        <f t="shared" si="54"/>
        <v>13</v>
      </c>
      <c r="N69" s="240">
        <f t="shared" si="54"/>
        <v>1389.6323031806901</v>
      </c>
      <c r="O69" s="268">
        <f t="shared" si="54"/>
        <v>106.89479255236077</v>
      </c>
      <c r="P69" s="269">
        <f>M69-J69</f>
        <v>0.75</v>
      </c>
      <c r="Q69" s="222">
        <f>N69-K69</f>
        <v>-175.36769681930991</v>
      </c>
      <c r="R69" s="123">
        <f>O69/L69</f>
        <v>0.83571196582939455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-175.36769681930991</v>
      </c>
      <c r="AG69" s="124">
        <f>N69/K69</f>
        <v>0.88794396369373163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1343</v>
      </c>
      <c r="H70" s="243">
        <f>F70*G70</f>
        <v>68049.81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12</v>
      </c>
      <c r="N70" s="137">
        <f>G70/W70*60</f>
        <v>1342.9999999999886</v>
      </c>
      <c r="O70" s="138">
        <f>N70/M70</f>
        <v>111.91666666666572</v>
      </c>
      <c r="P70" s="56">
        <f>M70-J70</f>
        <v>2</v>
      </c>
      <c r="Q70" s="230">
        <f>O70-L70</f>
        <v>-0.58333333333428072</v>
      </c>
      <c r="R70" s="52">
        <f>O70/L70</f>
        <v>0.99481481481480638</v>
      </c>
      <c r="S70" s="376">
        <f>R79</f>
        <v>0.91603198968255606</v>
      </c>
      <c r="T70" s="245">
        <v>0.33333333333333298</v>
      </c>
      <c r="U70" s="245">
        <v>0.375</v>
      </c>
      <c r="V70" s="55"/>
      <c r="W70" s="54">
        <f t="shared" si="19"/>
        <v>60.000000000000504</v>
      </c>
      <c r="X70" s="270"/>
      <c r="Y70" s="292"/>
      <c r="Z70" s="169"/>
      <c r="AA70" s="169"/>
      <c r="AB70" s="381" t="s">
        <v>114</v>
      </c>
      <c r="AC70" s="381"/>
      <c r="AD70" s="135"/>
      <c r="AE70" s="135"/>
      <c r="AF70" s="310">
        <f>N70-K70</f>
        <v>217.99999999998863</v>
      </c>
      <c r="AG70" s="246">
        <f>N70/K70</f>
        <v>1.1937777777777676</v>
      </c>
      <c r="AH70" s="382">
        <f>AG79</f>
        <v>0.88363468847172577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1407</v>
      </c>
      <c r="H71" s="254">
        <f>F71*G71</f>
        <v>79397.009999999995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55">K71/J71</f>
        <v>87.875</v>
      </c>
      <c r="M71" s="82">
        <v>12</v>
      </c>
      <c r="N71" s="107">
        <f t="shared" ref="N71:N72" si="56">G71/W71*60</f>
        <v>844.20000000000573</v>
      </c>
      <c r="O71" s="238">
        <f t="shared" ref="O71:O72" si="57">N71/M71</f>
        <v>70.350000000000477</v>
      </c>
      <c r="P71" s="111">
        <f t="shared" ref="P71:P72" si="58">M71-J71</f>
        <v>-4</v>
      </c>
      <c r="Q71" s="255">
        <f t="shared" ref="Q71:Q72" si="59">O71-L71</f>
        <v>-17.524999999999523</v>
      </c>
      <c r="R71" s="85">
        <f>O71/L71</f>
        <v>0.80056899004267967</v>
      </c>
      <c r="S71" s="377"/>
      <c r="T71" s="22">
        <v>0.38888888888888901</v>
      </c>
      <c r="U71" s="22">
        <v>0.45833333333333298</v>
      </c>
      <c r="V71" s="30">
        <f t="shared" ref="V71:V72" si="60">(T71-U70)*24*60</f>
        <v>20.000000000000171</v>
      </c>
      <c r="W71" s="73">
        <f t="shared" si="19"/>
        <v>99.999999999999318</v>
      </c>
      <c r="X71" s="271"/>
      <c r="Y71" s="293"/>
      <c r="Z71" s="90"/>
      <c r="AA71" s="90"/>
      <c r="AB71" s="501" t="s">
        <v>114</v>
      </c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132</v>
      </c>
      <c r="E72" s="77"/>
      <c r="F72" s="250">
        <f>VLOOKUP(D72,廠價表!$C$1:$E$41,3,0)</f>
        <v>50.67</v>
      </c>
      <c r="G72" s="202">
        <v>1652</v>
      </c>
      <c r="H72" s="254">
        <f>F72*G72</f>
        <v>83706.84</v>
      </c>
      <c r="I72" s="182"/>
      <c r="J72" s="106">
        <f>VLOOKUP(D72,產線配置圖!$A$3:$C$38,2,0)</f>
        <v>10</v>
      </c>
      <c r="K72" s="107">
        <f>VLOOKUP(D72,產線配置圖!$A$3:$C$38,3,0)</f>
        <v>1125</v>
      </c>
      <c r="L72" s="238">
        <f t="shared" si="55"/>
        <v>112.5</v>
      </c>
      <c r="M72" s="82">
        <v>10</v>
      </c>
      <c r="N72" s="107">
        <f t="shared" si="56"/>
        <v>1043.3684210526353</v>
      </c>
      <c r="O72" s="238">
        <f t="shared" si="57"/>
        <v>104.33684210526353</v>
      </c>
      <c r="P72" s="111">
        <f t="shared" si="58"/>
        <v>0</v>
      </c>
      <c r="Q72" s="255">
        <f t="shared" si="59"/>
        <v>-8.1631578947364716</v>
      </c>
      <c r="R72" s="85">
        <f>O72/L72</f>
        <v>0.92743859649123139</v>
      </c>
      <c r="S72" s="377"/>
      <c r="T72" s="22">
        <v>0.53125</v>
      </c>
      <c r="U72" s="22">
        <v>0.59722222222222199</v>
      </c>
      <c r="V72" s="30">
        <f t="shared" si="60"/>
        <v>105.00000000000051</v>
      </c>
      <c r="W72" s="73">
        <f t="shared" si="19"/>
        <v>94.999999999999659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2">AVERAGE(J70:J78)</f>
        <v>12</v>
      </c>
      <c r="K79" s="240">
        <f t="shared" si="62"/>
        <v>1218.6666666666667</v>
      </c>
      <c r="L79" s="268">
        <f t="shared" si="62"/>
        <v>104.29166666666667</v>
      </c>
      <c r="M79" s="240">
        <f t="shared" si="62"/>
        <v>11.333333333333334</v>
      </c>
      <c r="N79" s="240">
        <f t="shared" si="62"/>
        <v>1076.8561403508766</v>
      </c>
      <c r="O79" s="268">
        <f t="shared" si="62"/>
        <v>95.534502923976575</v>
      </c>
      <c r="P79" s="269">
        <f>M79-J79</f>
        <v>-0.66666666666666607</v>
      </c>
      <c r="Q79" s="222">
        <f>N79-K79</f>
        <v>-141.81052631579018</v>
      </c>
      <c r="R79" s="223">
        <f>O79/L79</f>
        <v>0.91603198968255606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-141.81052631579018</v>
      </c>
      <c r="AG79" s="124">
        <f>N79/K79</f>
        <v>0.88363468847172577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5:AH15"/>
    <mergeCell ref="M3:M4"/>
    <mergeCell ref="AG3:AG4"/>
    <mergeCell ref="AH3:AH4"/>
    <mergeCell ref="S3:S4"/>
    <mergeCell ref="P3:P4"/>
    <mergeCell ref="Q3:Q4"/>
    <mergeCell ref="R3:R4"/>
    <mergeCell ref="AB13:AC13"/>
    <mergeCell ref="S5:S15"/>
    <mergeCell ref="AB5:AC5"/>
    <mergeCell ref="AB15:AC15"/>
    <mergeCell ref="AB8:AC8"/>
    <mergeCell ref="AB9:AC9"/>
    <mergeCell ref="AB10:AC10"/>
    <mergeCell ref="H3:H4"/>
    <mergeCell ref="I3:I4"/>
    <mergeCell ref="G3:G4"/>
    <mergeCell ref="AB12:AC12"/>
    <mergeCell ref="AB6:AC6"/>
    <mergeCell ref="AB7:AC7"/>
    <mergeCell ref="AB11:AC11"/>
    <mergeCell ref="A2:B2"/>
    <mergeCell ref="A3:A4"/>
    <mergeCell ref="B3:B4"/>
    <mergeCell ref="D3:E4"/>
    <mergeCell ref="F3:F4"/>
    <mergeCell ref="AB3:AC4"/>
    <mergeCell ref="J1:L2"/>
    <mergeCell ref="M1:O2"/>
    <mergeCell ref="N3:N4"/>
    <mergeCell ref="O3:O4"/>
    <mergeCell ref="A5:A15"/>
    <mergeCell ref="D15:E15"/>
    <mergeCell ref="AB14:AC14"/>
    <mergeCell ref="AF1:AH2"/>
    <mergeCell ref="J3:J4"/>
    <mergeCell ref="K3:K4"/>
    <mergeCell ref="L3:L4"/>
    <mergeCell ref="P1:S2"/>
    <mergeCell ref="T1:Y2"/>
    <mergeCell ref="AB1:AC2"/>
    <mergeCell ref="AD3:AE3"/>
    <mergeCell ref="AF3:AF4"/>
    <mergeCell ref="T3:U3"/>
    <mergeCell ref="V3:V4"/>
    <mergeCell ref="W3:W4"/>
    <mergeCell ref="X3:Y3"/>
    <mergeCell ref="Z3:AA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97EB1-EC09-4278-97BA-0B42C614FA6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1174-776A-44DD-875C-0AC796A1A955}">
  <dimension ref="B1:O26"/>
  <sheetViews>
    <sheetView zoomScale="70" zoomScaleNormal="70" workbookViewId="0">
      <selection activeCell="K24" sqref="K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46084</v>
      </c>
      <c r="E3" s="466"/>
      <c r="F3" s="3" t="s">
        <v>72</v>
      </c>
      <c r="G3" s="467">
        <f>'0303'!E1</f>
        <v>73597</v>
      </c>
      <c r="H3" s="467"/>
      <c r="I3" s="3" t="s">
        <v>2</v>
      </c>
      <c r="J3" s="468">
        <f>'0303'!G1</f>
        <v>3405506.5100000007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124.78754549605389</v>
      </c>
      <c r="G6" s="473"/>
      <c r="H6" s="474">
        <f>AVERAGE(D13:H13,J13)</f>
        <v>118.70824396192042</v>
      </c>
      <c r="I6" s="474"/>
      <c r="J6" s="474">
        <f>AVERAGE(I13)</f>
        <v>161.26335470085471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111.17817061079886</v>
      </c>
      <c r="G7" s="497"/>
      <c r="H7" s="498">
        <f>AVERAGE(D14:H14,J14)</f>
        <v>106.52189357340639</v>
      </c>
      <c r="I7" s="498"/>
      <c r="J7" s="498">
        <f>AVERAGE(I14)</f>
        <v>139.11583283515375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0.89093963799708364</v>
      </c>
      <c r="G8" s="470"/>
      <c r="H8" s="470">
        <f>H7/H6</f>
        <v>0.89734200438157263</v>
      </c>
      <c r="I8" s="470"/>
      <c r="J8" s="470">
        <f>J7/J6</f>
        <v>0.86266240146879714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VALUE('0303'!L15)</f>
        <v>136.33173076923077</v>
      </c>
      <c r="E13" s="13">
        <f>VALUE('0303'!L26)</f>
        <v>181.530303030303</v>
      </c>
      <c r="F13" s="13">
        <f>VALUE('0303'!L37)</f>
        <v>93.443627450980387</v>
      </c>
      <c r="G13" s="13">
        <f>VALUE('0303'!L48)</f>
        <v>90.220588235294116</v>
      </c>
      <c r="H13" s="13">
        <f>VALUE('0303'!L58)</f>
        <v>106.43154761904762</v>
      </c>
      <c r="I13" s="13">
        <f>VALUE('0303'!L69)</f>
        <v>161.26335470085471</v>
      </c>
      <c r="J13" s="13">
        <f>'0303'!L79</f>
        <v>104.29166666666667</v>
      </c>
    </row>
    <row r="14" spans="2:15" ht="39.950000000000003" customHeight="1">
      <c r="B14" s="491"/>
      <c r="C14" s="12" t="s">
        <v>100</v>
      </c>
      <c r="D14" s="13">
        <f>VALUE('0303'!O15)</f>
        <v>116.10397845995752</v>
      </c>
      <c r="E14" s="13">
        <f>VALUE('0303'!O26)</f>
        <v>157.94341698841819</v>
      </c>
      <c r="F14" s="13">
        <f>VALUE('0303'!O37)</f>
        <v>92.537983754485708</v>
      </c>
      <c r="G14" s="13">
        <f>VALUE('0303'!O48)</f>
        <v>77.743713330013719</v>
      </c>
      <c r="H14" s="13">
        <f>VALUE('0303'!O58)</f>
        <v>102.10084033613481</v>
      </c>
      <c r="I14" s="13">
        <f>VALUE('0303'!O69)</f>
        <v>139.11583283515375</v>
      </c>
      <c r="J14" s="13">
        <f>'0303'!O79</f>
        <v>92.70142857142848</v>
      </c>
    </row>
    <row r="15" spans="2:15" ht="39.950000000000003" customHeight="1">
      <c r="B15" s="492"/>
      <c r="C15" s="10" t="s">
        <v>26</v>
      </c>
      <c r="D15" s="14">
        <f>D14/D13</f>
        <v>0.8516284345900893</v>
      </c>
      <c r="E15" s="14">
        <f t="shared" ref="E15:I15" si="1">E14/E13</f>
        <v>0.87006639856736523</v>
      </c>
      <c r="F15" s="14">
        <f t="shared" si="1"/>
        <v>0.99030812778570942</v>
      </c>
      <c r="G15" s="14">
        <f t="shared" si="1"/>
        <v>0.86170701001482197</v>
      </c>
      <c r="H15" s="14">
        <f t="shared" si="1"/>
        <v>0.9593099284958837</v>
      </c>
      <c r="I15" s="14">
        <f t="shared" si="1"/>
        <v>0.86266240146879714</v>
      </c>
      <c r="J15" s="15">
        <f>'0303'!S70</f>
        <v>0.88886707379715679</v>
      </c>
    </row>
    <row r="16" spans="2:15" ht="17.25" customHeight="1">
      <c r="B16" s="493" t="s">
        <v>101</v>
      </c>
      <c r="C16" s="10" t="s">
        <v>34</v>
      </c>
      <c r="D16" s="16">
        <f>'0303'!T5</f>
        <v>0.29166666666666702</v>
      </c>
      <c r="E16" s="16">
        <f>'0303'!T16</f>
        <v>0.29097222222222202</v>
      </c>
      <c r="F16" s="16">
        <f>'0303'!T27</f>
        <v>0.29027777777777802</v>
      </c>
      <c r="G16" s="16">
        <f>'0303'!T38</f>
        <v>0.33472222222222198</v>
      </c>
      <c r="H16" s="16">
        <f>'0303'!T49</f>
        <v>0.29166666666666702</v>
      </c>
      <c r="I16" s="16">
        <f>'0303'!T59</f>
        <v>0.25</v>
      </c>
      <c r="J16" s="16">
        <f>'0303'!T70</f>
        <v>0.33333333333333298</v>
      </c>
    </row>
    <row r="17" spans="2:10" ht="17.25" customHeight="1">
      <c r="B17" s="494"/>
      <c r="C17" s="10" t="s">
        <v>35</v>
      </c>
      <c r="D17" s="16">
        <v>0.61597222222222203</v>
      </c>
      <c r="E17" s="19">
        <v>0.656944444444444</v>
      </c>
      <c r="F17" s="19">
        <v>0.64236111111111105</v>
      </c>
      <c r="G17" s="210">
        <v>0.70902777777777803</v>
      </c>
      <c r="H17" s="21">
        <v>0.60347222222222197</v>
      </c>
      <c r="I17" s="22">
        <v>0.58611111111111103</v>
      </c>
      <c r="J17" s="22">
        <v>0.58333333333333304</v>
      </c>
    </row>
    <row r="18" spans="2:10" ht="17.25" customHeight="1">
      <c r="B18" s="495" t="s">
        <v>102</v>
      </c>
      <c r="C18" s="330" t="s">
        <v>36</v>
      </c>
      <c r="D18" s="358">
        <f>'0303'!Z15</f>
        <v>0</v>
      </c>
      <c r="E18" s="359">
        <f>'0303'!Z26</f>
        <v>0</v>
      </c>
      <c r="F18" s="359">
        <f>'0303'!Z37</f>
        <v>0</v>
      </c>
      <c r="G18" s="360">
        <f>'0303'!Z48</f>
        <v>0</v>
      </c>
      <c r="H18" s="360">
        <f>'0303'!Z58</f>
        <v>0</v>
      </c>
      <c r="I18" s="359">
        <f>'0303'!Z69</f>
        <v>0</v>
      </c>
      <c r="J18" s="359">
        <f>'0303'!AA79</f>
        <v>0</v>
      </c>
    </row>
    <row r="19" spans="2:10" ht="17.25" customHeight="1">
      <c r="B19" s="496"/>
      <c r="C19" s="330" t="s">
        <v>37</v>
      </c>
      <c r="D19" s="358">
        <f>'0303'!AA15</f>
        <v>0</v>
      </c>
      <c r="E19" s="359">
        <f>'0303'!AA26</f>
        <v>0</v>
      </c>
      <c r="F19" s="359">
        <f>'0303'!AA37</f>
        <v>0</v>
      </c>
      <c r="G19" s="360">
        <f>'0303'!AA48</f>
        <v>0</v>
      </c>
      <c r="H19" s="360">
        <f>'0303'!AA58</f>
        <v>0</v>
      </c>
      <c r="I19" s="359">
        <f>'0303'!AA69</f>
        <v>0</v>
      </c>
      <c r="J19" s="359">
        <f>'0303'!AB79</f>
        <v>0</v>
      </c>
    </row>
    <row r="20" spans="2:10" ht="17.25" customHeight="1">
      <c r="B20" s="495" t="s">
        <v>103</v>
      </c>
      <c r="C20" s="330" t="s">
        <v>36</v>
      </c>
      <c r="D20" s="358">
        <f>'0303'!AD15</f>
        <v>0</v>
      </c>
      <c r="E20" s="359">
        <f>'0303'!AD26</f>
        <v>0</v>
      </c>
      <c r="F20" s="359">
        <f>'0303'!AD37</f>
        <v>0</v>
      </c>
      <c r="G20" s="360">
        <f>'0303'!AD48</f>
        <v>0</v>
      </c>
      <c r="H20" s="360">
        <f>'0303'!AD58</f>
        <v>0</v>
      </c>
      <c r="I20" s="359">
        <f>'0303'!AD69</f>
        <v>0</v>
      </c>
      <c r="J20" s="359">
        <f>'0303'!AD79</f>
        <v>0</v>
      </c>
    </row>
    <row r="21" spans="2:10" ht="17.25" customHeight="1">
      <c r="B21" s="496"/>
      <c r="C21" s="330" t="s">
        <v>85</v>
      </c>
      <c r="D21" s="358">
        <f>'0303'!AE15</f>
        <v>0</v>
      </c>
      <c r="E21" s="359">
        <f>'0303'!AE26</f>
        <v>0</v>
      </c>
      <c r="F21" s="359">
        <f>'0303'!AE37</f>
        <v>0</v>
      </c>
      <c r="G21" s="360">
        <f>'0303'!AE48</f>
        <v>0</v>
      </c>
      <c r="H21" s="360">
        <f>'0303'!AE58</f>
        <v>0</v>
      </c>
      <c r="I21" s="359">
        <f>'0303'!AE69</f>
        <v>0</v>
      </c>
      <c r="J21" s="359">
        <f>'0303'!AE79</f>
        <v>0</v>
      </c>
    </row>
    <row r="22" spans="2:10" ht="17.25" customHeight="1">
      <c r="B22" s="479" t="s">
        <v>104</v>
      </c>
      <c r="C22" s="480"/>
      <c r="D22" s="23">
        <f>VALUE('0303'!M15)</f>
        <v>15.75</v>
      </c>
      <c r="E22" s="23">
        <f>VALUE('0303'!M26)</f>
        <v>13.2</v>
      </c>
      <c r="F22" s="23">
        <f>VALUE('0303'!M37)</f>
        <v>16.333333333333332</v>
      </c>
      <c r="G22" s="23">
        <f>VALUE('0303'!M48)</f>
        <v>16.5</v>
      </c>
      <c r="H22" s="23">
        <f>VALUE('0303'!M58)</f>
        <v>16.25</v>
      </c>
      <c r="I22" s="23">
        <f>VALUE('0303'!M69)</f>
        <v>10.375</v>
      </c>
      <c r="J22" s="23">
        <f>'0303'!M79</f>
        <v>12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79C7-7520-4D2B-8CD5-EBEA62E5FFF8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B5" sqref="AB5:AC8"/>
      <selection pane="topRight" activeCell="AB5" sqref="AB5:AC8"/>
      <selection pane="bottomLeft" activeCell="AB5" sqref="AB5:AC8"/>
      <selection pane="bottomRight" activeCell="K42" sqref="K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73597</v>
      </c>
      <c r="F1" s="30" t="s">
        <v>2</v>
      </c>
      <c r="G1" s="31">
        <f>SUM(H5:H79)</f>
        <v>3405506.5100000007</v>
      </c>
      <c r="H1" s="32" t="s">
        <v>3</v>
      </c>
      <c r="I1" s="33">
        <f>M15+M26+M48+M58+M69+M79+M37</f>
        <v>100.40833333333333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136</v>
      </c>
      <c r="B2" s="447"/>
      <c r="C2" s="28"/>
      <c r="D2" s="28" t="s">
        <v>14</v>
      </c>
      <c r="E2" s="35">
        <f>AVERAGE(O15,O26,O37,O48,O58,O69,O79)</f>
        <v>111.17817061079886</v>
      </c>
      <c r="F2" s="36" t="s">
        <v>15</v>
      </c>
      <c r="G2" s="37">
        <f>G1/E1</f>
        <v>46.272354987295685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2684</v>
      </c>
      <c r="H5" s="43">
        <f>F5*G5</f>
        <v>128053.64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8" si="0">K5/J5</f>
        <v>102.25</v>
      </c>
      <c r="M5" s="48">
        <v>17</v>
      </c>
      <c r="N5" s="46">
        <f t="shared" ref="N5:N8" si="1">G5/W5*60</f>
        <v>1660.2061855670136</v>
      </c>
      <c r="O5" s="47">
        <f t="shared" ref="O5:O8" si="2">N5/M5</f>
        <v>97.659187386294917</v>
      </c>
      <c r="P5" s="49">
        <f t="shared" ref="P5:P8" si="3">M5-J5</f>
        <v>1</v>
      </c>
      <c r="Q5" s="50">
        <f t="shared" ref="Q5:Q8" si="4">O5-L5</f>
        <v>-4.5908126137050829</v>
      </c>
      <c r="R5" s="51">
        <f t="shared" ref="R5:R8" si="5">O5/L5</f>
        <v>0.95510207712757866</v>
      </c>
      <c r="S5" s="376">
        <f>R15</f>
        <v>0.8516284345900893</v>
      </c>
      <c r="T5" s="319">
        <v>0.29166666666666702</v>
      </c>
      <c r="U5" s="320">
        <v>0.359027777777778</v>
      </c>
      <c r="V5" s="53"/>
      <c r="W5" s="54">
        <f t="shared" ref="W5:W14" si="6">(U5-T5)*24*60</f>
        <v>96.999999999999815</v>
      </c>
      <c r="X5" s="55"/>
      <c r="Y5" s="290"/>
      <c r="Z5" s="169"/>
      <c r="AA5" s="169"/>
      <c r="AB5" s="381" t="s">
        <v>114</v>
      </c>
      <c r="AC5" s="381"/>
      <c r="AD5" s="135"/>
      <c r="AE5" s="135"/>
      <c r="AF5" s="229">
        <f t="shared" ref="AF5:AF8" si="7">N5-K5</f>
        <v>24.206185567013563</v>
      </c>
      <c r="AG5" s="52">
        <f t="shared" ref="AG5:AG8" si="8">N5/K5</f>
        <v>1.0147959569480522</v>
      </c>
      <c r="AH5" s="382">
        <f>AG15</f>
        <v>0.94367620050126055</v>
      </c>
    </row>
    <row r="6" spans="1:34" ht="15" customHeight="1">
      <c r="A6" s="423"/>
      <c r="B6" s="57" t="s">
        <v>81</v>
      </c>
      <c r="C6" s="58"/>
      <c r="D6" s="59" t="s">
        <v>116</v>
      </c>
      <c r="E6" s="60"/>
      <c r="F6" s="61">
        <f>VLOOKUP(D6,廠價表!$C$1:$E$41,3,0)</f>
        <v>56.28</v>
      </c>
      <c r="G6" s="62">
        <v>1295</v>
      </c>
      <c r="H6" s="63">
        <f>F6*G6</f>
        <v>72882.600000000006</v>
      </c>
      <c r="I6" s="64"/>
      <c r="J6" s="65">
        <f>VLOOKUP(D6,產線配置圖!$A$3:$C$38,2,0)</f>
        <v>15</v>
      </c>
      <c r="K6" s="66">
        <f>VLOOKUP(D6,產線配置圖!$A$3:$C$38,3,0)</f>
        <v>1800</v>
      </c>
      <c r="L6" s="67">
        <f t="shared" si="0"/>
        <v>120</v>
      </c>
      <c r="M6" s="68">
        <v>18</v>
      </c>
      <c r="N6" s="66">
        <f t="shared" si="1"/>
        <v>1850.0000000000418</v>
      </c>
      <c r="O6" s="67">
        <f t="shared" si="2"/>
        <v>102.7777777777801</v>
      </c>
      <c r="P6" s="69">
        <f t="shared" si="3"/>
        <v>3</v>
      </c>
      <c r="Q6" s="70">
        <f t="shared" si="4"/>
        <v>-17.222222222219898</v>
      </c>
      <c r="R6" s="71">
        <f t="shared" si="5"/>
        <v>0.85648148148150083</v>
      </c>
      <c r="S6" s="377"/>
      <c r="T6" s="16">
        <v>0.38055555555555598</v>
      </c>
      <c r="U6" s="16">
        <v>0.40972222222222199</v>
      </c>
      <c r="V6" s="30">
        <f>(T6-U5)*24*60</f>
        <v>31.000000000000291</v>
      </c>
      <c r="W6" s="73">
        <f t="shared" si="6"/>
        <v>41.999999999999048</v>
      </c>
      <c r="X6" s="22"/>
      <c r="Y6" s="84"/>
      <c r="Z6" s="90"/>
      <c r="AA6" s="90"/>
      <c r="AB6" s="501" t="s">
        <v>114</v>
      </c>
      <c r="AC6" s="502"/>
      <c r="AD6" s="149"/>
      <c r="AE6" s="149"/>
      <c r="AF6" s="307">
        <f t="shared" si="7"/>
        <v>50.000000000041837</v>
      </c>
      <c r="AG6" s="72">
        <f t="shared" si="8"/>
        <v>1.027777777777801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2636</v>
      </c>
      <c r="H7" s="78">
        <f>F7*G7</f>
        <v>129533.04000000001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14</v>
      </c>
      <c r="N7" s="80">
        <f t="shared" si="1"/>
        <v>1839.069767441867</v>
      </c>
      <c r="O7" s="81">
        <f t="shared" si="2"/>
        <v>131.36212624584763</v>
      </c>
      <c r="P7" s="74">
        <f t="shared" si="3"/>
        <v>1</v>
      </c>
      <c r="Q7" s="83">
        <f t="shared" si="4"/>
        <v>-30.176335292613913</v>
      </c>
      <c r="R7" s="72">
        <f t="shared" si="5"/>
        <v>0.81319411485524717</v>
      </c>
      <c r="S7" s="377"/>
      <c r="T7" s="18">
        <v>0.41805555555555601</v>
      </c>
      <c r="U7" s="18">
        <v>0.47777777777777802</v>
      </c>
      <c r="V7" s="30">
        <f>(T7-U6)*24*60</f>
        <v>12.000000000000997</v>
      </c>
      <c r="W7" s="73">
        <f t="shared" si="6"/>
        <v>85.999999999999687</v>
      </c>
      <c r="X7" s="22"/>
      <c r="Y7" s="84"/>
      <c r="Z7" s="90"/>
      <c r="AA7" s="90"/>
      <c r="AB7" s="501" t="s">
        <v>114</v>
      </c>
      <c r="AC7" s="502"/>
      <c r="AD7" s="92"/>
      <c r="AE7" s="92"/>
      <c r="AF7" s="307">
        <f t="shared" si="7"/>
        <v>-260.93023255813296</v>
      </c>
      <c r="AG7" s="72">
        <f t="shared" si="8"/>
        <v>0.87574750830565096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3311</v>
      </c>
      <c r="H8" s="78">
        <f>F8*G8</f>
        <v>162702.54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14</v>
      </c>
      <c r="N8" s="80">
        <f t="shared" si="1"/>
        <v>1856.6355140187036</v>
      </c>
      <c r="O8" s="81">
        <f t="shared" si="2"/>
        <v>132.61682242990739</v>
      </c>
      <c r="P8" s="74">
        <f t="shared" si="3"/>
        <v>1</v>
      </c>
      <c r="Q8" s="83">
        <f t="shared" si="4"/>
        <v>-28.92163910855416</v>
      </c>
      <c r="R8" s="72">
        <f t="shared" si="5"/>
        <v>0.82096128170895044</v>
      </c>
      <c r="S8" s="377"/>
      <c r="T8" s="16">
        <v>0.54166666666666696</v>
      </c>
      <c r="U8" s="16">
        <v>0.61597222222222203</v>
      </c>
      <c r="V8" s="30">
        <f>(T8-U7)*24*60</f>
        <v>92.000000000000071</v>
      </c>
      <c r="W8" s="73">
        <f t="shared" si="6"/>
        <v>106.9999999999993</v>
      </c>
      <c r="X8" s="22">
        <v>0.48611111111111099</v>
      </c>
      <c r="Y8" s="84">
        <v>0.52777777777777801</v>
      </c>
      <c r="Z8" s="90"/>
      <c r="AA8" s="90"/>
      <c r="AB8" s="501" t="s">
        <v>114</v>
      </c>
      <c r="AC8" s="502"/>
      <c r="AD8" s="149"/>
      <c r="AE8" s="149"/>
      <c r="AF8" s="307">
        <f t="shared" si="7"/>
        <v>-243.36448598129641</v>
      </c>
      <c r="AG8" s="72">
        <f t="shared" si="8"/>
        <v>0.884112149532716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14.25</v>
      </c>
      <c r="K15" s="120">
        <f t="shared" si="9"/>
        <v>1909</v>
      </c>
      <c r="L15" s="117">
        <f t="shared" si="9"/>
        <v>136.33173076923077</v>
      </c>
      <c r="M15" s="120">
        <f t="shared" si="9"/>
        <v>15.75</v>
      </c>
      <c r="N15" s="120">
        <f t="shared" si="9"/>
        <v>1801.4778667569065</v>
      </c>
      <c r="O15" s="117">
        <f t="shared" si="9"/>
        <v>116.10397845995752</v>
      </c>
      <c r="P15" s="121">
        <f t="shared" ref="P15:P19" si="10">M15-J15</f>
        <v>1.5</v>
      </c>
      <c r="Q15" s="122">
        <f t="shared" ref="Q15:Q19" si="11">O15-L15</f>
        <v>-20.227752309273257</v>
      </c>
      <c r="R15" s="123">
        <f t="shared" ref="R15:R19" si="12">O15/L15</f>
        <v>0.8516284345900893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-107.52213324309355</v>
      </c>
      <c r="AG15" s="124">
        <f t="shared" ref="AG15:AG19" si="14">N15/K15</f>
        <v>0.94367620050126055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2434</v>
      </c>
      <c r="H16" s="134">
        <f>F16*G16</f>
        <v>139249.14000000001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5">K16/J16</f>
        <v>175.41666666666666</v>
      </c>
      <c r="M16" s="139">
        <v>15</v>
      </c>
      <c r="N16" s="140">
        <f t="shared" ref="N16:N19" si="16">G16/W16*60</f>
        <v>2433.9999999999827</v>
      </c>
      <c r="O16" s="141">
        <f>N16/M16</f>
        <v>162.26666666666551</v>
      </c>
      <c r="P16" s="142">
        <f>M16-J16</f>
        <v>3</v>
      </c>
      <c r="Q16" s="143">
        <f t="shared" si="11"/>
        <v>-13.150000000001143</v>
      </c>
      <c r="R16" s="144">
        <f>O16/L16</f>
        <v>0.92503562945367523</v>
      </c>
      <c r="S16" s="413">
        <f>R26</f>
        <v>0.87006639856736523</v>
      </c>
      <c r="T16" s="145">
        <v>0.29097222222222202</v>
      </c>
      <c r="U16" s="145">
        <v>0.33263888888888898</v>
      </c>
      <c r="V16" s="135"/>
      <c r="W16" s="146">
        <f t="shared" ref="W16:W78" si="17">(U16-T16)*24*60</f>
        <v>60.000000000000426</v>
      </c>
      <c r="X16" s="141"/>
      <c r="Y16" s="296"/>
      <c r="Z16" s="169"/>
      <c r="AA16" s="169"/>
      <c r="AB16" s="381" t="s">
        <v>114</v>
      </c>
      <c r="AC16" s="381"/>
      <c r="AD16" s="135"/>
      <c r="AE16" s="135"/>
      <c r="AF16" s="229">
        <f t="shared" si="13"/>
        <v>328.99999999998272</v>
      </c>
      <c r="AG16" s="52">
        <f t="shared" si="14"/>
        <v>1.1562945368170938</v>
      </c>
      <c r="AH16" s="382">
        <f>AG26</f>
        <v>0.99228265781073344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4073</v>
      </c>
      <c r="H17" s="78">
        <f>F17*G17</f>
        <v>206378.91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15</v>
      </c>
      <c r="N17" s="95">
        <f>G17/W17*60</f>
        <v>2327.4285714285925</v>
      </c>
      <c r="O17" s="96">
        <f t="shared" ref="O17:O19" si="18">N17/M17</f>
        <v>155.16190476190616</v>
      </c>
      <c r="P17" s="97">
        <f t="shared" si="10"/>
        <v>3</v>
      </c>
      <c r="Q17" s="98">
        <f t="shared" si="11"/>
        <v>-19.838095238093842</v>
      </c>
      <c r="R17" s="99">
        <f t="shared" si="12"/>
        <v>0.88663945578232095</v>
      </c>
      <c r="S17" s="414"/>
      <c r="T17" s="19">
        <v>0.34166666666666701</v>
      </c>
      <c r="U17" s="19">
        <v>0.41458333333333303</v>
      </c>
      <c r="V17" s="30">
        <f>(T17-U16)*24*60</f>
        <v>13.000000000000353</v>
      </c>
      <c r="W17" s="149">
        <f t="shared" si="17"/>
        <v>104.99999999999906</v>
      </c>
      <c r="X17" s="19"/>
      <c r="Y17" s="297"/>
      <c r="Z17" s="90"/>
      <c r="AA17" s="90"/>
      <c r="AB17" s="501" t="s">
        <v>114</v>
      </c>
      <c r="AC17" s="502"/>
      <c r="AD17" s="92"/>
      <c r="AE17" s="92"/>
      <c r="AF17" s="307">
        <f t="shared" si="13"/>
        <v>227.42857142859248</v>
      </c>
      <c r="AG17" s="72">
        <f t="shared" si="14"/>
        <v>1.1082993197279012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2376</v>
      </c>
      <c r="H18" s="78">
        <f>F18*G18</f>
        <v>119726.64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12</v>
      </c>
      <c r="N18" s="95">
        <f t="shared" si="16"/>
        <v>1900.8000000000109</v>
      </c>
      <c r="O18" s="96">
        <f t="shared" si="18"/>
        <v>158.40000000000092</v>
      </c>
      <c r="P18" s="97">
        <f t="shared" si="10"/>
        <v>1</v>
      </c>
      <c r="Q18" s="98">
        <f t="shared" si="11"/>
        <v>-32.509090909089991</v>
      </c>
      <c r="R18" s="99">
        <f t="shared" si="12"/>
        <v>0.82971428571429051</v>
      </c>
      <c r="S18" s="414"/>
      <c r="T18" s="19">
        <v>0.42499999999999999</v>
      </c>
      <c r="U18" s="19">
        <v>0.47708333333333303</v>
      </c>
      <c r="V18" s="30">
        <f>(T18-U17)*24*60</f>
        <v>15.000000000000426</v>
      </c>
      <c r="W18" s="149">
        <f t="shared" si="17"/>
        <v>74.999999999999574</v>
      </c>
      <c r="X18" s="22">
        <v>0.48611111111111099</v>
      </c>
      <c r="Y18" s="84">
        <v>0.52777777777777801</v>
      </c>
      <c r="Z18" s="90"/>
      <c r="AA18" s="90"/>
      <c r="AB18" s="501" t="s">
        <v>114</v>
      </c>
      <c r="AC18" s="502"/>
      <c r="AD18" s="92"/>
      <c r="AE18" s="92"/>
      <c r="AF18" s="307">
        <f t="shared" si="13"/>
        <v>-199.19999999998913</v>
      </c>
      <c r="AG18" s="72">
        <f t="shared" si="14"/>
        <v>0.90514285714286236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3408</v>
      </c>
      <c r="H19" s="78">
        <f>F19*G19</f>
        <v>171729.12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5"/>
        <v>190.90909090909091</v>
      </c>
      <c r="M19" s="148">
        <v>12</v>
      </c>
      <c r="N19" s="95">
        <f t="shared" si="16"/>
        <v>1842.1621621621687</v>
      </c>
      <c r="O19" s="96">
        <f t="shared" si="18"/>
        <v>153.51351351351406</v>
      </c>
      <c r="P19" s="97">
        <f t="shared" si="10"/>
        <v>1</v>
      </c>
      <c r="Q19" s="98">
        <f t="shared" si="11"/>
        <v>-37.395577395576851</v>
      </c>
      <c r="R19" s="99">
        <f t="shared" si="12"/>
        <v>0.80411840411840696</v>
      </c>
      <c r="S19" s="414"/>
      <c r="T19" s="19">
        <v>0.54166666666666696</v>
      </c>
      <c r="U19" s="19">
        <v>0.61875000000000002</v>
      </c>
      <c r="V19" s="30">
        <f>(T19-U18)*24*60</f>
        <v>93.000000000000867</v>
      </c>
      <c r="W19" s="149">
        <f t="shared" si="17"/>
        <v>110.9999999999996</v>
      </c>
      <c r="X19" s="22"/>
      <c r="Y19" s="84"/>
      <c r="Z19" s="90"/>
      <c r="AA19" s="90"/>
      <c r="AB19" s="501" t="s">
        <v>114</v>
      </c>
      <c r="AC19" s="502"/>
      <c r="AD19" s="149"/>
      <c r="AE19" s="149"/>
      <c r="AF19" s="307">
        <f t="shared" si="13"/>
        <v>-257.83783783783133</v>
      </c>
      <c r="AG19" s="72">
        <f t="shared" si="14"/>
        <v>0.87722007722008033</v>
      </c>
      <c r="AH19" s="385"/>
    </row>
    <row r="20" spans="1:34" ht="15" customHeight="1">
      <c r="A20" s="419"/>
      <c r="B20" s="75" t="s">
        <v>81</v>
      </c>
      <c r="C20" s="76"/>
      <c r="D20" s="59" t="s">
        <v>113</v>
      </c>
      <c r="E20" s="77"/>
      <c r="F20" s="75">
        <f>VLOOKUP(D20,廠價表!$C$1:$E$41,3,0)</f>
        <v>57.21</v>
      </c>
      <c r="G20" s="147">
        <v>1283</v>
      </c>
      <c r="H20" s="78">
        <f>F20*G20</f>
        <v>73400.430000000008</v>
      </c>
      <c r="I20" s="30"/>
      <c r="J20" s="79">
        <f>VLOOKUP(D20,產線配置圖!$A$3:$C$38,2,0)</f>
        <v>12</v>
      </c>
      <c r="K20" s="80">
        <f>VLOOKUP(D20,產線配置圖!$A$3:$C$38,3,0)</f>
        <v>2105</v>
      </c>
      <c r="L20" s="81">
        <f>K20/J20</f>
        <v>175.41666666666666</v>
      </c>
      <c r="M20" s="148">
        <v>12</v>
      </c>
      <c r="N20" s="95">
        <f>G20/W20*60</f>
        <v>1924.500000000053</v>
      </c>
      <c r="O20" s="96">
        <f>N20/M20</f>
        <v>160.37500000000441</v>
      </c>
      <c r="P20" s="97">
        <f>M20-J20</f>
        <v>0</v>
      </c>
      <c r="Q20" s="98">
        <f>O20-L20</f>
        <v>-15.041666666662252</v>
      </c>
      <c r="R20" s="99">
        <f>O20/L20</f>
        <v>0.91425178147270925</v>
      </c>
      <c r="S20" s="414"/>
      <c r="T20" s="19">
        <v>0.62916666666666698</v>
      </c>
      <c r="U20" s="19">
        <v>0.656944444444444</v>
      </c>
      <c r="V20" s="30">
        <f>(T20-U19)*24*60</f>
        <v>15.000000000000426</v>
      </c>
      <c r="W20" s="149">
        <f t="shared" si="17"/>
        <v>39.999999999998899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11.6</v>
      </c>
      <c r="K26" s="155">
        <f t="shared" si="20"/>
        <v>2102</v>
      </c>
      <c r="L26" s="158">
        <f t="shared" si="20"/>
        <v>181.530303030303</v>
      </c>
      <c r="M26" s="155">
        <f t="shared" si="20"/>
        <v>13.2</v>
      </c>
      <c r="N26" s="155">
        <f t="shared" si="20"/>
        <v>2085.7781467181617</v>
      </c>
      <c r="O26" s="158">
        <f t="shared" si="20"/>
        <v>157.94341698841819</v>
      </c>
      <c r="P26" s="159">
        <f t="shared" ref="P26:P29" si="21">M26-J26</f>
        <v>1.5999999999999996</v>
      </c>
      <c r="Q26" s="160">
        <f t="shared" ref="Q26:Q29" si="22">O26-L26</f>
        <v>-23.58688604188481</v>
      </c>
      <c r="R26" s="161">
        <f>O26/L26</f>
        <v>0.87006639856736523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-16.221853281838321</v>
      </c>
      <c r="AG26" s="124">
        <f t="shared" ref="AG26:AG31" si="24">N26/K26</f>
        <v>0.99228265781073344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6421</v>
      </c>
      <c r="H27" s="134">
        <f>F27*G27</f>
        <v>373509.57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5">K27/J27</f>
        <v>97.8125</v>
      </c>
      <c r="M27" s="170">
        <v>16</v>
      </c>
      <c r="N27" s="140">
        <f>G27/W27*60</f>
        <v>1559.7570850202408</v>
      </c>
      <c r="O27" s="141">
        <f>N27/M27</f>
        <v>97.484817813765048</v>
      </c>
      <c r="P27" s="142">
        <f t="shared" si="21"/>
        <v>0</v>
      </c>
      <c r="Q27" s="143">
        <f t="shared" si="22"/>
        <v>-0.32768218623495216</v>
      </c>
      <c r="R27" s="144">
        <f>O27/L27</f>
        <v>0.99664989458162345</v>
      </c>
      <c r="S27" s="413">
        <f>R37</f>
        <v>0.99030812778570942</v>
      </c>
      <c r="T27" s="171">
        <v>0.29027777777777802</v>
      </c>
      <c r="U27" s="171">
        <v>0.46180555555555602</v>
      </c>
      <c r="V27" s="135"/>
      <c r="W27" s="146">
        <f t="shared" si="17"/>
        <v>247.00000000000034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-5.2429149797592345</v>
      </c>
      <c r="AG27" s="172">
        <f t="shared" si="24"/>
        <v>0.99664989458162345</v>
      </c>
      <c r="AH27" s="382">
        <f>AG37</f>
        <v>0.99014651970335144</v>
      </c>
    </row>
    <row r="28" spans="1:34" ht="15" customHeight="1">
      <c r="A28" s="411"/>
      <c r="B28" s="75" t="s">
        <v>81</v>
      </c>
      <c r="C28" s="173"/>
      <c r="D28" s="59" t="s">
        <v>137</v>
      </c>
      <c r="E28" s="104"/>
      <c r="F28" s="75">
        <f>VLOOKUP(D28,廠價表!$C$1:$E$41,3,0)</f>
        <v>58.17</v>
      </c>
      <c r="G28" s="90">
        <v>3000</v>
      </c>
      <c r="H28" s="91">
        <f>F28*G28</f>
        <v>174510</v>
      </c>
      <c r="I28" s="92"/>
      <c r="J28" s="79">
        <f>VLOOKUP(D28,產線配置圖!$A$3:$C$38,2,0)</f>
        <v>16</v>
      </c>
      <c r="K28" s="80">
        <f>VLOOKUP(D28,產線配置圖!$A$3:$C$38,3,0)</f>
        <v>1565</v>
      </c>
      <c r="L28" s="93">
        <f t="shared" si="25"/>
        <v>97.8125</v>
      </c>
      <c r="M28" s="94">
        <v>16</v>
      </c>
      <c r="N28" s="95">
        <f>G28/W28*60</f>
        <v>1551.7241379310465</v>
      </c>
      <c r="O28" s="96">
        <f>N28/M28</f>
        <v>96.982758620690404</v>
      </c>
      <c r="P28" s="97">
        <f t="shared" si="21"/>
        <v>0</v>
      </c>
      <c r="Q28" s="98">
        <f t="shared" si="22"/>
        <v>-0.82974137930959557</v>
      </c>
      <c r="R28" s="99">
        <f t="shared" ref="R28:R29" si="26">O28/L28</f>
        <v>0.99151702104220218</v>
      </c>
      <c r="S28" s="414"/>
      <c r="T28" s="19">
        <v>0.52430555555555602</v>
      </c>
      <c r="U28" s="19">
        <v>0.60486111111111096</v>
      </c>
      <c r="V28" s="92">
        <f>(T28-U27)*24*60</f>
        <v>90</v>
      </c>
      <c r="W28" s="149">
        <f t="shared" si="17"/>
        <v>115.9999999999991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-13.275862068953529</v>
      </c>
      <c r="AG28" s="99">
        <f t="shared" si="24"/>
        <v>0.99151702104220218</v>
      </c>
      <c r="AH28" s="383"/>
    </row>
    <row r="29" spans="1:34" ht="15" customHeight="1">
      <c r="A29" s="411"/>
      <c r="B29" s="75" t="s">
        <v>120</v>
      </c>
      <c r="C29" s="173"/>
      <c r="D29" s="59" t="s">
        <v>122</v>
      </c>
      <c r="E29" s="104"/>
      <c r="F29" s="75">
        <f>VLOOKUP(D29,廠價表!$C$1:$E$41,3,0)</f>
        <v>49.52</v>
      </c>
      <c r="G29" s="90">
        <v>1013</v>
      </c>
      <c r="H29" s="91">
        <f>F29*G29</f>
        <v>50163.76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 t="shared" si="25"/>
        <v>84.705882352941174</v>
      </c>
      <c r="M29" s="94">
        <v>17</v>
      </c>
      <c r="N29" s="95">
        <f>G29/W29*60</f>
        <v>1413.4883720930284</v>
      </c>
      <c r="O29" s="96">
        <f>N29/M29</f>
        <v>83.146374829001672</v>
      </c>
      <c r="P29" s="97">
        <f t="shared" si="21"/>
        <v>0</v>
      </c>
      <c r="Q29" s="98">
        <f t="shared" si="22"/>
        <v>-1.5595075239395015</v>
      </c>
      <c r="R29" s="99">
        <f t="shared" si="26"/>
        <v>0.98158914728682534</v>
      </c>
      <c r="S29" s="414"/>
      <c r="T29" s="19">
        <v>0.61250000000000004</v>
      </c>
      <c r="U29" s="19">
        <v>0.64236111111111105</v>
      </c>
      <c r="V29" s="92">
        <f>(T29-U28)*24*60</f>
        <v>11.000000000000281</v>
      </c>
      <c r="W29" s="149">
        <f t="shared" si="17"/>
        <v>42.999999999999844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-26.511627906971626</v>
      </c>
      <c r="AG29" s="99">
        <f t="shared" si="24"/>
        <v>0.98158914728682523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0.46875</v>
      </c>
      <c r="Y30" s="301">
        <v>0.51041666666666696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16.333333333333332</v>
      </c>
      <c r="K37" s="155">
        <f t="shared" si="28"/>
        <v>1523.3333333333333</v>
      </c>
      <c r="L37" s="158">
        <f t="shared" si="28"/>
        <v>93.443627450980387</v>
      </c>
      <c r="M37" s="155">
        <f t="shared" si="28"/>
        <v>16.333333333333332</v>
      </c>
      <c r="N37" s="155">
        <f t="shared" si="28"/>
        <v>1508.3231983481053</v>
      </c>
      <c r="O37" s="158">
        <f t="shared" si="28"/>
        <v>92.537983754485708</v>
      </c>
      <c r="P37" s="159">
        <f>M37-J37</f>
        <v>0</v>
      </c>
      <c r="Q37" s="160">
        <f>N37-K37</f>
        <v>-15.010134985227978</v>
      </c>
      <c r="R37" s="161">
        <f t="shared" ref="R37:R40" si="29">O37/L37</f>
        <v>0.99030812778570942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-15.010134985227978</v>
      </c>
      <c r="AG37" s="124">
        <f t="shared" ref="AG37:AG41" si="31">N37/K37</f>
        <v>0.99014651970335144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122</v>
      </c>
      <c r="E38" s="185"/>
      <c r="F38" s="39">
        <f>VLOOKUP(D38,廠價表!$C$1:$E$41,3,0)</f>
        <v>49.52</v>
      </c>
      <c r="G38" s="186">
        <v>1549</v>
      </c>
      <c r="H38" s="134">
        <f>F38*G38</f>
        <v>76706.48000000001</v>
      </c>
      <c r="I38" s="135"/>
      <c r="J38" s="187">
        <f>VLOOKUP(D38,產線配置圖!$A$3:$C$38,2,0)</f>
        <v>17</v>
      </c>
      <c r="K38" s="188">
        <f>VLOOKUP(D38,產線配置圖!$A$3:$C$38,3,0)</f>
        <v>1440</v>
      </c>
      <c r="L38" s="189">
        <f t="shared" ref="L38:L40" si="32">K38/J38</f>
        <v>84.705882352941174</v>
      </c>
      <c r="M38" s="190">
        <v>15</v>
      </c>
      <c r="N38" s="140">
        <f>G38/W38*60</f>
        <v>1056.1363636363656</v>
      </c>
      <c r="O38" s="141">
        <f>N38/M38</f>
        <v>70.409090909091034</v>
      </c>
      <c r="P38" s="142">
        <f t="shared" ref="P38:P40" si="33">M38-J38</f>
        <v>-2</v>
      </c>
      <c r="Q38" s="143">
        <f t="shared" ref="Q38:Q40" si="34">O38-L38</f>
        <v>-14.29679144385014</v>
      </c>
      <c r="R38" s="144">
        <f>O38/L38</f>
        <v>0.8312184343434359</v>
      </c>
      <c r="S38" s="404">
        <f>R48</f>
        <v>0.86170701001482197</v>
      </c>
      <c r="T38" s="191">
        <v>0.33472222222222198</v>
      </c>
      <c r="U38" s="191">
        <v>0.39583333333333298</v>
      </c>
      <c r="V38" s="192"/>
      <c r="W38" s="193">
        <f t="shared" si="17"/>
        <v>87.999999999999844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-383.86363636363444</v>
      </c>
      <c r="AG38" s="195">
        <f t="shared" si="31"/>
        <v>0.73342803030303161</v>
      </c>
      <c r="AH38" s="398">
        <f>AG48</f>
        <v>0.83875376114470279</v>
      </c>
    </row>
    <row r="39" spans="1:34" ht="15" customHeight="1">
      <c r="A39" s="402"/>
      <c r="B39" s="75" t="s">
        <v>81</v>
      </c>
      <c r="C39" s="197"/>
      <c r="D39" s="198" t="s">
        <v>123</v>
      </c>
      <c r="E39" s="176"/>
      <c r="F39" s="75">
        <f>VLOOKUP(D39,廠價表!$C$1:$E$41,3,0)</f>
        <v>56.87</v>
      </c>
      <c r="G39" s="199">
        <v>1400</v>
      </c>
      <c r="H39" s="91">
        <f>F39*G39</f>
        <v>79618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2"/>
        <v>92.058823529411768</v>
      </c>
      <c r="M39" s="201">
        <v>17</v>
      </c>
      <c r="N39" s="202">
        <f>G39/W39*60</f>
        <v>1272.7272727272818</v>
      </c>
      <c r="O39" s="203">
        <f t="shared" ref="O39:O40" si="35">N39/M39</f>
        <v>74.866310160428341</v>
      </c>
      <c r="P39" s="97">
        <f t="shared" si="33"/>
        <v>0</v>
      </c>
      <c r="Q39" s="98">
        <f t="shared" si="34"/>
        <v>-17.192513368983427</v>
      </c>
      <c r="R39" s="99">
        <f t="shared" si="29"/>
        <v>0.81324426372350267</v>
      </c>
      <c r="S39" s="405"/>
      <c r="T39" s="20">
        <v>0.405555555555556</v>
      </c>
      <c r="U39" s="20">
        <v>0.45138888888888901</v>
      </c>
      <c r="V39" s="92">
        <f>(T39-U38)*24*60</f>
        <v>14.000000000001149</v>
      </c>
      <c r="W39" s="205">
        <f t="shared" si="17"/>
        <v>65.999999999999531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-292.27272727271816</v>
      </c>
      <c r="AG39" s="206">
        <f t="shared" si="31"/>
        <v>0.81324426372350278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1519</v>
      </c>
      <c r="H40" s="91">
        <f>F40*G40</f>
        <v>67291.7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17</v>
      </c>
      <c r="N40" s="202">
        <f>G40/W40*60</f>
        <v>1402.1538461538426</v>
      </c>
      <c r="O40" s="203">
        <f t="shared" si="35"/>
        <v>82.479638009049566</v>
      </c>
      <c r="P40" s="97">
        <f t="shared" si="33"/>
        <v>0</v>
      </c>
      <c r="Q40" s="98">
        <f t="shared" si="34"/>
        <v>-9.5791855203622021</v>
      </c>
      <c r="R40" s="99">
        <f t="shared" si="29"/>
        <v>0.89594494961906879</v>
      </c>
      <c r="S40" s="377"/>
      <c r="T40" s="20">
        <v>0.45833333333333298</v>
      </c>
      <c r="U40" s="20">
        <v>0.50347222222222199</v>
      </c>
      <c r="V40" s="92">
        <f>(T40-U39)*24*60</f>
        <v>9.999999999999325</v>
      </c>
      <c r="W40" s="205">
        <f t="shared" si="17"/>
        <v>65.000000000000171</v>
      </c>
      <c r="X40" s="208">
        <v>0.51041666666666696</v>
      </c>
      <c r="Y40" s="209">
        <v>0.55208333333333304</v>
      </c>
      <c r="Z40" s="337"/>
      <c r="AA40" s="337"/>
      <c r="AB40" s="388"/>
      <c r="AC40" s="388"/>
      <c r="AD40" s="92"/>
      <c r="AE40" s="92"/>
      <c r="AF40" s="314">
        <f t="shared" si="30"/>
        <v>-162.84615384615745</v>
      </c>
      <c r="AG40" s="206">
        <f t="shared" si="31"/>
        <v>0.89594494961906868</v>
      </c>
      <c r="AH40" s="399"/>
    </row>
    <row r="41" spans="1:34" ht="15" customHeight="1">
      <c r="A41" s="402"/>
      <c r="B41" s="75" t="s">
        <v>120</v>
      </c>
      <c r="C41" s="207"/>
      <c r="D41" s="198" t="s">
        <v>124</v>
      </c>
      <c r="E41" s="178"/>
      <c r="F41" s="75">
        <f>VLOOKUP(D41,廠價表!$C$1:$E$41,3,0)</f>
        <v>44.3</v>
      </c>
      <c r="G41" s="199">
        <v>4928</v>
      </c>
      <c r="H41" s="91">
        <f>F41*G41</f>
        <v>218310.39999999999</v>
      </c>
      <c r="I41" s="200"/>
      <c r="J41" s="148">
        <f>VLOOKUP(D41,產線配置圖!$A$3:$C$38,2,0)</f>
        <v>17</v>
      </c>
      <c r="K41" s="95">
        <v>1565</v>
      </c>
      <c r="L41" s="96">
        <f>K41/J41</f>
        <v>92.058823529411768</v>
      </c>
      <c r="M41" s="201">
        <v>17</v>
      </c>
      <c r="N41" s="202">
        <f>G41/W41*60</f>
        <v>1414.7368421052615</v>
      </c>
      <c r="O41" s="203">
        <f>N41/M41</f>
        <v>83.219814241485977</v>
      </c>
      <c r="P41" s="97">
        <f>M41-J41</f>
        <v>0</v>
      </c>
      <c r="Q41" s="98">
        <f>O41-L41</f>
        <v>-8.8390092879257907</v>
      </c>
      <c r="R41" s="99">
        <f>O41/L41</f>
        <v>0.90398520262317028</v>
      </c>
      <c r="S41" s="377"/>
      <c r="T41" s="20">
        <v>0.56388888888888899</v>
      </c>
      <c r="U41" s="210">
        <v>0.70902777777777803</v>
      </c>
      <c r="V41" s="92">
        <f>(T41-U40)*24*60</f>
        <v>87.000000000000483</v>
      </c>
      <c r="W41" s="205">
        <f t="shared" si="17"/>
        <v>209.00000000000023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-150.26315789473847</v>
      </c>
      <c r="AG41" s="206">
        <f t="shared" si="31"/>
        <v>0.90398520262317028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1533.75</v>
      </c>
      <c r="L48" s="158">
        <f t="shared" si="37"/>
        <v>90.220588235294116</v>
      </c>
      <c r="M48" s="155">
        <f t="shared" si="37"/>
        <v>16.5</v>
      </c>
      <c r="N48" s="155">
        <f t="shared" si="37"/>
        <v>1286.4385811556879</v>
      </c>
      <c r="O48" s="158">
        <f t="shared" si="37"/>
        <v>77.743713330013719</v>
      </c>
      <c r="P48" s="221">
        <f>M48-J48</f>
        <v>-0.5</v>
      </c>
      <c r="Q48" s="222">
        <f>N48-K48</f>
        <v>-247.31141884431213</v>
      </c>
      <c r="R48" s="223">
        <f>O48/L48</f>
        <v>0.86170701001482197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-247.31141884431213</v>
      </c>
      <c r="AG48" s="162">
        <f t="shared" ref="AG48:AG53" si="39">N48/K48</f>
        <v>0.83875376114470279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927</v>
      </c>
      <c r="H49" s="134">
        <f>F49*G49</f>
        <v>53117.1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1" si="40">K49/J49</f>
        <v>107.14285714285714</v>
      </c>
      <c r="M49" s="170">
        <v>17</v>
      </c>
      <c r="N49" s="140">
        <f>G49/W49*60</f>
        <v>1738.1250000000193</v>
      </c>
      <c r="O49" s="141">
        <f>N49/M49</f>
        <v>102.24264705882467</v>
      </c>
      <c r="P49" s="229">
        <f>M49-J49</f>
        <v>3</v>
      </c>
      <c r="Q49" s="230">
        <f>O49-L49</f>
        <v>-4.9002100840324658</v>
      </c>
      <c r="R49" s="52">
        <f>O49/L49</f>
        <v>0.95426470588236367</v>
      </c>
      <c r="S49" s="376">
        <f>R58</f>
        <v>0.9593099284958837</v>
      </c>
      <c r="T49" s="191">
        <v>0.29166666666666702</v>
      </c>
      <c r="U49" s="191">
        <v>0.31388888888888899</v>
      </c>
      <c r="V49" s="55"/>
      <c r="W49" s="193">
        <f t="shared" si="17"/>
        <v>31.999999999999645</v>
      </c>
      <c r="X49" s="55"/>
      <c r="Y49" s="290"/>
      <c r="Z49" s="169"/>
      <c r="AA49" s="169"/>
      <c r="AB49" s="501" t="s">
        <v>114</v>
      </c>
      <c r="AC49" s="502"/>
      <c r="AD49" s="135"/>
      <c r="AE49" s="135"/>
      <c r="AF49" s="229">
        <f t="shared" si="38"/>
        <v>238.12500000001933</v>
      </c>
      <c r="AG49" s="52">
        <f t="shared" si="39"/>
        <v>1.1587500000000128</v>
      </c>
      <c r="AH49" s="382">
        <f>AG58</f>
        <v>1.0221309762161486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2835</v>
      </c>
      <c r="H50" s="231">
        <f>F50*G50</f>
        <v>141494.84999999998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16</v>
      </c>
      <c r="N50" s="234">
        <f>G50/W50*60</f>
        <v>1619.9999999999934</v>
      </c>
      <c r="O50" s="235">
        <f>N50/M50</f>
        <v>101.24999999999959</v>
      </c>
      <c r="P50" s="74">
        <f>M50-J50</f>
        <v>1</v>
      </c>
      <c r="Q50" s="83">
        <f>O50-L50</f>
        <v>-3.0833333333337407</v>
      </c>
      <c r="R50" s="72">
        <f>O50/L50</f>
        <v>0.97044728434504401</v>
      </c>
      <c r="S50" s="377"/>
      <c r="T50" s="21">
        <v>0.32083333333333303</v>
      </c>
      <c r="U50" s="21">
        <v>0.39374999999999999</v>
      </c>
      <c r="V50" s="30">
        <f t="shared" ref="V50:V52" si="41">(T50-U49)*24*60</f>
        <v>9.9999999999994049</v>
      </c>
      <c r="W50" s="236">
        <f t="shared" si="17"/>
        <v>105.00000000000043</v>
      </c>
      <c r="X50" s="22"/>
      <c r="Y50" s="84"/>
      <c r="Z50" s="90"/>
      <c r="AA50" s="90"/>
      <c r="AB50" s="501" t="s">
        <v>114</v>
      </c>
      <c r="AC50" s="502"/>
      <c r="AD50" s="92"/>
      <c r="AE50" s="92"/>
      <c r="AF50" s="307">
        <f t="shared" si="38"/>
        <v>54.999999999993406</v>
      </c>
      <c r="AG50" s="72">
        <f t="shared" si="39"/>
        <v>1.0351437699680468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2984</v>
      </c>
      <c r="H51" s="231">
        <f>F51*G51</f>
        <v>149110.48000000001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1598.5714285714446</v>
      </c>
      <c r="O51" s="235">
        <f>N51/M51</f>
        <v>99.910714285715287</v>
      </c>
      <c r="P51" s="74">
        <f>M51-J51</f>
        <v>0</v>
      </c>
      <c r="Q51" s="83">
        <f>O51-L51</f>
        <v>-7.2142857142847134</v>
      </c>
      <c r="R51" s="72">
        <f>O51/L51</f>
        <v>0.93265544257377164</v>
      </c>
      <c r="S51" s="377"/>
      <c r="T51" s="21">
        <v>0.39930555555555602</v>
      </c>
      <c r="U51" s="19">
        <v>0.47708333333333303</v>
      </c>
      <c r="V51" s="30">
        <f t="shared" si="41"/>
        <v>8.000000000000691</v>
      </c>
      <c r="W51" s="236">
        <f t="shared" si="17"/>
        <v>111.99999999999888</v>
      </c>
      <c r="X51" s="22"/>
      <c r="Y51" s="84"/>
      <c r="Z51" s="90"/>
      <c r="AA51" s="90"/>
      <c r="AB51" s="501"/>
      <c r="AC51" s="502"/>
      <c r="AD51" s="92"/>
      <c r="AE51" s="92"/>
      <c r="AF51" s="307">
        <f t="shared" si="38"/>
        <v>-115.42857142855541</v>
      </c>
      <c r="AG51" s="72">
        <f t="shared" si="39"/>
        <v>0.93265544257377164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2632</v>
      </c>
      <c r="H52" s="231">
        <f>F52*G52</f>
        <v>131521.04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>K52/J52</f>
        <v>107.125</v>
      </c>
      <c r="M52" s="233">
        <v>16</v>
      </c>
      <c r="N52" s="234">
        <f>G52/W52*60</f>
        <v>1679.9999999999945</v>
      </c>
      <c r="O52" s="235">
        <f>N52/M52</f>
        <v>104.99999999999966</v>
      </c>
      <c r="P52" s="74">
        <f>M52-J52</f>
        <v>0</v>
      </c>
      <c r="Q52" s="83">
        <f>O52-L52</f>
        <v>-2.1250000000003411</v>
      </c>
      <c r="R52" s="72">
        <f>O52/L52</f>
        <v>0.98016336056009012</v>
      </c>
      <c r="S52" s="377"/>
      <c r="T52" s="21">
        <v>0.53819444444444398</v>
      </c>
      <c r="U52" s="21">
        <v>0.60347222222222197</v>
      </c>
      <c r="V52" s="30">
        <f t="shared" si="41"/>
        <v>87.999999999999773</v>
      </c>
      <c r="W52" s="236">
        <f t="shared" si="17"/>
        <v>94.000000000000313</v>
      </c>
      <c r="X52" s="22">
        <v>0.48611111111111099</v>
      </c>
      <c r="Y52" s="84">
        <v>0.52777777777777801</v>
      </c>
      <c r="Z52" s="90"/>
      <c r="AA52" s="90"/>
      <c r="AB52" s="501"/>
      <c r="AC52" s="502"/>
      <c r="AD52" s="92"/>
      <c r="AE52" s="92"/>
      <c r="AF52" s="307">
        <f t="shared" si="38"/>
        <v>-34.000000000005457</v>
      </c>
      <c r="AG52" s="72">
        <f t="shared" si="39"/>
        <v>0.98016336056009012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16.25</v>
      </c>
      <c r="N58" s="120">
        <f t="shared" si="42"/>
        <v>1659.174107142863</v>
      </c>
      <c r="O58" s="117">
        <f t="shared" si="42"/>
        <v>102.10084033613481</v>
      </c>
      <c r="P58" s="121">
        <f>M58-J58</f>
        <v>1</v>
      </c>
      <c r="Q58" s="122">
        <f>N58-K58</f>
        <v>35.924107142863022</v>
      </c>
      <c r="R58" s="123">
        <f t="shared" ref="R58:R60" si="43">O58/L58</f>
        <v>0.9593099284958837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35.924107142863022</v>
      </c>
      <c r="AG58" s="124">
        <f t="shared" ref="AG58:AG61" si="45">N58/K58</f>
        <v>1.0221309762161486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138</v>
      </c>
      <c r="E59" s="132"/>
      <c r="F59" s="129">
        <f>VLOOKUP(D59,廠價表!$C$1:$E$41,3,0)</f>
        <v>28.26</v>
      </c>
      <c r="G59" s="55">
        <v>1114</v>
      </c>
      <c r="H59" s="243">
        <f>F59*G59</f>
        <v>31481.640000000003</v>
      </c>
      <c r="I59" s="55"/>
      <c r="J59" s="136">
        <f>VLOOKUP(D59,產線配置圖!$A$3:$C$38,2,0)</f>
        <v>9</v>
      </c>
      <c r="K59" s="137">
        <f>VLOOKUP(D59,產線配置圖!$A$3:$C$38,3,0)</f>
        <v>1636</v>
      </c>
      <c r="L59" s="138">
        <f t="shared" ref="L59:L62" si="46">K59/J59</f>
        <v>181.77777777777777</v>
      </c>
      <c r="M59" s="244">
        <v>9</v>
      </c>
      <c r="N59" s="137">
        <f t="shared" ref="N59:N62" si="47">G59/W59*60</f>
        <v>1336.800000000009</v>
      </c>
      <c r="O59" s="138">
        <f t="shared" ref="O59:O62" si="48">N59/M59</f>
        <v>148.53333333333433</v>
      </c>
      <c r="P59" s="56">
        <f t="shared" ref="P59:P62" si="49">M59-J59</f>
        <v>0</v>
      </c>
      <c r="Q59" s="230">
        <f t="shared" ref="Q59:Q62" si="50">O59-L59</f>
        <v>-33.244444444443445</v>
      </c>
      <c r="R59" s="52">
        <f t="shared" si="43"/>
        <v>0.81711491442543338</v>
      </c>
      <c r="S59" s="376">
        <f>R69</f>
        <v>0.86266240146879714</v>
      </c>
      <c r="T59" s="245">
        <v>0.25</v>
      </c>
      <c r="U59" s="245">
        <v>0.28472222222222199</v>
      </c>
      <c r="V59" s="30">
        <f>(T60-U59)*24*60</f>
        <v>0</v>
      </c>
      <c r="W59" s="54">
        <f t="shared" si="17"/>
        <v>49.999999999999659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-299.19999999999095</v>
      </c>
      <c r="AG59" s="246">
        <f t="shared" si="45"/>
        <v>0.81711491442543338</v>
      </c>
      <c r="AH59" s="382">
        <f>AG69</f>
        <v>0.87746734688767203</v>
      </c>
    </row>
    <row r="60" spans="1:34" ht="15" customHeight="1">
      <c r="A60" s="391"/>
      <c r="B60" s="75" t="s">
        <v>128</v>
      </c>
      <c r="C60" s="86"/>
      <c r="D60" s="175" t="s">
        <v>138</v>
      </c>
      <c r="E60" s="87"/>
      <c r="F60" s="75">
        <f>VLOOKUP(D60,廠價表!$C$1:$E$41,3,0)</f>
        <v>28.26</v>
      </c>
      <c r="G60" s="30">
        <v>1521</v>
      </c>
      <c r="H60" s="78">
        <f>F60*G60</f>
        <v>42983.46</v>
      </c>
      <c r="I60" s="30"/>
      <c r="J60" s="79">
        <f>VLOOKUP(D60,產線配置圖!$A$3:$C$38,2,0)</f>
        <v>9</v>
      </c>
      <c r="K60" s="80">
        <f>VLOOKUP(D60,產線配置圖!$A$3:$C$38,3,0)</f>
        <v>1636</v>
      </c>
      <c r="L60" s="81">
        <f t="shared" si="46"/>
        <v>181.77777777777777</v>
      </c>
      <c r="M60" s="82">
        <v>9</v>
      </c>
      <c r="N60" s="80">
        <f t="shared" si="47"/>
        <v>1342.0588235294181</v>
      </c>
      <c r="O60" s="81">
        <f t="shared" si="48"/>
        <v>149.11764705882422</v>
      </c>
      <c r="P60" s="74">
        <f t="shared" si="49"/>
        <v>0</v>
      </c>
      <c r="Q60" s="83">
        <f t="shared" si="50"/>
        <v>-32.660130718953553</v>
      </c>
      <c r="R60" s="72">
        <f t="shared" si="43"/>
        <v>0.82032935423558562</v>
      </c>
      <c r="S60" s="394"/>
      <c r="T60" s="22">
        <v>0.28472222222222199</v>
      </c>
      <c r="U60" s="22">
        <v>0.33194444444444399</v>
      </c>
      <c r="V60" s="30">
        <f t="shared" ref="V60:V66" si="51">(T61-U60)*24*60</f>
        <v>-57.999999999998835</v>
      </c>
      <c r="W60" s="248">
        <f t="shared" si="17"/>
        <v>67.999999999999673</v>
      </c>
      <c r="X60" s="232"/>
      <c r="Y60" s="177"/>
      <c r="Z60" s="90"/>
      <c r="AA60" s="90"/>
      <c r="AB60" s="501" t="s">
        <v>139</v>
      </c>
      <c r="AC60" s="502"/>
      <c r="AD60" s="92"/>
      <c r="AE60" s="92"/>
      <c r="AF60" s="316">
        <f t="shared" si="44"/>
        <v>-293.94117647058192</v>
      </c>
      <c r="AG60" s="249">
        <f t="shared" si="45"/>
        <v>0.82032935423558562</v>
      </c>
      <c r="AH60" s="389"/>
    </row>
    <row r="61" spans="1:34" ht="15" customHeight="1">
      <c r="A61" s="392"/>
      <c r="B61" s="250" t="s">
        <v>128</v>
      </c>
      <c r="C61" s="251"/>
      <c r="D61" s="252" t="s">
        <v>129</v>
      </c>
      <c r="E61" s="253"/>
      <c r="F61" s="250">
        <f>VLOOKUP(D61,廠價表!$C$1:$E$41,3,0)</f>
        <v>26.99</v>
      </c>
      <c r="G61" s="38">
        <v>4048</v>
      </c>
      <c r="H61" s="254">
        <f>F61*G61</f>
        <v>109255.51999999999</v>
      </c>
      <c r="I61" s="182"/>
      <c r="J61" s="106">
        <f>VLOOKUP(D61,產線配置圖!$A$3:$C$38,2,0)</f>
        <v>13</v>
      </c>
      <c r="K61" s="107">
        <f>VLOOKUP(D61,產線配置圖!$A$3:$C$38,3,0)</f>
        <v>1565</v>
      </c>
      <c r="L61" s="238">
        <f t="shared" si="46"/>
        <v>120.38461538461539</v>
      </c>
      <c r="M61" s="108">
        <v>13</v>
      </c>
      <c r="N61" s="107">
        <f t="shared" si="47"/>
        <v>1547.0063694267626</v>
      </c>
      <c r="O61" s="238">
        <f t="shared" si="48"/>
        <v>119.00048995590481</v>
      </c>
      <c r="P61" s="111">
        <f t="shared" si="49"/>
        <v>0</v>
      </c>
      <c r="Q61" s="255">
        <f t="shared" si="50"/>
        <v>-1.3841254287105755</v>
      </c>
      <c r="R61" s="85">
        <f>O61/L61</f>
        <v>0.9885024724771645</v>
      </c>
      <c r="S61" s="377"/>
      <c r="T61" s="22">
        <v>0.29166666666666702</v>
      </c>
      <c r="U61" s="22">
        <v>0.40069444444444402</v>
      </c>
      <c r="V61" s="30">
        <f t="shared" si="51"/>
        <v>-86.999999999999048</v>
      </c>
      <c r="W61" s="256">
        <f t="shared" si="17"/>
        <v>156.99999999999889</v>
      </c>
      <c r="X61" s="22"/>
      <c r="Y61" s="84"/>
      <c r="Z61" s="90"/>
      <c r="AA61" s="90"/>
      <c r="AB61" s="501" t="s">
        <v>139</v>
      </c>
      <c r="AC61" s="502"/>
      <c r="AD61" s="92"/>
      <c r="AE61" s="92"/>
      <c r="AF61" s="317">
        <f t="shared" si="44"/>
        <v>-17.993630573237397</v>
      </c>
      <c r="AG61" s="247">
        <f t="shared" si="45"/>
        <v>0.98850247247716461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4142</v>
      </c>
      <c r="H62" s="254">
        <f>F62*G62</f>
        <v>117052.92000000001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9</v>
      </c>
      <c r="N62" s="107">
        <f t="shared" si="47"/>
        <v>1314.9206349206352</v>
      </c>
      <c r="O62" s="238">
        <f t="shared" si="48"/>
        <v>146.10229276895947</v>
      </c>
      <c r="P62" s="111">
        <f t="shared" si="49"/>
        <v>0</v>
      </c>
      <c r="Q62" s="255">
        <f t="shared" si="50"/>
        <v>-35.675485008818299</v>
      </c>
      <c r="R62" s="85">
        <f>O62/L62</f>
        <v>0.80374121938914134</v>
      </c>
      <c r="S62" s="377"/>
      <c r="T62" s="22">
        <v>0.34027777777777801</v>
      </c>
      <c r="U62" s="22">
        <v>0.47152777777777799</v>
      </c>
      <c r="V62" s="30">
        <f t="shared" si="51"/>
        <v>-98.999999999999972</v>
      </c>
      <c r="W62" s="248">
        <f t="shared" si="17"/>
        <v>188.99999999999997</v>
      </c>
      <c r="X62" s="22">
        <v>0.50347222222222199</v>
      </c>
      <c r="Y62" s="84">
        <v>0.54513888888888895</v>
      </c>
      <c r="Z62" s="90"/>
      <c r="AA62" s="90"/>
      <c r="AB62" s="501" t="s">
        <v>139</v>
      </c>
      <c r="AC62" s="502"/>
      <c r="AD62" s="92"/>
      <c r="AE62" s="92"/>
      <c r="AF62" s="317">
        <f>N62-K62</f>
        <v>-321.07936507936483</v>
      </c>
      <c r="AG62" s="247">
        <f>N62/K62</f>
        <v>0.80374121938914134</v>
      </c>
      <c r="AH62" s="384"/>
    </row>
    <row r="63" spans="1:34" ht="15" customHeight="1">
      <c r="A63" s="392"/>
      <c r="B63" s="258" t="s">
        <v>128</v>
      </c>
      <c r="C63" s="58"/>
      <c r="D63" s="259" t="s">
        <v>130</v>
      </c>
      <c r="E63" s="60"/>
      <c r="F63" s="250">
        <f>VLOOKUP(D63,廠價表!$C$1:$E$41,3,0)</f>
        <v>28.26</v>
      </c>
      <c r="G63" s="260">
        <v>1750</v>
      </c>
      <c r="H63" s="254">
        <f t="shared" ref="H63:H66" si="52">F63*G63</f>
        <v>49455</v>
      </c>
      <c r="I63" s="260"/>
      <c r="J63" s="106">
        <f>VLOOKUP(D63,產線配置圖!$A$3:$C$38,2,0)</f>
        <v>12</v>
      </c>
      <c r="K63" s="107">
        <f>VLOOKUP(D63,產線配置圖!$A$3:$C$38,3,0)</f>
        <v>1565</v>
      </c>
      <c r="L63" s="238">
        <f t="shared" ref="L63:L66" si="53">K63/J63</f>
        <v>130.41666666666666</v>
      </c>
      <c r="M63" s="108">
        <v>12</v>
      </c>
      <c r="N63" s="107">
        <f t="shared" ref="N63:N66" si="54">G63/W63*60</f>
        <v>1521.7391304348039</v>
      </c>
      <c r="O63" s="238">
        <f t="shared" ref="O63:O66" si="55">N63/M63</f>
        <v>126.81159420290032</v>
      </c>
      <c r="P63" s="111">
        <f t="shared" ref="P63:P66" si="56">M63-J63</f>
        <v>0</v>
      </c>
      <c r="Q63" s="255">
        <f t="shared" ref="Q63:Q66" si="57">O63-L63</f>
        <v>-3.6050724637663336</v>
      </c>
      <c r="R63" s="85">
        <f t="shared" ref="R63:R66" si="58">O63/L63</f>
        <v>0.97235727184332521</v>
      </c>
      <c r="S63" s="377"/>
      <c r="T63" s="22">
        <v>0.40277777777777801</v>
      </c>
      <c r="U63" s="22">
        <v>0.45069444444444401</v>
      </c>
      <c r="V63" s="30">
        <f t="shared" si="51"/>
        <v>11.000000000000121</v>
      </c>
      <c r="W63" s="248">
        <f t="shared" si="17"/>
        <v>68.999999999999034</v>
      </c>
      <c r="X63" s="261"/>
      <c r="Y63" s="291"/>
      <c r="Z63" s="335"/>
      <c r="AA63" s="335"/>
      <c r="AB63" s="501" t="s">
        <v>139</v>
      </c>
      <c r="AC63" s="502"/>
      <c r="AD63" s="92"/>
      <c r="AE63" s="92"/>
      <c r="AF63" s="317">
        <f t="shared" ref="AF63:AF66" si="59">N63-K63</f>
        <v>-43.260869565196117</v>
      </c>
      <c r="AG63" s="247">
        <f t="shared" ref="AG63:AG66" si="60">N63/K63</f>
        <v>0.97235727184332521</v>
      </c>
      <c r="AH63" s="384"/>
    </row>
    <row r="64" spans="1:34" ht="15" customHeight="1">
      <c r="A64" s="392"/>
      <c r="B64" s="75" t="s">
        <v>128</v>
      </c>
      <c r="C64" s="76"/>
      <c r="D64" s="175" t="s">
        <v>131</v>
      </c>
      <c r="E64" s="77"/>
      <c r="F64" s="250">
        <f>VLOOKUP(D64,廠價表!$C$1:$E$41,3,0)</f>
        <v>28.26</v>
      </c>
      <c r="G64" s="30">
        <v>1495</v>
      </c>
      <c r="H64" s="254">
        <f t="shared" si="52"/>
        <v>42248.700000000004</v>
      </c>
      <c r="I64" s="182"/>
      <c r="J64" s="106">
        <f>VLOOKUP(D64,產線配置圖!$A$3:$C$38,2,0)</f>
        <v>12</v>
      </c>
      <c r="K64" s="107">
        <f>VLOOKUP(D64,產線配置圖!$A$3:$C$38,3,0)</f>
        <v>1565</v>
      </c>
      <c r="L64" s="238">
        <f t="shared" si="53"/>
        <v>130.41666666666666</v>
      </c>
      <c r="M64" s="108">
        <v>13</v>
      </c>
      <c r="N64" s="107">
        <f t="shared" si="54"/>
        <v>1379.9999999999964</v>
      </c>
      <c r="O64" s="238">
        <f t="shared" si="55"/>
        <v>106.15384615384588</v>
      </c>
      <c r="P64" s="111">
        <f t="shared" si="56"/>
        <v>1</v>
      </c>
      <c r="Q64" s="255">
        <f t="shared" si="57"/>
        <v>-24.262820512820781</v>
      </c>
      <c r="R64" s="85">
        <f t="shared" si="58"/>
        <v>0.81395920373555952</v>
      </c>
      <c r="S64" s="377"/>
      <c r="T64" s="22">
        <v>0.45833333333333298</v>
      </c>
      <c r="U64" s="22">
        <v>0.50347222222222199</v>
      </c>
      <c r="V64" s="30">
        <f t="shared" si="51"/>
        <v>60.000000000000426</v>
      </c>
      <c r="W64" s="73">
        <f t="shared" si="17"/>
        <v>65.000000000000171</v>
      </c>
      <c r="X64" s="261"/>
      <c r="Y64" s="291"/>
      <c r="Z64" s="335"/>
      <c r="AA64" s="335"/>
      <c r="AB64" s="501" t="s">
        <v>139</v>
      </c>
      <c r="AC64" s="502"/>
      <c r="AD64" s="92"/>
      <c r="AE64" s="92"/>
      <c r="AF64" s="317">
        <f t="shared" si="59"/>
        <v>-185.00000000000364</v>
      </c>
      <c r="AG64" s="247">
        <f t="shared" si="60"/>
        <v>0.88178913738018938</v>
      </c>
      <c r="AH64" s="384"/>
    </row>
    <row r="65" spans="1:36" ht="15" customHeight="1">
      <c r="A65" s="392"/>
      <c r="B65" s="75" t="s">
        <v>128</v>
      </c>
      <c r="C65" s="86"/>
      <c r="D65" s="175" t="s">
        <v>138</v>
      </c>
      <c r="E65" s="87"/>
      <c r="F65" s="250">
        <f>VLOOKUP(D65,廠價表!$C$1:$E$41,3,0)</f>
        <v>28.26</v>
      </c>
      <c r="G65" s="30">
        <v>1648</v>
      </c>
      <c r="H65" s="254">
        <f t="shared" si="52"/>
        <v>46572.480000000003</v>
      </c>
      <c r="I65" s="30"/>
      <c r="J65" s="106">
        <f>VLOOKUP(D65,產線配置圖!$A$3:$C$38,2,0)</f>
        <v>9</v>
      </c>
      <c r="K65" s="107">
        <f>VLOOKUP(D65,產線配置圖!$A$3:$C$38,3,0)</f>
        <v>1636</v>
      </c>
      <c r="L65" s="238">
        <f t="shared" si="53"/>
        <v>181.77777777777777</v>
      </c>
      <c r="M65" s="108">
        <v>9</v>
      </c>
      <c r="N65" s="107">
        <f t="shared" si="54"/>
        <v>1521.2307692307631</v>
      </c>
      <c r="O65" s="238">
        <f t="shared" si="55"/>
        <v>169.02564102564034</v>
      </c>
      <c r="P65" s="111">
        <f t="shared" si="56"/>
        <v>0</v>
      </c>
      <c r="Q65" s="255">
        <f t="shared" si="57"/>
        <v>-12.752136752137432</v>
      </c>
      <c r="R65" s="85">
        <f t="shared" si="58"/>
        <v>0.92984765845401163</v>
      </c>
      <c r="S65" s="377"/>
      <c r="T65" s="22">
        <v>0.54513888888888895</v>
      </c>
      <c r="U65" s="22">
        <v>0.59027777777777801</v>
      </c>
      <c r="V65" s="30">
        <f t="shared" si="51"/>
        <v>-49.999999999999659</v>
      </c>
      <c r="W65" s="73">
        <f t="shared" si="17"/>
        <v>65.000000000000256</v>
      </c>
      <c r="X65" s="261"/>
      <c r="Y65" s="291"/>
      <c r="Z65" s="335"/>
      <c r="AA65" s="335"/>
      <c r="AB65" s="501" t="s">
        <v>139</v>
      </c>
      <c r="AC65" s="502"/>
      <c r="AD65" s="92"/>
      <c r="AE65" s="92"/>
      <c r="AF65" s="317">
        <f t="shared" si="59"/>
        <v>-114.76923076923686</v>
      </c>
      <c r="AG65" s="247">
        <f t="shared" si="60"/>
        <v>0.92984765845401174</v>
      </c>
      <c r="AH65" s="384"/>
    </row>
    <row r="66" spans="1:36" ht="15" customHeight="1">
      <c r="A66" s="392"/>
      <c r="B66" s="101" t="s">
        <v>128</v>
      </c>
      <c r="C66" s="102"/>
      <c r="D66" s="103" t="s">
        <v>138</v>
      </c>
      <c r="E66" s="104"/>
      <c r="F66" s="250">
        <f>VLOOKUP(D66,廠價表!$C$1:$E$41,3,0)</f>
        <v>28.26</v>
      </c>
      <c r="G66" s="151">
        <v>978</v>
      </c>
      <c r="H66" s="254">
        <f t="shared" si="52"/>
        <v>27638.280000000002</v>
      </c>
      <c r="I66" s="264"/>
      <c r="J66" s="106">
        <f>VLOOKUP(D66,產線配置圖!$A$3:$C$38,2,0)</f>
        <v>9</v>
      </c>
      <c r="K66" s="107">
        <f>VLOOKUP(D66,產線配置圖!$A$3:$C$38,3,0)</f>
        <v>1636</v>
      </c>
      <c r="L66" s="238">
        <f t="shared" si="53"/>
        <v>181.77777777777777</v>
      </c>
      <c r="M66" s="108">
        <v>9</v>
      </c>
      <c r="N66" s="107">
        <f t="shared" si="54"/>
        <v>1333.6363636363876</v>
      </c>
      <c r="O66" s="238">
        <f t="shared" si="55"/>
        <v>148.18181818182086</v>
      </c>
      <c r="P66" s="111">
        <f t="shared" si="56"/>
        <v>0</v>
      </c>
      <c r="Q66" s="255">
        <f t="shared" si="57"/>
        <v>-33.595959595956913</v>
      </c>
      <c r="R66" s="85">
        <f t="shared" si="58"/>
        <v>0.81518115136698521</v>
      </c>
      <c r="S66" s="377"/>
      <c r="T66" s="22">
        <v>0.55555555555555602</v>
      </c>
      <c r="U66" s="22">
        <v>0.58611111111111103</v>
      </c>
      <c r="V66" s="30">
        <f t="shared" si="51"/>
        <v>-843.99999999999989</v>
      </c>
      <c r="W66" s="73">
        <f t="shared" si="17"/>
        <v>43.999999999999204</v>
      </c>
      <c r="X66" s="261"/>
      <c r="Y66" s="291"/>
      <c r="Z66" s="335"/>
      <c r="AA66" s="335"/>
      <c r="AB66" s="501" t="s">
        <v>139</v>
      </c>
      <c r="AC66" s="502"/>
      <c r="AD66" s="92"/>
      <c r="AE66" s="92"/>
      <c r="AF66" s="317">
        <f t="shared" si="59"/>
        <v>-302.36363636361239</v>
      </c>
      <c r="AG66" s="247">
        <f t="shared" si="60"/>
        <v>0.8151811513669851</v>
      </c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61">AVERAGE(J59:J68)</f>
        <v>10.25</v>
      </c>
      <c r="K69" s="240">
        <f t="shared" si="61"/>
        <v>1609.375</v>
      </c>
      <c r="L69" s="268">
        <f t="shared" si="61"/>
        <v>161.26335470085471</v>
      </c>
      <c r="M69" s="240">
        <f t="shared" si="61"/>
        <v>10.375</v>
      </c>
      <c r="N69" s="240">
        <f t="shared" si="61"/>
        <v>1412.1740113973472</v>
      </c>
      <c r="O69" s="268">
        <f t="shared" si="61"/>
        <v>139.11583283515375</v>
      </c>
      <c r="P69" s="269">
        <f>M69-J69</f>
        <v>0.125</v>
      </c>
      <c r="Q69" s="222">
        <f>N69-K69</f>
        <v>-197.20098860265284</v>
      </c>
      <c r="R69" s="123">
        <f>O69/L69</f>
        <v>0.86266240146879714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-197.20098860265284</v>
      </c>
      <c r="AG69" s="124">
        <f>N69/K69</f>
        <v>0.87746734688767203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1624</v>
      </c>
      <c r="H70" s="243">
        <f>F70*G70</f>
        <v>82288.08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974.39999999999179</v>
      </c>
      <c r="O70" s="138">
        <f>N70/M70</f>
        <v>97.439999999999173</v>
      </c>
      <c r="P70" s="56">
        <f>M70-J70</f>
        <v>0</v>
      </c>
      <c r="Q70" s="230">
        <f>O70-L70</f>
        <v>-15.060000000000827</v>
      </c>
      <c r="R70" s="52">
        <f>O70/L70</f>
        <v>0.86613333333332598</v>
      </c>
      <c r="S70" s="376">
        <f>R79</f>
        <v>0.88886707379715679</v>
      </c>
      <c r="T70" s="245">
        <v>0.33333333333333298</v>
      </c>
      <c r="U70" s="245">
        <v>0.40277777777777801</v>
      </c>
      <c r="V70" s="55"/>
      <c r="W70" s="54">
        <f t="shared" si="17"/>
        <v>100.00000000000084</v>
      </c>
      <c r="X70" s="270"/>
      <c r="Y70" s="292"/>
      <c r="Z70" s="169"/>
      <c r="AA70" s="169"/>
      <c r="AB70" s="381" t="s">
        <v>114</v>
      </c>
      <c r="AC70" s="381"/>
      <c r="AD70" s="135"/>
      <c r="AE70" s="135"/>
      <c r="AF70" s="310">
        <f>N70-K70</f>
        <v>-150.60000000000821</v>
      </c>
      <c r="AG70" s="246">
        <f>N70/K70</f>
        <v>0.86613333333332598</v>
      </c>
      <c r="AH70" s="382">
        <f>AG79</f>
        <v>0.89939824945295299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1276</v>
      </c>
      <c r="H71" s="254">
        <f>F71*G71</f>
        <v>72004.679999999993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62">K71/J71</f>
        <v>87.875</v>
      </c>
      <c r="M71" s="82">
        <v>14</v>
      </c>
      <c r="N71" s="107">
        <f t="shared" ref="N71:N72" si="63">G71/W71*60</f>
        <v>1020.7999999999863</v>
      </c>
      <c r="O71" s="238">
        <f t="shared" ref="O71:O72" si="64">N71/M71</f>
        <v>72.91428571428473</v>
      </c>
      <c r="P71" s="111">
        <f t="shared" ref="P71:P72" si="65">M71-J71</f>
        <v>-2</v>
      </c>
      <c r="Q71" s="255">
        <f t="shared" ref="Q71:Q72" si="66">O71-L71</f>
        <v>-14.96071428571527</v>
      </c>
      <c r="R71" s="85">
        <f>O71/L71</f>
        <v>0.82975005080267117</v>
      </c>
      <c r="S71" s="377"/>
      <c r="T71" s="22">
        <v>0.40972222222222199</v>
      </c>
      <c r="U71" s="22">
        <v>0.46180555555555602</v>
      </c>
      <c r="V71" s="30">
        <f t="shared" ref="V71:V72" si="67">(T71-U70)*24*60</f>
        <v>9.999999999999325</v>
      </c>
      <c r="W71" s="73">
        <f t="shared" si="17"/>
        <v>75.000000000001009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132</v>
      </c>
      <c r="E72" s="77"/>
      <c r="F72" s="250">
        <f>VLOOKUP(D72,廠價表!$C$1:$E$41,3,0)</f>
        <v>50.67</v>
      </c>
      <c r="G72" s="202">
        <v>1293</v>
      </c>
      <c r="H72" s="254">
        <f>F72*G72</f>
        <v>65516.310000000005</v>
      </c>
      <c r="I72" s="182"/>
      <c r="J72" s="106">
        <f>VLOOKUP(D72,產線配置圖!$A$3:$C$38,2,0)</f>
        <v>10</v>
      </c>
      <c r="K72" s="107">
        <f>VLOOKUP(D72,產線配置圖!$A$3:$C$38,3,0)</f>
        <v>1125</v>
      </c>
      <c r="L72" s="238">
        <f t="shared" si="62"/>
        <v>112.5</v>
      </c>
      <c r="M72" s="82">
        <v>12</v>
      </c>
      <c r="N72" s="107">
        <f t="shared" si="63"/>
        <v>1293.0000000000184</v>
      </c>
      <c r="O72" s="238">
        <f t="shared" si="64"/>
        <v>107.75000000000153</v>
      </c>
      <c r="P72" s="111">
        <f t="shared" si="65"/>
        <v>2</v>
      </c>
      <c r="Q72" s="255">
        <f t="shared" si="66"/>
        <v>-4.7499999999984652</v>
      </c>
      <c r="R72" s="85">
        <f>O72/L72</f>
        <v>0.95777777777779138</v>
      </c>
      <c r="S72" s="377"/>
      <c r="T72" s="22">
        <v>0.54166666666666696</v>
      </c>
      <c r="U72" s="22">
        <v>0.58333333333333304</v>
      </c>
      <c r="V72" s="30">
        <f t="shared" si="67"/>
        <v>114.99999999999974</v>
      </c>
      <c r="W72" s="73">
        <f t="shared" si="17"/>
        <v>59.999999999999147</v>
      </c>
      <c r="X72" s="272"/>
      <c r="Y72" s="288"/>
      <c r="Z72" s="90"/>
      <c r="AA72" s="90"/>
      <c r="AB72" s="501" t="s">
        <v>114</v>
      </c>
      <c r="AC72" s="502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8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8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8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8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9">AVERAGE(J70:J78)</f>
        <v>12</v>
      </c>
      <c r="K79" s="240">
        <f t="shared" si="69"/>
        <v>1218.6666666666667</v>
      </c>
      <c r="L79" s="268">
        <f t="shared" si="69"/>
        <v>104.29166666666667</v>
      </c>
      <c r="M79" s="240">
        <f t="shared" si="69"/>
        <v>12</v>
      </c>
      <c r="N79" s="240">
        <f t="shared" si="69"/>
        <v>1096.0666666666655</v>
      </c>
      <c r="O79" s="268">
        <f t="shared" si="69"/>
        <v>92.70142857142848</v>
      </c>
      <c r="P79" s="269">
        <f>M79-J79</f>
        <v>0</v>
      </c>
      <c r="Q79" s="222">
        <f>N79-K79</f>
        <v>-122.60000000000127</v>
      </c>
      <c r="R79" s="223">
        <f>O79/L79</f>
        <v>0.88886707379715679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-122.60000000000127</v>
      </c>
      <c r="AG79" s="124">
        <f>N79/K79</f>
        <v>0.89939824945295299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:AC4"/>
    <mergeCell ref="AH5:AH15"/>
    <mergeCell ref="AB6:AC6"/>
    <mergeCell ref="AB7:AC7"/>
    <mergeCell ref="AB12:AC12"/>
    <mergeCell ref="AB14:AC14"/>
    <mergeCell ref="AB13:AC13"/>
    <mergeCell ref="AB15:AC15"/>
    <mergeCell ref="AB8:AC8"/>
    <mergeCell ref="AB9:AC9"/>
    <mergeCell ref="AB10:AC10"/>
    <mergeCell ref="AB11:AC11"/>
    <mergeCell ref="AB27:AC27"/>
    <mergeCell ref="D37:E37"/>
    <mergeCell ref="D15:E15"/>
    <mergeCell ref="A16:A26"/>
    <mergeCell ref="S16:S26"/>
    <mergeCell ref="AB16:AC16"/>
    <mergeCell ref="D26:E26"/>
    <mergeCell ref="AB26:AC26"/>
    <mergeCell ref="A5:A15"/>
    <mergeCell ref="S5:S15"/>
    <mergeCell ref="AB5:AC5"/>
    <mergeCell ref="X3:Y3"/>
    <mergeCell ref="Z3:AA3"/>
    <mergeCell ref="O3:O4"/>
    <mergeCell ref="P3:P4"/>
    <mergeCell ref="Q3:Q4"/>
    <mergeCell ref="R3:R4"/>
    <mergeCell ref="T3:U3"/>
    <mergeCell ref="M3:M4"/>
    <mergeCell ref="A27:A37"/>
    <mergeCell ref="S27:S37"/>
    <mergeCell ref="N3:N4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AD3:AE3"/>
    <mergeCell ref="AF3:AF4"/>
    <mergeCell ref="AB1:AC2"/>
    <mergeCell ref="V3:V4"/>
    <mergeCell ref="AG3:AG4"/>
    <mergeCell ref="AH3:AH4"/>
    <mergeCell ref="W3:W4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5DB0F4-235F-4854-ACA9-CD06705808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B7BB-AC27-4AF1-A316-959214978280}">
  <dimension ref="B1:O26"/>
  <sheetViews>
    <sheetView topLeftCell="A5" zoomScale="70" zoomScaleNormal="70" workbookViewId="0">
      <selection activeCell="L16" sqref="L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46085</v>
      </c>
      <c r="E3" s="466"/>
      <c r="F3" s="3" t="s">
        <v>72</v>
      </c>
      <c r="G3" s="467">
        <f>'0304'!E1</f>
        <v>60633</v>
      </c>
      <c r="H3" s="467"/>
      <c r="I3" s="3" t="s">
        <v>2</v>
      </c>
      <c r="J3" s="468">
        <f>'0304'!G1</f>
        <v>2824876.0700000003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124.88687978104996</v>
      </c>
      <c r="G6" s="473"/>
      <c r="H6" s="474">
        <f>AVERAGE(D13:H13,J13)</f>
        <v>122.24320447390301</v>
      </c>
      <c r="I6" s="474"/>
      <c r="J6" s="474">
        <f>AVERAGE(I13)</f>
        <v>140.74893162393164</v>
      </c>
      <c r="K6" s="474"/>
      <c r="L6" s="499">
        <f>SUM(D18:J18)</f>
        <v>2</v>
      </c>
      <c r="M6" s="477">
        <f>SUM(D19:J19)</f>
        <v>10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106.98939286770675</v>
      </c>
      <c r="G7" s="497"/>
      <c r="H7" s="498">
        <f>AVERAGE(D14:H14,J14)</f>
        <v>104.1377361877132</v>
      </c>
      <c r="I7" s="498"/>
      <c r="J7" s="498">
        <f>AVERAGE(I14)</f>
        <v>124.09933294766797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0.85669041500019183</v>
      </c>
      <c r="G8" s="470"/>
      <c r="H8" s="470">
        <f>H7/H6</f>
        <v>0.85188977690735324</v>
      </c>
      <c r="I8" s="470"/>
      <c r="J8" s="470">
        <f>J7/J6</f>
        <v>0.88170710438676803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VALUE('0304'!L15)</f>
        <v>136.33173076923077</v>
      </c>
      <c r="E13" s="13">
        <f>VALUE('0304'!L26)</f>
        <v>181.530303030303</v>
      </c>
      <c r="F13" s="13">
        <f>VALUE('0304'!L37)</f>
        <v>93.443627450980387</v>
      </c>
      <c r="G13" s="13">
        <f>VALUE('0304'!L48)</f>
        <v>92.058823529411768</v>
      </c>
      <c r="H13" s="13">
        <f>VALUE('0304'!L58)</f>
        <v>106.43154761904762</v>
      </c>
      <c r="I13" s="13">
        <f>VALUE('0304'!L69)</f>
        <v>140.74893162393164</v>
      </c>
      <c r="J13" s="13">
        <f>'0304'!L79</f>
        <v>123.66319444444444</v>
      </c>
    </row>
    <row r="14" spans="2:15" ht="39.950000000000003" customHeight="1">
      <c r="B14" s="491"/>
      <c r="C14" s="12" t="s">
        <v>100</v>
      </c>
      <c r="D14" s="13">
        <f>VALUE('0304'!O15)</f>
        <v>106.94965762150208</v>
      </c>
      <c r="E14" s="13">
        <f>VALUE('0304'!O26)</f>
        <v>148.3712787933961</v>
      </c>
      <c r="F14" s="13">
        <f>VALUE('0304'!O37)</f>
        <v>85.470836885479159</v>
      </c>
      <c r="G14" s="13">
        <f>VALUE('0304'!O48)</f>
        <v>78.442618140782045</v>
      </c>
      <c r="H14" s="13">
        <f>VALUE('0304'!O58)</f>
        <v>97.44445243758355</v>
      </c>
      <c r="I14" s="13">
        <f>VALUE('0304'!O69)</f>
        <v>124.09933294766797</v>
      </c>
      <c r="J14" s="13">
        <f>'0304'!O79</f>
        <v>108.14757324753627</v>
      </c>
    </row>
    <row r="15" spans="2:15" ht="39.950000000000003" customHeight="1">
      <c r="B15" s="492"/>
      <c r="C15" s="10" t="s">
        <v>26</v>
      </c>
      <c r="D15" s="14">
        <f>D14/D13</f>
        <v>0.78448103767226551</v>
      </c>
      <c r="E15" s="14">
        <f t="shared" ref="E15:I15" si="1">E14/E13</f>
        <v>0.81733614893282236</v>
      </c>
      <c r="F15" s="14">
        <f t="shared" si="1"/>
        <v>0.91467807080066887</v>
      </c>
      <c r="G15" s="14">
        <f t="shared" si="1"/>
        <v>0.85209233763149828</v>
      </c>
      <c r="H15" s="14">
        <f t="shared" si="1"/>
        <v>0.91555985624082303</v>
      </c>
      <c r="I15" s="14">
        <f t="shared" si="1"/>
        <v>0.88170710438676803</v>
      </c>
      <c r="J15" s="15">
        <f>'0304'!S70</f>
        <v>0.87453323305602826</v>
      </c>
    </row>
    <row r="16" spans="2:15" ht="17.25" customHeight="1">
      <c r="B16" s="493" t="s">
        <v>101</v>
      </c>
      <c r="C16" s="10" t="s">
        <v>34</v>
      </c>
      <c r="D16" s="16">
        <f>'0304'!T5</f>
        <v>0.29166666666666702</v>
      </c>
      <c r="E16" s="16">
        <f>'0304'!T16</f>
        <v>0.29097222222222202</v>
      </c>
      <c r="F16" s="16">
        <f>'0304'!T27</f>
        <v>0.29027777777777802</v>
      </c>
      <c r="G16" s="16">
        <f>'0304'!T38</f>
        <v>0.33680555555555602</v>
      </c>
      <c r="H16" s="16">
        <f>'0304'!T49</f>
        <v>0.29027777777777802</v>
      </c>
      <c r="I16" s="16">
        <f>'0304'!T59</f>
        <v>0.29166666666666702</v>
      </c>
      <c r="J16" s="16">
        <f>'0304'!T70</f>
        <v>0.33333333333333298</v>
      </c>
    </row>
    <row r="17" spans="2:10" ht="17.25" customHeight="1">
      <c r="B17" s="494"/>
      <c r="C17" s="10" t="s">
        <v>35</v>
      </c>
      <c r="D17" s="16">
        <v>0.64930555555555602</v>
      </c>
      <c r="E17" s="19">
        <v>0.64444444444444404</v>
      </c>
      <c r="F17" s="19">
        <v>0.59375</v>
      </c>
      <c r="G17" s="20">
        <v>0.624305555555556</v>
      </c>
      <c r="H17" s="21">
        <v>0.61250000000000004</v>
      </c>
      <c r="I17" s="22">
        <v>0.64236111111111105</v>
      </c>
      <c r="J17" s="22">
        <v>0.61458333333333304</v>
      </c>
    </row>
    <row r="18" spans="2:10" ht="17.25" customHeight="1">
      <c r="B18" s="495" t="s">
        <v>102</v>
      </c>
      <c r="C18" s="330" t="s">
        <v>36</v>
      </c>
      <c r="D18" s="358">
        <f>'0304'!Z15</f>
        <v>0</v>
      </c>
      <c r="E18" s="359">
        <f>'0304'!Z26</f>
        <v>1</v>
      </c>
      <c r="F18" s="359">
        <f>'0304'!Z37</f>
        <v>0</v>
      </c>
      <c r="G18" s="360">
        <f>'0304'!Z48</f>
        <v>0</v>
      </c>
      <c r="H18" s="360">
        <f>'0304'!Z58</f>
        <v>0</v>
      </c>
      <c r="I18" s="359">
        <f>'0304'!Z69</f>
        <v>1</v>
      </c>
      <c r="J18" s="359">
        <f>'0304'!AA79</f>
        <v>0</v>
      </c>
    </row>
    <row r="19" spans="2:10" ht="17.25" customHeight="1">
      <c r="B19" s="496"/>
      <c r="C19" s="330" t="s">
        <v>37</v>
      </c>
      <c r="D19" s="358">
        <f>'0304'!AA15</f>
        <v>0</v>
      </c>
      <c r="E19" s="359">
        <f>'0304'!AA26</f>
        <v>5</v>
      </c>
      <c r="F19" s="359">
        <f>'0304'!AA37</f>
        <v>0</v>
      </c>
      <c r="G19" s="360">
        <f>'0304'!AA48</f>
        <v>0</v>
      </c>
      <c r="H19" s="360">
        <f>'0304'!AA58</f>
        <v>0</v>
      </c>
      <c r="I19" s="359">
        <f>'0304'!AA69</f>
        <v>5</v>
      </c>
      <c r="J19" s="359">
        <f>'0304'!AB79</f>
        <v>0</v>
      </c>
    </row>
    <row r="20" spans="2:10" ht="17.25" customHeight="1">
      <c r="B20" s="495" t="s">
        <v>103</v>
      </c>
      <c r="C20" s="330" t="s">
        <v>36</v>
      </c>
      <c r="D20" s="358">
        <f>'0304'!AD15</f>
        <v>0</v>
      </c>
      <c r="E20" s="359">
        <f>'0304'!AD26</f>
        <v>0</v>
      </c>
      <c r="F20" s="359">
        <f>'0304'!AD37</f>
        <v>0</v>
      </c>
      <c r="G20" s="360">
        <f>'0304'!AD48</f>
        <v>0</v>
      </c>
      <c r="H20" s="360">
        <f>'0304'!AD58</f>
        <v>0</v>
      </c>
      <c r="I20" s="359">
        <f>'0304'!AD69</f>
        <v>0</v>
      </c>
      <c r="J20" s="359">
        <f>'0304'!AD79</f>
        <v>0</v>
      </c>
    </row>
    <row r="21" spans="2:10" ht="17.25" customHeight="1">
      <c r="B21" s="496"/>
      <c r="C21" s="330" t="s">
        <v>85</v>
      </c>
      <c r="D21" s="358">
        <f>'0304'!AE15</f>
        <v>0</v>
      </c>
      <c r="E21" s="359">
        <f>'0304'!AE26</f>
        <v>0</v>
      </c>
      <c r="F21" s="359">
        <f>'0304'!AE37</f>
        <v>0</v>
      </c>
      <c r="G21" s="360">
        <f>'0304'!AE48</f>
        <v>0</v>
      </c>
      <c r="H21" s="360">
        <f>'0304'!AE58</f>
        <v>0</v>
      </c>
      <c r="I21" s="359">
        <f>'0304'!AE69</f>
        <v>0</v>
      </c>
      <c r="J21" s="359">
        <f>'0304'!AE79</f>
        <v>0</v>
      </c>
    </row>
    <row r="22" spans="2:10" ht="17.25" customHeight="1">
      <c r="B22" s="479" t="s">
        <v>104</v>
      </c>
      <c r="C22" s="480"/>
      <c r="D22" s="23">
        <f>VALUE('0304'!M15)</f>
        <v>14.25</v>
      </c>
      <c r="E22" s="23">
        <f>VALUE('0304'!M26)</f>
        <v>12</v>
      </c>
      <c r="F22" s="23">
        <f>VALUE('0304'!M37)</f>
        <v>16.333333333333332</v>
      </c>
      <c r="G22" s="23">
        <f>VALUE('0304'!M48)</f>
        <v>17</v>
      </c>
      <c r="H22" s="23">
        <f>VALUE('0304'!M58)</f>
        <v>16.5</v>
      </c>
      <c r="I22" s="23">
        <f>VALUE('0304'!M69)</f>
        <v>12.25</v>
      </c>
      <c r="J22" s="23">
        <f>'0304'!M79</f>
        <v>11.75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D0B7-7E4A-4529-A2D8-99376329AEC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7" sqref="J17"/>
      <selection pane="topRight" activeCell="J17" sqref="J17"/>
      <selection pane="bottomLeft" activeCell="J17" sqref="J17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60633</v>
      </c>
      <c r="F1" s="30" t="s">
        <v>2</v>
      </c>
      <c r="G1" s="31">
        <f>SUM(H5:H79)</f>
        <v>2824876.0700000003</v>
      </c>
      <c r="H1" s="32" t="s">
        <v>3</v>
      </c>
      <c r="I1" s="33">
        <f>M15+M26+M48+M58+M69+M79+M37</f>
        <v>100.08333333333333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140</v>
      </c>
      <c r="B2" s="447"/>
      <c r="C2" s="28"/>
      <c r="D2" s="28" t="s">
        <v>14</v>
      </c>
      <c r="E2" s="35">
        <f>AVERAGE(O15,O26,O37,O48,O58,O69,O79)</f>
        <v>106.98939286770675</v>
      </c>
      <c r="F2" s="36" t="s">
        <v>15</v>
      </c>
      <c r="G2" s="37">
        <f>G1/E1</f>
        <v>46.589746012897272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2</v>
      </c>
      <c r="AA2" s="339">
        <f>AA15+AA26+AA37+AA48+AA58+AA69+AA79</f>
        <v>10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2149</v>
      </c>
      <c r="H5" s="43">
        <f>F5*G5</f>
        <v>102528.79000000001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>K5/J5</f>
        <v>102.25</v>
      </c>
      <c r="M5" s="48">
        <v>16</v>
      </c>
      <c r="N5" s="46">
        <f>G5/W5*60</f>
        <v>1007.3437499999991</v>
      </c>
      <c r="O5" s="47">
        <f>N5/M5</f>
        <v>62.958984374999943</v>
      </c>
      <c r="P5" s="49">
        <f>M5-J5</f>
        <v>0</v>
      </c>
      <c r="Q5" s="50">
        <f>O5-L5</f>
        <v>-39.291015625000057</v>
      </c>
      <c r="R5" s="51">
        <f>O5/L5</f>
        <v>0.61573578850855692</v>
      </c>
      <c r="S5" s="376">
        <f>R15</f>
        <v>0.78448103767226551</v>
      </c>
      <c r="T5" s="319">
        <v>0.29166666666666702</v>
      </c>
      <c r="U5" s="320">
        <v>0.38055555555555598</v>
      </c>
      <c r="V5" s="53"/>
      <c r="W5" s="54">
        <f t="shared" ref="W5:W14" si="0">(U5-T5)*24*60</f>
        <v>128.00000000000011</v>
      </c>
      <c r="X5" s="55"/>
      <c r="Y5" s="290"/>
      <c r="Z5" s="169"/>
      <c r="AA5" s="169"/>
      <c r="AB5" s="381" t="s">
        <v>141</v>
      </c>
      <c r="AC5" s="381"/>
      <c r="AD5" s="135"/>
      <c r="AE5" s="135"/>
      <c r="AF5" s="229">
        <f t="shared" ref="AF5:AF11" si="1">N5-K5</f>
        <v>-628.65625000000091</v>
      </c>
      <c r="AG5" s="52">
        <f t="shared" ref="AG5:AG11" si="2">N5/K5</f>
        <v>0.61573578850855692</v>
      </c>
      <c r="AH5" s="382">
        <f>AG15</f>
        <v>0.77889607828587371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1135</v>
      </c>
      <c r="H6" s="78">
        <f>F6*G6</f>
        <v>63877.8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ref="L6:L8" si="3">K6/J6</f>
        <v>120</v>
      </c>
      <c r="M6" s="82">
        <v>15</v>
      </c>
      <c r="N6" s="80">
        <f t="shared" ref="N6:N8" si="4">G6/W6*60</f>
        <v>1480.43478260867</v>
      </c>
      <c r="O6" s="81">
        <f t="shared" ref="O6:O8" si="5">N6/M6</f>
        <v>98.695652173911341</v>
      </c>
      <c r="P6" s="74">
        <f t="shared" ref="P6:P8" si="6">M6-J6</f>
        <v>0</v>
      </c>
      <c r="Q6" s="83">
        <f t="shared" ref="Q6:Q8" si="7">O6-L6</f>
        <v>-21.304347826088659</v>
      </c>
      <c r="R6" s="72">
        <f>O6/L6</f>
        <v>0.82246376811592781</v>
      </c>
      <c r="S6" s="377"/>
      <c r="T6" s="18">
        <v>0.39583333333333298</v>
      </c>
      <c r="U6" s="18">
        <v>0.42777777777777798</v>
      </c>
      <c r="V6" s="30">
        <f>(T6-U5)*24*60</f>
        <v>21.999999999998884</v>
      </c>
      <c r="W6" s="73">
        <f t="shared" si="0"/>
        <v>46.000000000000796</v>
      </c>
      <c r="X6" s="22"/>
      <c r="Y6" s="84"/>
      <c r="Z6" s="90"/>
      <c r="AA6" s="90"/>
      <c r="AB6" s="501"/>
      <c r="AC6" s="502"/>
      <c r="AD6" s="149"/>
      <c r="AE6" s="149"/>
      <c r="AF6" s="307">
        <f t="shared" si="1"/>
        <v>-319.56521739132995</v>
      </c>
      <c r="AG6" s="72">
        <f t="shared" si="2"/>
        <v>0.82246376811592781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2091</v>
      </c>
      <c r="H7" s="78">
        <f t="shared" ref="H7:H8" si="8">F7*G7</f>
        <v>102751.74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3"/>
        <v>161.53846153846155</v>
      </c>
      <c r="M7" s="82">
        <v>13</v>
      </c>
      <c r="N7" s="80">
        <f t="shared" si="4"/>
        <v>1792.2857142857188</v>
      </c>
      <c r="O7" s="81">
        <f t="shared" si="5"/>
        <v>137.86813186813222</v>
      </c>
      <c r="P7" s="74">
        <f t="shared" si="6"/>
        <v>0</v>
      </c>
      <c r="Q7" s="83">
        <f t="shared" si="7"/>
        <v>-23.670329670329323</v>
      </c>
      <c r="R7" s="72">
        <f t="shared" ref="R7:R8" si="9">O7/L7</f>
        <v>0.85346938775510417</v>
      </c>
      <c r="S7" s="377"/>
      <c r="T7" s="16">
        <v>0.43541666666666701</v>
      </c>
      <c r="U7" s="16">
        <v>0.484027777777778</v>
      </c>
      <c r="V7" s="30">
        <f>(T7-U6)*24*60</f>
        <v>11.000000000000201</v>
      </c>
      <c r="W7" s="73">
        <f t="shared" si="0"/>
        <v>69.999999999999829</v>
      </c>
      <c r="X7" s="22"/>
      <c r="Y7" s="84"/>
      <c r="Z7" s="90"/>
      <c r="AA7" s="90"/>
      <c r="AB7" s="501"/>
      <c r="AC7" s="502"/>
      <c r="AD7" s="92"/>
      <c r="AE7" s="92"/>
      <c r="AF7" s="307">
        <f t="shared" si="1"/>
        <v>-307.71428571428123</v>
      </c>
      <c r="AG7" s="72">
        <f t="shared" si="2"/>
        <v>0.85346938775510417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4030</v>
      </c>
      <c r="H8" s="78">
        <f t="shared" si="8"/>
        <v>198034.2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3"/>
        <v>161.53846153846155</v>
      </c>
      <c r="M8" s="82">
        <v>13</v>
      </c>
      <c r="N8" s="80">
        <f t="shared" si="4"/>
        <v>1667.586206896543</v>
      </c>
      <c r="O8" s="81">
        <f t="shared" si="5"/>
        <v>128.27586206896484</v>
      </c>
      <c r="P8" s="74">
        <f t="shared" si="6"/>
        <v>0</v>
      </c>
      <c r="Q8" s="83">
        <f t="shared" si="7"/>
        <v>-33.262599469496706</v>
      </c>
      <c r="R8" s="72">
        <f t="shared" si="9"/>
        <v>0.79408866995073468</v>
      </c>
      <c r="S8" s="377"/>
      <c r="T8" s="16">
        <v>0.54861111111111105</v>
      </c>
      <c r="U8" s="16">
        <v>0.64930555555555602</v>
      </c>
      <c r="V8" s="30">
        <f>(T8-U7)*24*60</f>
        <v>92.999999999999588</v>
      </c>
      <c r="W8" s="73">
        <f t="shared" si="0"/>
        <v>145.00000000000077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1"/>
        <v>-432.41379310345701</v>
      </c>
      <c r="AG8" s="72">
        <f t="shared" si="2"/>
        <v>0.79408866995073479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1"/>
        <v>0</v>
      </c>
      <c r="AG9" s="72" t="e">
        <f t="shared" si="2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1"/>
        <v>0</v>
      </c>
      <c r="AG10" s="72" t="e">
        <f t="shared" si="2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1"/>
        <v>0</v>
      </c>
      <c r="AG11" s="72" t="e">
        <f t="shared" si="2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14.25</v>
      </c>
      <c r="K15" s="120">
        <f t="shared" si="10"/>
        <v>1909</v>
      </c>
      <c r="L15" s="117">
        <f t="shared" si="10"/>
        <v>136.33173076923077</v>
      </c>
      <c r="M15" s="120">
        <f t="shared" si="10"/>
        <v>14.25</v>
      </c>
      <c r="N15" s="120">
        <f t="shared" si="10"/>
        <v>1486.9126134477328</v>
      </c>
      <c r="O15" s="117">
        <f t="shared" si="10"/>
        <v>106.94965762150208</v>
      </c>
      <c r="P15" s="121">
        <f t="shared" ref="P15:P19" si="11">M15-J15</f>
        <v>0</v>
      </c>
      <c r="Q15" s="122">
        <f t="shared" ref="Q15:Q19" si="12">O15-L15</f>
        <v>-29.38207314772869</v>
      </c>
      <c r="R15" s="123">
        <f t="shared" ref="R15:R19" si="13">O15/L15</f>
        <v>0.78448103767226551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4">N15-K15</f>
        <v>-422.08738655226716</v>
      </c>
      <c r="AG15" s="124">
        <f t="shared" ref="AG15:AG19" si="15">N15/K15</f>
        <v>0.77889607828587371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1843</v>
      </c>
      <c r="H16" s="134">
        <f>F16*G16</f>
        <v>105438.03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6">K16/J16</f>
        <v>175.41666666666666</v>
      </c>
      <c r="M16" s="139">
        <v>13</v>
      </c>
      <c r="N16" s="140">
        <f t="shared" ref="N16:N19" si="17">G16/W16*60</f>
        <v>2126.5384615384692</v>
      </c>
      <c r="O16" s="141">
        <f>N16/M16</f>
        <v>163.57988165680533</v>
      </c>
      <c r="P16" s="142">
        <f>M16-J16</f>
        <v>1</v>
      </c>
      <c r="Q16" s="143">
        <f t="shared" si="12"/>
        <v>-11.83678500986133</v>
      </c>
      <c r="R16" s="144">
        <f>O16/L16</f>
        <v>0.93252189068012548</v>
      </c>
      <c r="S16" s="413">
        <f>R26</f>
        <v>0.81733614893282236</v>
      </c>
      <c r="T16" s="145">
        <v>0.29097222222222202</v>
      </c>
      <c r="U16" s="145">
        <v>0.327083333333333</v>
      </c>
      <c r="V16" s="135"/>
      <c r="W16" s="146">
        <f t="shared" ref="W16:W78" si="18">(U16-T16)*24*60</f>
        <v>51.999999999999815</v>
      </c>
      <c r="X16" s="141"/>
      <c r="Y16" s="296"/>
      <c r="Z16" s="169"/>
      <c r="AA16" s="169"/>
      <c r="AB16" s="381" t="s">
        <v>114</v>
      </c>
      <c r="AC16" s="381"/>
      <c r="AD16" s="135"/>
      <c r="AE16" s="135"/>
      <c r="AF16" s="229">
        <f t="shared" si="14"/>
        <v>21.538461538469164</v>
      </c>
      <c r="AG16" s="52">
        <f t="shared" si="15"/>
        <v>1.0102320482368023</v>
      </c>
      <c r="AH16" s="382">
        <f>AG26</f>
        <v>0.84859939949488328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3277</v>
      </c>
      <c r="H17" s="78">
        <f>F17*G17</f>
        <v>166045.59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13</v>
      </c>
      <c r="N17" s="95">
        <f>G17/W17*60</f>
        <v>2027.0103092783525</v>
      </c>
      <c r="O17" s="96">
        <f t="shared" ref="O17:O19" si="19">N17/M17</f>
        <v>155.92386994448864</v>
      </c>
      <c r="P17" s="97">
        <f t="shared" si="11"/>
        <v>1</v>
      </c>
      <c r="Q17" s="98">
        <f t="shared" si="12"/>
        <v>-19.076130055511356</v>
      </c>
      <c r="R17" s="99">
        <f t="shared" si="13"/>
        <v>0.89099354253993512</v>
      </c>
      <c r="S17" s="414"/>
      <c r="T17" s="19">
        <v>0.33402777777777798</v>
      </c>
      <c r="U17" s="19">
        <v>0.40138888888888902</v>
      </c>
      <c r="V17" s="30">
        <f>(T17-U16)*24*60</f>
        <v>10.000000000000764</v>
      </c>
      <c r="W17" s="149">
        <f t="shared" si="18"/>
        <v>96.999999999999901</v>
      </c>
      <c r="X17" s="19"/>
      <c r="Y17" s="297"/>
      <c r="Z17" s="90"/>
      <c r="AA17" s="90"/>
      <c r="AB17" s="501" t="s">
        <v>114</v>
      </c>
      <c r="AC17" s="502"/>
      <c r="AD17" s="92"/>
      <c r="AE17" s="92"/>
      <c r="AF17" s="307">
        <f t="shared" si="14"/>
        <v>-72.989690721647548</v>
      </c>
      <c r="AG17" s="72">
        <f t="shared" si="15"/>
        <v>0.96524300441826305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2884</v>
      </c>
      <c r="H18" s="78">
        <f>F18*G18</f>
        <v>145324.76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1730.3999999999855</v>
      </c>
      <c r="O18" s="96">
        <f t="shared" si="19"/>
        <v>157.3090909090896</v>
      </c>
      <c r="P18" s="97">
        <f t="shared" si="11"/>
        <v>0</v>
      </c>
      <c r="Q18" s="98">
        <f t="shared" si="12"/>
        <v>-33.600000000001302</v>
      </c>
      <c r="R18" s="99">
        <f t="shared" si="13"/>
        <v>0.82399999999999318</v>
      </c>
      <c r="S18" s="414"/>
      <c r="T18" s="19">
        <v>0.40833333333333299</v>
      </c>
      <c r="U18" s="19">
        <v>0.47777777777777802</v>
      </c>
      <c r="V18" s="30">
        <f>(T18-U17)*24*60</f>
        <v>9.999999999999325</v>
      </c>
      <c r="W18" s="149">
        <f t="shared" si="18"/>
        <v>100.00000000000084</v>
      </c>
      <c r="X18" s="22">
        <v>0.48611111111111099</v>
      </c>
      <c r="Y18" s="84">
        <v>0.52777777777777801</v>
      </c>
      <c r="Z18" s="90"/>
      <c r="AA18" s="90"/>
      <c r="AB18" s="501"/>
      <c r="AC18" s="502"/>
      <c r="AD18" s="92"/>
      <c r="AE18" s="92"/>
      <c r="AF18" s="307">
        <f t="shared" si="14"/>
        <v>-369.60000000001446</v>
      </c>
      <c r="AG18" s="72">
        <f t="shared" si="15"/>
        <v>0.82399999999999307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1843</v>
      </c>
      <c r="H19" s="78">
        <f>F19*G19</f>
        <v>92868.77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1602.6086956521983</v>
      </c>
      <c r="O19" s="96">
        <f t="shared" si="19"/>
        <v>145.69169960474531</v>
      </c>
      <c r="P19" s="97">
        <f t="shared" si="11"/>
        <v>0</v>
      </c>
      <c r="Q19" s="98">
        <f t="shared" si="12"/>
        <v>-45.217391304345597</v>
      </c>
      <c r="R19" s="99">
        <f t="shared" si="13"/>
        <v>0.76314699792961826</v>
      </c>
      <c r="S19" s="414"/>
      <c r="T19" s="19">
        <v>0.54930555555555605</v>
      </c>
      <c r="U19" s="19">
        <v>0.59722222222222199</v>
      </c>
      <c r="V19" s="30">
        <f>(T19-U18)*24*60</f>
        <v>103.00000000000036</v>
      </c>
      <c r="W19" s="149">
        <f t="shared" si="18"/>
        <v>68.999999999998948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4"/>
        <v>-497.39130434780168</v>
      </c>
      <c r="AG19" s="72">
        <f t="shared" si="15"/>
        <v>0.76314699792961826</v>
      </c>
      <c r="AH19" s="385"/>
    </row>
    <row r="20" spans="1:34" ht="15" customHeight="1">
      <c r="A20" s="419"/>
      <c r="B20" s="75" t="s">
        <v>81</v>
      </c>
      <c r="C20" s="76"/>
      <c r="D20" s="59" t="s">
        <v>113</v>
      </c>
      <c r="E20" s="77"/>
      <c r="F20" s="75">
        <f>VLOOKUP(D20,廠價表!$C$1:$E$41,3,0)</f>
        <v>57.21</v>
      </c>
      <c r="G20" s="147">
        <v>1289</v>
      </c>
      <c r="H20" s="78">
        <f>F20*G20</f>
        <v>73743.69</v>
      </c>
      <c r="I20" s="30"/>
      <c r="J20" s="79">
        <f>VLOOKUP(D20,產線配置圖!$A$3:$C$38,2,0)</f>
        <v>12</v>
      </c>
      <c r="K20" s="80">
        <f>VLOOKUP(D20,產線配置圖!$A$3:$C$38,3,0)</f>
        <v>2105</v>
      </c>
      <c r="L20" s="81">
        <f>K20/J20</f>
        <v>175.41666666666666</v>
      </c>
      <c r="M20" s="148">
        <v>12</v>
      </c>
      <c r="N20" s="95">
        <f>G20/W20*60</f>
        <v>1432.2222222222188</v>
      </c>
      <c r="O20" s="96">
        <f>N20/M20</f>
        <v>119.35185185185156</v>
      </c>
      <c r="P20" s="97">
        <f>M20-J20</f>
        <v>0</v>
      </c>
      <c r="Q20" s="98">
        <f>O20-L20</f>
        <v>-56.064814814815094</v>
      </c>
      <c r="R20" s="99">
        <f>O20/L20</f>
        <v>0.68039060438110155</v>
      </c>
      <c r="S20" s="414"/>
      <c r="T20" s="19">
        <v>0.60694444444444395</v>
      </c>
      <c r="U20" s="19">
        <v>0.64444444444444404</v>
      </c>
      <c r="V20" s="30">
        <f>(T20-U19)*24*60</f>
        <v>13.999999999999631</v>
      </c>
      <c r="W20" s="149">
        <f t="shared" si="18"/>
        <v>54.000000000000128</v>
      </c>
      <c r="X20" s="19"/>
      <c r="Y20" s="297"/>
      <c r="Z20" s="90">
        <v>1</v>
      </c>
      <c r="AA20" s="90">
        <v>5</v>
      </c>
      <c r="AB20" s="388" t="s">
        <v>142</v>
      </c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2102</v>
      </c>
      <c r="L26" s="158">
        <f t="shared" si="21"/>
        <v>181.530303030303</v>
      </c>
      <c r="M26" s="155">
        <f t="shared" si="21"/>
        <v>12</v>
      </c>
      <c r="N26" s="155">
        <f t="shared" si="21"/>
        <v>1783.7559377382447</v>
      </c>
      <c r="O26" s="158">
        <f t="shared" si="21"/>
        <v>148.3712787933961</v>
      </c>
      <c r="P26" s="159">
        <f t="shared" ref="P26:P29" si="22">M26-J26</f>
        <v>0.40000000000000036</v>
      </c>
      <c r="Q26" s="160">
        <f t="shared" ref="Q26:Q29" si="23">O26-L26</f>
        <v>-33.159024236906902</v>
      </c>
      <c r="R26" s="161">
        <f>O26/L26</f>
        <v>0.81733614893282236</v>
      </c>
      <c r="S26" s="415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4">N26-K26</f>
        <v>-318.24406226175529</v>
      </c>
      <c r="AG26" s="124">
        <f t="shared" ref="AG26:AG31" si="25">N26/K26</f>
        <v>0.84859939949488328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3465</v>
      </c>
      <c r="H27" s="134">
        <f>F27*G27</f>
        <v>201559.05000000002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6">K27/J27</f>
        <v>97.8125</v>
      </c>
      <c r="M27" s="170">
        <v>16</v>
      </c>
      <c r="N27" s="140">
        <f>G27/W27*60</f>
        <v>1506.52173913044</v>
      </c>
      <c r="O27" s="141">
        <f>N27/M27</f>
        <v>94.157608695652499</v>
      </c>
      <c r="P27" s="142">
        <f t="shared" si="22"/>
        <v>0</v>
      </c>
      <c r="Q27" s="143">
        <f t="shared" si="23"/>
        <v>-3.6548913043475011</v>
      </c>
      <c r="R27" s="144">
        <f>O27/L27</f>
        <v>0.96263369912488173</v>
      </c>
      <c r="S27" s="413">
        <f>R37</f>
        <v>0.91467807080066887</v>
      </c>
      <c r="T27" s="171">
        <v>0.29027777777777802</v>
      </c>
      <c r="U27" s="171">
        <v>0.38611111111111102</v>
      </c>
      <c r="V27" s="135"/>
      <c r="W27" s="146">
        <f t="shared" si="18"/>
        <v>137.99999999999952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-58.478260869560017</v>
      </c>
      <c r="AG27" s="172">
        <f t="shared" si="25"/>
        <v>0.96263369912488173</v>
      </c>
      <c r="AH27" s="382">
        <f>AG37</f>
        <v>0.91317032949608723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2240</v>
      </c>
      <c r="H28" s="91">
        <f>F28*G28</f>
        <v>110924.8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17</v>
      </c>
      <c r="N28" s="95">
        <f>G28/W28*60</f>
        <v>1200.0000000000118</v>
      </c>
      <c r="O28" s="96">
        <f>N28/M28</f>
        <v>70.588235294118348</v>
      </c>
      <c r="P28" s="97">
        <f t="shared" si="22"/>
        <v>0</v>
      </c>
      <c r="Q28" s="98">
        <f t="shared" si="23"/>
        <v>-14.117647058822826</v>
      </c>
      <c r="R28" s="99">
        <f t="shared" ref="R28:R29" si="27">O28/L28</f>
        <v>0.83333333333334159</v>
      </c>
      <c r="S28" s="414"/>
      <c r="T28" s="19">
        <v>0.391666666666667</v>
      </c>
      <c r="U28" s="19">
        <v>0.469444444444444</v>
      </c>
      <c r="V28" s="92">
        <f>(T28-U27)*24*60</f>
        <v>8.0000000000006111</v>
      </c>
      <c r="W28" s="149">
        <f t="shared" si="18"/>
        <v>111.99999999999888</v>
      </c>
      <c r="X28" s="174">
        <v>0.47916666666666702</v>
      </c>
      <c r="Y28" s="301">
        <v>0.52083333333333304</v>
      </c>
      <c r="Z28" s="335"/>
      <c r="AA28" s="335"/>
      <c r="AB28" s="388"/>
      <c r="AC28" s="388"/>
      <c r="AD28" s="92"/>
      <c r="AE28" s="92"/>
      <c r="AF28" s="311">
        <f t="shared" si="24"/>
        <v>-239.99999999998818</v>
      </c>
      <c r="AG28" s="99">
        <f t="shared" si="25"/>
        <v>0.83333333333334159</v>
      </c>
      <c r="AH28" s="383"/>
    </row>
    <row r="29" spans="1:34" ht="15" customHeight="1">
      <c r="A29" s="411"/>
      <c r="B29" s="75" t="s">
        <v>81</v>
      </c>
      <c r="C29" s="173"/>
      <c r="D29" s="59" t="s">
        <v>137</v>
      </c>
      <c r="E29" s="104"/>
      <c r="F29" s="75">
        <f>VLOOKUP(D29,廠價表!$C$1:$E$41,3,0)</f>
        <v>58.17</v>
      </c>
      <c r="G29" s="90">
        <v>2200</v>
      </c>
      <c r="H29" s="91">
        <f>F29*G29</f>
        <v>127974</v>
      </c>
      <c r="I29" s="92"/>
      <c r="J29" s="79">
        <f>VLOOKUP(D29,產線配置圖!$A$3:$C$38,2,0)</f>
        <v>16</v>
      </c>
      <c r="K29" s="80">
        <f>VLOOKUP(D29,產線配置圖!$A$3:$C$38,3,0)</f>
        <v>1565</v>
      </c>
      <c r="L29" s="93">
        <f t="shared" si="26"/>
        <v>97.8125</v>
      </c>
      <c r="M29" s="94">
        <v>16</v>
      </c>
      <c r="N29" s="95">
        <f>G29/W29*60</f>
        <v>1466.6666666666665</v>
      </c>
      <c r="O29" s="96">
        <f>N29/M29</f>
        <v>91.666666666666657</v>
      </c>
      <c r="P29" s="97">
        <f t="shared" si="22"/>
        <v>0</v>
      </c>
      <c r="Q29" s="98">
        <f t="shared" si="23"/>
        <v>-6.1458333333333428</v>
      </c>
      <c r="R29" s="99">
        <f t="shared" si="27"/>
        <v>0.93716719914802971</v>
      </c>
      <c r="S29" s="414"/>
      <c r="T29" s="19">
        <v>0.53125</v>
      </c>
      <c r="U29" s="19">
        <v>0.59375</v>
      </c>
      <c r="V29" s="92">
        <f>(T29-U28)*24*60</f>
        <v>89.000000000000639</v>
      </c>
      <c r="W29" s="149">
        <f t="shared" si="18"/>
        <v>90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4"/>
        <v>-98.333333333333485</v>
      </c>
      <c r="AG29" s="99">
        <f t="shared" si="25"/>
        <v>0.93716719914802971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si="24"/>
        <v>0</v>
      </c>
      <c r="AG30" s="99" t="e">
        <f t="shared" si="25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0</v>
      </c>
      <c r="AG31" s="99" t="e">
        <f t="shared" si="25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9">AVERAGE(J27:J36)</f>
        <v>16.333333333333332</v>
      </c>
      <c r="K37" s="155">
        <f t="shared" si="29"/>
        <v>1523.3333333333333</v>
      </c>
      <c r="L37" s="158">
        <f t="shared" si="29"/>
        <v>93.443627450980387</v>
      </c>
      <c r="M37" s="155">
        <f t="shared" si="29"/>
        <v>16.333333333333332</v>
      </c>
      <c r="N37" s="155">
        <f t="shared" si="29"/>
        <v>1391.0628019323728</v>
      </c>
      <c r="O37" s="158">
        <f t="shared" si="29"/>
        <v>85.470836885479159</v>
      </c>
      <c r="P37" s="159">
        <f>M37-J37</f>
        <v>0</v>
      </c>
      <c r="Q37" s="160">
        <f>N37-K37</f>
        <v>-132.27053140096041</v>
      </c>
      <c r="R37" s="161">
        <f t="shared" ref="R37:R40" si="30">O37/L37</f>
        <v>0.91467807080066887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1">N37-K37</f>
        <v>-132.27053140096041</v>
      </c>
      <c r="AG37" s="124">
        <f t="shared" ref="AG37:AG41" si="32">N37/K37</f>
        <v>0.91317032949608723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1319</v>
      </c>
      <c r="H38" s="134">
        <f>F38*G38</f>
        <v>75011.53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3">K38/J38</f>
        <v>92.058823529411768</v>
      </c>
      <c r="M38" s="190">
        <v>17</v>
      </c>
      <c r="N38" s="140">
        <f>G38/W38*60</f>
        <v>1319.0000000000223</v>
      </c>
      <c r="O38" s="141">
        <f>N38/M38</f>
        <v>77.588235294118959</v>
      </c>
      <c r="P38" s="142">
        <f t="shared" ref="P38:P40" si="34">M38-J38</f>
        <v>0</v>
      </c>
      <c r="Q38" s="143">
        <f t="shared" ref="Q38:Q40" si="35">O38-L38</f>
        <v>-14.470588235292809</v>
      </c>
      <c r="R38" s="144">
        <f>O38/L38</f>
        <v>0.84281150159745832</v>
      </c>
      <c r="S38" s="404">
        <f>R48</f>
        <v>0.85209233763149828</v>
      </c>
      <c r="T38" s="191">
        <v>0.33680555555555602</v>
      </c>
      <c r="U38" s="191">
        <v>0.37847222222222199</v>
      </c>
      <c r="V38" s="192"/>
      <c r="W38" s="193">
        <f t="shared" si="18"/>
        <v>59.999999999998991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1"/>
        <v>-245.99999999997772</v>
      </c>
      <c r="AG38" s="195">
        <f t="shared" si="32"/>
        <v>0.84281150159745832</v>
      </c>
      <c r="AH38" s="398">
        <f>AG48</f>
        <v>0.85209233763149828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2726</v>
      </c>
      <c r="H39" s="91">
        <f>F39*G39</f>
        <v>120761.79999999999</v>
      </c>
      <c r="I39" s="200"/>
      <c r="J39" s="148">
        <f>VLOOKUP(D39,產線配置圖!$A$3:$C$38,2,0)</f>
        <v>17</v>
      </c>
      <c r="K39" s="95">
        <v>1565</v>
      </c>
      <c r="L39" s="96">
        <f t="shared" si="33"/>
        <v>92.058823529411768</v>
      </c>
      <c r="M39" s="201">
        <v>17</v>
      </c>
      <c r="N39" s="202">
        <f>G39/W39*60</f>
        <v>1308.4800000000087</v>
      </c>
      <c r="O39" s="203">
        <f t="shared" ref="O39:O40" si="36">N39/M39</f>
        <v>76.969411764706393</v>
      </c>
      <c r="P39" s="97">
        <f t="shared" si="34"/>
        <v>0</v>
      </c>
      <c r="Q39" s="98">
        <f t="shared" si="35"/>
        <v>-15.089411764705375</v>
      </c>
      <c r="R39" s="99">
        <f>O39/L39</f>
        <v>0.83608945686901515</v>
      </c>
      <c r="S39" s="405"/>
      <c r="T39" s="20">
        <v>0.38541666666666702</v>
      </c>
      <c r="U39" s="20">
        <v>0.47222222222222199</v>
      </c>
      <c r="V39" s="92">
        <f>(T39-U38)*24*60</f>
        <v>10.000000000000844</v>
      </c>
      <c r="W39" s="205">
        <f t="shared" si="18"/>
        <v>124.99999999999916</v>
      </c>
      <c r="X39" s="22">
        <v>0.47916666666666702</v>
      </c>
      <c r="Y39" s="84">
        <v>0.52083333333333304</v>
      </c>
      <c r="Z39" s="90"/>
      <c r="AA39" s="90"/>
      <c r="AB39" s="387"/>
      <c r="AC39" s="387"/>
      <c r="AD39" s="200"/>
      <c r="AE39" s="200"/>
      <c r="AF39" s="314">
        <f t="shared" si="31"/>
        <v>-256.51999999999134</v>
      </c>
      <c r="AG39" s="206">
        <f t="shared" si="32"/>
        <v>0.83608945686901515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3181</v>
      </c>
      <c r="H40" s="91">
        <f>F40*G40</f>
        <v>140918.29999999999</v>
      </c>
      <c r="I40" s="200"/>
      <c r="J40" s="148">
        <f>VLOOKUP(D40,產線配置圖!$A$3:$C$38,2,0)</f>
        <v>17</v>
      </c>
      <c r="K40" s="95">
        <v>1565</v>
      </c>
      <c r="L40" s="96">
        <f t="shared" si="33"/>
        <v>92.058823529411768</v>
      </c>
      <c r="M40" s="201">
        <v>17</v>
      </c>
      <c r="N40" s="202">
        <f>G40/W40*60</f>
        <v>1373.093525179853</v>
      </c>
      <c r="O40" s="203">
        <f t="shared" si="36"/>
        <v>80.770207363520768</v>
      </c>
      <c r="P40" s="97">
        <f t="shared" si="34"/>
        <v>0</v>
      </c>
      <c r="Q40" s="98">
        <f t="shared" si="35"/>
        <v>-11.288616165891</v>
      </c>
      <c r="R40" s="99">
        <f t="shared" si="30"/>
        <v>0.87737605442802113</v>
      </c>
      <c r="S40" s="377"/>
      <c r="T40" s="20">
        <v>0.52777777777777801</v>
      </c>
      <c r="U40" s="20">
        <v>0.624305555555556</v>
      </c>
      <c r="V40" s="92">
        <f>(T40-U39)*24*60</f>
        <v>80.000000000000682</v>
      </c>
      <c r="W40" s="205">
        <f t="shared" si="18"/>
        <v>139.00000000000031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1"/>
        <v>-191.90647482014697</v>
      </c>
      <c r="AG40" s="206">
        <f t="shared" si="32"/>
        <v>0.87737605442802113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1"/>
        <v>0</v>
      </c>
      <c r="AG41" s="206" t="e">
        <f t="shared" si="32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7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7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7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7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8">AVERAGE(J38:J47)</f>
        <v>17</v>
      </c>
      <c r="K48" s="155">
        <f t="shared" si="38"/>
        <v>1565</v>
      </c>
      <c r="L48" s="158">
        <f t="shared" si="38"/>
        <v>92.058823529411768</v>
      </c>
      <c r="M48" s="155">
        <f t="shared" si="38"/>
        <v>17</v>
      </c>
      <c r="N48" s="155">
        <f t="shared" si="38"/>
        <v>1333.5245083932948</v>
      </c>
      <c r="O48" s="158">
        <f t="shared" si="38"/>
        <v>78.442618140782045</v>
      </c>
      <c r="P48" s="221">
        <f>M48-J48</f>
        <v>0</v>
      </c>
      <c r="Q48" s="222">
        <f>N48-K48</f>
        <v>-231.47549160670519</v>
      </c>
      <c r="R48" s="223">
        <f>O48/L48</f>
        <v>0.85209233763149828</v>
      </c>
      <c r="S48" s="380"/>
      <c r="T48" s="224"/>
      <c r="U48" s="224"/>
      <c r="V48" s="225"/>
      <c r="W48" s="226">
        <f t="shared" si="37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9">N48-K48</f>
        <v>-231.47549160670519</v>
      </c>
      <c r="AG48" s="162">
        <f t="shared" ref="AG48:AG53" si="40">N48/K48</f>
        <v>0.85209233763149828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826</v>
      </c>
      <c r="H49" s="134">
        <f>F49*G49</f>
        <v>47329.799999999996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1" si="41">K49/J49</f>
        <v>107.14285714285714</v>
      </c>
      <c r="M49" s="170">
        <v>16</v>
      </c>
      <c r="N49" s="140">
        <f>G49/W49*60</f>
        <v>1598.7096774193399</v>
      </c>
      <c r="O49" s="141">
        <f>N49/M49</f>
        <v>99.919354838708742</v>
      </c>
      <c r="P49" s="229">
        <f>M49-J49</f>
        <v>2</v>
      </c>
      <c r="Q49" s="230">
        <f>O49-L49</f>
        <v>-7.223502304148397</v>
      </c>
      <c r="R49" s="52">
        <f>O49/L49</f>
        <v>0.93258064516128159</v>
      </c>
      <c r="S49" s="376">
        <f>R58</f>
        <v>0.91555985624082303</v>
      </c>
      <c r="T49" s="191">
        <v>0.29027777777777802</v>
      </c>
      <c r="U49" s="191">
        <v>0.311805555555556</v>
      </c>
      <c r="V49" s="55"/>
      <c r="W49" s="193">
        <f t="shared" si="18"/>
        <v>31.000000000000291</v>
      </c>
      <c r="X49" s="55"/>
      <c r="Y49" s="290"/>
      <c r="Z49" s="169"/>
      <c r="AA49" s="169"/>
      <c r="AB49" s="381" t="s">
        <v>114</v>
      </c>
      <c r="AC49" s="381"/>
      <c r="AD49" s="135"/>
      <c r="AE49" s="135"/>
      <c r="AF49" s="229">
        <f t="shared" si="39"/>
        <v>98.709677419339869</v>
      </c>
      <c r="AG49" s="52">
        <f t="shared" si="40"/>
        <v>1.0658064516128933</v>
      </c>
      <c r="AH49" s="382">
        <f>AG58</f>
        <v>0.98896790825631864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2513</v>
      </c>
      <c r="H50" s="231">
        <f>F50*G50</f>
        <v>125423.82999999999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1"/>
        <v>104.33333333333333</v>
      </c>
      <c r="M50" s="233">
        <v>17</v>
      </c>
      <c r="N50" s="234">
        <f>G50/W50*60</f>
        <v>1449.8076923076962</v>
      </c>
      <c r="O50" s="235">
        <f>N50/M50</f>
        <v>85.282805429864482</v>
      </c>
      <c r="P50" s="74">
        <f>M50-J50</f>
        <v>2</v>
      </c>
      <c r="Q50" s="83">
        <f>O50-L50</f>
        <v>-19.050527903468847</v>
      </c>
      <c r="R50" s="72">
        <f>O50/L50</f>
        <v>0.81740708079742319</v>
      </c>
      <c r="S50" s="377"/>
      <c r="T50" s="21">
        <v>0.31805555555555598</v>
      </c>
      <c r="U50" s="21">
        <v>0.390277777777778</v>
      </c>
      <c r="V50" s="30">
        <f t="shared" ref="V50:V52" si="42">(T50-U49)*24*60</f>
        <v>8.999999999999968</v>
      </c>
      <c r="W50" s="236">
        <f t="shared" si="18"/>
        <v>103.99999999999972</v>
      </c>
      <c r="X50" s="22"/>
      <c r="Y50" s="84"/>
      <c r="Z50" s="90"/>
      <c r="AA50" s="90"/>
      <c r="AB50" s="501" t="s">
        <v>114</v>
      </c>
      <c r="AC50" s="502"/>
      <c r="AD50" s="92"/>
      <c r="AE50" s="92"/>
      <c r="AF50" s="307">
        <f t="shared" si="39"/>
        <v>-115.19230769230376</v>
      </c>
      <c r="AG50" s="72">
        <f t="shared" si="40"/>
        <v>0.92639469157041299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3218</v>
      </c>
      <c r="H51" s="231">
        <f>F51*G51</f>
        <v>160803.46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1"/>
        <v>107.125</v>
      </c>
      <c r="M51" s="233">
        <v>16</v>
      </c>
      <c r="N51" s="234">
        <f>G51/W51*60</f>
        <v>1678.9565217391328</v>
      </c>
      <c r="O51" s="235">
        <f>N51/M51</f>
        <v>104.9347826086958</v>
      </c>
      <c r="P51" s="74">
        <f>M51-J51</f>
        <v>0</v>
      </c>
      <c r="Q51" s="83">
        <f>O51-L51</f>
        <v>-2.190217391304202</v>
      </c>
      <c r="R51" s="72">
        <f>O51/L51</f>
        <v>0.97955456344173442</v>
      </c>
      <c r="S51" s="377"/>
      <c r="T51" s="21">
        <v>0.39930555555555602</v>
      </c>
      <c r="U51" s="19">
        <v>0.47916666666666702</v>
      </c>
      <c r="V51" s="30">
        <f t="shared" si="42"/>
        <v>13.000000000000353</v>
      </c>
      <c r="W51" s="236">
        <f t="shared" si="18"/>
        <v>114.99999999999983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9"/>
        <v>-35.043478260867232</v>
      </c>
      <c r="AG51" s="72">
        <f t="shared" si="40"/>
        <v>0.97955456344173442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2682</v>
      </c>
      <c r="H52" s="231">
        <f>F52*G52</f>
        <v>134019.54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>K52/J52</f>
        <v>107.125</v>
      </c>
      <c r="M52" s="233">
        <v>17</v>
      </c>
      <c r="N52" s="234">
        <f>G52/W52*60</f>
        <v>1693.8947368421084</v>
      </c>
      <c r="O52" s="235">
        <f>N52/M52</f>
        <v>99.640866873065193</v>
      </c>
      <c r="P52" s="74">
        <f>M52-J52</f>
        <v>1</v>
      </c>
      <c r="Q52" s="83">
        <f>O52-L52</f>
        <v>-7.4841331269348075</v>
      </c>
      <c r="R52" s="72">
        <f>O52/L52</f>
        <v>0.93013644688975672</v>
      </c>
      <c r="S52" s="377"/>
      <c r="T52" s="21">
        <v>0.54652777777777795</v>
      </c>
      <c r="U52" s="21">
        <v>0.61250000000000004</v>
      </c>
      <c r="V52" s="30">
        <f t="shared" si="42"/>
        <v>96.99999999999973</v>
      </c>
      <c r="W52" s="236">
        <f t="shared" si="18"/>
        <v>94.999999999999829</v>
      </c>
      <c r="X52" s="22">
        <v>0.48611111111111099</v>
      </c>
      <c r="Y52" s="84">
        <v>0.52777777777777801</v>
      </c>
      <c r="Z52" s="90"/>
      <c r="AA52" s="90"/>
      <c r="AB52" s="388"/>
      <c r="AC52" s="388"/>
      <c r="AD52" s="92"/>
      <c r="AE52" s="92"/>
      <c r="AF52" s="307">
        <f t="shared" si="39"/>
        <v>-20.105263157891613</v>
      </c>
      <c r="AG52" s="72">
        <f t="shared" si="40"/>
        <v>0.9882699748203666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9"/>
        <v>0</v>
      </c>
      <c r="AG53" s="72" t="e">
        <f t="shared" si="40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3">AVERAGE(J49:J57)</f>
        <v>15.25</v>
      </c>
      <c r="K58" s="120">
        <f t="shared" si="43"/>
        <v>1623.25</v>
      </c>
      <c r="L58" s="117">
        <f t="shared" si="43"/>
        <v>106.43154761904762</v>
      </c>
      <c r="M58" s="120">
        <f t="shared" si="43"/>
        <v>16.5</v>
      </c>
      <c r="N58" s="120">
        <f t="shared" si="43"/>
        <v>1605.3421570770693</v>
      </c>
      <c r="O58" s="117">
        <f t="shared" si="43"/>
        <v>97.44445243758355</v>
      </c>
      <c r="P58" s="121">
        <f>M58-J58</f>
        <v>1.25</v>
      </c>
      <c r="Q58" s="122">
        <f>N58-K58</f>
        <v>-17.90784292293074</v>
      </c>
      <c r="R58" s="123">
        <f t="shared" ref="R58:R60" si="44">O58/L58</f>
        <v>0.91555985624082303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5">N58-K58</f>
        <v>-17.90784292293074</v>
      </c>
      <c r="AG58" s="124">
        <f t="shared" ref="AG58:AG61" si="46">N58/K58</f>
        <v>0.98896790825631864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3475</v>
      </c>
      <c r="H59" s="243">
        <f>F59*G59</f>
        <v>93790.25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7">K59/J59</f>
        <v>120.38461538461539</v>
      </c>
      <c r="M59" s="244">
        <v>14</v>
      </c>
      <c r="N59" s="137">
        <f t="shared" ref="N59:N62" si="48">G59/W59*60</f>
        <v>1603.8461538461686</v>
      </c>
      <c r="O59" s="138">
        <f t="shared" ref="O59:O62" si="49">N59/M59</f>
        <v>114.56043956044061</v>
      </c>
      <c r="P59" s="56">
        <f t="shared" ref="P59:P62" si="50">M59-J59</f>
        <v>1</v>
      </c>
      <c r="Q59" s="230">
        <f t="shared" ref="Q59:Q62" si="51">O59-L59</f>
        <v>-5.8241758241747732</v>
      </c>
      <c r="R59" s="52">
        <f t="shared" si="44"/>
        <v>0.95162026471931493</v>
      </c>
      <c r="S59" s="376">
        <f>R69</f>
        <v>0.88170710438676803</v>
      </c>
      <c r="T59" s="245">
        <v>0.29166666666666702</v>
      </c>
      <c r="U59" s="245">
        <v>0.38194444444444398</v>
      </c>
      <c r="V59" s="55"/>
      <c r="W59" s="54">
        <f t="shared" si="18"/>
        <v>129.99999999999881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5"/>
        <v>38.84615384616859</v>
      </c>
      <c r="AG59" s="246">
        <f t="shared" si="46"/>
        <v>1.0248218235438777</v>
      </c>
      <c r="AH59" s="382">
        <f>AG69</f>
        <v>0.94508640307998937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1811</v>
      </c>
      <c r="H60" s="78">
        <f>F60*G60</f>
        <v>51178.86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7"/>
        <v>130.41666666666666</v>
      </c>
      <c r="M60" s="82">
        <v>13</v>
      </c>
      <c r="N60" s="80">
        <f t="shared" si="48"/>
        <v>1621.7910447761114</v>
      </c>
      <c r="O60" s="81">
        <f t="shared" si="49"/>
        <v>124.75315729047011</v>
      </c>
      <c r="P60" s="74">
        <f t="shared" si="50"/>
        <v>1</v>
      </c>
      <c r="Q60" s="83">
        <f t="shared" si="51"/>
        <v>-5.6635093761965436</v>
      </c>
      <c r="R60" s="72">
        <f t="shared" si="44"/>
        <v>0.95657373002277413</v>
      </c>
      <c r="S60" s="394"/>
      <c r="T60" s="22">
        <v>0.39236111111111099</v>
      </c>
      <c r="U60" s="22">
        <v>0.43888888888888899</v>
      </c>
      <c r="V60" s="30">
        <f t="shared" ref="V60:V62" si="52">(T60-U59)*24*60</f>
        <v>15.000000000000506</v>
      </c>
      <c r="W60" s="248">
        <f t="shared" si="18"/>
        <v>67.000000000000327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5"/>
        <v>56.791044776111448</v>
      </c>
      <c r="AG60" s="249">
        <f t="shared" si="46"/>
        <v>1.0362882075246718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1551</v>
      </c>
      <c r="H61" s="254">
        <f>F61*G61</f>
        <v>43831.26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7"/>
        <v>130.41666666666666</v>
      </c>
      <c r="M61" s="108">
        <v>12</v>
      </c>
      <c r="N61" s="107">
        <f t="shared" si="48"/>
        <v>1121.2048192771265</v>
      </c>
      <c r="O61" s="238">
        <f t="shared" si="49"/>
        <v>93.433734939760541</v>
      </c>
      <c r="P61" s="111">
        <f t="shared" si="50"/>
        <v>0</v>
      </c>
      <c r="Q61" s="255">
        <f t="shared" si="51"/>
        <v>-36.982931726906116</v>
      </c>
      <c r="R61" s="85">
        <f>O61/L61</f>
        <v>0.71642480464992109</v>
      </c>
      <c r="S61" s="377"/>
      <c r="T61" s="22">
        <v>0.44930555555555601</v>
      </c>
      <c r="U61" s="22">
        <v>0.50694444444444398</v>
      </c>
      <c r="V61" s="30">
        <f t="shared" si="52"/>
        <v>15.000000000000506</v>
      </c>
      <c r="W61" s="256">
        <f t="shared" si="18"/>
        <v>82.999999999998664</v>
      </c>
      <c r="X61" s="22"/>
      <c r="Y61" s="84"/>
      <c r="Z61" s="90">
        <v>1</v>
      </c>
      <c r="AA61" s="90">
        <v>5</v>
      </c>
      <c r="AB61" s="501" t="s">
        <v>143</v>
      </c>
      <c r="AC61" s="502"/>
      <c r="AD61" s="92"/>
      <c r="AE61" s="92"/>
      <c r="AF61" s="317">
        <f t="shared" si="45"/>
        <v>-443.79518072287351</v>
      </c>
      <c r="AG61" s="247">
        <f t="shared" si="46"/>
        <v>0.71642480464992109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3273</v>
      </c>
      <c r="H62" s="254">
        <f>F62*G62</f>
        <v>92494.98000000001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7"/>
        <v>181.77777777777777</v>
      </c>
      <c r="M62" s="108">
        <v>10</v>
      </c>
      <c r="N62" s="107">
        <f t="shared" si="48"/>
        <v>1636.5000000000059</v>
      </c>
      <c r="O62" s="238">
        <f t="shared" si="49"/>
        <v>163.6500000000006</v>
      </c>
      <c r="P62" s="111">
        <f t="shared" si="50"/>
        <v>1</v>
      </c>
      <c r="Q62" s="255">
        <f t="shared" si="51"/>
        <v>-18.127777777777169</v>
      </c>
      <c r="R62" s="85">
        <f>O62/L62</f>
        <v>0.90027506112469768</v>
      </c>
      <c r="S62" s="377"/>
      <c r="T62" s="22">
        <v>0.55902777777777801</v>
      </c>
      <c r="U62" s="22">
        <v>0.64236111111111105</v>
      </c>
      <c r="V62" s="30">
        <f t="shared" si="52"/>
        <v>75.000000000001009</v>
      </c>
      <c r="W62" s="248">
        <f t="shared" si="18"/>
        <v>119.99999999999957</v>
      </c>
      <c r="X62" s="22">
        <v>0.51388888888888895</v>
      </c>
      <c r="Y62" s="84">
        <v>0.55555555555555602</v>
      </c>
      <c r="Z62" s="90"/>
      <c r="AA62" s="90"/>
      <c r="AB62" s="501"/>
      <c r="AC62" s="502"/>
      <c r="AD62" s="92"/>
      <c r="AE62" s="92"/>
      <c r="AF62" s="317">
        <f>N62-K62</f>
        <v>0.50000000000591172</v>
      </c>
      <c r="AG62" s="247">
        <f>N62/K62</f>
        <v>1.0003056234718863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11.5</v>
      </c>
      <c r="K69" s="240">
        <f t="shared" si="53"/>
        <v>1582.75</v>
      </c>
      <c r="L69" s="268">
        <f t="shared" si="53"/>
        <v>140.74893162393164</v>
      </c>
      <c r="M69" s="240">
        <f t="shared" si="53"/>
        <v>12.25</v>
      </c>
      <c r="N69" s="240">
        <f t="shared" si="53"/>
        <v>1495.8355044748532</v>
      </c>
      <c r="O69" s="268">
        <f t="shared" si="53"/>
        <v>124.09933294766797</v>
      </c>
      <c r="P69" s="269">
        <f>M69-J69</f>
        <v>0.75</v>
      </c>
      <c r="Q69" s="222">
        <f>N69-K69</f>
        <v>-86.914495525146776</v>
      </c>
      <c r="R69" s="123">
        <f>O69/L69</f>
        <v>0.88170710438676803</v>
      </c>
      <c r="S69" s="380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-86.914495525146776</v>
      </c>
      <c r="AG69" s="124">
        <f>N69/K69</f>
        <v>0.94508640307998937</v>
      </c>
      <c r="AH69" s="386"/>
    </row>
    <row r="70" spans="1:36" ht="15" customHeight="1">
      <c r="A70" s="373" t="s">
        <v>55</v>
      </c>
      <c r="B70" s="129" t="s">
        <v>128</v>
      </c>
      <c r="C70" s="129"/>
      <c r="D70" s="131" t="s">
        <v>138</v>
      </c>
      <c r="E70" s="132"/>
      <c r="F70" s="129">
        <f>VLOOKUP(D70,廠價表!$C$1:$E$41,3,0)</f>
        <v>28.26</v>
      </c>
      <c r="G70" s="55">
        <v>1896</v>
      </c>
      <c r="H70" s="243">
        <f>F70*G70</f>
        <v>53580.960000000006</v>
      </c>
      <c r="I70" s="55"/>
      <c r="J70" s="136">
        <f>VLOOKUP(D70,產線配置圖!$A$3:$C$38,2,0)</f>
        <v>9</v>
      </c>
      <c r="K70" s="137">
        <f>VLOOKUP(D70,產線配置圖!$A$3:$C$38,3,0)</f>
        <v>1636</v>
      </c>
      <c r="L70" s="138">
        <f>K70/J70</f>
        <v>181.77777777777777</v>
      </c>
      <c r="M70" s="244">
        <v>9</v>
      </c>
      <c r="N70" s="137">
        <f>G70/W70*60</f>
        <v>1370.6024096385513</v>
      </c>
      <c r="O70" s="138">
        <f>N70/M70</f>
        <v>152.2891566265057</v>
      </c>
      <c r="P70" s="56">
        <f>M70-J70</f>
        <v>0</v>
      </c>
      <c r="Q70" s="230">
        <f>O70-L70</f>
        <v>-29.488621151272071</v>
      </c>
      <c r="R70" s="52">
        <f>O70/L70</f>
        <v>0.83777653400889451</v>
      </c>
      <c r="S70" s="376">
        <f>R79</f>
        <v>0.87453323305602826</v>
      </c>
      <c r="T70" s="245">
        <v>0.33333333333333298</v>
      </c>
      <c r="U70" s="245">
        <v>0.390972222222222</v>
      </c>
      <c r="V70" s="55"/>
      <c r="W70" s="54">
        <f t="shared" si="18"/>
        <v>83.000000000000185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-265.39759036144869</v>
      </c>
      <c r="AG70" s="246">
        <f>N70/K70</f>
        <v>0.8377765340088944</v>
      </c>
      <c r="AH70" s="382">
        <f>AG79</f>
        <v>0.92716925214774415</v>
      </c>
    </row>
    <row r="71" spans="1:36" ht="15" customHeight="1">
      <c r="A71" s="374"/>
      <c r="B71" s="75" t="s">
        <v>81</v>
      </c>
      <c r="C71" s="76"/>
      <c r="D71" s="59" t="s">
        <v>132</v>
      </c>
      <c r="E71" s="77"/>
      <c r="F71" s="250">
        <f>VLOOKUP(D71,廠價表!$C$1:$E$41,3,0)</f>
        <v>50.67</v>
      </c>
      <c r="G71" s="30">
        <v>1519</v>
      </c>
      <c r="H71" s="254">
        <f>F71*G71</f>
        <v>76967.73</v>
      </c>
      <c r="I71" s="182"/>
      <c r="J71" s="106">
        <f>VLOOKUP(D71,產線配置圖!$A$3:$C$38,2,0)</f>
        <v>10</v>
      </c>
      <c r="K71" s="107">
        <f>VLOOKUP(D71,產線配置圖!$A$3:$C$38,3,0)</f>
        <v>1125</v>
      </c>
      <c r="L71" s="238">
        <f t="shared" ref="L71:L72" si="54">K71/J71</f>
        <v>112.5</v>
      </c>
      <c r="M71" s="82">
        <v>12</v>
      </c>
      <c r="N71" s="107">
        <f t="shared" ref="N71:N72" si="55">G71/W71*60</f>
        <v>1139.2500000000121</v>
      </c>
      <c r="O71" s="238">
        <f t="shared" ref="O71:O72" si="56">N71/M71</f>
        <v>94.937500000001009</v>
      </c>
      <c r="P71" s="111">
        <f t="shared" ref="P71:P72" si="57">M71-J71</f>
        <v>2</v>
      </c>
      <c r="Q71" s="255">
        <f t="shared" ref="Q71:Q72" si="58">O71-L71</f>
        <v>-17.562499999998991</v>
      </c>
      <c r="R71" s="85">
        <f>O71/L71</f>
        <v>0.8438888888888979</v>
      </c>
      <c r="S71" s="377"/>
      <c r="T71" s="22">
        <v>0.39930555555555602</v>
      </c>
      <c r="U71" s="22">
        <v>0.45486111111111099</v>
      </c>
      <c r="V71" s="30">
        <f t="shared" ref="V71:V73" si="59">(T71-U70)*24*60</f>
        <v>12.000000000000997</v>
      </c>
      <c r="W71" s="73">
        <f t="shared" si="18"/>
        <v>79.999999999999162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134</v>
      </c>
      <c r="E72" s="77"/>
      <c r="F72" s="250">
        <f>VLOOKUP(D72,廠價表!$C$1:$E$41,3,0)</f>
        <v>56.43</v>
      </c>
      <c r="G72" s="202">
        <v>1106</v>
      </c>
      <c r="H72" s="254">
        <f>F72*G72</f>
        <v>62411.58</v>
      </c>
      <c r="I72" s="182"/>
      <c r="J72" s="106">
        <f>VLOOKUP(D72,產線配置圖!$A$3:$C$38,2,0)</f>
        <v>16</v>
      </c>
      <c r="K72" s="107">
        <f>VLOOKUP(D72,產線配置圖!$A$3:$C$38,3,0)</f>
        <v>1406</v>
      </c>
      <c r="L72" s="238">
        <f t="shared" si="54"/>
        <v>87.875</v>
      </c>
      <c r="M72" s="82">
        <v>14</v>
      </c>
      <c r="N72" s="107">
        <f t="shared" si="55"/>
        <v>1206.5454545454693</v>
      </c>
      <c r="O72" s="238">
        <f t="shared" si="56"/>
        <v>86.181818181819239</v>
      </c>
      <c r="P72" s="111">
        <f t="shared" si="57"/>
        <v>-2</v>
      </c>
      <c r="Q72" s="255">
        <f t="shared" si="58"/>
        <v>-1.6931818181807614</v>
      </c>
      <c r="R72" s="85">
        <f>O72/L72</f>
        <v>0.98073192810036114</v>
      </c>
      <c r="S72" s="377"/>
      <c r="T72" s="22">
        <v>0.46180555555555602</v>
      </c>
      <c r="U72" s="22">
        <v>0.5</v>
      </c>
      <c r="V72" s="30">
        <f t="shared" si="59"/>
        <v>10.000000000000844</v>
      </c>
      <c r="W72" s="73">
        <f t="shared" si="18"/>
        <v>54.999999999999325</v>
      </c>
      <c r="X72" s="272">
        <v>0.50694444444444398</v>
      </c>
      <c r="Y72" s="288">
        <v>0.54861111111111105</v>
      </c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58"/>
      <c r="D73" s="259" t="s">
        <v>132</v>
      </c>
      <c r="E73" s="60"/>
      <c r="F73" s="250">
        <f>VLOOKUP(D73,廠價表!$C$1:$E$41,3,0)</f>
        <v>50.67</v>
      </c>
      <c r="G73" s="273">
        <v>1091</v>
      </c>
      <c r="H73" s="361">
        <f>F73*G73</f>
        <v>55280.97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>K73/J73</f>
        <v>112.5</v>
      </c>
      <c r="M73" s="94">
        <v>12</v>
      </c>
      <c r="N73" s="107">
        <f>G73/W73*60</f>
        <v>1190.1818181818292</v>
      </c>
      <c r="O73" s="238">
        <f>N73/M73</f>
        <v>99.181818181819096</v>
      </c>
      <c r="P73" s="111">
        <f>M73-J73</f>
        <v>2</v>
      </c>
      <c r="Q73" s="255">
        <f>O73-L73</f>
        <v>-13.318181818180904</v>
      </c>
      <c r="R73" s="85">
        <f>O73/L73</f>
        <v>0.88161616161616974</v>
      </c>
      <c r="S73" s="377"/>
      <c r="T73" s="22">
        <v>0.57638888888888895</v>
      </c>
      <c r="U73" s="22">
        <v>0.61458333333333304</v>
      </c>
      <c r="V73" s="30">
        <f t="shared" si="59"/>
        <v>110.00000000000009</v>
      </c>
      <c r="W73" s="73">
        <f t="shared" si="18"/>
        <v>54.999999999999488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2"/>
      <c r="U74" s="22"/>
      <c r="V74" s="30"/>
      <c r="W74" s="73">
        <f t="shared" si="18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0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1">AVERAGE(J70:J78)</f>
        <v>11.25</v>
      </c>
      <c r="K79" s="240">
        <f t="shared" si="61"/>
        <v>1323</v>
      </c>
      <c r="L79" s="268">
        <f t="shared" si="61"/>
        <v>123.66319444444444</v>
      </c>
      <c r="M79" s="240">
        <f t="shared" si="61"/>
        <v>11.75</v>
      </c>
      <c r="N79" s="240">
        <f t="shared" si="61"/>
        <v>1226.6449205914655</v>
      </c>
      <c r="O79" s="268">
        <f t="shared" si="61"/>
        <v>108.14757324753627</v>
      </c>
      <c r="P79" s="269">
        <f>M79-J79</f>
        <v>0.5</v>
      </c>
      <c r="Q79" s="222">
        <f>N79-K79</f>
        <v>-96.355079408534493</v>
      </c>
      <c r="R79" s="223">
        <f>O79/L79</f>
        <v>0.87453323305602826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-96.355079408534493</v>
      </c>
      <c r="AG79" s="124">
        <f>N79/K79</f>
        <v>0.92716925214774415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AB1:AC2"/>
    <mergeCell ref="AH3:AH4"/>
    <mergeCell ref="N3:N4"/>
    <mergeCell ref="T1:Y2"/>
    <mergeCell ref="S3:S4"/>
    <mergeCell ref="T3:U3"/>
    <mergeCell ref="P3:P4"/>
    <mergeCell ref="V3:V4"/>
    <mergeCell ref="W3:W4"/>
    <mergeCell ref="Z3:AA3"/>
    <mergeCell ref="A2:B2"/>
    <mergeCell ref="A3:A4"/>
    <mergeCell ref="B3:B4"/>
    <mergeCell ref="D3:E4"/>
    <mergeCell ref="F3:F4"/>
    <mergeCell ref="X3:Y3"/>
    <mergeCell ref="Q3:Q4"/>
    <mergeCell ref="R3:R4"/>
    <mergeCell ref="O3:O4"/>
    <mergeCell ref="G3:G4"/>
    <mergeCell ref="J1:L2"/>
    <mergeCell ref="M1:O2"/>
    <mergeCell ref="P1:S2"/>
    <mergeCell ref="H3:H4"/>
    <mergeCell ref="I3:I4"/>
    <mergeCell ref="J3:J4"/>
    <mergeCell ref="K3:K4"/>
    <mergeCell ref="L3:L4"/>
    <mergeCell ref="M3:M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49:AH58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38:AH48"/>
    <mergeCell ref="AB39:AC39"/>
    <mergeCell ref="AB40:AC40"/>
    <mergeCell ref="AB41:AC41"/>
    <mergeCell ref="A70:A79"/>
    <mergeCell ref="S70:S79"/>
    <mergeCell ref="AB70:AC70"/>
    <mergeCell ref="AB55:AC55"/>
    <mergeCell ref="AB56:AC56"/>
    <mergeCell ref="A49:A58"/>
    <mergeCell ref="S49:S58"/>
    <mergeCell ref="AB49:AC49"/>
    <mergeCell ref="AB57:AC57"/>
    <mergeCell ref="D58:E58"/>
    <mergeCell ref="A59:A69"/>
    <mergeCell ref="S59:S69"/>
    <mergeCell ref="AB59:AC59"/>
    <mergeCell ref="D69:E69"/>
    <mergeCell ref="AB69:AC69"/>
    <mergeCell ref="D79:E79"/>
    <mergeCell ref="AB58:AC58"/>
    <mergeCell ref="AB52:AC52"/>
    <mergeCell ref="AB50:AC50"/>
    <mergeCell ref="AB51:AC51"/>
    <mergeCell ref="AB53:AC53"/>
    <mergeCell ref="AB54:AC54"/>
    <mergeCell ref="D37:E37"/>
    <mergeCell ref="AB42:AC42"/>
    <mergeCell ref="A38:A48"/>
    <mergeCell ref="AB43:AC43"/>
    <mergeCell ref="AB44:AC44"/>
    <mergeCell ref="AB45:AC45"/>
    <mergeCell ref="AB46:AC46"/>
    <mergeCell ref="A27:A37"/>
    <mergeCell ref="S27:S37"/>
    <mergeCell ref="AB27:AC27"/>
    <mergeCell ref="S38:S48"/>
    <mergeCell ref="AB38:AC38"/>
    <mergeCell ref="D48:E48"/>
    <mergeCell ref="AB48:AC48"/>
    <mergeCell ref="AB47:AC4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DDCD38-9842-4E38-8FCA-D0E05CEA161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2CE8-AD6E-4057-A7C9-5F033EE3874F}">
  <dimension ref="B1:O26"/>
  <sheetViews>
    <sheetView zoomScale="70" zoomScaleNormal="70" workbookViewId="0">
      <selection activeCell="G17" sqref="G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46086</v>
      </c>
      <c r="E3" s="466"/>
      <c r="F3" s="3" t="s">
        <v>72</v>
      </c>
      <c r="G3" s="467">
        <f>'0305'!E1</f>
        <v>55438</v>
      </c>
      <c r="H3" s="467"/>
      <c r="I3" s="3" t="s">
        <v>2</v>
      </c>
      <c r="J3" s="468">
        <f>'0305'!G1</f>
        <v>2586319.8000000003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126.48734746812478</v>
      </c>
      <c r="G6" s="473"/>
      <c r="H6" s="474">
        <f>AVERAGE(D13:H13,J13)</f>
        <v>124.11041677549031</v>
      </c>
      <c r="I6" s="474"/>
      <c r="J6" s="474">
        <f>AVERAGE(I13)</f>
        <v>140.74893162393164</v>
      </c>
      <c r="K6" s="474"/>
      <c r="L6" s="499">
        <f>SUM(D18:J18)</f>
        <v>2</v>
      </c>
      <c r="M6" s="477">
        <f>SUM(D19:J19)</f>
        <v>15</v>
      </c>
      <c r="N6" s="500">
        <f>SUM(D20:J20)</f>
        <v>49</v>
      </c>
      <c r="O6" s="477">
        <f>SUM(D20:J20)</f>
        <v>49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108.93302185844546</v>
      </c>
      <c r="G7" s="497"/>
      <c r="H7" s="498">
        <f>AVERAGE(D14:H14,J14)</f>
        <v>107.56407444331865</v>
      </c>
      <c r="I7" s="498"/>
      <c r="J7" s="498">
        <f>AVERAGE(I14)</f>
        <v>117.14670634920623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0.8612167464883943</v>
      </c>
      <c r="G8" s="470"/>
      <c r="H8" s="470">
        <f>H7/H6</f>
        <v>0.86668047080928601</v>
      </c>
      <c r="I8" s="470"/>
      <c r="J8" s="470">
        <f>J7/J6</f>
        <v>0.8323097376128693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VALUE('0305'!L15)</f>
        <v>136.33173076923077</v>
      </c>
      <c r="E13" s="13">
        <f>VALUE('0305'!L26)</f>
        <v>181.530303030303</v>
      </c>
      <c r="F13" s="13">
        <f>VALUE('0305'!L37)</f>
        <v>93.443627450980387</v>
      </c>
      <c r="G13" s="13">
        <f>VALUE('0305'!L48)</f>
        <v>92.058823529411768</v>
      </c>
      <c r="H13" s="13">
        <f>VALUE('0305'!L58)</f>
        <v>106.01190476190477</v>
      </c>
      <c r="I13" s="13">
        <f>VALUE('0305'!L69)</f>
        <v>140.74893162393164</v>
      </c>
      <c r="J13" s="13">
        <f>'0305'!L79</f>
        <v>135.2861111111111</v>
      </c>
    </row>
    <row r="14" spans="2:15" ht="39.950000000000003" customHeight="1">
      <c r="B14" s="491"/>
      <c r="C14" s="12" t="s">
        <v>100</v>
      </c>
      <c r="D14" s="13">
        <f>VALUE('0305'!O15)</f>
        <v>112.35761032483242</v>
      </c>
      <c r="E14" s="13">
        <f>VALUE('0305'!O26)</f>
        <v>150.31985291798398</v>
      </c>
      <c r="F14" s="13">
        <f>VALUE('0305'!O37)</f>
        <v>91.591451517714233</v>
      </c>
      <c r="G14" s="13">
        <f>VALUE('0305'!O48)</f>
        <v>77.448237590417421</v>
      </c>
      <c r="H14" s="13">
        <f>VALUE('0305'!O58)</f>
        <v>93.133288052063648</v>
      </c>
      <c r="I14" s="13">
        <f>VALUE('0305'!O69)</f>
        <v>117.14670634920623</v>
      </c>
      <c r="J14" s="13">
        <f>'0305'!O79</f>
        <v>120.53400625690014</v>
      </c>
    </row>
    <row r="15" spans="2:15" ht="39.950000000000003" customHeight="1">
      <c r="B15" s="492"/>
      <c r="C15" s="10" t="s">
        <v>26</v>
      </c>
      <c r="D15" s="14">
        <f>D14/D13</f>
        <v>0.82414863869821009</v>
      </c>
      <c r="E15" s="14">
        <f t="shared" ref="E15:I15" si="1">E14/E13</f>
        <v>0.82807030236098356</v>
      </c>
      <c r="F15" s="14">
        <f t="shared" si="1"/>
        <v>0.98017868116006324</v>
      </c>
      <c r="G15" s="14">
        <f t="shared" si="1"/>
        <v>0.84129075976811252</v>
      </c>
      <c r="H15" s="14">
        <f t="shared" si="1"/>
        <v>0.87851725955905058</v>
      </c>
      <c r="I15" s="14">
        <f t="shared" si="1"/>
        <v>0.8323097376128693</v>
      </c>
      <c r="J15" s="15">
        <f>'0305'!S70</f>
        <v>0.890956250179333</v>
      </c>
    </row>
    <row r="16" spans="2:15" ht="17.25" customHeight="1">
      <c r="B16" s="493" t="s">
        <v>101</v>
      </c>
      <c r="C16" s="10" t="s">
        <v>34</v>
      </c>
      <c r="D16" s="16">
        <f>'0305'!T5</f>
        <v>0.29166666666666702</v>
      </c>
      <c r="E16" s="16">
        <f>'0305'!T16</f>
        <v>0.29097222222222202</v>
      </c>
      <c r="F16" s="16">
        <f>'0305'!T27</f>
        <v>0.29027777777777802</v>
      </c>
      <c r="G16" s="16">
        <f>'0305'!T38</f>
        <v>0.33680555555555602</v>
      </c>
      <c r="H16" s="16">
        <f>'0305'!T49</f>
        <v>0.29166666666666702</v>
      </c>
      <c r="I16" s="16">
        <f>'0305'!T59</f>
        <v>0.29027777777777802</v>
      </c>
      <c r="J16" s="16">
        <f>'0305'!T70</f>
        <v>0.33680555555555602</v>
      </c>
    </row>
    <row r="17" spans="2:10" ht="17.25" customHeight="1">
      <c r="B17" s="494"/>
      <c r="C17" s="10" t="s">
        <v>35</v>
      </c>
      <c r="D17" s="16">
        <v>0.60763888888888895</v>
      </c>
      <c r="E17" s="19">
        <v>0.65069444444444402</v>
      </c>
      <c r="F17" s="19">
        <v>0.57152777777777797</v>
      </c>
      <c r="G17" s="20">
        <v>0.499305555555556</v>
      </c>
      <c r="H17" s="21">
        <v>0.60763888888888895</v>
      </c>
      <c r="I17" s="20">
        <v>0.61805555555555602</v>
      </c>
      <c r="J17" s="22">
        <v>0.71180555555555602</v>
      </c>
    </row>
    <row r="18" spans="2:10" ht="17.25" customHeight="1">
      <c r="B18" s="495" t="s">
        <v>102</v>
      </c>
      <c r="C18" s="330" t="s">
        <v>36</v>
      </c>
      <c r="D18" s="358">
        <f>'0305'!Z15</f>
        <v>0</v>
      </c>
      <c r="E18" s="359">
        <f>'0305'!Z26</f>
        <v>0</v>
      </c>
      <c r="F18" s="359">
        <f>'0305'!Z37</f>
        <v>0</v>
      </c>
      <c r="G18" s="360">
        <f>'0305'!Z48</f>
        <v>0</v>
      </c>
      <c r="H18" s="360">
        <f>'0305'!Z58</f>
        <v>0</v>
      </c>
      <c r="I18" s="359">
        <f>'0305'!Z69</f>
        <v>2</v>
      </c>
      <c r="J18" s="359">
        <f>'0305'!AA79</f>
        <v>0</v>
      </c>
    </row>
    <row r="19" spans="2:10" ht="17.25" customHeight="1">
      <c r="B19" s="496"/>
      <c r="C19" s="330" t="s">
        <v>37</v>
      </c>
      <c r="D19" s="358">
        <f>'0305'!AA15</f>
        <v>0</v>
      </c>
      <c r="E19" s="359">
        <f>'0305'!AA26</f>
        <v>0</v>
      </c>
      <c r="F19" s="359">
        <f>'0305'!AA37</f>
        <v>0</v>
      </c>
      <c r="G19" s="360">
        <f>'0305'!AA48</f>
        <v>0</v>
      </c>
      <c r="H19" s="360">
        <f>'0305'!AA58</f>
        <v>0</v>
      </c>
      <c r="I19" s="359">
        <f>'0305'!AA69</f>
        <v>15</v>
      </c>
      <c r="J19" s="359">
        <f>'0305'!AB79</f>
        <v>0</v>
      </c>
    </row>
    <row r="20" spans="2:10" ht="17.25" customHeight="1">
      <c r="B20" s="495" t="s">
        <v>103</v>
      </c>
      <c r="C20" s="330" t="s">
        <v>36</v>
      </c>
      <c r="D20" s="358">
        <f>'0305'!AD15</f>
        <v>14</v>
      </c>
      <c r="E20" s="359">
        <f>'0305'!AD26</f>
        <v>35</v>
      </c>
      <c r="F20" s="359">
        <f>'0305'!AD37</f>
        <v>0</v>
      </c>
      <c r="G20" s="360">
        <f>'0305'!AD48</f>
        <v>0</v>
      </c>
      <c r="H20" s="360">
        <f>'0305'!AD58</f>
        <v>0</v>
      </c>
      <c r="I20" s="359">
        <f>'0305'!AD69</f>
        <v>0</v>
      </c>
      <c r="J20" s="359">
        <f>'0305'!AD79</f>
        <v>0</v>
      </c>
    </row>
    <row r="21" spans="2:10" ht="17.25" customHeight="1">
      <c r="B21" s="496"/>
      <c r="C21" s="330" t="s">
        <v>85</v>
      </c>
      <c r="D21" s="358">
        <f>'0305'!AE15</f>
        <v>14</v>
      </c>
      <c r="E21" s="359">
        <f>'0305'!AE26</f>
        <v>35</v>
      </c>
      <c r="F21" s="359">
        <f>'0305'!AE37</f>
        <v>0</v>
      </c>
      <c r="G21" s="360">
        <f>'0305'!AE48</f>
        <v>0</v>
      </c>
      <c r="H21" s="360">
        <f>'0305'!AE58</f>
        <v>0</v>
      </c>
      <c r="I21" s="359">
        <f>'0305'!AE69</f>
        <v>0</v>
      </c>
      <c r="J21" s="359">
        <f>'0305'!AE79</f>
        <v>0</v>
      </c>
    </row>
    <row r="22" spans="2:10" ht="17.25" customHeight="1">
      <c r="B22" s="479" t="s">
        <v>104</v>
      </c>
      <c r="C22" s="480"/>
      <c r="D22" s="23">
        <f>VALUE('0305'!M15)</f>
        <v>14.25</v>
      </c>
      <c r="E22" s="23">
        <f>VALUE('0305'!M26)</f>
        <v>11.6</v>
      </c>
      <c r="F22" s="23">
        <f>VALUE('0305'!M37)</f>
        <v>15.666666666666666</v>
      </c>
      <c r="G22" s="23">
        <f>VALUE('0305'!M48)</f>
        <v>17</v>
      </c>
      <c r="H22" s="23">
        <f>VALUE('0305'!M58)</f>
        <v>15.2</v>
      </c>
      <c r="I22" s="23">
        <f>VALUE('0305'!M69)</f>
        <v>11.75</v>
      </c>
      <c r="J22" s="23">
        <f>'0305'!M79</f>
        <v>10.6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BA0B-848C-4F9F-94FB-6885689E4302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activeCell="I18" sqref="I18"/>
      <selection pane="topRight" activeCell="I18" sqref="I18"/>
      <selection pane="bottomLeft" activeCell="I18" sqref="I18"/>
      <selection pane="bottomRight" activeCell="K40" sqref="K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55438</v>
      </c>
      <c r="F1" s="30" t="s">
        <v>2</v>
      </c>
      <c r="G1" s="31">
        <f>SUM(H5:H79)</f>
        <v>2586319.8000000003</v>
      </c>
      <c r="H1" s="32" t="s">
        <v>3</v>
      </c>
      <c r="I1" s="33">
        <f>M15+M26+M48+M58+M69+M79+M37</f>
        <v>96.066666666666663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144</v>
      </c>
      <c r="B2" s="447"/>
      <c r="C2" s="28"/>
      <c r="D2" s="28" t="s">
        <v>14</v>
      </c>
      <c r="E2" s="35">
        <f>AVERAGE(O15,O26,O37,O48,O58,O69,O79)</f>
        <v>108.93302185844546</v>
      </c>
      <c r="F2" s="36" t="s">
        <v>15</v>
      </c>
      <c r="G2" s="37">
        <f>G1/E1</f>
        <v>46.652473032937699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2</v>
      </c>
      <c r="AA2" s="339">
        <f>AA15+AA26+AA37+AA48+AA58+AA69+AA79</f>
        <v>15</v>
      </c>
      <c r="AB2" s="445"/>
      <c r="AC2" s="445"/>
      <c r="AD2" s="340">
        <f>AD15+AD26+AD37+AD48+AD58+AD69+AD79</f>
        <v>49</v>
      </c>
      <c r="AE2" s="340">
        <f>AE15+AE26+AE37+AE48+AE58+AE69+AE79</f>
        <v>49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2203</v>
      </c>
      <c r="H5" s="43">
        <f>F5*G5</f>
        <v>105105.13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8" si="0">K5/J5</f>
        <v>102.25</v>
      </c>
      <c r="M5" s="48">
        <v>16</v>
      </c>
      <c r="N5" s="46">
        <f t="shared" ref="N5:N8" si="1">G5/W5*60</f>
        <v>1555.0588235294333</v>
      </c>
      <c r="O5" s="47">
        <f t="shared" ref="O5:O8" si="2">N5/M5</f>
        <v>97.191176470589582</v>
      </c>
      <c r="P5" s="49">
        <f t="shared" ref="P5:P8" si="3">M5-J5</f>
        <v>0</v>
      </c>
      <c r="Q5" s="50">
        <f t="shared" ref="Q5:Q8" si="4">O5-L5</f>
        <v>-5.058823529410418</v>
      </c>
      <c r="R5" s="51">
        <f>O5/L5</f>
        <v>0.95052495325759978</v>
      </c>
      <c r="S5" s="376">
        <f>R15</f>
        <v>0.82414863869821009</v>
      </c>
      <c r="T5" s="319">
        <v>0.29166666666666702</v>
      </c>
      <c r="U5" s="320">
        <v>0.35069444444444398</v>
      </c>
      <c r="V5" s="53"/>
      <c r="W5" s="54">
        <f t="shared" ref="W5:W14" si="5">(U5-T5)*24*60</f>
        <v>84.99999999999882</v>
      </c>
      <c r="X5" s="55"/>
      <c r="Y5" s="290"/>
      <c r="Z5" s="169"/>
      <c r="AA5" s="169"/>
      <c r="AB5" s="381" t="s">
        <v>114</v>
      </c>
      <c r="AC5" s="381"/>
      <c r="AD5" s="135"/>
      <c r="AE5" s="135"/>
      <c r="AF5" s="229">
        <f t="shared" ref="AF5:AF11" si="6">N5-K5</f>
        <v>-80.941176470566688</v>
      </c>
      <c r="AG5" s="52">
        <f t="shared" ref="AG5:AG11" si="7">N5/K5</f>
        <v>0.95052495325759978</v>
      </c>
      <c r="AH5" s="382">
        <f>AG15</f>
        <v>0.82848966004201574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1081</v>
      </c>
      <c r="H6" s="78">
        <f>F6*G6</f>
        <v>60838.68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1441.3333333333333</v>
      </c>
      <c r="O6" s="81">
        <f t="shared" si="2"/>
        <v>96.088888888888889</v>
      </c>
      <c r="P6" s="74">
        <f t="shared" si="3"/>
        <v>0</v>
      </c>
      <c r="Q6" s="83">
        <f t="shared" si="4"/>
        <v>-23.911111111111111</v>
      </c>
      <c r="R6" s="72">
        <f>O6/L6</f>
        <v>0.80074074074074075</v>
      </c>
      <c r="S6" s="377"/>
      <c r="T6" s="18">
        <v>0.36180555555555599</v>
      </c>
      <c r="U6" s="18">
        <v>0.39305555555555599</v>
      </c>
      <c r="V6" s="30">
        <f>(T6-U5)*24*60</f>
        <v>16.0000000000013</v>
      </c>
      <c r="W6" s="73">
        <f t="shared" si="5"/>
        <v>45</v>
      </c>
      <c r="X6" s="22"/>
      <c r="Y6" s="84"/>
      <c r="Z6" s="90"/>
      <c r="AA6" s="90"/>
      <c r="AB6" s="501" t="s">
        <v>114</v>
      </c>
      <c r="AC6" s="502"/>
      <c r="AD6" s="149"/>
      <c r="AE6" s="149"/>
      <c r="AF6" s="307">
        <f t="shared" si="6"/>
        <v>-358.66666666666674</v>
      </c>
      <c r="AG6" s="72">
        <f t="shared" si="7"/>
        <v>0.80074074074074075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2862</v>
      </c>
      <c r="H7" s="78">
        <f t="shared" ref="H7:H8" si="8">F7*G7</f>
        <v>140638.68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1635.4285714285861</v>
      </c>
      <c r="O7" s="81">
        <f t="shared" si="2"/>
        <v>125.80219780219893</v>
      </c>
      <c r="P7" s="74">
        <f t="shared" si="3"/>
        <v>0</v>
      </c>
      <c r="Q7" s="83">
        <f t="shared" si="4"/>
        <v>-35.736263736262615</v>
      </c>
      <c r="R7" s="72">
        <f t="shared" ref="R7:R8" si="9">O7/L7</f>
        <v>0.77877551020408864</v>
      </c>
      <c r="S7" s="377"/>
      <c r="T7" s="16">
        <v>0.40416666666666701</v>
      </c>
      <c r="U7" s="16">
        <v>0.47708333333333303</v>
      </c>
      <c r="V7" s="30">
        <f>(T7-U6)*24*60</f>
        <v>15.999999999999863</v>
      </c>
      <c r="W7" s="73">
        <f t="shared" si="5"/>
        <v>104.99999999999906</v>
      </c>
      <c r="X7" s="22"/>
      <c r="Y7" s="84"/>
      <c r="Z7" s="90"/>
      <c r="AA7" s="90"/>
      <c r="AB7" s="501" t="s">
        <v>114</v>
      </c>
      <c r="AC7" s="502"/>
      <c r="AD7" s="92"/>
      <c r="AE7" s="92"/>
      <c r="AF7" s="307">
        <f t="shared" si="6"/>
        <v>-464.57142857141389</v>
      </c>
      <c r="AG7" s="72">
        <f t="shared" si="7"/>
        <v>0.77877551020408864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2683</v>
      </c>
      <c r="H8" s="78">
        <f t="shared" si="8"/>
        <v>131842.62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1694.5263157894797</v>
      </c>
      <c r="O8" s="81">
        <f t="shared" si="2"/>
        <v>130.34817813765227</v>
      </c>
      <c r="P8" s="74">
        <f t="shared" si="3"/>
        <v>0</v>
      </c>
      <c r="Q8" s="83">
        <f t="shared" si="4"/>
        <v>-31.190283400809278</v>
      </c>
      <c r="R8" s="72">
        <f t="shared" si="9"/>
        <v>0.80691729323308548</v>
      </c>
      <c r="S8" s="377"/>
      <c r="T8" s="16">
        <v>0.54166666666666696</v>
      </c>
      <c r="U8" s="16">
        <v>0.60763888888888895</v>
      </c>
      <c r="V8" s="30">
        <f>(T8-U7)*24*60</f>
        <v>93.000000000000867</v>
      </c>
      <c r="W8" s="73">
        <f t="shared" si="5"/>
        <v>94.999999999999659</v>
      </c>
      <c r="X8" s="22">
        <v>0.48611111111111099</v>
      </c>
      <c r="Y8" s="84">
        <v>0.52777777777777801</v>
      </c>
      <c r="Z8" s="90"/>
      <c r="AA8" s="90"/>
      <c r="AB8" s="501" t="s">
        <v>114</v>
      </c>
      <c r="AC8" s="502"/>
      <c r="AD8" s="149">
        <v>14</v>
      </c>
      <c r="AE8" s="149">
        <v>14</v>
      </c>
      <c r="AF8" s="307">
        <f t="shared" si="6"/>
        <v>-405.47368421052033</v>
      </c>
      <c r="AG8" s="72">
        <f t="shared" si="7"/>
        <v>0.80691729323308559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5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6"/>
        <v>0</v>
      </c>
      <c r="AG9" s="72" t="e">
        <f t="shared" si="7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6"/>
        <v>0</v>
      </c>
      <c r="AG10" s="72" t="e">
        <f t="shared" si="7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6"/>
        <v>0</v>
      </c>
      <c r="AG11" s="72" t="e">
        <f t="shared" si="7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14.25</v>
      </c>
      <c r="K15" s="120">
        <f t="shared" si="10"/>
        <v>1909</v>
      </c>
      <c r="L15" s="117">
        <f t="shared" si="10"/>
        <v>136.33173076923077</v>
      </c>
      <c r="M15" s="120">
        <f t="shared" si="10"/>
        <v>14.25</v>
      </c>
      <c r="N15" s="120">
        <f t="shared" si="10"/>
        <v>1581.5867610202081</v>
      </c>
      <c r="O15" s="117">
        <f t="shared" si="10"/>
        <v>112.35761032483242</v>
      </c>
      <c r="P15" s="121">
        <f t="shared" ref="P15:P20" si="11">M15-J15</f>
        <v>0</v>
      </c>
      <c r="Q15" s="122">
        <f t="shared" ref="Q15:Q20" si="12">O15-L15</f>
        <v>-23.974120444398352</v>
      </c>
      <c r="R15" s="123">
        <f t="shared" ref="R15:R20" si="13">O15/L15</f>
        <v>0.82414863869821009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14</v>
      </c>
      <c r="AE15" s="323">
        <f>SUM(AE5:AE14)</f>
        <v>14</v>
      </c>
      <c r="AF15" s="309">
        <f t="shared" ref="AF15:AF19" si="14">N15-K15</f>
        <v>-327.41323897979191</v>
      </c>
      <c r="AG15" s="124">
        <f t="shared" ref="AG15:AG19" si="15">N15/K15</f>
        <v>0.82848966004201574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2210</v>
      </c>
      <c r="H16" s="134">
        <f>F16*G16</f>
        <v>126434.1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20" si="16">K16/J16</f>
        <v>175.41666666666666</v>
      </c>
      <c r="M16" s="139">
        <v>12</v>
      </c>
      <c r="N16" s="140">
        <f t="shared" ref="N16:N20" si="17">G16/W16*60</f>
        <v>1979.1044776119306</v>
      </c>
      <c r="O16" s="141">
        <f>N16/M16</f>
        <v>164.92537313432754</v>
      </c>
      <c r="P16" s="142">
        <f>M16-J16</f>
        <v>0</v>
      </c>
      <c r="Q16" s="143">
        <f t="shared" si="12"/>
        <v>-10.491293532339114</v>
      </c>
      <c r="R16" s="144">
        <f>O16/L16</f>
        <v>0.94019215088452757</v>
      </c>
      <c r="S16" s="413">
        <f>R26</f>
        <v>0.82807030236098356</v>
      </c>
      <c r="T16" s="145">
        <v>0.29097222222222202</v>
      </c>
      <c r="U16" s="145">
        <v>0.33750000000000002</v>
      </c>
      <c r="V16" s="135"/>
      <c r="W16" s="146">
        <f t="shared" ref="W16:W78" si="18">(U16-T16)*24*60</f>
        <v>67.000000000000327</v>
      </c>
      <c r="X16" s="141"/>
      <c r="Y16" s="296"/>
      <c r="Z16" s="169"/>
      <c r="AA16" s="169"/>
      <c r="AB16" s="381" t="s">
        <v>114</v>
      </c>
      <c r="AC16" s="381"/>
      <c r="AD16" s="135"/>
      <c r="AE16" s="135"/>
      <c r="AF16" s="229">
        <f t="shared" si="14"/>
        <v>-125.89552238806937</v>
      </c>
      <c r="AG16" s="52">
        <f t="shared" si="15"/>
        <v>0.94019215088452757</v>
      </c>
      <c r="AH16" s="382">
        <f>AG26</f>
        <v>0.829103736236111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3369</v>
      </c>
      <c r="H17" s="78">
        <f>F17*G17</f>
        <v>170707.23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1643.4146341463536</v>
      </c>
      <c r="O17" s="96">
        <f t="shared" ref="O17:O20" si="19">N17/M17</f>
        <v>136.95121951219613</v>
      </c>
      <c r="P17" s="97">
        <f t="shared" si="11"/>
        <v>0</v>
      </c>
      <c r="Q17" s="98">
        <f t="shared" si="12"/>
        <v>-38.048780487803867</v>
      </c>
      <c r="R17" s="99">
        <f t="shared" si="13"/>
        <v>0.78257839721254929</v>
      </c>
      <c r="S17" s="414"/>
      <c r="T17" s="19">
        <v>0.34652777777777799</v>
      </c>
      <c r="U17" s="19">
        <v>0.43194444444444402</v>
      </c>
      <c r="V17" s="30">
        <f>(T17-U16)*24*60</f>
        <v>13.000000000000274</v>
      </c>
      <c r="W17" s="149">
        <f t="shared" si="18"/>
        <v>122.99999999999909</v>
      </c>
      <c r="X17" s="19"/>
      <c r="Y17" s="297"/>
      <c r="Z17" s="90"/>
      <c r="AA17" s="90"/>
      <c r="AB17" s="501" t="s">
        <v>114</v>
      </c>
      <c r="AC17" s="502"/>
      <c r="AD17" s="92"/>
      <c r="AE17" s="92"/>
      <c r="AF17" s="307">
        <f t="shared" si="14"/>
        <v>-456.58536585364641</v>
      </c>
      <c r="AG17" s="72">
        <f t="shared" si="15"/>
        <v>0.78257839721254929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1465</v>
      </c>
      <c r="H18" s="78">
        <f>F18*G18</f>
        <v>73821.350000000006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1627.7777777777762</v>
      </c>
      <c r="O18" s="96">
        <f t="shared" si="19"/>
        <v>147.97979797979784</v>
      </c>
      <c r="P18" s="97">
        <f t="shared" si="11"/>
        <v>0</v>
      </c>
      <c r="Q18" s="98">
        <f t="shared" si="12"/>
        <v>-42.929292929293069</v>
      </c>
      <c r="R18" s="99">
        <f t="shared" si="13"/>
        <v>0.77513227513227445</v>
      </c>
      <c r="S18" s="414"/>
      <c r="T18" s="19">
        <v>0.44097222222222199</v>
      </c>
      <c r="U18" s="19">
        <v>0.47847222222222202</v>
      </c>
      <c r="V18" s="30">
        <f>(T18-U17)*24*60</f>
        <v>13.000000000000274</v>
      </c>
      <c r="W18" s="149">
        <f t="shared" si="18"/>
        <v>54.00000000000005</v>
      </c>
      <c r="X18" s="22">
        <v>0.48611111111111099</v>
      </c>
      <c r="Y18" s="84">
        <v>0.52777777777777801</v>
      </c>
      <c r="Z18" s="90"/>
      <c r="AA18" s="90"/>
      <c r="AB18" s="501" t="s">
        <v>114</v>
      </c>
      <c r="AC18" s="502"/>
      <c r="AD18" s="92"/>
      <c r="AE18" s="92"/>
      <c r="AF18" s="307">
        <f t="shared" si="14"/>
        <v>-472.22222222222376</v>
      </c>
      <c r="AG18" s="72">
        <f t="shared" si="15"/>
        <v>0.77513227513227445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3144</v>
      </c>
      <c r="H19" s="78">
        <f>F19*G19</f>
        <v>158426.16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1730.6422018348708</v>
      </c>
      <c r="O19" s="96">
        <f t="shared" si="19"/>
        <v>157.33110925771553</v>
      </c>
      <c r="P19" s="97">
        <f t="shared" si="11"/>
        <v>0</v>
      </c>
      <c r="Q19" s="98">
        <f t="shared" si="12"/>
        <v>-33.577981651375381</v>
      </c>
      <c r="R19" s="99">
        <f t="shared" si="13"/>
        <v>0.82411533420708138</v>
      </c>
      <c r="S19" s="414"/>
      <c r="T19" s="19">
        <v>0.54166666666666696</v>
      </c>
      <c r="U19" s="19">
        <v>0.61736111111111103</v>
      </c>
      <c r="V19" s="30">
        <f>(T19-U18)*24*60</f>
        <v>91.000000000000711</v>
      </c>
      <c r="W19" s="149">
        <f t="shared" si="18"/>
        <v>108.99999999999946</v>
      </c>
      <c r="X19" s="22"/>
      <c r="Y19" s="84"/>
      <c r="Z19" s="90"/>
      <c r="AA19" s="90"/>
      <c r="AB19" s="501" t="s">
        <v>114</v>
      </c>
      <c r="AC19" s="502"/>
      <c r="AD19" s="149"/>
      <c r="AE19" s="149"/>
      <c r="AF19" s="307">
        <f t="shared" si="14"/>
        <v>-369.35779816512922</v>
      </c>
      <c r="AG19" s="72">
        <f t="shared" si="15"/>
        <v>0.82411533420708127</v>
      </c>
      <c r="AH19" s="385"/>
    </row>
    <row r="20" spans="1:34" ht="15" customHeight="1">
      <c r="A20" s="419"/>
      <c r="B20" s="75" t="s">
        <v>81</v>
      </c>
      <c r="C20" s="76"/>
      <c r="D20" s="59" t="s">
        <v>113</v>
      </c>
      <c r="E20" s="77"/>
      <c r="F20" s="75">
        <f>VLOOKUP(D20,廠價表!$C$1:$E$41,3,0)</f>
        <v>57.21</v>
      </c>
      <c r="G20" s="147">
        <v>982</v>
      </c>
      <c r="H20" s="78">
        <f>F20*G20</f>
        <v>56180.22</v>
      </c>
      <c r="I20" s="30"/>
      <c r="J20" s="79">
        <f>VLOOKUP(D20,產線配置圖!$A$3:$C$38,2,0)</f>
        <v>12</v>
      </c>
      <c r="K20" s="80">
        <f>VLOOKUP(D20,產線配置圖!$A$3:$C$38,3,0)</f>
        <v>2105</v>
      </c>
      <c r="L20" s="81">
        <f t="shared" si="16"/>
        <v>175.41666666666666</v>
      </c>
      <c r="M20" s="148">
        <v>12</v>
      </c>
      <c r="N20" s="95">
        <f t="shared" si="17"/>
        <v>1732.9411764705944</v>
      </c>
      <c r="O20" s="96">
        <f t="shared" si="19"/>
        <v>144.41176470588286</v>
      </c>
      <c r="P20" s="97">
        <f t="shared" si="11"/>
        <v>0</v>
      </c>
      <c r="Q20" s="98">
        <f t="shared" si="12"/>
        <v>-31.004901960783798</v>
      </c>
      <c r="R20" s="99">
        <f t="shared" si="13"/>
        <v>0.82324996506916603</v>
      </c>
      <c r="S20" s="414"/>
      <c r="T20" s="19">
        <v>0.62708333333333299</v>
      </c>
      <c r="U20" s="19">
        <v>0.65069444444444402</v>
      </c>
      <c r="V20" s="30">
        <f>(T20-U19)*24*60</f>
        <v>13.999999999999631</v>
      </c>
      <c r="W20" s="149">
        <f t="shared" si="18"/>
        <v>33.999999999999879</v>
      </c>
      <c r="X20" s="19"/>
      <c r="Y20" s="297"/>
      <c r="Z20" s="90"/>
      <c r="AA20" s="90"/>
      <c r="AB20" s="501" t="s">
        <v>114</v>
      </c>
      <c r="AC20" s="502"/>
      <c r="AD20" s="92">
        <v>35</v>
      </c>
      <c r="AE20" s="92">
        <v>35</v>
      </c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2102</v>
      </c>
      <c r="L26" s="158">
        <f t="shared" si="21"/>
        <v>181.530303030303</v>
      </c>
      <c r="M26" s="155">
        <f t="shared" si="21"/>
        <v>11.6</v>
      </c>
      <c r="N26" s="155">
        <f t="shared" si="21"/>
        <v>1742.7760535683053</v>
      </c>
      <c r="O26" s="158">
        <f t="shared" si="21"/>
        <v>150.31985291798398</v>
      </c>
      <c r="P26" s="159">
        <f t="shared" ref="P26:P29" si="22">M26-J26</f>
        <v>0</v>
      </c>
      <c r="Q26" s="160">
        <f t="shared" ref="Q26:Q29" si="23">O26-L26</f>
        <v>-31.210450112319023</v>
      </c>
      <c r="R26" s="161">
        <f>O26/L26</f>
        <v>0.82807030236098356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35</v>
      </c>
      <c r="AE26" s="323">
        <f>SUM(AE16:AE25)</f>
        <v>35</v>
      </c>
      <c r="AF26" s="309">
        <f t="shared" ref="AF26:AF31" si="24">N26-K26</f>
        <v>-359.22394643169469</v>
      </c>
      <c r="AG26" s="124">
        <f t="shared" ref="AG26:AG31" si="25">N26/K26</f>
        <v>0.829103736236111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f>3423+103</f>
        <v>3526</v>
      </c>
      <c r="H27" s="134">
        <f>F27*G27</f>
        <v>205107.42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6">K27/J27</f>
        <v>97.8125</v>
      </c>
      <c r="M27" s="170">
        <v>16</v>
      </c>
      <c r="N27" s="140">
        <f>G27/W27*60</f>
        <v>1555.5882352941251</v>
      </c>
      <c r="O27" s="141">
        <f>N27/M27</f>
        <v>97.224264705882817</v>
      </c>
      <c r="P27" s="142">
        <f t="shared" si="22"/>
        <v>0</v>
      </c>
      <c r="Q27" s="143">
        <f t="shared" si="23"/>
        <v>-0.58823529411718312</v>
      </c>
      <c r="R27" s="144">
        <f>O27/L27</f>
        <v>0.99398609283969652</v>
      </c>
      <c r="S27" s="413">
        <f>R37</f>
        <v>0.98017868116006324</v>
      </c>
      <c r="T27" s="171">
        <v>0.29027777777777802</v>
      </c>
      <c r="U27" s="171">
        <v>0.38472222222222202</v>
      </c>
      <c r="V27" s="135"/>
      <c r="W27" s="146">
        <f t="shared" si="18"/>
        <v>135.99999999999935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-9.4117647058749299</v>
      </c>
      <c r="AG27" s="172">
        <f t="shared" si="25"/>
        <v>0.99398609283969652</v>
      </c>
      <c r="AH27" s="382">
        <f>AG37</f>
        <v>0.94396041724563395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f>2146+40</f>
        <v>2186</v>
      </c>
      <c r="H28" s="91">
        <f>F28*G28</f>
        <v>108250.72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15</v>
      </c>
      <c r="N28" s="95">
        <f>G28/W28*60</f>
        <v>1237.3584905660393</v>
      </c>
      <c r="O28" s="96">
        <f>N28/M28</f>
        <v>82.49056603773596</v>
      </c>
      <c r="P28" s="97">
        <f t="shared" si="22"/>
        <v>-2</v>
      </c>
      <c r="Q28" s="98">
        <f t="shared" si="23"/>
        <v>-2.2153163152052144</v>
      </c>
      <c r="R28" s="99">
        <f t="shared" ref="R28:R29" si="27">O28/L28</f>
        <v>0.97384696016771621</v>
      </c>
      <c r="S28" s="414"/>
      <c r="T28" s="19">
        <v>0.390972222222222</v>
      </c>
      <c r="U28" s="19">
        <v>0.46458333333333302</v>
      </c>
      <c r="V28" s="92">
        <f>(T28-U27)*24*60</f>
        <v>8.999999999999968</v>
      </c>
      <c r="W28" s="149">
        <f t="shared" si="18"/>
        <v>105.99999999999986</v>
      </c>
      <c r="X28" s="174">
        <v>0.47916666666666702</v>
      </c>
      <c r="Y28" s="301">
        <v>0.52083333333333304</v>
      </c>
      <c r="Z28" s="335"/>
      <c r="AA28" s="335"/>
      <c r="AB28" s="388"/>
      <c r="AC28" s="388"/>
      <c r="AD28" s="92"/>
      <c r="AE28" s="92"/>
      <c r="AF28" s="311">
        <f t="shared" si="24"/>
        <v>-202.64150943396066</v>
      </c>
      <c r="AG28" s="99">
        <f t="shared" si="25"/>
        <v>0.85927672955974954</v>
      </c>
      <c r="AH28" s="383"/>
    </row>
    <row r="29" spans="1:34" ht="15" customHeight="1">
      <c r="A29" s="411"/>
      <c r="B29" s="75" t="s">
        <v>81</v>
      </c>
      <c r="C29" s="173"/>
      <c r="D29" s="59" t="s">
        <v>137</v>
      </c>
      <c r="E29" s="104"/>
      <c r="F29" s="75">
        <f>VLOOKUP(D29,廠價表!$C$1:$E$41,3,0)</f>
        <v>58.17</v>
      </c>
      <c r="G29" s="90">
        <f>1494+103</f>
        <v>1597</v>
      </c>
      <c r="H29" s="91">
        <f>F29*G29</f>
        <v>92897.49</v>
      </c>
      <c r="I29" s="92"/>
      <c r="J29" s="79">
        <f>VLOOKUP(D29,產線配置圖!$A$3:$C$38,2,0)</f>
        <v>16</v>
      </c>
      <c r="K29" s="80">
        <f>VLOOKUP(D29,產線配置圖!$A$3:$C$38,3,0)</f>
        <v>1565</v>
      </c>
      <c r="L29" s="93">
        <f t="shared" si="26"/>
        <v>97.8125</v>
      </c>
      <c r="M29" s="94">
        <v>16</v>
      </c>
      <c r="N29" s="95">
        <f>G29/W29*60</f>
        <v>1520.9523809523826</v>
      </c>
      <c r="O29" s="96">
        <f>N29/M29</f>
        <v>95.05952380952391</v>
      </c>
      <c r="P29" s="97">
        <f t="shared" si="22"/>
        <v>0</v>
      </c>
      <c r="Q29" s="98">
        <f t="shared" si="23"/>
        <v>-2.7529761904760903</v>
      </c>
      <c r="R29" s="99">
        <f t="shared" si="27"/>
        <v>0.97185455651909425</v>
      </c>
      <c r="S29" s="414"/>
      <c r="T29" s="19">
        <v>0.52777777777777801</v>
      </c>
      <c r="U29" s="19">
        <v>0.57152777777777797</v>
      </c>
      <c r="V29" s="92">
        <f>(T29-U28)*24*60</f>
        <v>91.000000000000796</v>
      </c>
      <c r="W29" s="149">
        <f t="shared" si="18"/>
        <v>62.999999999999936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4"/>
        <v>-44.047619047617445</v>
      </c>
      <c r="AG29" s="99">
        <f t="shared" si="25"/>
        <v>0.97185455651909425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si="24"/>
        <v>0</v>
      </c>
      <c r="AG30" s="99" t="e">
        <f t="shared" si="25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0</v>
      </c>
      <c r="AG31" s="99" t="e">
        <f t="shared" si="25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9">AVERAGE(J27:J36)</f>
        <v>16.333333333333332</v>
      </c>
      <c r="K37" s="155">
        <f t="shared" si="29"/>
        <v>1523.3333333333333</v>
      </c>
      <c r="L37" s="158">
        <f t="shared" si="29"/>
        <v>93.443627450980387</v>
      </c>
      <c r="M37" s="155">
        <f t="shared" si="29"/>
        <v>15.666666666666666</v>
      </c>
      <c r="N37" s="155">
        <f t="shared" si="29"/>
        <v>1437.9663689375157</v>
      </c>
      <c r="O37" s="158">
        <f t="shared" si="29"/>
        <v>91.591451517714233</v>
      </c>
      <c r="P37" s="159">
        <f>M37-J37</f>
        <v>-0.66666666666666607</v>
      </c>
      <c r="Q37" s="160">
        <f>N37-K37</f>
        <v>-85.366964395817604</v>
      </c>
      <c r="R37" s="161">
        <f t="shared" ref="R37:R39" si="30">O37/L37</f>
        <v>0.98017868116006324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1">N37-K37</f>
        <v>-85.366964395817604</v>
      </c>
      <c r="AG37" s="124">
        <f t="shared" ref="AG37:AG41" si="32">N37/K37</f>
        <v>0.94396041724563395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f>837+400</f>
        <v>1237</v>
      </c>
      <c r="H38" s="134">
        <f>F38*G38</f>
        <v>70348.19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39" si="33">K38/J38</f>
        <v>92.058823529411768</v>
      </c>
      <c r="M38" s="190">
        <v>17</v>
      </c>
      <c r="N38" s="140">
        <f>G38/W38*60</f>
        <v>1279.6551724138189</v>
      </c>
      <c r="O38" s="141">
        <f>N38/M38</f>
        <v>75.273833671401121</v>
      </c>
      <c r="P38" s="142">
        <f t="shared" ref="P38:P39" si="34">M38-J38</f>
        <v>0</v>
      </c>
      <c r="Q38" s="143">
        <f t="shared" ref="Q38:Q39" si="35">O38-L38</f>
        <v>-16.784989858010647</v>
      </c>
      <c r="R38" s="144">
        <f>O38/L38</f>
        <v>0.81767103668614638</v>
      </c>
      <c r="S38" s="404">
        <f>R48</f>
        <v>0.84129075976811252</v>
      </c>
      <c r="T38" s="191">
        <v>0.33680555555555602</v>
      </c>
      <c r="U38" s="191">
        <v>0.37708333333333299</v>
      </c>
      <c r="V38" s="192"/>
      <c r="W38" s="193">
        <f t="shared" si="18"/>
        <v>57.999999999998835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1"/>
        <v>-285.34482758618105</v>
      </c>
      <c r="AG38" s="195">
        <f t="shared" si="32"/>
        <v>0.81767103668614627</v>
      </c>
      <c r="AH38" s="398">
        <f>AG48</f>
        <v>0.84129075976811241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3587</v>
      </c>
      <c r="H39" s="91">
        <f>F39*G39</f>
        <v>158904.09999999998</v>
      </c>
      <c r="I39" s="200"/>
      <c r="J39" s="148">
        <f>VLOOKUP(D39,產線配置圖!$A$3:$C$38,2,0)</f>
        <v>17</v>
      </c>
      <c r="K39" s="95">
        <v>1565</v>
      </c>
      <c r="L39" s="96">
        <f t="shared" si="33"/>
        <v>92.058823529411768</v>
      </c>
      <c r="M39" s="201">
        <v>17</v>
      </c>
      <c r="N39" s="202">
        <f>G39/W39*60</f>
        <v>1353.5849056603731</v>
      </c>
      <c r="O39" s="203">
        <f>N39/M39</f>
        <v>79.62264150943372</v>
      </c>
      <c r="P39" s="97">
        <f t="shared" si="34"/>
        <v>0</v>
      </c>
      <c r="Q39" s="98">
        <f t="shared" si="35"/>
        <v>-12.436182019978048</v>
      </c>
      <c r="R39" s="99">
        <f t="shared" si="30"/>
        <v>0.86491048285007877</v>
      </c>
      <c r="S39" s="405"/>
      <c r="T39" s="20">
        <v>0.38888888888888901</v>
      </c>
      <c r="U39" s="20">
        <v>0.499305555555556</v>
      </c>
      <c r="V39" s="92">
        <f>(T39-U38)*24*60</f>
        <v>17.000000000000661</v>
      </c>
      <c r="W39" s="205">
        <f t="shared" si="18"/>
        <v>159.00000000000048</v>
      </c>
      <c r="X39" s="22">
        <v>0.5</v>
      </c>
      <c r="Y39" s="84">
        <v>0.54166666666666696</v>
      </c>
      <c r="Z39" s="90"/>
      <c r="AA39" s="90"/>
      <c r="AB39" s="387"/>
      <c r="AC39" s="387"/>
      <c r="AD39" s="200"/>
      <c r="AE39" s="200"/>
      <c r="AF39" s="314">
        <f t="shared" si="31"/>
        <v>-211.41509433962688</v>
      </c>
      <c r="AG39" s="206">
        <f t="shared" si="32"/>
        <v>0.86491048285007865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8"/>
        <v>0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1"/>
        <v>0</v>
      </c>
      <c r="AG40" s="206" t="e">
        <f t="shared" si="32"/>
        <v>#DIV/0!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1"/>
        <v>0</v>
      </c>
      <c r="AG41" s="206" t="e">
        <f t="shared" si="32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1565</v>
      </c>
      <c r="L48" s="158">
        <f t="shared" si="37"/>
        <v>92.058823529411768</v>
      </c>
      <c r="M48" s="155">
        <f t="shared" si="37"/>
        <v>17</v>
      </c>
      <c r="N48" s="155">
        <f t="shared" si="37"/>
        <v>1316.6200390370959</v>
      </c>
      <c r="O48" s="158">
        <f t="shared" si="37"/>
        <v>77.448237590417421</v>
      </c>
      <c r="P48" s="221">
        <f>M48-J48</f>
        <v>0</v>
      </c>
      <c r="Q48" s="222">
        <f>N48-K48</f>
        <v>-248.37996096290408</v>
      </c>
      <c r="R48" s="223">
        <f t="shared" ref="R48:R53" si="38">O48/L48</f>
        <v>0.84129075976811252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9">N48-K48</f>
        <v>-248.37996096290408</v>
      </c>
      <c r="AG48" s="162">
        <f t="shared" ref="AG48:AG53" si="40">N48/K48</f>
        <v>0.84129075976811241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745</v>
      </c>
      <c r="H49" s="134">
        <f>F49*G49</f>
        <v>42688.5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1">K49/J49</f>
        <v>107.14285714285714</v>
      </c>
      <c r="M49" s="170">
        <v>14</v>
      </c>
      <c r="N49" s="140">
        <f>G49/W49*60</f>
        <v>1277.142857142888</v>
      </c>
      <c r="O49" s="141">
        <f>N49/M49</f>
        <v>91.224489795920576</v>
      </c>
      <c r="P49" s="229">
        <f>M49-J49</f>
        <v>0</v>
      </c>
      <c r="Q49" s="230">
        <f>O49-L49</f>
        <v>-15.918367346936563</v>
      </c>
      <c r="R49" s="52">
        <f t="shared" si="38"/>
        <v>0.85142857142859207</v>
      </c>
      <c r="S49" s="376">
        <f>R58</f>
        <v>0.87851725955905058</v>
      </c>
      <c r="T49" s="191">
        <v>0.29166666666666702</v>
      </c>
      <c r="U49" s="191">
        <v>0.31597222222222199</v>
      </c>
      <c r="V49" s="55"/>
      <c r="W49" s="193">
        <f t="shared" si="18"/>
        <v>34.999999999999154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9"/>
        <v>-222.85714285711197</v>
      </c>
      <c r="AG49" s="52">
        <f t="shared" si="40"/>
        <v>0.85142857142859207</v>
      </c>
      <c r="AH49" s="382">
        <f>AG58</f>
        <v>0.87964494624645728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f>1043+32</f>
        <v>1075</v>
      </c>
      <c r="H50" s="231">
        <f>F50*G50</f>
        <v>53653.249999999993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1"/>
        <v>104.33333333333333</v>
      </c>
      <c r="M50" s="233">
        <v>15</v>
      </c>
      <c r="N50" s="234">
        <f>G50/W50*60</f>
        <v>1290.0000000000086</v>
      </c>
      <c r="O50" s="235">
        <f>N50/M50</f>
        <v>86.000000000000583</v>
      </c>
      <c r="P50" s="74">
        <f>M50-J50</f>
        <v>0</v>
      </c>
      <c r="Q50" s="83">
        <f>O50-L50</f>
        <v>-18.333333333332746</v>
      </c>
      <c r="R50" s="72">
        <f t="shared" si="38"/>
        <v>0.82428115015975001</v>
      </c>
      <c r="S50" s="377"/>
      <c r="T50" s="21">
        <v>0.32291666666666702</v>
      </c>
      <c r="U50" s="21">
        <v>0.35763888888888901</v>
      </c>
      <c r="V50" s="30">
        <f t="shared" ref="V50:V52" si="42">(T50-U49)*24*60</f>
        <v>10.000000000000844</v>
      </c>
      <c r="W50" s="236">
        <f t="shared" si="18"/>
        <v>49.999999999999659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39"/>
        <v>-274.99999999999136</v>
      </c>
      <c r="AG50" s="72">
        <f t="shared" si="40"/>
        <v>0.8242811501597499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4168</v>
      </c>
      <c r="H51" s="231">
        <f>F51*G51</f>
        <v>208274.96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1"/>
        <v>107.125</v>
      </c>
      <c r="M51" s="233">
        <v>16</v>
      </c>
      <c r="N51" s="234">
        <f>G51/W51*60</f>
        <v>1634.5098039215684</v>
      </c>
      <c r="O51" s="235">
        <f>N51/M51</f>
        <v>102.15686274509802</v>
      </c>
      <c r="P51" s="74">
        <f>M51-J51</f>
        <v>0</v>
      </c>
      <c r="Q51" s="83">
        <f>O51-L51</f>
        <v>-4.9681372549019756</v>
      </c>
      <c r="R51" s="72">
        <f t="shared" si="38"/>
        <v>0.95362298945249035</v>
      </c>
      <c r="S51" s="377"/>
      <c r="T51" s="21">
        <v>0.36458333333333298</v>
      </c>
      <c r="U51" s="19">
        <v>0.47083333333333299</v>
      </c>
      <c r="V51" s="30">
        <f t="shared" si="42"/>
        <v>9.999999999999325</v>
      </c>
      <c r="W51" s="236">
        <f t="shared" si="18"/>
        <v>153.00000000000003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9"/>
        <v>-79.490196078431609</v>
      </c>
      <c r="AG51" s="72">
        <f t="shared" si="40"/>
        <v>0.95362298945249035</v>
      </c>
      <c r="AH51" s="384"/>
    </row>
    <row r="52" spans="1:34" ht="15" customHeight="1">
      <c r="A52" s="396"/>
      <c r="B52" s="75" t="s">
        <v>120</v>
      </c>
      <c r="C52" s="86"/>
      <c r="D52" s="59" t="s">
        <v>121</v>
      </c>
      <c r="E52" s="87"/>
      <c r="F52" s="75">
        <f>VLOOKUP(D52,廠價表!$C$1:$E$41,3,0)</f>
        <v>49.91</v>
      </c>
      <c r="G52" s="202">
        <v>1340</v>
      </c>
      <c r="H52" s="231">
        <f>F52*G52</f>
        <v>66879.399999999994</v>
      </c>
      <c r="I52" s="232"/>
      <c r="J52" s="79">
        <f>VLOOKUP(D52,產線配置圖!$A$3:$C$38,2,0)</f>
        <v>15</v>
      </c>
      <c r="K52" s="80">
        <f>VLOOKUP(D52,產線配置圖!$A$3:$C$38,3,0)</f>
        <v>1565</v>
      </c>
      <c r="L52" s="81">
        <f t="shared" si="41"/>
        <v>104.33333333333333</v>
      </c>
      <c r="M52" s="233">
        <v>15</v>
      </c>
      <c r="N52" s="234">
        <f>G52/W52*60</f>
        <v>1410.5263157894867</v>
      </c>
      <c r="O52" s="235">
        <f>N52/M52</f>
        <v>94.035087719299113</v>
      </c>
      <c r="P52" s="74">
        <f>M52-J52</f>
        <v>0</v>
      </c>
      <c r="Q52" s="83">
        <f>O52-L52</f>
        <v>-10.298245614034215</v>
      </c>
      <c r="R52" s="72">
        <f t="shared" si="38"/>
        <v>0.90129477047251549</v>
      </c>
      <c r="S52" s="377"/>
      <c r="T52" s="21">
        <v>0.52986111111111101</v>
      </c>
      <c r="U52" s="21">
        <v>0.56944444444444398</v>
      </c>
      <c r="V52" s="30">
        <f t="shared" si="42"/>
        <v>85.000000000000341</v>
      </c>
      <c r="W52" s="236">
        <f t="shared" si="18"/>
        <v>56.999999999999474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9"/>
        <v>-154.47368421051328</v>
      </c>
      <c r="AG52" s="72">
        <f t="shared" si="40"/>
        <v>0.90129477047251549</v>
      </c>
      <c r="AH52" s="384"/>
    </row>
    <row r="53" spans="1:34" ht="15" customHeight="1">
      <c r="A53" s="396"/>
      <c r="B53" s="101" t="s">
        <v>81</v>
      </c>
      <c r="C53" s="102"/>
      <c r="D53" s="103" t="s">
        <v>127</v>
      </c>
      <c r="E53" s="104"/>
      <c r="F53" s="75">
        <f>VLOOKUP(D53,廠價表!$C$1:$E$41,3,0)</f>
        <v>49.97</v>
      </c>
      <c r="G53" s="202">
        <v>1107</v>
      </c>
      <c r="H53" s="231">
        <f>F53*G53</f>
        <v>55316.79</v>
      </c>
      <c r="I53" s="232"/>
      <c r="J53" s="79">
        <f>VLOOKUP(D53,產線配置圖!$A$3:$C$38,2,0)</f>
        <v>16</v>
      </c>
      <c r="K53" s="80">
        <f>VLOOKUP(D53,產線配置圖!$A$3:$C$38,3,0)</f>
        <v>1714</v>
      </c>
      <c r="L53" s="81">
        <f>K53/J53</f>
        <v>107.125</v>
      </c>
      <c r="M53" s="233">
        <v>16</v>
      </c>
      <c r="N53" s="234">
        <f>G53/W53*60</f>
        <v>1476</v>
      </c>
      <c r="O53" s="235">
        <f>N53/M53</f>
        <v>92.25</v>
      </c>
      <c r="P53" s="74">
        <f>M53-J53</f>
        <v>0</v>
      </c>
      <c r="Q53" s="83">
        <f>O53-L53</f>
        <v>-14.875</v>
      </c>
      <c r="R53" s="72">
        <f t="shared" si="38"/>
        <v>0.86114352392065341</v>
      </c>
      <c r="S53" s="377"/>
      <c r="T53" s="21">
        <v>0.57638888888888895</v>
      </c>
      <c r="U53" s="21">
        <v>0.60763888888888895</v>
      </c>
      <c r="V53" s="30"/>
      <c r="W53" s="236">
        <f t="shared" si="18"/>
        <v>45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9"/>
        <v>-238</v>
      </c>
      <c r="AG53" s="72">
        <f t="shared" si="40"/>
        <v>0.86114352392065341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3">AVERAGE(J49:J57)</f>
        <v>15.2</v>
      </c>
      <c r="K58" s="120">
        <f t="shared" si="43"/>
        <v>1611.6</v>
      </c>
      <c r="L58" s="117">
        <f t="shared" si="43"/>
        <v>106.01190476190477</v>
      </c>
      <c r="M58" s="120">
        <f t="shared" si="43"/>
        <v>15.2</v>
      </c>
      <c r="N58" s="120">
        <f t="shared" si="43"/>
        <v>1417.6357953707904</v>
      </c>
      <c r="O58" s="117">
        <f t="shared" si="43"/>
        <v>93.133288052063648</v>
      </c>
      <c r="P58" s="121">
        <f>M58-J58</f>
        <v>0</v>
      </c>
      <c r="Q58" s="122">
        <f>N58-K58</f>
        <v>-193.96420462920946</v>
      </c>
      <c r="R58" s="123">
        <f t="shared" ref="R58:R60" si="44">O58/L58</f>
        <v>0.87851725955905058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5">N58-K58</f>
        <v>-193.96420462920946</v>
      </c>
      <c r="AG58" s="124">
        <f t="shared" ref="AG58:AG61" si="46">N58/K58</f>
        <v>0.87964494624645728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f>3407+85</f>
        <v>3492</v>
      </c>
      <c r="H59" s="243">
        <f>F59*G59</f>
        <v>94249.08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7">K59/J59</f>
        <v>120.38461538461539</v>
      </c>
      <c r="M59" s="244">
        <v>14</v>
      </c>
      <c r="N59" s="137">
        <f t="shared" ref="N59:N62" si="48">G59/W59*60</f>
        <v>1676.1600000000112</v>
      </c>
      <c r="O59" s="138">
        <f t="shared" ref="O59:O62" si="49">N59/M59</f>
        <v>119.72571428571509</v>
      </c>
      <c r="P59" s="56">
        <f t="shared" ref="P59:P62" si="50">M59-J59</f>
        <v>1</v>
      </c>
      <c r="Q59" s="230">
        <f t="shared" ref="Q59:Q62" si="51">O59-L59</f>
        <v>-0.65890109890030146</v>
      </c>
      <c r="R59" s="52">
        <f t="shared" si="44"/>
        <v>0.99452670013693045</v>
      </c>
      <c r="S59" s="376">
        <f>R69</f>
        <v>0.8323097376128693</v>
      </c>
      <c r="T59" s="245">
        <v>0.29027777777777802</v>
      </c>
      <c r="U59" s="245">
        <v>0.37708333333333299</v>
      </c>
      <c r="V59" s="55"/>
      <c r="W59" s="54">
        <f t="shared" si="18"/>
        <v>124.99999999999916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5"/>
        <v>111.16000000001122</v>
      </c>
      <c r="AG59" s="246">
        <f t="shared" si="46"/>
        <v>1.0710287539936174</v>
      </c>
      <c r="AH59" s="382">
        <f>AG69</f>
        <v>0.85306323382298732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1672</v>
      </c>
      <c r="H60" s="78">
        <f>F60*G60</f>
        <v>47250.720000000001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7"/>
        <v>130.41666666666666</v>
      </c>
      <c r="M60" s="82">
        <v>12</v>
      </c>
      <c r="N60" s="80">
        <f t="shared" si="48"/>
        <v>1393.3333333333337</v>
      </c>
      <c r="O60" s="81">
        <f t="shared" si="49"/>
        <v>116.11111111111114</v>
      </c>
      <c r="P60" s="74">
        <f t="shared" si="50"/>
        <v>0</v>
      </c>
      <c r="Q60" s="83">
        <f t="shared" si="51"/>
        <v>-14.305555555555515</v>
      </c>
      <c r="R60" s="72">
        <f t="shared" si="44"/>
        <v>0.89030883919062864</v>
      </c>
      <c r="S60" s="394"/>
      <c r="T60" s="22">
        <v>0.38402777777777802</v>
      </c>
      <c r="U60" s="22">
        <v>0.43402777777777801</v>
      </c>
      <c r="V60" s="30">
        <f t="shared" ref="V60:V62" si="52">(T60-U59)*24*60</f>
        <v>10.000000000000844</v>
      </c>
      <c r="W60" s="248">
        <f t="shared" si="18"/>
        <v>71.999999999999986</v>
      </c>
      <c r="X60" s="232"/>
      <c r="Y60" s="177"/>
      <c r="Z60" s="90">
        <v>1</v>
      </c>
      <c r="AA60" s="90">
        <v>10</v>
      </c>
      <c r="AB60" s="501" t="s">
        <v>145</v>
      </c>
      <c r="AC60" s="502"/>
      <c r="AD60" s="92"/>
      <c r="AE60" s="92"/>
      <c r="AF60" s="316">
        <f t="shared" si="45"/>
        <v>-171.66666666666629</v>
      </c>
      <c r="AG60" s="249">
        <f t="shared" si="46"/>
        <v>0.89030883919062853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1419</v>
      </c>
      <c r="H61" s="254">
        <f>F61*G61</f>
        <v>40100.94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7"/>
        <v>130.41666666666666</v>
      </c>
      <c r="M61" s="108">
        <v>12</v>
      </c>
      <c r="N61" s="107">
        <f t="shared" si="48"/>
        <v>946</v>
      </c>
      <c r="O61" s="238">
        <f t="shared" si="49"/>
        <v>78.833333333333329</v>
      </c>
      <c r="P61" s="111">
        <f t="shared" si="50"/>
        <v>0</v>
      </c>
      <c r="Q61" s="255">
        <f t="shared" si="51"/>
        <v>-51.583333333333329</v>
      </c>
      <c r="R61" s="85">
        <f>O61/L61</f>
        <v>0.60447284345047925</v>
      </c>
      <c r="S61" s="377"/>
      <c r="T61" s="22">
        <v>0.44444444444444398</v>
      </c>
      <c r="U61" s="22">
        <v>0.50694444444444398</v>
      </c>
      <c r="V61" s="30">
        <f t="shared" si="52"/>
        <v>14.999999999998987</v>
      </c>
      <c r="W61" s="256">
        <f t="shared" si="18"/>
        <v>90</v>
      </c>
      <c r="X61" s="22"/>
      <c r="Y61" s="84"/>
      <c r="Z61" s="90">
        <v>1</v>
      </c>
      <c r="AA61" s="90">
        <v>5</v>
      </c>
      <c r="AB61" s="501" t="s">
        <v>146</v>
      </c>
      <c r="AC61" s="502"/>
      <c r="AD61" s="92"/>
      <c r="AE61" s="92"/>
      <c r="AF61" s="317">
        <f t="shared" si="45"/>
        <v>-619</v>
      </c>
      <c r="AG61" s="247">
        <f t="shared" si="46"/>
        <v>0.60447284345047925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f>1190+657</f>
        <v>1847</v>
      </c>
      <c r="H62" s="254">
        <f>F62*G62</f>
        <v>52196.22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7"/>
        <v>181.77777777777777</v>
      </c>
      <c r="M62" s="108">
        <v>9</v>
      </c>
      <c r="N62" s="107">
        <f t="shared" si="48"/>
        <v>1385.2499999999882</v>
      </c>
      <c r="O62" s="238">
        <f t="shared" si="49"/>
        <v>153.91666666666535</v>
      </c>
      <c r="P62" s="111">
        <f t="shared" si="50"/>
        <v>0</v>
      </c>
      <c r="Q62" s="255">
        <f t="shared" si="51"/>
        <v>-27.861111111112422</v>
      </c>
      <c r="R62" s="85">
        <f>O62/L62</f>
        <v>0.84672982885084858</v>
      </c>
      <c r="S62" s="377"/>
      <c r="T62" s="22">
        <v>0.5625</v>
      </c>
      <c r="U62" s="22">
        <v>0.61805555555555602</v>
      </c>
      <c r="V62" s="30">
        <f t="shared" si="52"/>
        <v>80.000000000000682</v>
      </c>
      <c r="W62" s="248">
        <f t="shared" si="18"/>
        <v>80.000000000000682</v>
      </c>
      <c r="X62" s="22">
        <v>0.51388888888888895</v>
      </c>
      <c r="Y62" s="84">
        <v>0.55555555555555602</v>
      </c>
      <c r="Z62" s="90"/>
      <c r="AA62" s="90"/>
      <c r="AB62" s="501"/>
      <c r="AC62" s="502"/>
      <c r="AD62" s="92"/>
      <c r="AE62" s="92"/>
      <c r="AF62" s="317">
        <f>N62-K62</f>
        <v>-250.75000000001182</v>
      </c>
      <c r="AG62" s="247">
        <f>N62/K62</f>
        <v>0.84672982885084846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11.5</v>
      </c>
      <c r="K69" s="240">
        <f t="shared" si="53"/>
        <v>1582.75</v>
      </c>
      <c r="L69" s="268">
        <f t="shared" si="53"/>
        <v>140.74893162393164</v>
      </c>
      <c r="M69" s="240">
        <f t="shared" si="53"/>
        <v>11.75</v>
      </c>
      <c r="N69" s="240">
        <f t="shared" si="53"/>
        <v>1350.1858333333332</v>
      </c>
      <c r="O69" s="268">
        <f t="shared" si="53"/>
        <v>117.14670634920623</v>
      </c>
      <c r="P69" s="269">
        <f>M69-J69</f>
        <v>0.25</v>
      </c>
      <c r="Q69" s="222">
        <f>N69-K69</f>
        <v>-232.56416666666678</v>
      </c>
      <c r="R69" s="123">
        <f t="shared" ref="R69:R74" si="54">O69/L69</f>
        <v>0.8323097376128693</v>
      </c>
      <c r="S69" s="380"/>
      <c r="T69" s="125"/>
      <c r="U69" s="125"/>
      <c r="V69" s="126"/>
      <c r="W69" s="242"/>
      <c r="X69" s="128"/>
      <c r="Y69" s="295"/>
      <c r="Z69" s="334">
        <f>SUM(Z59:Z68)</f>
        <v>2</v>
      </c>
      <c r="AA69" s="334">
        <f>SUM(AA59:AA68)</f>
        <v>15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-232.56416666666678</v>
      </c>
      <c r="AG69" s="124">
        <f>N69/K69</f>
        <v>0.85306323382298732</v>
      </c>
      <c r="AH69" s="386"/>
    </row>
    <row r="70" spans="1:36" ht="15" customHeight="1">
      <c r="A70" s="373" t="s">
        <v>55</v>
      </c>
      <c r="B70" s="129" t="s">
        <v>128</v>
      </c>
      <c r="C70" s="129"/>
      <c r="D70" s="131" t="s">
        <v>138</v>
      </c>
      <c r="E70" s="132"/>
      <c r="F70" s="129">
        <f>VLOOKUP(D70,廠價表!$C$1:$E$41,3,0)</f>
        <v>28.26</v>
      </c>
      <c r="G70" s="55">
        <v>2160</v>
      </c>
      <c r="H70" s="243">
        <f>F70*G70</f>
        <v>61041.600000000006</v>
      </c>
      <c r="I70" s="55"/>
      <c r="J70" s="136">
        <f>VLOOKUP(D70,產線配置圖!$A$3:$C$38,2,0)</f>
        <v>9</v>
      </c>
      <c r="K70" s="137">
        <f>VLOOKUP(D70,產線配置圖!$A$3:$C$38,3,0)</f>
        <v>1636</v>
      </c>
      <c r="L70" s="138">
        <f>K70/J70</f>
        <v>181.77777777777777</v>
      </c>
      <c r="M70" s="244">
        <v>9</v>
      </c>
      <c r="N70" s="137">
        <f>G70/W70*60</f>
        <v>1364.2105263157944</v>
      </c>
      <c r="O70" s="138">
        <f>N70/M70</f>
        <v>151.57894736842161</v>
      </c>
      <c r="P70" s="56">
        <f>M70-J70</f>
        <v>0</v>
      </c>
      <c r="Q70" s="230">
        <f>O70-L70</f>
        <v>-30.198830409356162</v>
      </c>
      <c r="R70" s="52">
        <f t="shared" si="54"/>
        <v>0.83386951486295513</v>
      </c>
      <c r="S70" s="376">
        <f>R79</f>
        <v>0.890956250179333</v>
      </c>
      <c r="T70" s="245">
        <v>0.33680555555555602</v>
      </c>
      <c r="U70" s="245">
        <v>0.40277777777777801</v>
      </c>
      <c r="V70" s="55"/>
      <c r="W70" s="54">
        <f t="shared" si="18"/>
        <v>94.999999999999659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-271.78947368420563</v>
      </c>
      <c r="AG70" s="246">
        <f>N70/K70</f>
        <v>0.83386951486295502</v>
      </c>
      <c r="AH70" s="382">
        <f>AG79</f>
        <v>0.90243135715930456</v>
      </c>
    </row>
    <row r="71" spans="1:36" ht="15" customHeight="1">
      <c r="A71" s="374"/>
      <c r="B71" s="75" t="s">
        <v>81</v>
      </c>
      <c r="C71" s="76"/>
      <c r="D71" s="59" t="s">
        <v>132</v>
      </c>
      <c r="E71" s="77"/>
      <c r="F71" s="250">
        <f>VLOOKUP(D71,廠價表!$C$1:$E$41,3,0)</f>
        <v>50.67</v>
      </c>
      <c r="G71" s="30">
        <v>1370</v>
      </c>
      <c r="H71" s="254">
        <f>F71*G71</f>
        <v>69417.900000000009</v>
      </c>
      <c r="I71" s="182"/>
      <c r="J71" s="106">
        <f>VLOOKUP(D71,產線配置圖!$A$3:$C$38,2,0)</f>
        <v>10</v>
      </c>
      <c r="K71" s="107">
        <f>VLOOKUP(D71,產線配置圖!$A$3:$C$38,3,0)</f>
        <v>1125</v>
      </c>
      <c r="L71" s="238">
        <f t="shared" ref="L71:L73" si="55">K71/J71</f>
        <v>112.5</v>
      </c>
      <c r="M71" s="82">
        <v>12</v>
      </c>
      <c r="N71" s="107">
        <f t="shared" ref="N71:N73" si="56">G71/W71*60</f>
        <v>1264.6153846153813</v>
      </c>
      <c r="O71" s="238">
        <f t="shared" ref="O71:O73" si="57">N71/M71</f>
        <v>105.38461538461512</v>
      </c>
      <c r="P71" s="111">
        <f t="shared" ref="P71:P73" si="58">M71-J71</f>
        <v>2</v>
      </c>
      <c r="Q71" s="255">
        <f t="shared" ref="Q71:Q73" si="59">O71-L71</f>
        <v>-7.1153846153848832</v>
      </c>
      <c r="R71" s="85">
        <f t="shared" si="54"/>
        <v>0.93675213675213442</v>
      </c>
      <c r="S71" s="377"/>
      <c r="T71" s="22">
        <v>0.41319444444444398</v>
      </c>
      <c r="U71" s="22">
        <v>0.45833333333333298</v>
      </c>
      <c r="V71" s="30">
        <f t="shared" ref="V71:V74" si="60">(T71-U70)*24*60</f>
        <v>14.999999999998987</v>
      </c>
      <c r="W71" s="73">
        <f t="shared" si="18"/>
        <v>65.000000000000171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134</v>
      </c>
      <c r="E72" s="77"/>
      <c r="F72" s="250">
        <f>VLOOKUP(D72,廠價表!$C$1:$E$41,3,0)</f>
        <v>56.43</v>
      </c>
      <c r="G72" s="202">
        <v>1080</v>
      </c>
      <c r="H72" s="254">
        <f>F72*G72</f>
        <v>60944.4</v>
      </c>
      <c r="I72" s="182"/>
      <c r="J72" s="106">
        <f>VLOOKUP(D72,產線配置圖!$A$3:$C$38,2,0)</f>
        <v>16</v>
      </c>
      <c r="K72" s="107">
        <f>VLOOKUP(D72,產線配置圖!$A$3:$C$38,3,0)</f>
        <v>1406</v>
      </c>
      <c r="L72" s="238">
        <f t="shared" si="55"/>
        <v>87.875</v>
      </c>
      <c r="M72" s="82">
        <v>12</v>
      </c>
      <c r="N72" s="107">
        <f t="shared" si="56"/>
        <v>996.92307692307554</v>
      </c>
      <c r="O72" s="238">
        <f t="shared" si="57"/>
        <v>83.076923076922967</v>
      </c>
      <c r="P72" s="111">
        <f t="shared" si="58"/>
        <v>-4</v>
      </c>
      <c r="Q72" s="255">
        <f t="shared" si="59"/>
        <v>-4.7980769230770335</v>
      </c>
      <c r="R72" s="85">
        <f t="shared" si="54"/>
        <v>0.94539884013568098</v>
      </c>
      <c r="S72" s="377"/>
      <c r="T72" s="22">
        <v>0.46527777777777801</v>
      </c>
      <c r="U72" s="22">
        <v>0.51041666666666696</v>
      </c>
      <c r="V72" s="30">
        <f t="shared" si="60"/>
        <v>10.000000000000844</v>
      </c>
      <c r="W72" s="73">
        <f t="shared" si="18"/>
        <v>65.000000000000085</v>
      </c>
      <c r="X72" s="272">
        <v>0.52083333333333304</v>
      </c>
      <c r="Y72" s="288">
        <v>0.5625</v>
      </c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58"/>
      <c r="D73" s="259" t="s">
        <v>132</v>
      </c>
      <c r="E73" s="60"/>
      <c r="F73" s="250">
        <f>VLOOKUP(D73,廠價表!$C$1:$E$41,3,0)</f>
        <v>50.67</v>
      </c>
      <c r="G73" s="273">
        <v>1029</v>
      </c>
      <c r="H73" s="361">
        <f>F73*G73</f>
        <v>52139.43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 t="shared" si="55"/>
        <v>112.5</v>
      </c>
      <c r="M73" s="94">
        <v>10</v>
      </c>
      <c r="N73" s="107">
        <f t="shared" si="56"/>
        <v>1122.5454545454652</v>
      </c>
      <c r="O73" s="238">
        <f t="shared" si="57"/>
        <v>112.25454545454652</v>
      </c>
      <c r="P73" s="111">
        <f t="shared" si="58"/>
        <v>0</v>
      </c>
      <c r="Q73" s="255">
        <f t="shared" si="59"/>
        <v>-0.24545454545348377</v>
      </c>
      <c r="R73" s="85">
        <f t="shared" si="54"/>
        <v>0.99781818181819126</v>
      </c>
      <c r="S73" s="377"/>
      <c r="T73" s="22">
        <v>0.57291666666666696</v>
      </c>
      <c r="U73" s="22">
        <v>0.61111111111111105</v>
      </c>
      <c r="V73" s="30">
        <f t="shared" si="60"/>
        <v>90</v>
      </c>
      <c r="W73" s="73">
        <f t="shared" si="18"/>
        <v>54.999999999999488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30" t="s">
        <v>128</v>
      </c>
      <c r="C74" s="151"/>
      <c r="D74" s="59" t="s">
        <v>138</v>
      </c>
      <c r="E74" s="87"/>
      <c r="F74" s="250">
        <f>VLOOKUP(D74,廠價表!$C$1:$E$41,3,0)</f>
        <v>28.26</v>
      </c>
      <c r="G74" s="30">
        <v>802</v>
      </c>
      <c r="H74" s="361">
        <f>F74*G74</f>
        <v>22664.52</v>
      </c>
      <c r="I74" s="182"/>
      <c r="J74" s="106">
        <f>VLOOKUP(D74,產線配置圖!$A$3:$C$38,2,0)</f>
        <v>9</v>
      </c>
      <c r="K74" s="107">
        <f>VLOOKUP(D74,產線配置圖!$A$3:$C$38,3,0)</f>
        <v>1636</v>
      </c>
      <c r="L74" s="238">
        <f>K74/J74</f>
        <v>181.77777777777777</v>
      </c>
      <c r="M74" s="94">
        <v>10</v>
      </c>
      <c r="N74" s="107">
        <f>G74/W74*60</f>
        <v>1503.7499999999452</v>
      </c>
      <c r="O74" s="238">
        <f>N74/M74</f>
        <v>150.37499999999451</v>
      </c>
      <c r="P74" s="111">
        <f>M74-J74</f>
        <v>1</v>
      </c>
      <c r="Q74" s="255">
        <f>O74-L74</f>
        <v>-31.402777777783257</v>
      </c>
      <c r="R74" s="85">
        <f t="shared" si="54"/>
        <v>0.82724633251830726</v>
      </c>
      <c r="S74" s="377"/>
      <c r="T74" s="22">
        <v>0.68958333333333299</v>
      </c>
      <c r="U74" s="22">
        <v>0.71180555555555602</v>
      </c>
      <c r="V74" s="30">
        <f t="shared" si="60"/>
        <v>112.9999999999996</v>
      </c>
      <c r="W74" s="73">
        <f t="shared" si="18"/>
        <v>32.000000000001165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1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2">AVERAGE(J70:J78)</f>
        <v>10.8</v>
      </c>
      <c r="K79" s="240">
        <f t="shared" si="62"/>
        <v>1385.6</v>
      </c>
      <c r="L79" s="268">
        <f t="shared" si="62"/>
        <v>135.2861111111111</v>
      </c>
      <c r="M79" s="240">
        <f t="shared" si="62"/>
        <v>10.6</v>
      </c>
      <c r="N79" s="240">
        <f t="shared" si="62"/>
        <v>1250.4088884799323</v>
      </c>
      <c r="O79" s="268">
        <f t="shared" si="62"/>
        <v>120.53400625690014</v>
      </c>
      <c r="P79" s="269">
        <f>M79-J79</f>
        <v>-0.20000000000000107</v>
      </c>
      <c r="Q79" s="222">
        <f>N79-K79</f>
        <v>-135.19111152006758</v>
      </c>
      <c r="R79" s="223">
        <f>O79/L79</f>
        <v>0.890956250179333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-135.19111152006758</v>
      </c>
      <c r="AG79" s="124">
        <f>N79/K79</f>
        <v>0.90243135715930456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R3:R4"/>
    <mergeCell ref="V3:V4"/>
    <mergeCell ref="W3:W4"/>
    <mergeCell ref="X3:Y3"/>
    <mergeCell ref="Z3:AA3"/>
    <mergeCell ref="T3:U3"/>
    <mergeCell ref="A5:A15"/>
    <mergeCell ref="S5:S15"/>
    <mergeCell ref="AB5:AC5"/>
    <mergeCell ref="AB13:AC13"/>
    <mergeCell ref="AB25:AC25"/>
    <mergeCell ref="AB9:AC9"/>
    <mergeCell ref="AB10:AC10"/>
    <mergeCell ref="AB11:AC11"/>
    <mergeCell ref="AB12:AC12"/>
    <mergeCell ref="A2:B2"/>
    <mergeCell ref="A3:A4"/>
    <mergeCell ref="B3:B4"/>
    <mergeCell ref="D3:E4"/>
    <mergeCell ref="F3:F4"/>
    <mergeCell ref="P3:P4"/>
    <mergeCell ref="Q3:Q4"/>
    <mergeCell ref="AH16:AH26"/>
    <mergeCell ref="AB17:AC17"/>
    <mergeCell ref="AB18:AC18"/>
    <mergeCell ref="AB19:AC19"/>
    <mergeCell ref="AB14:AC14"/>
    <mergeCell ref="AH5:AH15"/>
    <mergeCell ref="AB6:AC6"/>
    <mergeCell ref="AB7:AC7"/>
    <mergeCell ref="AB3:AC4"/>
    <mergeCell ref="AB8:AC8"/>
    <mergeCell ref="AG3:AG4"/>
    <mergeCell ref="AH3:AH4"/>
    <mergeCell ref="AD3:AE3"/>
    <mergeCell ref="AF3:AF4"/>
    <mergeCell ref="D15:E15"/>
    <mergeCell ref="AB15:AC15"/>
    <mergeCell ref="A16:A26"/>
    <mergeCell ref="A27:A37"/>
    <mergeCell ref="S27:S37"/>
    <mergeCell ref="AB27:AC27"/>
    <mergeCell ref="D37:E37"/>
    <mergeCell ref="AB20:AC20"/>
    <mergeCell ref="AB21:AC21"/>
    <mergeCell ref="AB22:AC22"/>
    <mergeCell ref="AB23:AC23"/>
    <mergeCell ref="AB24:AC24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B55:AC55"/>
    <mergeCell ref="AB56:AC56"/>
    <mergeCell ref="AH49:AH58"/>
    <mergeCell ref="AB50:AC50"/>
    <mergeCell ref="AB51:AC51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38:A48"/>
    <mergeCell ref="S38:S48"/>
    <mergeCell ref="AB38:AC38"/>
    <mergeCell ref="D48:E48"/>
    <mergeCell ref="AB48:AC48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59:A69"/>
    <mergeCell ref="S59:S69"/>
    <mergeCell ref="AB59:AC59"/>
    <mergeCell ref="D69:E69"/>
    <mergeCell ref="AB69:AC69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742B16-034D-422B-8BAA-0F2AF111D70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0104-E5A7-4FB5-8B6B-6BC036F5AAD2}">
  <dimension ref="B1:O26"/>
  <sheetViews>
    <sheetView zoomScale="70" zoomScaleNormal="70" workbookViewId="0">
      <selection activeCell="E17" sqref="E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46087</v>
      </c>
      <c r="E3" s="466"/>
      <c r="F3" s="3" t="s">
        <v>72</v>
      </c>
      <c r="G3" s="467">
        <f>'0306'!E1</f>
        <v>51832</v>
      </c>
      <c r="H3" s="467"/>
      <c r="I3" s="3" t="s">
        <v>2</v>
      </c>
      <c r="J3" s="468">
        <f>'0306'!G1</f>
        <v>2407053.3199999998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130.76359333166059</v>
      </c>
      <c r="G6" s="473"/>
      <c r="H6" s="474">
        <f>AVERAGE(D13:H13,J13)</f>
        <v>129.09937028294874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18</v>
      </c>
      <c r="O6" s="477">
        <f>SUM(D20:J20)</f>
        <v>18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112.42239554229259</v>
      </c>
      <c r="G7" s="497"/>
      <c r="H7" s="498">
        <f>AVERAGE(D14:H14,J14)</f>
        <v>112.05290803461895</v>
      </c>
      <c r="I7" s="498"/>
      <c r="J7" s="498">
        <f>AVERAGE(I14)</f>
        <v>114.63932058833439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0.85973773493017636</v>
      </c>
      <c r="G8" s="470"/>
      <c r="H8" s="470">
        <f>H7/H6</f>
        <v>0.86795859491050309</v>
      </c>
      <c r="I8" s="470"/>
      <c r="J8" s="470">
        <f>J7/J6</f>
        <v>0.81449513872432255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VALUE('0306'!L15)</f>
        <v>144.14871794871794</v>
      </c>
      <c r="E13" s="13">
        <f>VALUE('0306'!L26)</f>
        <v>183.0587121212121</v>
      </c>
      <c r="F13" s="13">
        <f>VALUE('0306'!L37)</f>
        <v>91.25919117647058</v>
      </c>
      <c r="G13" s="13">
        <f>VALUE('0306'!L48)</f>
        <v>91.012867647058826</v>
      </c>
      <c r="H13" s="13">
        <f>VALUE('0306'!L58)</f>
        <v>106.43154761904762</v>
      </c>
      <c r="I13" s="13">
        <f>VALUE('0306'!L69)</f>
        <v>140.74893162393164</v>
      </c>
      <c r="J13" s="13">
        <f>'0306'!L79</f>
        <v>158.68518518518519</v>
      </c>
    </row>
    <row r="14" spans="2:15" ht="39.950000000000003" customHeight="1">
      <c r="B14" s="491"/>
      <c r="C14" s="12" t="s">
        <v>100</v>
      </c>
      <c r="D14" s="13">
        <f>VALUE('0306'!O15)</f>
        <v>123.8124309251784</v>
      </c>
      <c r="E14" s="13">
        <f>VALUE('0306'!O26)</f>
        <v>154.06874720034298</v>
      </c>
      <c r="F14" s="13">
        <f>VALUE('0306'!O37)</f>
        <v>82.448351518026953</v>
      </c>
      <c r="G14" s="13">
        <f>VALUE('0306'!O48)</f>
        <v>76.572091194167101</v>
      </c>
      <c r="H14" s="13">
        <f>VALUE('0306'!O58)</f>
        <v>98.465249765658513</v>
      </c>
      <c r="I14" s="13">
        <f>VALUE('0306'!O69)</f>
        <v>114.63932058833439</v>
      </c>
      <c r="J14" s="13">
        <f>'0306'!O79</f>
        <v>136.95057760433974</v>
      </c>
    </row>
    <row r="15" spans="2:15" ht="39.950000000000003" customHeight="1">
      <c r="B15" s="492"/>
      <c r="C15" s="10" t="s">
        <v>26</v>
      </c>
      <c r="D15" s="14">
        <f>D14/D13</f>
        <v>0.85892148530398771</v>
      </c>
      <c r="E15" s="14">
        <f t="shared" ref="E15:I15" si="1">E14/E13</f>
        <v>0.84163569936145166</v>
      </c>
      <c r="F15" s="14">
        <f t="shared" si="1"/>
        <v>0.90345257781864574</v>
      </c>
      <c r="G15" s="14">
        <f t="shared" si="1"/>
        <v>0.84133258487259199</v>
      </c>
      <c r="H15" s="14">
        <f t="shared" si="1"/>
        <v>0.92515097232351606</v>
      </c>
      <c r="I15" s="14">
        <f t="shared" si="1"/>
        <v>0.81449513872432255</v>
      </c>
      <c r="J15" s="15">
        <f>'0306'!S70</f>
        <v>0.86303316497074878</v>
      </c>
    </row>
    <row r="16" spans="2:15" ht="17.25" customHeight="1">
      <c r="B16" s="493" t="s">
        <v>101</v>
      </c>
      <c r="C16" s="10" t="s">
        <v>34</v>
      </c>
      <c r="D16" s="16">
        <f>'0306'!T5</f>
        <v>0.29027777777777802</v>
      </c>
      <c r="E16" s="16">
        <f>'0306'!T16</f>
        <v>0.29027777777777802</v>
      </c>
      <c r="F16" s="16">
        <f>'0306'!T27</f>
        <v>0.29027777777777802</v>
      </c>
      <c r="G16" s="16">
        <f>'0306'!T38</f>
        <v>0.29166666666666702</v>
      </c>
      <c r="H16" s="16">
        <f>'0306'!T49</f>
        <v>0.29027777777777802</v>
      </c>
      <c r="I16" s="16">
        <f>'0306'!T59</f>
        <v>0.29166666666666702</v>
      </c>
      <c r="J16" s="16">
        <f>'0306'!T70</f>
        <v>0.33333333333333298</v>
      </c>
    </row>
    <row r="17" spans="2:10" ht="17.25" customHeight="1">
      <c r="B17" s="494"/>
      <c r="C17" s="10" t="s">
        <v>35</v>
      </c>
      <c r="D17" s="16">
        <v>0.59722222222222199</v>
      </c>
      <c r="E17" s="19">
        <v>0.59722222222222199</v>
      </c>
      <c r="F17" s="19">
        <v>0.44513888888888897</v>
      </c>
      <c r="G17" s="210">
        <v>0.59097222222222201</v>
      </c>
      <c r="H17" s="21">
        <v>0.57638888888888895</v>
      </c>
      <c r="I17" s="22">
        <v>0.61805555555555602</v>
      </c>
      <c r="J17" s="22">
        <v>0.59722222222222199</v>
      </c>
    </row>
    <row r="18" spans="2:10" ht="17.25" customHeight="1">
      <c r="B18" s="495" t="s">
        <v>102</v>
      </c>
      <c r="C18" s="330" t="s">
        <v>36</v>
      </c>
      <c r="D18" s="358">
        <f>'0306'!Z15</f>
        <v>0</v>
      </c>
      <c r="E18" s="359">
        <f>'0306'!Z26</f>
        <v>0</v>
      </c>
      <c r="F18" s="359">
        <f>'0306'!Z37</f>
        <v>0</v>
      </c>
      <c r="G18" s="360">
        <f>'0306'!Z48</f>
        <v>0</v>
      </c>
      <c r="H18" s="360">
        <f>'0306'!Z58</f>
        <v>0</v>
      </c>
      <c r="I18" s="359">
        <f>'0306'!Z69</f>
        <v>0</v>
      </c>
      <c r="J18" s="359">
        <f>'0306'!AA79</f>
        <v>0</v>
      </c>
    </row>
    <row r="19" spans="2:10" ht="17.25" customHeight="1">
      <c r="B19" s="496"/>
      <c r="C19" s="330" t="s">
        <v>37</v>
      </c>
      <c r="D19" s="358">
        <f>'0306'!AA15</f>
        <v>0</v>
      </c>
      <c r="E19" s="359">
        <f>'0306'!AA26</f>
        <v>0</v>
      </c>
      <c r="F19" s="359">
        <f>'0306'!AA37</f>
        <v>0</v>
      </c>
      <c r="G19" s="360">
        <f>'0306'!AA48</f>
        <v>0</v>
      </c>
      <c r="H19" s="360">
        <f>'0306'!AA58</f>
        <v>0</v>
      </c>
      <c r="I19" s="359">
        <f>'0306'!AA69</f>
        <v>0</v>
      </c>
      <c r="J19" s="359">
        <f>'0306'!AB79</f>
        <v>0</v>
      </c>
    </row>
    <row r="20" spans="2:10" ht="17.25" customHeight="1">
      <c r="B20" s="495" t="s">
        <v>103</v>
      </c>
      <c r="C20" s="330" t="s">
        <v>36</v>
      </c>
      <c r="D20" s="358">
        <f>'0306'!AD15</f>
        <v>8</v>
      </c>
      <c r="E20" s="359">
        <f>'0306'!AD26</f>
        <v>9</v>
      </c>
      <c r="F20" s="359">
        <f>'0306'!AD37</f>
        <v>0</v>
      </c>
      <c r="G20" s="360">
        <f>'0306'!AD48</f>
        <v>0</v>
      </c>
      <c r="H20" s="360">
        <f>'0306'!AD58</f>
        <v>0</v>
      </c>
      <c r="I20" s="359">
        <f>'0306'!AD69</f>
        <v>1</v>
      </c>
      <c r="J20" s="359">
        <f>'0306'!AD79</f>
        <v>0</v>
      </c>
    </row>
    <row r="21" spans="2:10" ht="17.25" customHeight="1">
      <c r="B21" s="496"/>
      <c r="C21" s="330" t="s">
        <v>85</v>
      </c>
      <c r="D21" s="358">
        <f>'0306'!AE15</f>
        <v>8</v>
      </c>
      <c r="E21" s="359">
        <f>'0306'!AE26</f>
        <v>9</v>
      </c>
      <c r="F21" s="359">
        <f>'0306'!AE37</f>
        <v>0</v>
      </c>
      <c r="G21" s="360">
        <f>'0306'!AE48</f>
        <v>0</v>
      </c>
      <c r="H21" s="360">
        <f>'0306'!AE58</f>
        <v>0</v>
      </c>
      <c r="I21" s="359">
        <f>'0306'!AE69</f>
        <v>2</v>
      </c>
      <c r="J21" s="359">
        <f>'0306'!AE79</f>
        <v>0</v>
      </c>
    </row>
    <row r="22" spans="2:10" ht="17.25" customHeight="1">
      <c r="B22" s="479" t="s">
        <v>104</v>
      </c>
      <c r="C22" s="480"/>
      <c r="D22" s="23">
        <f>VALUE('0306'!M15)</f>
        <v>14.6</v>
      </c>
      <c r="E22" s="23">
        <f>VALUE('0306'!M26)</f>
        <v>12.5</v>
      </c>
      <c r="F22" s="23">
        <f>VALUE('0306'!M37)</f>
        <v>16.5</v>
      </c>
      <c r="G22" s="23">
        <f>VALUE('0306'!M48)</f>
        <v>16.75</v>
      </c>
      <c r="H22" s="23">
        <f>VALUE('0306'!M58)</f>
        <v>16.5</v>
      </c>
      <c r="I22" s="23">
        <f>VALUE('0306'!M69)</f>
        <v>11.25</v>
      </c>
      <c r="J22" s="23">
        <f>'0306'!M79</f>
        <v>9.6666666666666661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545D-54E4-4579-B17C-F95F7418C736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I31" sqref="I31"/>
      <selection pane="topRight" activeCell="I31" sqref="I31"/>
      <selection pane="bottomLeft" activeCell="I31" sqref="I31"/>
      <selection pane="bottomRight" activeCell="K42" sqref="K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51832</v>
      </c>
      <c r="F1" s="30" t="s">
        <v>2</v>
      </c>
      <c r="G1" s="31">
        <f>SUM(H5:H79)</f>
        <v>2407053.3199999998</v>
      </c>
      <c r="H1" s="32" t="s">
        <v>3</v>
      </c>
      <c r="I1" s="33">
        <f>M15+M26+M48+M58+M69+M79+M37</f>
        <v>97.766666666666666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147</v>
      </c>
      <c r="B2" s="447"/>
      <c r="C2" s="28"/>
      <c r="D2" s="28" t="s">
        <v>14</v>
      </c>
      <c r="E2" s="35">
        <f>AVERAGE(O15,O26,O37,O48,O58,O69,O79)</f>
        <v>112.42239554229259</v>
      </c>
      <c r="F2" s="36" t="s">
        <v>15</v>
      </c>
      <c r="G2" s="37">
        <f>G1/E1</f>
        <v>46.439522302824507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18</v>
      </c>
      <c r="AE2" s="340">
        <f>AE15+AE26+AE37+AE48+AE58+AE69+AE79</f>
        <v>19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f>2154+17</f>
        <v>2171</v>
      </c>
      <c r="H5" s="43">
        <f>F5*G5</f>
        <v>103578.41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8" si="0">K5/J5</f>
        <v>102.25</v>
      </c>
      <c r="M5" s="48">
        <v>16</v>
      </c>
      <c r="N5" s="46">
        <f t="shared" ref="N5:N8" si="1">G5/W5*60</f>
        <v>1550.7142857142958</v>
      </c>
      <c r="O5" s="47">
        <f t="shared" ref="O5:O8" si="2">N5/M5</f>
        <v>96.919642857143486</v>
      </c>
      <c r="P5" s="49">
        <f t="shared" ref="P5:P8" si="3">M5-J5</f>
        <v>0</v>
      </c>
      <c r="Q5" s="50">
        <f t="shared" ref="Q5:Q8" si="4">O5-L5</f>
        <v>-5.3303571428565135</v>
      </c>
      <c r="R5" s="51">
        <f>O5/L5</f>
        <v>0.94786936779602426</v>
      </c>
      <c r="S5" s="376">
        <f>R15</f>
        <v>0.85892148530398771</v>
      </c>
      <c r="T5" s="319">
        <v>0.29027777777777802</v>
      </c>
      <c r="U5" s="320">
        <v>0.34861111111111098</v>
      </c>
      <c r="V5" s="53"/>
      <c r="W5" s="54">
        <f t="shared" ref="W5:W14" si="5">(U5-T5)*24*60</f>
        <v>83.99999999999946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6">N5-K5</f>
        <v>-85.285714285704216</v>
      </c>
      <c r="AG5" s="52">
        <f t="shared" ref="AG5:AG11" si="7">N5/K5</f>
        <v>0.94786936779602426</v>
      </c>
      <c r="AH5" s="382">
        <f>AG15</f>
        <v>0.91510058714591647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1129</v>
      </c>
      <c r="H6" s="78">
        <f>F6*G6</f>
        <v>63540.12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1505.3333333333333</v>
      </c>
      <c r="O6" s="81">
        <f t="shared" si="2"/>
        <v>100.35555555555555</v>
      </c>
      <c r="P6" s="74">
        <f t="shared" si="3"/>
        <v>0</v>
      </c>
      <c r="Q6" s="83">
        <f t="shared" si="4"/>
        <v>-19.644444444444446</v>
      </c>
      <c r="R6" s="72">
        <f>O6/L6</f>
        <v>0.83629629629629632</v>
      </c>
      <c r="S6" s="377"/>
      <c r="T6" s="18">
        <v>0.35555555555555601</v>
      </c>
      <c r="U6" s="18">
        <v>0.38680555555555601</v>
      </c>
      <c r="V6" s="30">
        <f>(T6-U5)*24*60</f>
        <v>10.000000000000844</v>
      </c>
      <c r="W6" s="73">
        <f t="shared" si="5"/>
        <v>45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-294.66666666666674</v>
      </c>
      <c r="AG6" s="72">
        <f t="shared" si="7"/>
        <v>0.8362962962962962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4179</v>
      </c>
      <c r="H7" s="78">
        <f t="shared" ref="H7:H8" si="8">F7*G7</f>
        <v>205356.06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15</v>
      </c>
      <c r="N7" s="80">
        <f t="shared" si="1"/>
        <v>2055.2459016393486</v>
      </c>
      <c r="O7" s="81">
        <f t="shared" si="2"/>
        <v>137.01639344262324</v>
      </c>
      <c r="P7" s="74">
        <f t="shared" si="3"/>
        <v>2</v>
      </c>
      <c r="Q7" s="83">
        <f t="shared" si="4"/>
        <v>-24.522068095838307</v>
      </c>
      <c r="R7" s="72">
        <f t="shared" ref="R7:R8" si="9">O7/L7</f>
        <v>0.84819672131147716</v>
      </c>
      <c r="S7" s="377"/>
      <c r="T7" s="16">
        <v>0.39374999999999999</v>
      </c>
      <c r="U7" s="16">
        <v>0.47847222222222202</v>
      </c>
      <c r="V7" s="30">
        <f>(T7-U6)*24*60</f>
        <v>9.999999999999325</v>
      </c>
      <c r="W7" s="73">
        <f t="shared" si="5"/>
        <v>121.99999999999973</v>
      </c>
      <c r="X7" s="22"/>
      <c r="Y7" s="84"/>
      <c r="Z7" s="90"/>
      <c r="AA7" s="90"/>
      <c r="AB7" s="504"/>
      <c r="AC7" s="505"/>
      <c r="AD7" s="92"/>
      <c r="AE7" s="92"/>
      <c r="AF7" s="307">
        <f t="shared" si="6"/>
        <v>-44.754098360651369</v>
      </c>
      <c r="AG7" s="72">
        <f t="shared" si="7"/>
        <v>0.97868852459016598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1060</v>
      </c>
      <c r="H8" s="78">
        <f t="shared" si="8"/>
        <v>52088.4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15</v>
      </c>
      <c r="N8" s="80">
        <f t="shared" si="1"/>
        <v>1927.2727272727807</v>
      </c>
      <c r="O8" s="81">
        <f t="shared" si="2"/>
        <v>128.48484848485205</v>
      </c>
      <c r="P8" s="74">
        <f t="shared" si="3"/>
        <v>2</v>
      </c>
      <c r="Q8" s="83">
        <f t="shared" si="4"/>
        <v>-33.053613053609496</v>
      </c>
      <c r="R8" s="72">
        <f t="shared" si="9"/>
        <v>0.7953823953824174</v>
      </c>
      <c r="S8" s="377"/>
      <c r="T8" s="16">
        <v>0.54166666666666696</v>
      </c>
      <c r="U8" s="16">
        <v>0.56458333333333299</v>
      </c>
      <c r="V8" s="30">
        <f>(T8-U7)*24*60</f>
        <v>91.000000000000711</v>
      </c>
      <c r="W8" s="73">
        <f t="shared" si="5"/>
        <v>32.999999999999083</v>
      </c>
      <c r="X8" s="22">
        <v>0.48611111111111099</v>
      </c>
      <c r="Y8" s="84">
        <v>0.52777777777777801</v>
      </c>
      <c r="Z8" s="90"/>
      <c r="AA8" s="90"/>
      <c r="AB8" s="388" t="s">
        <v>114</v>
      </c>
      <c r="AC8" s="388"/>
      <c r="AD8" s="149"/>
      <c r="AE8" s="149"/>
      <c r="AF8" s="307">
        <f t="shared" si="6"/>
        <v>-172.72727272721932</v>
      </c>
      <c r="AG8" s="72">
        <f t="shared" si="7"/>
        <v>0.91774891774894318</v>
      </c>
      <c r="AH8" s="384"/>
    </row>
    <row r="9" spans="1:34" ht="15" customHeight="1">
      <c r="A9" s="424"/>
      <c r="B9" s="75" t="s">
        <v>81</v>
      </c>
      <c r="C9" s="76"/>
      <c r="D9" s="59" t="s">
        <v>113</v>
      </c>
      <c r="E9" s="77"/>
      <c r="F9" s="75">
        <f>VLOOKUP(D9,廠價表!$C$1:$E$41,3,0)</f>
        <v>57.21</v>
      </c>
      <c r="G9" s="66">
        <v>1094</v>
      </c>
      <c r="H9" s="78">
        <f>F9*G9</f>
        <v>62587.74</v>
      </c>
      <c r="I9" s="73"/>
      <c r="J9" s="79">
        <f>VLOOKUP(D9,產線配置圖!$A$3:$C$38,2,0)</f>
        <v>12</v>
      </c>
      <c r="K9" s="80">
        <f>VLOOKUP(D9,產線配置圖!$A$3:$C$38,3,0)</f>
        <v>2105</v>
      </c>
      <c r="L9" s="81">
        <f>K9/J9</f>
        <v>175.41666666666666</v>
      </c>
      <c r="M9" s="82">
        <v>12</v>
      </c>
      <c r="N9" s="80">
        <f>G9/W9*60</f>
        <v>1875.4285714286125</v>
      </c>
      <c r="O9" s="81">
        <f>N9/M9</f>
        <v>156.28571428571772</v>
      </c>
      <c r="P9" s="74">
        <f>M9-J9</f>
        <v>0</v>
      </c>
      <c r="Q9" s="83">
        <f>O9-L9</f>
        <v>-19.130952380948941</v>
      </c>
      <c r="R9" s="72">
        <f>O9/L9</f>
        <v>0.89093993892095613</v>
      </c>
      <c r="S9" s="378"/>
      <c r="T9" s="16">
        <v>0.57291666666666696</v>
      </c>
      <c r="U9" s="16">
        <v>0.59722222222222199</v>
      </c>
      <c r="V9" s="30">
        <f>(T9-U8)*24*60</f>
        <v>12.000000000000917</v>
      </c>
      <c r="W9" s="73">
        <f t="shared" si="5"/>
        <v>34.999999999999233</v>
      </c>
      <c r="X9" s="22"/>
      <c r="Y9" s="84"/>
      <c r="Z9" s="90"/>
      <c r="AA9" s="90"/>
      <c r="AB9" s="501" t="s">
        <v>114</v>
      </c>
      <c r="AC9" s="502"/>
      <c r="AD9" s="149"/>
      <c r="AE9" s="149"/>
      <c r="AF9" s="307">
        <f t="shared" si="6"/>
        <v>-229.57142857138751</v>
      </c>
      <c r="AG9" s="72">
        <f t="shared" si="7"/>
        <v>0.89093993892095602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 t="s">
        <v>148</v>
      </c>
      <c r="AC10" s="388"/>
      <c r="AD10" s="149">
        <v>8</v>
      </c>
      <c r="AE10" s="92">
        <v>8</v>
      </c>
      <c r="AF10" s="307">
        <f t="shared" si="6"/>
        <v>0</v>
      </c>
      <c r="AG10" s="72" t="e">
        <f t="shared" si="7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>
        <f t="shared" si="6"/>
        <v>0</v>
      </c>
      <c r="AG11" s="72" t="e">
        <f t="shared" si="7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13.8</v>
      </c>
      <c r="K15" s="120">
        <f t="shared" si="10"/>
        <v>1948.2</v>
      </c>
      <c r="L15" s="117">
        <f t="shared" si="10"/>
        <v>144.14871794871794</v>
      </c>
      <c r="M15" s="120">
        <f t="shared" si="10"/>
        <v>14.6</v>
      </c>
      <c r="N15" s="120">
        <f t="shared" si="10"/>
        <v>1782.7989638776744</v>
      </c>
      <c r="O15" s="117">
        <f t="shared" si="10"/>
        <v>123.8124309251784</v>
      </c>
      <c r="P15" s="121">
        <f t="shared" ref="P15:P19" si="11">M15-J15</f>
        <v>0.79999999999999893</v>
      </c>
      <c r="Q15" s="122">
        <f t="shared" ref="Q15:Q19" si="12">O15-L15</f>
        <v>-20.336287023539541</v>
      </c>
      <c r="R15" s="123">
        <f t="shared" ref="R15:R19" si="13">O15/L15</f>
        <v>0.85892148530398771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8</v>
      </c>
      <c r="AE15" s="323">
        <f>SUM(AE5:AE14)</f>
        <v>8</v>
      </c>
      <c r="AF15" s="309">
        <f t="shared" ref="AF15:AF19" si="14">N15-K15</f>
        <v>-165.40103612232565</v>
      </c>
      <c r="AG15" s="124">
        <f t="shared" ref="AG15:AG19" si="15">N15/K15</f>
        <v>0.91510058714591647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1987</v>
      </c>
      <c r="H16" s="134">
        <f>F16*G16</f>
        <v>113676.27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6">K16/J16</f>
        <v>175.41666666666666</v>
      </c>
      <c r="M16" s="139">
        <v>12</v>
      </c>
      <c r="N16" s="140">
        <f t="shared" ref="N16:N19" si="17">G16/W16*60</f>
        <v>1892.3809523809543</v>
      </c>
      <c r="O16" s="141">
        <f>N16/M16</f>
        <v>157.69841269841285</v>
      </c>
      <c r="P16" s="142">
        <f>M16-J16</f>
        <v>0</v>
      </c>
      <c r="Q16" s="143">
        <f t="shared" si="12"/>
        <v>-17.718253968253805</v>
      </c>
      <c r="R16" s="144">
        <f>O16/L16</f>
        <v>0.89899332654677166</v>
      </c>
      <c r="S16" s="413">
        <f>R26</f>
        <v>0.84163569936145166</v>
      </c>
      <c r="T16" s="145">
        <v>0.29027777777777802</v>
      </c>
      <c r="U16" s="145">
        <v>0.33402777777777798</v>
      </c>
      <c r="V16" s="135"/>
      <c r="W16" s="146">
        <f t="shared" ref="W16:W78" si="18">(U16-T16)*24*60</f>
        <v>62.999999999999936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4"/>
        <v>-212.61904761904566</v>
      </c>
      <c r="AG16" s="52">
        <f t="shared" si="15"/>
        <v>0.89899332654677166</v>
      </c>
      <c r="AH16" s="382">
        <f>AG26</f>
        <v>0.91755644563835681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3517</v>
      </c>
      <c r="H17" s="78">
        <f>F17*G17</f>
        <v>178206.39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1701.7741935483887</v>
      </c>
      <c r="O17" s="96">
        <f t="shared" ref="O17:O19" si="19">N17/M17</f>
        <v>141.8145161290324</v>
      </c>
      <c r="P17" s="97">
        <f t="shared" si="11"/>
        <v>0</v>
      </c>
      <c r="Q17" s="98">
        <f t="shared" si="12"/>
        <v>-33.185483870967602</v>
      </c>
      <c r="R17" s="99">
        <f t="shared" si="13"/>
        <v>0.81036866359447079</v>
      </c>
      <c r="S17" s="414"/>
      <c r="T17" s="19">
        <v>0.34375</v>
      </c>
      <c r="U17" s="19">
        <v>0.42986111111111103</v>
      </c>
      <c r="V17" s="30">
        <f>(T17-U16)*24*60</f>
        <v>13.99999999999971</v>
      </c>
      <c r="W17" s="149">
        <f t="shared" si="18"/>
        <v>123.99999999999989</v>
      </c>
      <c r="X17" s="19"/>
      <c r="Y17" s="297"/>
      <c r="Z17" s="90"/>
      <c r="AA17" s="90"/>
      <c r="AB17" s="504"/>
      <c r="AC17" s="505"/>
      <c r="AD17" s="92"/>
      <c r="AE17" s="92"/>
      <c r="AF17" s="307">
        <f t="shared" si="14"/>
        <v>-398.22580645161133</v>
      </c>
      <c r="AG17" s="72">
        <f t="shared" si="15"/>
        <v>0.81036866359447079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2030</v>
      </c>
      <c r="H18" s="78">
        <f>F18*G18</f>
        <v>102291.7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13</v>
      </c>
      <c r="N18" s="95">
        <f t="shared" si="17"/>
        <v>2064.406779661027</v>
      </c>
      <c r="O18" s="96">
        <f t="shared" si="19"/>
        <v>158.80052151238669</v>
      </c>
      <c r="P18" s="97">
        <f t="shared" si="11"/>
        <v>2</v>
      </c>
      <c r="Q18" s="98">
        <f t="shared" si="12"/>
        <v>-32.108569396704212</v>
      </c>
      <c r="R18" s="99">
        <f t="shared" si="13"/>
        <v>0.83181225554107319</v>
      </c>
      <c r="S18" s="414"/>
      <c r="T18" s="19">
        <v>0.4375</v>
      </c>
      <c r="U18" s="19">
        <v>0.47847222222222202</v>
      </c>
      <c r="V18" s="30">
        <f>(T18-U17)*24*60</f>
        <v>11.000000000000121</v>
      </c>
      <c r="W18" s="149">
        <f t="shared" si="18"/>
        <v>58.999999999999709</v>
      </c>
      <c r="X18" s="22">
        <v>0.48611111111111099</v>
      </c>
      <c r="Y18" s="84">
        <v>0.52777777777777801</v>
      </c>
      <c r="Z18" s="90"/>
      <c r="AA18" s="90"/>
      <c r="AB18" s="388" t="s">
        <v>114</v>
      </c>
      <c r="AC18" s="388"/>
      <c r="AD18" s="92"/>
      <c r="AE18" s="92"/>
      <c r="AF18" s="307">
        <f t="shared" si="14"/>
        <v>-35.593220338972969</v>
      </c>
      <c r="AG18" s="72">
        <f t="shared" si="15"/>
        <v>0.98305084745763194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2738</v>
      </c>
      <c r="H19" s="78">
        <f>F19*G19</f>
        <v>137967.82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13</v>
      </c>
      <c r="N19" s="95">
        <f t="shared" si="17"/>
        <v>2053.5000000000196</v>
      </c>
      <c r="O19" s="96">
        <f t="shared" si="19"/>
        <v>157.96153846153996</v>
      </c>
      <c r="P19" s="97">
        <f t="shared" si="11"/>
        <v>2</v>
      </c>
      <c r="Q19" s="98">
        <f t="shared" si="12"/>
        <v>-32.947552447550947</v>
      </c>
      <c r="R19" s="99">
        <f t="shared" si="13"/>
        <v>0.82741758241759022</v>
      </c>
      <c r="S19" s="414"/>
      <c r="T19" s="19">
        <v>0.54166666666666696</v>
      </c>
      <c r="U19" s="19">
        <v>0.59722222222222199</v>
      </c>
      <c r="V19" s="30">
        <f>(T19-U18)*24*60</f>
        <v>91.000000000000711</v>
      </c>
      <c r="W19" s="149">
        <f t="shared" si="18"/>
        <v>79.999999999999233</v>
      </c>
      <c r="X19" s="22"/>
      <c r="Y19" s="84"/>
      <c r="Z19" s="90"/>
      <c r="AA19" s="90"/>
      <c r="AB19" s="501" t="s">
        <v>114</v>
      </c>
      <c r="AC19" s="502"/>
      <c r="AD19" s="149"/>
      <c r="AE19" s="149"/>
      <c r="AF19" s="307">
        <f t="shared" si="14"/>
        <v>-46.499999999980446</v>
      </c>
      <c r="AG19" s="72">
        <f t="shared" si="15"/>
        <v>0.9778571428571522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8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 t="s">
        <v>148</v>
      </c>
      <c r="AC22" s="388"/>
      <c r="AD22" s="149">
        <v>9</v>
      </c>
      <c r="AE22" s="92">
        <v>9</v>
      </c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11.5</v>
      </c>
      <c r="K26" s="155">
        <f t="shared" si="21"/>
        <v>2101.25</v>
      </c>
      <c r="L26" s="158">
        <f t="shared" si="21"/>
        <v>183.0587121212121</v>
      </c>
      <c r="M26" s="155">
        <f t="shared" si="21"/>
        <v>12.5</v>
      </c>
      <c r="N26" s="155">
        <f t="shared" si="21"/>
        <v>1928.0154813975973</v>
      </c>
      <c r="O26" s="158">
        <f t="shared" si="21"/>
        <v>154.06874720034298</v>
      </c>
      <c r="P26" s="159">
        <f t="shared" ref="P26:P28" si="22">M26-J26</f>
        <v>1</v>
      </c>
      <c r="Q26" s="160">
        <f t="shared" ref="Q26:Q28" si="23">O26-L26</f>
        <v>-28.989964920869113</v>
      </c>
      <c r="R26" s="161">
        <f>O26/L26</f>
        <v>0.84163569936145166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9</v>
      </c>
      <c r="AE26" s="323">
        <f>SUM(AE16:AE25)</f>
        <v>9</v>
      </c>
      <c r="AF26" s="309">
        <f t="shared" ref="AF26:AF31" si="24">N26-K26</f>
        <v>-173.23451860240266</v>
      </c>
      <c r="AG26" s="124">
        <f t="shared" ref="AG26:AG31" si="25">N26/K26</f>
        <v>0.91755644563835681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2894</v>
      </c>
      <c r="H27" s="134">
        <f>F27*G27</f>
        <v>168343.98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8" si="26">K27/J27</f>
        <v>97.8125</v>
      </c>
      <c r="M27" s="170">
        <v>16</v>
      </c>
      <c r="N27" s="140">
        <f>G27/W27*60</f>
        <v>1447.0000000000061</v>
      </c>
      <c r="O27" s="141">
        <f>N27/M27</f>
        <v>90.437500000000384</v>
      </c>
      <c r="P27" s="142">
        <f t="shared" si="22"/>
        <v>0</v>
      </c>
      <c r="Q27" s="143">
        <f t="shared" si="23"/>
        <v>-7.3749999999996163</v>
      </c>
      <c r="R27" s="144">
        <f>O27/L27</f>
        <v>0.92460063897763967</v>
      </c>
      <c r="S27" s="413">
        <f>R37</f>
        <v>0.90345257781864574</v>
      </c>
      <c r="T27" s="171">
        <v>0.29027777777777802</v>
      </c>
      <c r="U27" s="171">
        <v>0.37361111111111101</v>
      </c>
      <c r="V27" s="135"/>
      <c r="W27" s="146">
        <f t="shared" si="18"/>
        <v>119.99999999999949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-117.99999999999386</v>
      </c>
      <c r="AG27" s="172">
        <f t="shared" si="25"/>
        <v>0.92460063897763967</v>
      </c>
      <c r="AH27" s="382">
        <f>AG37</f>
        <v>0.90276421018732655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f>1896+66</f>
        <v>1962</v>
      </c>
      <c r="H28" s="91">
        <f>F28*G28</f>
        <v>97158.24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17</v>
      </c>
      <c r="N28" s="95">
        <f>G28/W28*60</f>
        <v>1265.8064516129098</v>
      </c>
      <c r="O28" s="96">
        <f>N28/M28</f>
        <v>74.459203036053509</v>
      </c>
      <c r="P28" s="97">
        <f t="shared" si="22"/>
        <v>0</v>
      </c>
      <c r="Q28" s="98">
        <f t="shared" si="23"/>
        <v>-10.246679316887665</v>
      </c>
      <c r="R28" s="99">
        <f>O28/L28</f>
        <v>0.87903225806452057</v>
      </c>
      <c r="S28" s="414"/>
      <c r="T28" s="19">
        <v>0.38055555555555598</v>
      </c>
      <c r="U28" s="19">
        <v>0.44513888888888897</v>
      </c>
      <c r="V28" s="92">
        <f>(T28-U27)*24*60</f>
        <v>10.000000000000764</v>
      </c>
      <c r="W28" s="149">
        <f t="shared" si="18"/>
        <v>92.999999999999517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4"/>
        <v>-174.19354838709023</v>
      </c>
      <c r="AG28" s="99">
        <f t="shared" si="25"/>
        <v>0.87903225806452068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8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4"/>
        <v>0</v>
      </c>
      <c r="AG29" s="99" t="e">
        <f t="shared" si="25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si="24"/>
        <v>0</v>
      </c>
      <c r="AG30" s="99" t="e">
        <f t="shared" si="25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0</v>
      </c>
      <c r="AG31" s="99" t="e">
        <f t="shared" si="25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16.5</v>
      </c>
      <c r="K37" s="155">
        <f t="shared" si="28"/>
        <v>1502.5</v>
      </c>
      <c r="L37" s="158">
        <f t="shared" si="28"/>
        <v>91.25919117647058</v>
      </c>
      <c r="M37" s="155">
        <f t="shared" si="28"/>
        <v>16.5</v>
      </c>
      <c r="N37" s="155">
        <f t="shared" si="28"/>
        <v>1356.4032258064581</v>
      </c>
      <c r="O37" s="158">
        <f t="shared" si="28"/>
        <v>82.448351518026953</v>
      </c>
      <c r="P37" s="159">
        <f>M37-J37</f>
        <v>0</v>
      </c>
      <c r="Q37" s="160">
        <f>N37-K37</f>
        <v>-146.09677419354193</v>
      </c>
      <c r="R37" s="161">
        <f t="shared" ref="R37:R39" si="29">O37/L37</f>
        <v>0.90345257781864574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-146.09677419354193</v>
      </c>
      <c r="AG37" s="124">
        <f t="shared" ref="AG37:AG41" si="31">N37/K37</f>
        <v>0.90276421018732655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982</v>
      </c>
      <c r="H38" s="134">
        <f>F38*G38</f>
        <v>55846.34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39" si="32">K38/J38</f>
        <v>92.058823529411768</v>
      </c>
      <c r="M38" s="190">
        <v>17</v>
      </c>
      <c r="N38" s="140">
        <f>G38/W38*60</f>
        <v>1309.3333333333335</v>
      </c>
      <c r="O38" s="141">
        <f>N38/M38</f>
        <v>77.019607843137265</v>
      </c>
      <c r="P38" s="142">
        <f t="shared" ref="P38:P39" si="33">M38-J38</f>
        <v>0</v>
      </c>
      <c r="Q38" s="143">
        <f t="shared" ref="Q38:Q39" si="34">O38-L38</f>
        <v>-15.039215686274503</v>
      </c>
      <c r="R38" s="144">
        <f>O38/L38</f>
        <v>0.83663471778487764</v>
      </c>
      <c r="S38" s="404">
        <f>R48</f>
        <v>0.84133258487259199</v>
      </c>
      <c r="T38" s="191">
        <v>0.29166666666666702</v>
      </c>
      <c r="U38" s="191">
        <v>0.32291666666666702</v>
      </c>
      <c r="V38" s="192"/>
      <c r="W38" s="193">
        <f t="shared" si="18"/>
        <v>45</v>
      </c>
      <c r="X38" s="194"/>
      <c r="Y38" s="302"/>
      <c r="Z38" s="336"/>
      <c r="AA38" s="336"/>
      <c r="AB38" s="406" t="s">
        <v>149</v>
      </c>
      <c r="AC38" s="406"/>
      <c r="AD38" s="192"/>
      <c r="AE38" s="192"/>
      <c r="AF38" s="313">
        <f t="shared" si="30"/>
        <v>-255.66666666666652</v>
      </c>
      <c r="AG38" s="195">
        <f t="shared" si="31"/>
        <v>0.83663471778487764</v>
      </c>
      <c r="AH38" s="398">
        <f>AG48</f>
        <v>0.84056961886274739</v>
      </c>
    </row>
    <row r="39" spans="1:34" ht="15" customHeight="1">
      <c r="A39" s="402"/>
      <c r="B39" s="75" t="s">
        <v>81</v>
      </c>
      <c r="C39" s="197"/>
      <c r="D39" s="198" t="s">
        <v>134</v>
      </c>
      <c r="E39" s="176"/>
      <c r="F39" s="75">
        <f>VLOOKUP(D39,廠價表!$C$1:$E$41,3,0)</f>
        <v>56.43</v>
      </c>
      <c r="G39" s="199">
        <f>321+643</f>
        <v>964</v>
      </c>
      <c r="H39" s="91">
        <f>F39*G39</f>
        <v>54398.52</v>
      </c>
      <c r="I39" s="200"/>
      <c r="J39" s="148">
        <f>VLOOKUP(D39,產線配置圖!$A$3:$C$38,2,0)</f>
        <v>16</v>
      </c>
      <c r="K39" s="95">
        <f>VLOOKUP(D39,產線配置圖!$A$3:$C$38,3,0)</f>
        <v>1406</v>
      </c>
      <c r="L39" s="96">
        <f t="shared" si="32"/>
        <v>87.875</v>
      </c>
      <c r="M39" s="201">
        <v>16</v>
      </c>
      <c r="N39" s="202">
        <f>G39/W39*60</f>
        <v>1257.3913043478435</v>
      </c>
      <c r="O39" s="203">
        <f>N39/M39</f>
        <v>78.58695652174022</v>
      </c>
      <c r="P39" s="97">
        <f t="shared" si="33"/>
        <v>0</v>
      </c>
      <c r="Q39" s="98">
        <f t="shared" si="34"/>
        <v>-9.2880434782597803</v>
      </c>
      <c r="R39" s="99">
        <f t="shared" si="29"/>
        <v>0.89430391489889294</v>
      </c>
      <c r="S39" s="405"/>
      <c r="T39" s="20">
        <v>0.33055555555555599</v>
      </c>
      <c r="U39" s="20">
        <v>0.36249999999999999</v>
      </c>
      <c r="V39" s="92">
        <f>(T39-U38)*24*60</f>
        <v>11.000000000000121</v>
      </c>
      <c r="W39" s="205">
        <f t="shared" si="18"/>
        <v>45.999999999999361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-148.60869565215648</v>
      </c>
      <c r="AG39" s="206">
        <f t="shared" si="31"/>
        <v>0.89430391489889294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3230</v>
      </c>
      <c r="H40" s="91">
        <f>F40*G40</f>
        <v>143089</v>
      </c>
      <c r="I40" s="200"/>
      <c r="J40" s="148">
        <f>VLOOKUP(D40,產線配置圖!$A$3:$C$38,2,0)</f>
        <v>17</v>
      </c>
      <c r="K40" s="95">
        <v>1565</v>
      </c>
      <c r="L40" s="96">
        <f t="shared" ref="L40:L41" si="35">K40/J40</f>
        <v>92.058823529411768</v>
      </c>
      <c r="M40" s="201">
        <v>17</v>
      </c>
      <c r="N40" s="202">
        <f>G40/W40*60</f>
        <v>1309.4594594594571</v>
      </c>
      <c r="O40" s="203">
        <f>N40/M40</f>
        <v>77.02702702702689</v>
      </c>
      <c r="P40" s="97">
        <f t="shared" ref="P40:P41" si="36">M40-J40</f>
        <v>0</v>
      </c>
      <c r="Q40" s="98">
        <f t="shared" ref="Q40:Q41" si="37">O40-L40</f>
        <v>-15.031796502384879</v>
      </c>
      <c r="R40" s="99">
        <f t="shared" ref="R40:R41" si="38">O40/L40</f>
        <v>0.8367153095587585</v>
      </c>
      <c r="S40" s="377"/>
      <c r="T40" s="20">
        <v>0.37152777777777801</v>
      </c>
      <c r="U40" s="20">
        <v>0.47430555555555598</v>
      </c>
      <c r="V40" s="92">
        <f>(T40-U39)*24*60</f>
        <v>13.000000000000353</v>
      </c>
      <c r="W40" s="205">
        <f t="shared" si="18"/>
        <v>148.00000000000028</v>
      </c>
      <c r="X40" s="22">
        <v>0.49305555555555602</v>
      </c>
      <c r="Y40" s="84">
        <v>0.53472222222222199</v>
      </c>
      <c r="Z40" s="337"/>
      <c r="AA40" s="337"/>
      <c r="AB40" s="388"/>
      <c r="AC40" s="388"/>
      <c r="AD40" s="92"/>
      <c r="AE40" s="92"/>
      <c r="AF40" s="314">
        <f t="shared" si="30"/>
        <v>-255.54054054054291</v>
      </c>
      <c r="AG40" s="206">
        <f t="shared" si="31"/>
        <v>0.8367153095587585</v>
      </c>
      <c r="AH40" s="399"/>
    </row>
    <row r="41" spans="1:34" ht="15" customHeight="1">
      <c r="A41" s="402"/>
      <c r="B41" s="75" t="s">
        <v>120</v>
      </c>
      <c r="C41" s="207"/>
      <c r="D41" s="198" t="s">
        <v>124</v>
      </c>
      <c r="E41" s="178"/>
      <c r="F41" s="75">
        <f>VLOOKUP(D41,廠價表!$C$1:$E$41,3,0)</f>
        <v>44.3</v>
      </c>
      <c r="G41" s="199">
        <f>450+823</f>
        <v>1273</v>
      </c>
      <c r="H41" s="91">
        <f>F41*G41</f>
        <v>56393.899999999994</v>
      </c>
      <c r="I41" s="200"/>
      <c r="J41" s="148">
        <f>VLOOKUP(D41,產線配置圖!$A$3:$C$38,2,0)</f>
        <v>17</v>
      </c>
      <c r="K41" s="95">
        <v>1565</v>
      </c>
      <c r="L41" s="96">
        <f t="shared" si="35"/>
        <v>92.058823529411768</v>
      </c>
      <c r="M41" s="201">
        <v>17</v>
      </c>
      <c r="N41" s="202">
        <f>G41/W41*60</f>
        <v>1252.131147540988</v>
      </c>
      <c r="O41" s="203">
        <f>N41/M41</f>
        <v>73.654773384763999</v>
      </c>
      <c r="P41" s="97">
        <f t="shared" si="36"/>
        <v>0</v>
      </c>
      <c r="Q41" s="98">
        <f t="shared" si="37"/>
        <v>-18.404050144647769</v>
      </c>
      <c r="R41" s="99">
        <f t="shared" si="38"/>
        <v>0.80008380034567916</v>
      </c>
      <c r="S41" s="377"/>
      <c r="T41" s="20">
        <v>0.54861111111111105</v>
      </c>
      <c r="U41" s="210">
        <v>0.59097222222222201</v>
      </c>
      <c r="V41" s="92">
        <f>(T41-U40)*24*60</f>
        <v>106.9999999999993</v>
      </c>
      <c r="W41" s="205">
        <f t="shared" si="18"/>
        <v>60.999999999999787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-312.86885245901203</v>
      </c>
      <c r="AG41" s="206">
        <f t="shared" si="31"/>
        <v>0.80008380034567916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40">AVERAGE(J38:J47)</f>
        <v>16.75</v>
      </c>
      <c r="K48" s="155">
        <f t="shared" si="40"/>
        <v>1525.25</v>
      </c>
      <c r="L48" s="158">
        <f t="shared" si="40"/>
        <v>91.012867647058826</v>
      </c>
      <c r="M48" s="155">
        <f t="shared" si="40"/>
        <v>16.75</v>
      </c>
      <c r="N48" s="155">
        <f t="shared" si="40"/>
        <v>1282.0788111704055</v>
      </c>
      <c r="O48" s="158">
        <f t="shared" si="40"/>
        <v>76.572091194167101</v>
      </c>
      <c r="P48" s="221">
        <f>M48-J48</f>
        <v>0</v>
      </c>
      <c r="Q48" s="222">
        <f>N48-K48</f>
        <v>-243.17118882959448</v>
      </c>
      <c r="R48" s="223">
        <f t="shared" ref="R48:R51" si="41">O48/L48</f>
        <v>0.84133258487259199</v>
      </c>
      <c r="S48" s="380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42">N48-K48</f>
        <v>-243.17118882959448</v>
      </c>
      <c r="AG48" s="162">
        <f t="shared" ref="AG48:AG53" si="43">N48/K48</f>
        <v>0.84056961886274739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761</v>
      </c>
      <c r="H49" s="134">
        <f>F49*G49</f>
        <v>43605.299999999996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1" si="44">K49/J49</f>
        <v>107.14285714285714</v>
      </c>
      <c r="M49" s="170">
        <v>16</v>
      </c>
      <c r="N49" s="140">
        <f>G49/W49*60</f>
        <v>1574.4827586206823</v>
      </c>
      <c r="O49" s="141">
        <f>N49/M49</f>
        <v>98.405172413792641</v>
      </c>
      <c r="P49" s="229">
        <f>M49-J49</f>
        <v>2</v>
      </c>
      <c r="Q49" s="230">
        <f>O49-L49</f>
        <v>-8.7376847290644974</v>
      </c>
      <c r="R49" s="52">
        <f t="shared" si="41"/>
        <v>0.91844827586206468</v>
      </c>
      <c r="S49" s="376">
        <f>R58</f>
        <v>0.92515097232351606</v>
      </c>
      <c r="T49" s="191">
        <v>0.29027777777777802</v>
      </c>
      <c r="U49" s="191">
        <v>0.31041666666666701</v>
      </c>
      <c r="V49" s="55"/>
      <c r="W49" s="193">
        <f t="shared" si="18"/>
        <v>29.000000000000135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2"/>
        <v>74.482758620682262</v>
      </c>
      <c r="AG49" s="52">
        <f t="shared" si="43"/>
        <v>1.0496551724137881</v>
      </c>
      <c r="AH49" s="382">
        <f>AG58</f>
        <v>1.0011220990179752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2275</v>
      </c>
      <c r="H50" s="231">
        <f>F50*G50</f>
        <v>113545.24999999999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4"/>
        <v>104.33333333333333</v>
      </c>
      <c r="M50" s="233">
        <v>16</v>
      </c>
      <c r="N50" s="234">
        <f>G50/W50*60</f>
        <v>1551.1363636363665</v>
      </c>
      <c r="O50" s="235">
        <f>N50/M50</f>
        <v>96.946022727272904</v>
      </c>
      <c r="P50" s="74">
        <f>M50-J50</f>
        <v>1</v>
      </c>
      <c r="Q50" s="83">
        <f>O50-L50</f>
        <v>-7.3873106060604243</v>
      </c>
      <c r="R50" s="72">
        <f t="shared" si="41"/>
        <v>0.92919510601220046</v>
      </c>
      <c r="S50" s="377"/>
      <c r="T50" s="21">
        <v>0.31666666666666698</v>
      </c>
      <c r="U50" s="21">
        <v>0.37777777777777799</v>
      </c>
      <c r="V50" s="30">
        <f t="shared" ref="V50:V52" si="45">(T50-U49)*24*60</f>
        <v>8.999999999999968</v>
      </c>
      <c r="W50" s="236">
        <f t="shared" si="18"/>
        <v>87.999999999999844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42"/>
        <v>-13.863636363633532</v>
      </c>
      <c r="AG50" s="72">
        <f t="shared" si="43"/>
        <v>0.99114144641301372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f>3592+120</f>
        <v>3712</v>
      </c>
      <c r="H51" s="231">
        <f>F51*G51</f>
        <v>185488.63999999998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4"/>
        <v>107.125</v>
      </c>
      <c r="M51" s="233">
        <v>17</v>
      </c>
      <c r="N51" s="234">
        <f>G51/W51*60</f>
        <v>1739.9999999999984</v>
      </c>
      <c r="O51" s="235">
        <f>N51/M51</f>
        <v>102.35294117647049</v>
      </c>
      <c r="P51" s="74">
        <f>M51-J51</f>
        <v>1</v>
      </c>
      <c r="Q51" s="83">
        <f>O51-L51</f>
        <v>-4.7720588235295054</v>
      </c>
      <c r="R51" s="72">
        <f t="shared" si="41"/>
        <v>0.95545335987370361</v>
      </c>
      <c r="S51" s="377"/>
      <c r="T51" s="21">
        <v>0.38750000000000001</v>
      </c>
      <c r="U51" s="19">
        <v>0.47638888888888897</v>
      </c>
      <c r="V51" s="30">
        <f t="shared" si="45"/>
        <v>13.99999999999971</v>
      </c>
      <c r="W51" s="236">
        <f t="shared" si="18"/>
        <v>128.00000000000011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2"/>
        <v>25.999999999998408</v>
      </c>
      <c r="AG51" s="72">
        <f t="shared" si="43"/>
        <v>1.0151691948658101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1226</v>
      </c>
      <c r="H52" s="231">
        <f>F52*G52</f>
        <v>61263.22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>K52/J52</f>
        <v>107.125</v>
      </c>
      <c r="M52" s="233">
        <v>17</v>
      </c>
      <c r="N52" s="234">
        <f>G52/W52*60</f>
        <v>1634.6666666666665</v>
      </c>
      <c r="O52" s="235">
        <f>N52/M52</f>
        <v>96.156862745098024</v>
      </c>
      <c r="P52" s="74">
        <f>M52-J52</f>
        <v>1</v>
      </c>
      <c r="Q52" s="83">
        <f>O52-L52</f>
        <v>-10.968137254901976</v>
      </c>
      <c r="R52" s="72">
        <f>O52/L52</f>
        <v>0.89761365456334208</v>
      </c>
      <c r="S52" s="377"/>
      <c r="T52" s="21">
        <v>0.54513888888888895</v>
      </c>
      <c r="U52" s="21">
        <v>0.57638888888888895</v>
      </c>
      <c r="V52" s="30">
        <f t="shared" si="45"/>
        <v>98.999999999999972</v>
      </c>
      <c r="W52" s="236">
        <f t="shared" si="18"/>
        <v>45</v>
      </c>
      <c r="X52" s="22">
        <v>0.48611111111111099</v>
      </c>
      <c r="Y52" s="84">
        <v>0.52777777777777801</v>
      </c>
      <c r="Z52" s="90"/>
      <c r="AA52" s="90"/>
      <c r="AB52" s="388"/>
      <c r="AC52" s="388"/>
      <c r="AD52" s="92"/>
      <c r="AE52" s="92"/>
      <c r="AF52" s="307">
        <f t="shared" si="42"/>
        <v>-79.333333333333485</v>
      </c>
      <c r="AG52" s="72">
        <f t="shared" si="43"/>
        <v>0.95371450797355106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42"/>
        <v>0</v>
      </c>
      <c r="AG53" s="72" t="e">
        <f t="shared" si="43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6">AVERAGE(J49:J57)</f>
        <v>15.25</v>
      </c>
      <c r="K58" s="120">
        <f t="shared" si="46"/>
        <v>1623.25</v>
      </c>
      <c r="L58" s="117">
        <f t="shared" si="46"/>
        <v>106.43154761904762</v>
      </c>
      <c r="M58" s="120">
        <f t="shared" si="46"/>
        <v>16.5</v>
      </c>
      <c r="N58" s="120">
        <f t="shared" si="46"/>
        <v>1625.0714472309282</v>
      </c>
      <c r="O58" s="117">
        <f t="shared" si="46"/>
        <v>98.465249765658513</v>
      </c>
      <c r="P58" s="121">
        <f>M58-J58</f>
        <v>1.25</v>
      </c>
      <c r="Q58" s="122">
        <f>N58-K58</f>
        <v>1.8214472309282428</v>
      </c>
      <c r="R58" s="123">
        <f t="shared" ref="R58:R60" si="47">O58/L58</f>
        <v>0.92515097232351606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8">N58-K58</f>
        <v>1.8214472309282428</v>
      </c>
      <c r="AG58" s="124">
        <f t="shared" ref="AG58:AG61" si="49">N58/K58</f>
        <v>1.0011220990179752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f>3281+10</f>
        <v>3291</v>
      </c>
      <c r="H59" s="243">
        <f>F59*G59</f>
        <v>88824.09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1" si="50">K59/J59</f>
        <v>120.38461538461539</v>
      </c>
      <c r="M59" s="244">
        <v>13</v>
      </c>
      <c r="N59" s="137">
        <f t="shared" ref="N59:N61" si="51">G59/W59*60</f>
        <v>1257.7070063694357</v>
      </c>
      <c r="O59" s="138">
        <f t="shared" ref="O59:O61" si="52">N59/M59</f>
        <v>96.746692797648905</v>
      </c>
      <c r="P59" s="56">
        <f t="shared" ref="P59:P61" si="53">M59-J59</f>
        <v>0</v>
      </c>
      <c r="Q59" s="230">
        <f t="shared" ref="Q59:Q61" si="54">O59-L59</f>
        <v>-23.637922586966482</v>
      </c>
      <c r="R59" s="52">
        <f t="shared" si="47"/>
        <v>0.8036466494373391</v>
      </c>
      <c r="S59" s="376">
        <f>R69</f>
        <v>0.81449513872432255</v>
      </c>
      <c r="T59" s="245">
        <v>0.29166666666666702</v>
      </c>
      <c r="U59" s="245">
        <v>0.40069444444444402</v>
      </c>
      <c r="V59" s="55"/>
      <c r="W59" s="54">
        <f t="shared" si="18"/>
        <v>156.99999999999889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8"/>
        <v>-307.2929936305643</v>
      </c>
      <c r="AG59" s="246">
        <f t="shared" si="49"/>
        <v>0.8036466494373391</v>
      </c>
      <c r="AH59" s="382">
        <f>AG69</f>
        <v>0.79833248366480269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1492</v>
      </c>
      <c r="H60" s="78">
        <f>F60*G60</f>
        <v>42163.920000000006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0"/>
        <v>130.41666666666666</v>
      </c>
      <c r="M60" s="82">
        <v>12</v>
      </c>
      <c r="N60" s="80">
        <f t="shared" si="51"/>
        <v>1316.4705882353005</v>
      </c>
      <c r="O60" s="81">
        <f t="shared" si="52"/>
        <v>109.70588235294171</v>
      </c>
      <c r="P60" s="74">
        <f t="shared" si="53"/>
        <v>0</v>
      </c>
      <c r="Q60" s="83">
        <f t="shared" si="54"/>
        <v>-20.710784313724943</v>
      </c>
      <c r="R60" s="72">
        <f t="shared" si="47"/>
        <v>0.8411952640481154</v>
      </c>
      <c r="S60" s="394"/>
      <c r="T60" s="22">
        <v>0.41111111111111098</v>
      </c>
      <c r="U60" s="22">
        <v>0.45833333333333298</v>
      </c>
      <c r="V60" s="30">
        <f t="shared" ref="V60:V62" si="55">(T60-U59)*24*60</f>
        <v>15.000000000000426</v>
      </c>
      <c r="W60" s="248">
        <f t="shared" si="18"/>
        <v>67.999999999999673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8"/>
        <v>-248.52941176469949</v>
      </c>
      <c r="AG60" s="249">
        <f t="shared" si="49"/>
        <v>0.84119526404811529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1316</v>
      </c>
      <c r="H61" s="254">
        <f>F61*G61</f>
        <v>37190.160000000003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0"/>
        <v>130.41666666666666</v>
      </c>
      <c r="M61" s="108">
        <v>11</v>
      </c>
      <c r="N61" s="107">
        <f t="shared" si="51"/>
        <v>1161.1764705882395</v>
      </c>
      <c r="O61" s="238">
        <f t="shared" si="52"/>
        <v>105.56149732620359</v>
      </c>
      <c r="P61" s="111">
        <f t="shared" si="53"/>
        <v>-1</v>
      </c>
      <c r="Q61" s="255">
        <f t="shared" si="54"/>
        <v>-24.855169340463064</v>
      </c>
      <c r="R61" s="85">
        <f>O61/L61</f>
        <v>0.80941723189421289</v>
      </c>
      <c r="S61" s="377"/>
      <c r="T61" s="22">
        <v>0.47222222222222199</v>
      </c>
      <c r="U61" s="22">
        <v>0.51944444444444404</v>
      </c>
      <c r="V61" s="30">
        <f t="shared" si="55"/>
        <v>20.000000000000171</v>
      </c>
      <c r="W61" s="256">
        <f t="shared" si="18"/>
        <v>67.999999999999758</v>
      </c>
      <c r="X61" s="22"/>
      <c r="Y61" s="84"/>
      <c r="Z61" s="90"/>
      <c r="AA61" s="90"/>
      <c r="AB61" s="503" t="s">
        <v>150</v>
      </c>
      <c r="AC61" s="502"/>
      <c r="AD61" s="92">
        <v>1</v>
      </c>
      <c r="AE61" s="92">
        <v>2</v>
      </c>
      <c r="AF61" s="317">
        <f t="shared" si="48"/>
        <v>-403.82352941176055</v>
      </c>
      <c r="AG61" s="247">
        <f t="shared" si="49"/>
        <v>0.74196579590302836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1187</v>
      </c>
      <c r="H62" s="254">
        <f>F62*G62</f>
        <v>33544.620000000003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>K62/J62</f>
        <v>181.77777777777777</v>
      </c>
      <c r="M62" s="108">
        <v>9</v>
      </c>
      <c r="N62" s="107">
        <f>G62/W62*60</f>
        <v>1318.8888888888896</v>
      </c>
      <c r="O62" s="238">
        <f>N62/M62</f>
        <v>146.5432098765433</v>
      </c>
      <c r="P62" s="111">
        <f>M62-J62</f>
        <v>0</v>
      </c>
      <c r="Q62" s="255">
        <f>O62-L62</f>
        <v>-35.23456790123447</v>
      </c>
      <c r="R62" s="85">
        <f>O62/L62</f>
        <v>0.80616680249932138</v>
      </c>
      <c r="S62" s="377"/>
      <c r="T62" s="22">
        <v>0.58055555555555605</v>
      </c>
      <c r="U62" s="22">
        <v>0.61805555555555602</v>
      </c>
      <c r="V62" s="30">
        <f t="shared" si="55"/>
        <v>88.000000000001279</v>
      </c>
      <c r="W62" s="248">
        <f t="shared" si="18"/>
        <v>53.999999999999972</v>
      </c>
      <c r="X62" s="22">
        <v>0.52083333333333304</v>
      </c>
      <c r="Y62" s="84">
        <v>0.5625</v>
      </c>
      <c r="Z62" s="90"/>
      <c r="AA62" s="90"/>
      <c r="AB62" s="501"/>
      <c r="AC62" s="502"/>
      <c r="AD62" s="92"/>
      <c r="AE62" s="92"/>
      <c r="AF62" s="317">
        <f>N62-K62</f>
        <v>-317.1111111111104</v>
      </c>
      <c r="AG62" s="247">
        <f>N62/K62</f>
        <v>0.80616680249932127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6">AVERAGE(J59:J68)</f>
        <v>11.5</v>
      </c>
      <c r="K69" s="240">
        <f t="shared" si="56"/>
        <v>1582.75</v>
      </c>
      <c r="L69" s="268">
        <f t="shared" si="56"/>
        <v>140.74893162393164</v>
      </c>
      <c r="M69" s="240">
        <f t="shared" si="56"/>
        <v>11.25</v>
      </c>
      <c r="N69" s="240">
        <f t="shared" si="56"/>
        <v>1263.5607385204664</v>
      </c>
      <c r="O69" s="268">
        <f t="shared" si="56"/>
        <v>114.63932058833439</v>
      </c>
      <c r="P69" s="269">
        <f>M69-J69</f>
        <v>-0.25</v>
      </c>
      <c r="Q69" s="222">
        <f>N69-K69</f>
        <v>-319.18926147953357</v>
      </c>
      <c r="R69" s="123">
        <f t="shared" ref="R69:R70" si="57">O69/L69</f>
        <v>0.81449513872432255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1</v>
      </c>
      <c r="AE69" s="323">
        <f>SUM(AE59:AE68)</f>
        <v>2</v>
      </c>
      <c r="AF69" s="309">
        <f>N69-K69</f>
        <v>-319.18926147953357</v>
      </c>
      <c r="AG69" s="124">
        <f>N69/K69</f>
        <v>0.79833248366480269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f>2389+82</f>
        <v>2471</v>
      </c>
      <c r="H70" s="243">
        <f>F70*G70</f>
        <v>125205.57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11</v>
      </c>
      <c r="N70" s="137">
        <f>G70/W70*60</f>
        <v>1215.2459016393327</v>
      </c>
      <c r="O70" s="138">
        <f>N70/M70</f>
        <v>110.47690014903024</v>
      </c>
      <c r="P70" s="56">
        <f>M70-J70</f>
        <v>1</v>
      </c>
      <c r="Q70" s="230">
        <f>O70-L70</f>
        <v>-2.0230998509697571</v>
      </c>
      <c r="R70" s="52">
        <f t="shared" si="57"/>
        <v>0.98201689021360217</v>
      </c>
      <c r="S70" s="376">
        <f>R79</f>
        <v>0.86303316497074878</v>
      </c>
      <c r="T70" s="245">
        <v>0.33333333333333298</v>
      </c>
      <c r="U70" s="245">
        <v>0.41805555555555601</v>
      </c>
      <c r="V70" s="55"/>
      <c r="W70" s="54">
        <f t="shared" si="18"/>
        <v>122.00000000000117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90.245901639332715</v>
      </c>
      <c r="AG70" s="246">
        <f>N70/K70</f>
        <v>1.0802185792349623</v>
      </c>
      <c r="AH70" s="382">
        <f>AG79</f>
        <v>0.89120295556407403</v>
      </c>
    </row>
    <row r="71" spans="1:36" ht="15" customHeight="1">
      <c r="A71" s="374"/>
      <c r="B71" s="75" t="s">
        <v>128</v>
      </c>
      <c r="C71" s="76"/>
      <c r="D71" s="59" t="s">
        <v>138</v>
      </c>
      <c r="E71" s="77"/>
      <c r="F71" s="250">
        <f>VLOOKUP(D71,廠價表!$C$1:$E$41,3,0)</f>
        <v>28.26</v>
      </c>
      <c r="G71" s="202">
        <v>1886</v>
      </c>
      <c r="H71" s="254">
        <f>F71*G71</f>
        <v>53298.36</v>
      </c>
      <c r="I71" s="182"/>
      <c r="J71" s="106">
        <f>VLOOKUP(D71,產線配置圖!$A$3:$C$38,2,0)</f>
        <v>9</v>
      </c>
      <c r="K71" s="107">
        <f>VLOOKUP(D71,產線配置圖!$A$3:$C$38,3,0)</f>
        <v>1636</v>
      </c>
      <c r="L71" s="238">
        <f t="shared" ref="L71:L72" si="58">K71/J71</f>
        <v>181.77777777777777</v>
      </c>
      <c r="M71" s="82">
        <v>9</v>
      </c>
      <c r="N71" s="107">
        <f t="shared" ref="N71:N72" si="59">G71/W71*60</f>
        <v>1363.3734939759006</v>
      </c>
      <c r="O71" s="238">
        <f t="shared" ref="O71:O72" si="60">N71/M71</f>
        <v>151.48594377510005</v>
      </c>
      <c r="P71" s="111">
        <f t="shared" ref="P71:P72" si="61">M71-J71</f>
        <v>0</v>
      </c>
      <c r="Q71" s="255">
        <f t="shared" ref="Q71:Q72" si="62">O71-L71</f>
        <v>-30.291834002677717</v>
      </c>
      <c r="R71" s="85">
        <f t="shared" ref="R71:R72" si="63">O71/L71</f>
        <v>0.8333578814033622</v>
      </c>
      <c r="S71" s="377"/>
      <c r="T71" s="22">
        <v>0.43888888888888899</v>
      </c>
      <c r="U71" s="22">
        <v>0.49652777777777801</v>
      </c>
      <c r="V71" s="30">
        <f t="shared" ref="V71:V72" si="64">(T71-U70)*24*60</f>
        <v>29.999999999999496</v>
      </c>
      <c r="W71" s="73">
        <f t="shared" si="18"/>
        <v>83.000000000000185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1005</v>
      </c>
      <c r="H72" s="361">
        <f>F72*G72</f>
        <v>28401.300000000003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8"/>
        <v>181.77777777777777</v>
      </c>
      <c r="M72" s="94">
        <v>9</v>
      </c>
      <c r="N72" s="107">
        <f t="shared" si="59"/>
        <v>1340</v>
      </c>
      <c r="O72" s="238">
        <f t="shared" si="60"/>
        <v>148.88888888888889</v>
      </c>
      <c r="P72" s="111">
        <f t="shared" si="61"/>
        <v>0</v>
      </c>
      <c r="Q72" s="255">
        <f t="shared" si="62"/>
        <v>-32.888888888888886</v>
      </c>
      <c r="R72" s="85">
        <f t="shared" si="63"/>
        <v>0.81907090464547683</v>
      </c>
      <c r="S72" s="377"/>
      <c r="T72" s="22">
        <v>0.56597222222222199</v>
      </c>
      <c r="U72" s="22">
        <v>0.59722222222222199</v>
      </c>
      <c r="V72" s="30">
        <f t="shared" si="64"/>
        <v>99.999999999999318</v>
      </c>
      <c r="W72" s="73">
        <f t="shared" si="18"/>
        <v>45</v>
      </c>
      <c r="X72" s="272">
        <v>0.50694444444444398</v>
      </c>
      <c r="Y72" s="288">
        <v>5.5486111111111098</v>
      </c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58"/>
      <c r="D73" s="259"/>
      <c r="E73" s="60"/>
      <c r="F73" s="250"/>
      <c r="G73" s="273"/>
      <c r="H73" s="361"/>
      <c r="I73" s="182"/>
      <c r="J73" s="106"/>
      <c r="K73" s="107"/>
      <c r="L73" s="238"/>
      <c r="M73" s="94"/>
      <c r="N73" s="107"/>
      <c r="O73" s="238"/>
      <c r="P73" s="111"/>
      <c r="Q73" s="255"/>
      <c r="R73" s="85"/>
      <c r="S73" s="377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94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8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5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6">AVERAGE(J70:J78)</f>
        <v>9.3333333333333339</v>
      </c>
      <c r="K79" s="240">
        <f t="shared" si="66"/>
        <v>1465.6666666666667</v>
      </c>
      <c r="L79" s="268">
        <f t="shared" si="66"/>
        <v>158.68518518518519</v>
      </c>
      <c r="M79" s="240">
        <f t="shared" si="66"/>
        <v>9.6666666666666661</v>
      </c>
      <c r="N79" s="240">
        <f t="shared" si="66"/>
        <v>1306.2064652050778</v>
      </c>
      <c r="O79" s="268">
        <f t="shared" si="66"/>
        <v>136.95057760433974</v>
      </c>
      <c r="P79" s="269">
        <f>M79-J79</f>
        <v>0.33333333333333215</v>
      </c>
      <c r="Q79" s="222">
        <f>N79-K79</f>
        <v>-159.46020146158889</v>
      </c>
      <c r="R79" s="223">
        <f>O79/L79</f>
        <v>0.86303316497074878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-159.46020146158889</v>
      </c>
      <c r="AG79" s="124">
        <f>N79/K79</f>
        <v>0.89120295556407403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Q3:Q4"/>
    <mergeCell ref="R3:R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H5:AH15"/>
    <mergeCell ref="AB6:AC6"/>
    <mergeCell ref="AB7:AC7"/>
    <mergeCell ref="AB3:AC4"/>
    <mergeCell ref="AB14:AC14"/>
    <mergeCell ref="AB13:AC13"/>
    <mergeCell ref="AD3:AE3"/>
    <mergeCell ref="AF3:AF4"/>
    <mergeCell ref="AG3:AG4"/>
    <mergeCell ref="AH3:AH4"/>
    <mergeCell ref="AB10:AC10"/>
    <mergeCell ref="AB11:AC11"/>
    <mergeCell ref="AB12:AC12"/>
    <mergeCell ref="AB5:AC5"/>
    <mergeCell ref="AB8:AC8"/>
    <mergeCell ref="AB9:AC9"/>
    <mergeCell ref="AB15:AC15"/>
    <mergeCell ref="A2:B2"/>
    <mergeCell ref="A3:A4"/>
    <mergeCell ref="B3:B4"/>
    <mergeCell ref="D3:E4"/>
    <mergeCell ref="F3:F4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5:AC25"/>
    <mergeCell ref="A5:A15"/>
    <mergeCell ref="S5:S15"/>
    <mergeCell ref="V3:V4"/>
    <mergeCell ref="W3:W4"/>
    <mergeCell ref="X3:Y3"/>
    <mergeCell ref="Z3:AA3"/>
    <mergeCell ref="T3:U3"/>
    <mergeCell ref="D15:E15"/>
    <mergeCell ref="P3:P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H59:AH69"/>
    <mergeCell ref="AB60:AC60"/>
    <mergeCell ref="AB61:AC61"/>
    <mergeCell ref="AB62:AC62"/>
    <mergeCell ref="AB53:AC53"/>
    <mergeCell ref="AB54:AC54"/>
    <mergeCell ref="AB55:AC55"/>
    <mergeCell ref="AB56:AC56"/>
    <mergeCell ref="AB57:AC57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38:A48"/>
    <mergeCell ref="S38:S48"/>
    <mergeCell ref="AB38:AC38"/>
    <mergeCell ref="D48:E48"/>
    <mergeCell ref="AB48:AC48"/>
    <mergeCell ref="D79:E79"/>
    <mergeCell ref="AB79:AC79"/>
    <mergeCell ref="A59:A69"/>
    <mergeCell ref="S59:S69"/>
    <mergeCell ref="AB59:AC59"/>
    <mergeCell ref="D69:E69"/>
    <mergeCell ref="AB69:AC69"/>
    <mergeCell ref="AB63:AC63"/>
    <mergeCell ref="AB64:AC64"/>
    <mergeCell ref="AB65:AC65"/>
    <mergeCell ref="AB66:AC66"/>
    <mergeCell ref="AB67:AC67"/>
    <mergeCell ref="AB68:AC68"/>
    <mergeCell ref="A70:A79"/>
    <mergeCell ref="S70:S79"/>
    <mergeCell ref="AB70:AC70"/>
    <mergeCell ref="A49:A58"/>
    <mergeCell ref="S49:S58"/>
    <mergeCell ref="AB49:AC49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899CC9-1C72-41B9-8A9D-256EBFD6F18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5B-2707-43CA-872C-AEADD89EA88A}">
  <dimension ref="B1:O26"/>
  <sheetViews>
    <sheetView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46088</v>
      </c>
      <c r="E3" s="466"/>
      <c r="F3" s="3" t="s">
        <v>72</v>
      </c>
      <c r="G3" s="467">
        <f>'0307'!E1</f>
        <v>55948</v>
      </c>
      <c r="H3" s="467"/>
      <c r="I3" s="3" t="s">
        <v>2</v>
      </c>
      <c r="J3" s="468">
        <f>'0307'!G1</f>
        <v>2609486.5099999993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124.61289518721242</v>
      </c>
      <c r="G6" s="473"/>
      <c r="H6" s="474">
        <f>AVERAGE(D13:H13,J13)</f>
        <v>121.92355578109255</v>
      </c>
      <c r="I6" s="474"/>
      <c r="J6" s="474">
        <f>AVERAGE(I13)</f>
        <v>140.74893162393164</v>
      </c>
      <c r="K6" s="474"/>
      <c r="L6" s="499">
        <f>SUM(D18:J18)</f>
        <v>1</v>
      </c>
      <c r="M6" s="477">
        <f>SUM(D19:J19)</f>
        <v>10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111.63982717359472</v>
      </c>
      <c r="G7" s="497"/>
      <c r="H7" s="498">
        <f>AVERAGE(D14:H14,J14)</f>
        <v>109.20761680904583</v>
      </c>
      <c r="I7" s="498"/>
      <c r="J7" s="498">
        <f>AVERAGE(I14)</f>
        <v>126.23308936088803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0.89589305349075166</v>
      </c>
      <c r="G8" s="470"/>
      <c r="H8" s="470">
        <f>H7/H6</f>
        <v>0.89570564202640601</v>
      </c>
      <c r="I8" s="470"/>
      <c r="J8" s="470">
        <f>J7/J6</f>
        <v>0.8968671229290136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VALUE('0307'!L15)</f>
        <v>136.33173076923077</v>
      </c>
      <c r="E13" s="13">
        <f>VALUE('0307'!L26)</f>
        <v>181.530303030303</v>
      </c>
      <c r="F13" s="13">
        <f>VALUE('0307'!L37)</f>
        <v>91.525735294117638</v>
      </c>
      <c r="G13" s="13">
        <f>VALUE('0307'!L48)</f>
        <v>92.058823529411768</v>
      </c>
      <c r="H13" s="13">
        <f>VALUE('0307'!L58)</f>
        <v>106.43154761904762</v>
      </c>
      <c r="I13" s="13">
        <f>VALUE('0307'!L69)</f>
        <v>140.74893162393164</v>
      </c>
      <c r="J13" s="13">
        <f>'0307'!L79</f>
        <v>123.66319444444444</v>
      </c>
    </row>
    <row r="14" spans="2:15" ht="39.950000000000003" customHeight="1">
      <c r="B14" s="491"/>
      <c r="C14" s="12" t="s">
        <v>100</v>
      </c>
      <c r="D14" s="13">
        <f>VALUE('0307'!O15)</f>
        <v>128.19629763893016</v>
      </c>
      <c r="E14" s="13">
        <f>VALUE('0307'!O26)</f>
        <v>158.42029895429249</v>
      </c>
      <c r="F14" s="13">
        <f>VALUE('0307'!O37)</f>
        <v>83.440755672154467</v>
      </c>
      <c r="G14" s="13">
        <f>VALUE('0307'!O48)</f>
        <v>77.637328887328636</v>
      </c>
      <c r="H14" s="13">
        <f>VALUE('0307'!O58)</f>
        <v>98.741836638114833</v>
      </c>
      <c r="I14" s="13">
        <f>VALUE('0307'!O69)</f>
        <v>126.23308936088803</v>
      </c>
      <c r="J14" s="13">
        <f>'0307'!O79</f>
        <v>108.80918306345436</v>
      </c>
    </row>
    <row r="15" spans="2:15" ht="39.950000000000003" customHeight="1">
      <c r="B15" s="492"/>
      <c r="C15" s="10" t="s">
        <v>26</v>
      </c>
      <c r="D15" s="14">
        <f>D14/D13</f>
        <v>0.94032619490416736</v>
      </c>
      <c r="E15" s="14">
        <f t="shared" ref="E15:I15" si="1">E14/E13</f>
        <v>0.87269340881256208</v>
      </c>
      <c r="F15" s="14">
        <f t="shared" si="1"/>
        <v>0.91166441224446748</v>
      </c>
      <c r="G15" s="14">
        <f t="shared" si="1"/>
        <v>0.84334478663551871</v>
      </c>
      <c r="H15" s="14">
        <f t="shared" si="1"/>
        <v>0.92774970248053978</v>
      </c>
      <c r="I15" s="14">
        <f t="shared" si="1"/>
        <v>0.8968671229290136</v>
      </c>
      <c r="J15" s="15">
        <f>'0307'!S70</f>
        <v>0.87988332787518897</v>
      </c>
    </row>
    <row r="16" spans="2:15" ht="17.25" customHeight="1">
      <c r="B16" s="493" t="s">
        <v>101</v>
      </c>
      <c r="C16" s="10" t="s">
        <v>34</v>
      </c>
      <c r="D16" s="16">
        <f>'0307'!T5</f>
        <v>0.29027777777777802</v>
      </c>
      <c r="E16" s="16">
        <f>'0307'!T16</f>
        <v>0.28958333333333303</v>
      </c>
      <c r="F16" s="16">
        <f>'0307'!T27</f>
        <v>0.29166666666666702</v>
      </c>
      <c r="G16" s="16">
        <f>'0307'!T38</f>
        <v>0.33333333333333298</v>
      </c>
      <c r="H16" s="16">
        <f>'0307'!T49</f>
        <v>0.29166666666666702</v>
      </c>
      <c r="I16" s="16">
        <f>'0307'!T59</f>
        <v>0.29027777777777802</v>
      </c>
      <c r="J16" s="16">
        <f>'0307'!T70</f>
        <v>0.33333333333333298</v>
      </c>
    </row>
    <row r="17" spans="2:10" ht="17.25" customHeight="1">
      <c r="B17" s="494"/>
      <c r="C17" s="10" t="s">
        <v>35</v>
      </c>
      <c r="D17" s="16">
        <v>0.56458333333333299</v>
      </c>
      <c r="E17" s="19">
        <v>0.63749999999999996</v>
      </c>
      <c r="F17" s="19">
        <v>0.60902777777777795</v>
      </c>
      <c r="G17" s="20">
        <v>0.48611111111111099</v>
      </c>
      <c r="H17" s="21">
        <v>0.58819444444444402</v>
      </c>
      <c r="I17" s="22">
        <v>0.64236111111111105</v>
      </c>
      <c r="J17" s="22">
        <v>0.61111111111111105</v>
      </c>
    </row>
    <row r="18" spans="2:10" ht="17.25" customHeight="1">
      <c r="B18" s="495" t="s">
        <v>102</v>
      </c>
      <c r="C18" s="330" t="s">
        <v>36</v>
      </c>
      <c r="D18" s="358">
        <f>'0307'!Z15</f>
        <v>0</v>
      </c>
      <c r="E18" s="359">
        <f>'0307'!Z26</f>
        <v>0</v>
      </c>
      <c r="F18" s="359">
        <f>'0307'!Z37</f>
        <v>0</v>
      </c>
      <c r="G18" s="360">
        <f>'0307'!Z48</f>
        <v>0</v>
      </c>
      <c r="H18" s="360">
        <f>'0307'!Z58</f>
        <v>1</v>
      </c>
      <c r="I18" s="359">
        <f>'0307'!Z69</f>
        <v>0</v>
      </c>
      <c r="J18" s="359">
        <f>'0307'!AA79</f>
        <v>0</v>
      </c>
    </row>
    <row r="19" spans="2:10" ht="17.25" customHeight="1">
      <c r="B19" s="496"/>
      <c r="C19" s="330" t="s">
        <v>37</v>
      </c>
      <c r="D19" s="358">
        <f>'0307'!AA15</f>
        <v>0</v>
      </c>
      <c r="E19" s="359">
        <f>'0307'!AA26</f>
        <v>0</v>
      </c>
      <c r="F19" s="359">
        <f>'0307'!AA37</f>
        <v>0</v>
      </c>
      <c r="G19" s="360">
        <f>'0307'!AA48</f>
        <v>0</v>
      </c>
      <c r="H19" s="360">
        <f>'0307'!AA58</f>
        <v>10</v>
      </c>
      <c r="I19" s="359">
        <f>'0307'!AA69</f>
        <v>0</v>
      </c>
      <c r="J19" s="359">
        <f>'0307'!AB79</f>
        <v>0</v>
      </c>
    </row>
    <row r="20" spans="2:10" ht="17.25" customHeight="1">
      <c r="B20" s="495" t="s">
        <v>103</v>
      </c>
      <c r="C20" s="330" t="s">
        <v>36</v>
      </c>
      <c r="D20" s="358">
        <f>'0307'!AD15</f>
        <v>0</v>
      </c>
      <c r="E20" s="359">
        <f>'0307'!AD26</f>
        <v>0</v>
      </c>
      <c r="F20" s="359">
        <f>'0307'!AD37</f>
        <v>0</v>
      </c>
      <c r="G20" s="360">
        <f>'0307'!AD48</f>
        <v>0</v>
      </c>
      <c r="H20" s="360">
        <f>'0307'!AD58</f>
        <v>0</v>
      </c>
      <c r="I20" s="359">
        <f>'0307'!AD69</f>
        <v>0</v>
      </c>
      <c r="J20" s="359">
        <f>'0307'!AD79</f>
        <v>0</v>
      </c>
    </row>
    <row r="21" spans="2:10" ht="17.25" customHeight="1">
      <c r="B21" s="496"/>
      <c r="C21" s="330" t="s">
        <v>85</v>
      </c>
      <c r="D21" s="358">
        <f>'0307'!AE15</f>
        <v>0</v>
      </c>
      <c r="E21" s="359">
        <f>'0307'!AE26</f>
        <v>0</v>
      </c>
      <c r="F21" s="359">
        <f>'0307'!AE37</f>
        <v>0</v>
      </c>
      <c r="G21" s="360">
        <f>'0307'!AE48</f>
        <v>0</v>
      </c>
      <c r="H21" s="360">
        <f>'0307'!AE58</f>
        <v>0</v>
      </c>
      <c r="I21" s="359">
        <f>'0307'!AE69</f>
        <v>0</v>
      </c>
      <c r="J21" s="359">
        <f>'0307'!AE79</f>
        <v>0</v>
      </c>
    </row>
    <row r="22" spans="2:10" ht="17.25" customHeight="1">
      <c r="B22" s="479" t="s">
        <v>104</v>
      </c>
      <c r="C22" s="480"/>
      <c r="D22" s="23">
        <f>VALUE('0307'!M15)</f>
        <v>14.25</v>
      </c>
      <c r="E22" s="23">
        <f>VALUE('0307'!M26)</f>
        <v>11.6</v>
      </c>
      <c r="F22" s="23">
        <f>VALUE('0307'!M37)</f>
        <v>16.666666666666668</v>
      </c>
      <c r="G22" s="23">
        <f>VALUE('0307'!M48)</f>
        <v>14</v>
      </c>
      <c r="H22" s="23">
        <f>VALUE('0307'!M58)</f>
        <v>16.25</v>
      </c>
      <c r="I22" s="23">
        <f>VALUE('0307'!M69)</f>
        <v>11.5</v>
      </c>
      <c r="J22" s="23">
        <f>'0307'!M79</f>
        <v>10.75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1AD1-5C4E-49C1-9021-7351831A6EF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K40" sqref="K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55948</v>
      </c>
      <c r="F1" s="30" t="s">
        <v>2</v>
      </c>
      <c r="G1" s="31">
        <f>SUM(H5:H79)</f>
        <v>2609486.5099999993</v>
      </c>
      <c r="H1" s="32" t="s">
        <v>3</v>
      </c>
      <c r="I1" s="33">
        <f>M15+M26+M48+M58+M69+M79+M37</f>
        <v>95.016666666666666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151</v>
      </c>
      <c r="B2" s="447"/>
      <c r="C2" s="28"/>
      <c r="D2" s="28" t="s">
        <v>14</v>
      </c>
      <c r="E2" s="35">
        <f>AVERAGE(O15,O26,O37,O48,O58,O69,O79)</f>
        <v>111.63982717359472</v>
      </c>
      <c r="F2" s="36" t="s">
        <v>15</v>
      </c>
      <c r="G2" s="37">
        <f>G1/E1</f>
        <v>46.641283155787505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10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f>2249+13</f>
        <v>2262</v>
      </c>
      <c r="H5" s="43">
        <f>F5*G5</f>
        <v>107920.02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8" si="0">K5/J5</f>
        <v>102.25</v>
      </c>
      <c r="M5" s="48">
        <v>16</v>
      </c>
      <c r="N5" s="46">
        <f t="shared" ref="N5:N8" si="1">G5/W5*60</f>
        <v>1615.714285714296</v>
      </c>
      <c r="O5" s="47">
        <f t="shared" ref="O5:O8" si="2">N5/M5</f>
        <v>100.9821428571435</v>
      </c>
      <c r="P5" s="49">
        <f t="shared" ref="P5:P8" si="3">M5-J5</f>
        <v>0</v>
      </c>
      <c r="Q5" s="50">
        <f t="shared" ref="Q5:Q8" si="4">O5-L5</f>
        <v>-1.2678571428564993</v>
      </c>
      <c r="R5" s="51">
        <f>O5/L5</f>
        <v>0.98760041914076768</v>
      </c>
      <c r="S5" s="376">
        <f>R15</f>
        <v>0.94032619490416736</v>
      </c>
      <c r="T5" s="319">
        <v>0.29027777777777802</v>
      </c>
      <c r="U5" s="320">
        <v>0.34861111111111098</v>
      </c>
      <c r="V5" s="53"/>
      <c r="W5" s="54">
        <f t="shared" ref="W5:W14" si="5">(U5-T5)*24*60</f>
        <v>83.99999999999946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8" si="6">N5-K5</f>
        <v>-20.285714285703989</v>
      </c>
      <c r="AG5" s="52">
        <f t="shared" ref="AG5:AG8" si="7">N5/K5</f>
        <v>0.98760041914076768</v>
      </c>
      <c r="AH5" s="382">
        <f>AG15</f>
        <v>0.94302934620403145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1275</v>
      </c>
      <c r="H6" s="78">
        <f>F6*G6</f>
        <v>71757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1738.6363636363951</v>
      </c>
      <c r="O6" s="81">
        <f t="shared" si="2"/>
        <v>115.90909090909301</v>
      </c>
      <c r="P6" s="74">
        <f t="shared" si="3"/>
        <v>0</v>
      </c>
      <c r="Q6" s="83">
        <f t="shared" si="4"/>
        <v>-4.0909090909069903</v>
      </c>
      <c r="R6" s="72">
        <f>O6/L6</f>
        <v>0.96590909090910837</v>
      </c>
      <c r="S6" s="377"/>
      <c r="T6" s="18">
        <v>0.35555555555555601</v>
      </c>
      <c r="U6" s="18">
        <v>0.38611111111111102</v>
      </c>
      <c r="V6" s="30">
        <f>(T6-U5)*24*60</f>
        <v>10.000000000000844</v>
      </c>
      <c r="W6" s="73">
        <f t="shared" si="5"/>
        <v>43.999999999999204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-61.363636363604883</v>
      </c>
      <c r="AG6" s="72">
        <f t="shared" si="7"/>
        <v>0.96590909090910837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4384</v>
      </c>
      <c r="H7" s="78">
        <f t="shared" ref="H7:H8" si="8">F7*G7</f>
        <v>215429.76000000001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1962.9850746268776</v>
      </c>
      <c r="O7" s="81">
        <f t="shared" si="2"/>
        <v>150.99885189437521</v>
      </c>
      <c r="P7" s="74">
        <f t="shared" si="3"/>
        <v>0</v>
      </c>
      <c r="Q7" s="83">
        <f t="shared" si="4"/>
        <v>-10.53960964408634</v>
      </c>
      <c r="R7" s="72">
        <f t="shared" ref="R7:R8" si="9">O7/L7</f>
        <v>0.93475479744137024</v>
      </c>
      <c r="S7" s="377"/>
      <c r="T7" s="16">
        <v>0.39305555555555599</v>
      </c>
      <c r="U7" s="16">
        <v>0.48611111111111099</v>
      </c>
      <c r="V7" s="30">
        <f>(T7-U6)*24*60</f>
        <v>10.000000000000764</v>
      </c>
      <c r="W7" s="73">
        <f t="shared" si="5"/>
        <v>133.9999999999992</v>
      </c>
      <c r="X7" s="22"/>
      <c r="Y7" s="84"/>
      <c r="Z7" s="90"/>
      <c r="AA7" s="90"/>
      <c r="AB7" s="501"/>
      <c r="AC7" s="502"/>
      <c r="AD7" s="92"/>
      <c r="AE7" s="92"/>
      <c r="AF7" s="307">
        <f t="shared" si="6"/>
        <v>-137.01492537312242</v>
      </c>
      <c r="AG7" s="72">
        <f t="shared" si="7"/>
        <v>0.93475479744137024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f>905+131</f>
        <v>1036</v>
      </c>
      <c r="H8" s="78">
        <f t="shared" si="8"/>
        <v>50909.04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1883.6363636364158</v>
      </c>
      <c r="O8" s="81">
        <f t="shared" si="2"/>
        <v>144.89510489510891</v>
      </c>
      <c r="P8" s="74">
        <f t="shared" si="3"/>
        <v>0</v>
      </c>
      <c r="Q8" s="83">
        <f t="shared" si="4"/>
        <v>-16.643356643352632</v>
      </c>
      <c r="R8" s="72">
        <f t="shared" si="9"/>
        <v>0.89696969696972184</v>
      </c>
      <c r="S8" s="377"/>
      <c r="T8" s="16">
        <v>0.54166666666666696</v>
      </c>
      <c r="U8" s="16">
        <v>0.56458333333333299</v>
      </c>
      <c r="V8" s="30">
        <f>(T8-U7)*24*60</f>
        <v>80.000000000000597</v>
      </c>
      <c r="W8" s="73">
        <f t="shared" si="5"/>
        <v>32.999999999999083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6"/>
        <v>-216.36363636358419</v>
      </c>
      <c r="AG8" s="72">
        <f t="shared" si="7"/>
        <v>0.89696969696972184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5"/>
        <v>0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14.25</v>
      </c>
      <c r="K15" s="120">
        <f t="shared" si="10"/>
        <v>1909</v>
      </c>
      <c r="L15" s="117">
        <f t="shared" si="10"/>
        <v>136.33173076923077</v>
      </c>
      <c r="M15" s="120">
        <f t="shared" si="10"/>
        <v>14.25</v>
      </c>
      <c r="N15" s="120">
        <f t="shared" si="10"/>
        <v>1800.2430219034961</v>
      </c>
      <c r="O15" s="117">
        <f t="shared" si="10"/>
        <v>128.19629763893016</v>
      </c>
      <c r="P15" s="121">
        <f t="shared" ref="P15:P19" si="11">M15-J15</f>
        <v>0</v>
      </c>
      <c r="Q15" s="122">
        <f t="shared" ref="Q15:Q19" si="12">O15-L15</f>
        <v>-8.135433130300612</v>
      </c>
      <c r="R15" s="123">
        <f t="shared" ref="R15:R19" si="13">O15/L15</f>
        <v>0.94032619490416736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4">N15-K15</f>
        <v>-108.75697809650387</v>
      </c>
      <c r="AG15" s="124">
        <f t="shared" ref="AG15:AG19" si="15">N15/K15</f>
        <v>0.94302934620403145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2337</v>
      </c>
      <c r="H16" s="134">
        <f>F16*G16</f>
        <v>133699.76999999999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6">K16/J16</f>
        <v>175.41666666666666</v>
      </c>
      <c r="M16" s="139">
        <v>12</v>
      </c>
      <c r="N16" s="140">
        <f t="shared" ref="N16:N19" si="17">G16/W16*60</f>
        <v>1869.5999999999765</v>
      </c>
      <c r="O16" s="141">
        <f>N16/M16</f>
        <v>155.79999999999805</v>
      </c>
      <c r="P16" s="142">
        <f>M16-J16</f>
        <v>0</v>
      </c>
      <c r="Q16" s="143">
        <f t="shared" si="12"/>
        <v>-19.616666666668607</v>
      </c>
      <c r="R16" s="144">
        <f>O16/L16</f>
        <v>0.88817102137766113</v>
      </c>
      <c r="S16" s="413">
        <f>R26</f>
        <v>0.87269340881256208</v>
      </c>
      <c r="T16" s="145">
        <v>0.28958333333333303</v>
      </c>
      <c r="U16" s="145">
        <v>0.34166666666666701</v>
      </c>
      <c r="V16" s="135"/>
      <c r="W16" s="146">
        <f t="shared" ref="W16:W78" si="18">(U16-T16)*24*60</f>
        <v>75.000000000000938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4"/>
        <v>-235.40000000002351</v>
      </c>
      <c r="AG16" s="52">
        <f t="shared" si="15"/>
        <v>0.88817102137766102</v>
      </c>
      <c r="AH16" s="382">
        <f>AG26</f>
        <v>0.87380525482401283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3703</v>
      </c>
      <c r="H17" s="78">
        <f>F17*G17</f>
        <v>187631.01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1983.7499999999941</v>
      </c>
      <c r="O17" s="96">
        <f t="shared" ref="O17:O19" si="19">N17/M17</f>
        <v>165.31249999999952</v>
      </c>
      <c r="P17" s="97">
        <f t="shared" si="11"/>
        <v>0</v>
      </c>
      <c r="Q17" s="98">
        <f t="shared" si="12"/>
        <v>-9.6875000000004832</v>
      </c>
      <c r="R17" s="99">
        <f t="shared" si="13"/>
        <v>0.94464285714285434</v>
      </c>
      <c r="S17" s="414"/>
      <c r="T17" s="19">
        <v>0.34861111111111098</v>
      </c>
      <c r="U17" s="19">
        <v>0.42638888888888898</v>
      </c>
      <c r="V17" s="30">
        <f>(T17-U16)*24*60</f>
        <v>9.999999999999325</v>
      </c>
      <c r="W17" s="149">
        <f t="shared" si="18"/>
        <v>112.00000000000033</v>
      </c>
      <c r="X17" s="19"/>
      <c r="Y17" s="297"/>
      <c r="Z17" s="90"/>
      <c r="AA17" s="90"/>
      <c r="AB17" s="501"/>
      <c r="AC17" s="502"/>
      <c r="AD17" s="92"/>
      <c r="AE17" s="92"/>
      <c r="AF17" s="307">
        <f t="shared" si="14"/>
        <v>-116.25000000000591</v>
      </c>
      <c r="AG17" s="72">
        <f t="shared" si="15"/>
        <v>0.94464285714285434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1998</v>
      </c>
      <c r="H18" s="78">
        <f>F18*G18</f>
        <v>100679.22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1816.3636363636097</v>
      </c>
      <c r="O18" s="96">
        <f t="shared" si="19"/>
        <v>165.12396694214632</v>
      </c>
      <c r="P18" s="97">
        <f t="shared" si="11"/>
        <v>0</v>
      </c>
      <c r="Q18" s="98">
        <f t="shared" si="12"/>
        <v>-25.785123966944582</v>
      </c>
      <c r="R18" s="99">
        <f t="shared" si="13"/>
        <v>0.86493506493505223</v>
      </c>
      <c r="S18" s="414"/>
      <c r="T18" s="19">
        <v>0.43333333333333302</v>
      </c>
      <c r="U18" s="19">
        <v>0.47916666666666702</v>
      </c>
      <c r="V18" s="30">
        <f>(T18-U17)*24*60</f>
        <v>9.9999999999994049</v>
      </c>
      <c r="W18" s="149">
        <f t="shared" si="18"/>
        <v>66.000000000000966</v>
      </c>
      <c r="X18" s="22">
        <v>0.49305555555555602</v>
      </c>
      <c r="Y18" s="84">
        <v>0.53472222222222199</v>
      </c>
      <c r="Z18" s="90"/>
      <c r="AA18" s="90"/>
      <c r="AB18" s="381"/>
      <c r="AC18" s="381"/>
      <c r="AD18" s="92"/>
      <c r="AE18" s="92"/>
      <c r="AF18" s="307">
        <f t="shared" si="14"/>
        <v>-283.63636363639034</v>
      </c>
      <c r="AG18" s="72">
        <f t="shared" si="15"/>
        <v>0.86493506493505223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2810</v>
      </c>
      <c r="H19" s="78">
        <f>F19*G19</f>
        <v>141595.9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1720.4081632653179</v>
      </c>
      <c r="O19" s="96">
        <f t="shared" si="19"/>
        <v>156.40074211502889</v>
      </c>
      <c r="P19" s="97">
        <f t="shared" si="11"/>
        <v>0</v>
      </c>
      <c r="Q19" s="98">
        <f t="shared" si="12"/>
        <v>-34.508348794062016</v>
      </c>
      <c r="R19" s="99">
        <f t="shared" si="13"/>
        <v>0.81924198250729419</v>
      </c>
      <c r="S19" s="414"/>
      <c r="T19" s="19">
        <v>0.54166666666666696</v>
      </c>
      <c r="U19" s="19">
        <v>0.60972222222222205</v>
      </c>
      <c r="V19" s="30">
        <f>(T19-U18)*24*60</f>
        <v>89.999999999999915</v>
      </c>
      <c r="W19" s="149">
        <f t="shared" si="18"/>
        <v>97.999999999999332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4"/>
        <v>-379.59183673468215</v>
      </c>
      <c r="AG19" s="72">
        <f t="shared" si="15"/>
        <v>0.81924198250729419</v>
      </c>
      <c r="AH19" s="385"/>
    </row>
    <row r="20" spans="1:34" ht="15" customHeight="1">
      <c r="A20" s="419"/>
      <c r="B20" s="75" t="s">
        <v>81</v>
      </c>
      <c r="C20" s="76"/>
      <c r="D20" s="59" t="s">
        <v>113</v>
      </c>
      <c r="E20" s="77"/>
      <c r="F20" s="75">
        <f>VLOOKUP(D20,廠價表!$C$1:$E$41,3,0)</f>
        <v>57.21</v>
      </c>
      <c r="G20" s="147">
        <v>837</v>
      </c>
      <c r="H20" s="78">
        <f>F20*G20</f>
        <v>47884.770000000004</v>
      </c>
      <c r="I20" s="30"/>
      <c r="J20" s="79">
        <f>VLOOKUP(D20,產線配置圖!$A$3:$C$38,2,0)</f>
        <v>12</v>
      </c>
      <c r="K20" s="80">
        <f>VLOOKUP(D20,產線配置圖!$A$3:$C$38,3,0)</f>
        <v>2105</v>
      </c>
      <c r="L20" s="81">
        <f>K20/J20</f>
        <v>175.41666666666666</v>
      </c>
      <c r="M20" s="148">
        <v>12</v>
      </c>
      <c r="N20" s="95">
        <f>G20/W20*60</f>
        <v>1793.571428571476</v>
      </c>
      <c r="O20" s="96">
        <f>N20/M20</f>
        <v>149.46428571428967</v>
      </c>
      <c r="P20" s="97">
        <f>M20-J20</f>
        <v>0</v>
      </c>
      <c r="Q20" s="98">
        <f>O20-L20</f>
        <v>-25.952380952376984</v>
      </c>
      <c r="R20" s="99">
        <f>O20/L20</f>
        <v>0.85205293518834968</v>
      </c>
      <c r="S20" s="414"/>
      <c r="T20" s="19">
        <v>0.61805555555555602</v>
      </c>
      <c r="U20" s="19">
        <v>0.63749999999999996</v>
      </c>
      <c r="V20" s="30">
        <f>(T20-U19)*24*60</f>
        <v>12.000000000000917</v>
      </c>
      <c r="W20" s="149">
        <f t="shared" si="18"/>
        <v>27.999999999999261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2102</v>
      </c>
      <c r="L26" s="158">
        <f t="shared" si="21"/>
        <v>181.530303030303</v>
      </c>
      <c r="M26" s="155">
        <f t="shared" si="21"/>
        <v>11.6</v>
      </c>
      <c r="N26" s="155">
        <f t="shared" si="21"/>
        <v>1836.738645640075</v>
      </c>
      <c r="O26" s="158">
        <f t="shared" si="21"/>
        <v>158.42029895429249</v>
      </c>
      <c r="P26" s="159">
        <f t="shared" ref="P26:P28" si="22">M26-J26</f>
        <v>0</v>
      </c>
      <c r="Q26" s="160">
        <f t="shared" ref="Q26:Q28" si="23">O26-L26</f>
        <v>-23.110004076010512</v>
      </c>
      <c r="R26" s="161">
        <f>O26/L26</f>
        <v>0.87269340881256208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4">N26-K26</f>
        <v>-265.26135435992501</v>
      </c>
      <c r="AG26" s="124">
        <f t="shared" ref="AG26:AG29" si="25">N26/K26</f>
        <v>0.87380525482401283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f>3800+17</f>
        <v>3817</v>
      </c>
      <c r="H27" s="134">
        <f>F27*G27</f>
        <v>222034.89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8" si="26">K27/J27</f>
        <v>97.8125</v>
      </c>
      <c r="M27" s="170">
        <v>16</v>
      </c>
      <c r="N27" s="140">
        <f>G27/W27*60</f>
        <v>1468.0769230769276</v>
      </c>
      <c r="O27" s="141">
        <f>N27/M27</f>
        <v>91.754807692307978</v>
      </c>
      <c r="P27" s="142">
        <f t="shared" si="22"/>
        <v>0</v>
      </c>
      <c r="Q27" s="143">
        <f t="shared" si="23"/>
        <v>-6.0576923076920224</v>
      </c>
      <c r="R27" s="144">
        <f>O27/L27</f>
        <v>0.93806832145490582</v>
      </c>
      <c r="S27" s="413">
        <f>R37</f>
        <v>0.91166441224446748</v>
      </c>
      <c r="T27" s="171">
        <v>0.29166666666666702</v>
      </c>
      <c r="U27" s="171">
        <v>0.4</v>
      </c>
      <c r="V27" s="135"/>
      <c r="W27" s="146">
        <f t="shared" si="18"/>
        <v>155.99999999999952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-96.923076923072358</v>
      </c>
      <c r="AG27" s="172">
        <f t="shared" si="25"/>
        <v>0.93806832145490582</v>
      </c>
      <c r="AH27" s="382">
        <f>AG37</f>
        <v>0.91109928481128455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2197</v>
      </c>
      <c r="H28" s="91">
        <f>F28*G28</f>
        <v>108795.44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17</v>
      </c>
      <c r="N28" s="95">
        <f>G28/W28*60</f>
        <v>1318.2000000000091</v>
      </c>
      <c r="O28" s="96">
        <f>N28/M28</f>
        <v>77.541176470588766</v>
      </c>
      <c r="P28" s="97">
        <f t="shared" si="22"/>
        <v>0</v>
      </c>
      <c r="Q28" s="98">
        <f t="shared" si="23"/>
        <v>-7.1647058823524077</v>
      </c>
      <c r="R28" s="99">
        <f>O28/L28</f>
        <v>0.91541666666667298</v>
      </c>
      <c r="S28" s="414"/>
      <c r="T28" s="19">
        <v>0.40625</v>
      </c>
      <c r="U28" s="19">
        <v>0.47569444444444398</v>
      </c>
      <c r="V28" s="92">
        <f>(T28-U27)*24*60</f>
        <v>8.999999999999968</v>
      </c>
      <c r="W28" s="149">
        <f t="shared" si="18"/>
        <v>99.999999999999318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4"/>
        <v>-121.79999999999086</v>
      </c>
      <c r="AG28" s="99">
        <f t="shared" si="25"/>
        <v>0.91541666666667298</v>
      </c>
      <c r="AH28" s="383"/>
    </row>
    <row r="29" spans="1:34" ht="15" customHeight="1">
      <c r="A29" s="411"/>
      <c r="B29" s="75" t="s">
        <v>120</v>
      </c>
      <c r="C29" s="173"/>
      <c r="D29" s="59" t="s">
        <v>124</v>
      </c>
      <c r="E29" s="104"/>
      <c r="F29" s="75">
        <f>VLOOKUP(D29,廠價表!$C$1:$E$41,3,0)</f>
        <v>44.3</v>
      </c>
      <c r="G29" s="90">
        <f>2069+89</f>
        <v>2158</v>
      </c>
      <c r="H29" s="91">
        <f>F29*G29</f>
        <v>95599.4</v>
      </c>
      <c r="I29" s="92"/>
      <c r="J29" s="79">
        <f>VLOOKUP(D29,產線配置圖!$A$3:$C$38,2,0)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1377.4468085106337</v>
      </c>
      <c r="O29" s="96">
        <f>N29/M29</f>
        <v>81.026282853566684</v>
      </c>
      <c r="P29" s="97">
        <f>M29-J29</f>
        <v>0</v>
      </c>
      <c r="Q29" s="98">
        <f>O29-L29</f>
        <v>-11.032540675845084</v>
      </c>
      <c r="R29" s="99">
        <f>O29/L29</f>
        <v>0.88015770511861569</v>
      </c>
      <c r="S29" s="414"/>
      <c r="T29" s="19">
        <v>0.54374999999999996</v>
      </c>
      <c r="U29" s="19">
        <v>0.60902777777777795</v>
      </c>
      <c r="V29" s="92">
        <f>(T29-U28)*24*60</f>
        <v>98.000000000000611</v>
      </c>
      <c r="W29" s="149">
        <f t="shared" si="18"/>
        <v>94.000000000000313</v>
      </c>
      <c r="X29" s="22">
        <v>0.49305555555555602</v>
      </c>
      <c r="Y29" s="84">
        <v>0.53472222222222199</v>
      </c>
      <c r="Z29" s="90"/>
      <c r="AA29" s="90"/>
      <c r="AB29" s="388"/>
      <c r="AC29" s="388"/>
      <c r="AD29" s="92"/>
      <c r="AE29" s="92"/>
      <c r="AF29" s="312">
        <f t="shared" si="24"/>
        <v>-187.55319148936633</v>
      </c>
      <c r="AG29" s="99">
        <f t="shared" si="25"/>
        <v>0.8801577051186158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16.666666666666668</v>
      </c>
      <c r="K37" s="155">
        <f t="shared" si="28"/>
        <v>1523.3333333333333</v>
      </c>
      <c r="L37" s="158">
        <f t="shared" si="28"/>
        <v>91.525735294117638</v>
      </c>
      <c r="M37" s="155">
        <f t="shared" si="28"/>
        <v>16.666666666666668</v>
      </c>
      <c r="N37" s="155">
        <f t="shared" si="28"/>
        <v>1387.9079105291901</v>
      </c>
      <c r="O37" s="158">
        <f t="shared" si="28"/>
        <v>83.440755672154467</v>
      </c>
      <c r="P37" s="159">
        <f>M37-J37</f>
        <v>0</v>
      </c>
      <c r="Q37" s="160">
        <f>N37-K37</f>
        <v>-135.42542280414318</v>
      </c>
      <c r="R37" s="161">
        <f t="shared" ref="R37:R39" si="29">O37/L37</f>
        <v>0.91166441224446748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39" si="30">N37-K37</f>
        <v>-135.42542280414318</v>
      </c>
      <c r="AG37" s="124">
        <f t="shared" ref="AG37:AG39" si="31">N37/K37</f>
        <v>0.91109928481128455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1316</v>
      </c>
      <c r="H38" s="134">
        <f>F38*G38</f>
        <v>74840.92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39" si="32">K38/J38</f>
        <v>92.058823529411768</v>
      </c>
      <c r="M38" s="190">
        <v>14</v>
      </c>
      <c r="N38" s="140">
        <f>G38/W38*60</f>
        <v>1067.0270270270239</v>
      </c>
      <c r="O38" s="141">
        <f>N38/M38</f>
        <v>76.216216216215997</v>
      </c>
      <c r="P38" s="142">
        <f t="shared" ref="P38:P39" si="33">M38-J38</f>
        <v>-3</v>
      </c>
      <c r="Q38" s="143">
        <f t="shared" ref="Q38:Q39" si="34">O38-L38</f>
        <v>-15.842607313195771</v>
      </c>
      <c r="R38" s="144">
        <f>O38/L38</f>
        <v>0.82790777998445486</v>
      </c>
      <c r="S38" s="404">
        <f>R48</f>
        <v>0.84334478663551871</v>
      </c>
      <c r="T38" s="191">
        <v>0.33333333333333298</v>
      </c>
      <c r="U38" s="191">
        <v>0.38472222222222202</v>
      </c>
      <c r="V38" s="192"/>
      <c r="W38" s="193">
        <f t="shared" si="18"/>
        <v>74.000000000000213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-497.97297297297609</v>
      </c>
      <c r="AG38" s="195">
        <f t="shared" si="31"/>
        <v>0.68180640704602169</v>
      </c>
      <c r="AH38" s="398">
        <f>AG48</f>
        <v>0.69451923605277999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2435</v>
      </c>
      <c r="H39" s="91">
        <f>F39*G39</f>
        <v>107870.5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14</v>
      </c>
      <c r="N39" s="202">
        <f>G39/W39*60</f>
        <v>1106.8181818181777</v>
      </c>
      <c r="O39" s="203">
        <f>N39/M39</f>
        <v>79.05844155844126</v>
      </c>
      <c r="P39" s="97">
        <f t="shared" si="33"/>
        <v>-3</v>
      </c>
      <c r="Q39" s="98">
        <f t="shared" si="34"/>
        <v>-13.000381970970508</v>
      </c>
      <c r="R39" s="99">
        <f t="shared" si="29"/>
        <v>0.85878179328658233</v>
      </c>
      <c r="S39" s="405"/>
      <c r="T39" s="20">
        <v>0.39444444444444399</v>
      </c>
      <c r="U39" s="20">
        <v>0.48611111111111099</v>
      </c>
      <c r="V39" s="92">
        <f>(T39-U38)*24*60</f>
        <v>13.999999999999631</v>
      </c>
      <c r="W39" s="205">
        <f t="shared" si="18"/>
        <v>132.00000000000048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-458.18181818182234</v>
      </c>
      <c r="AG39" s="206">
        <f t="shared" si="31"/>
        <v>0.7072320650595384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8"/>
        <v>0</v>
      </c>
      <c r="X40" s="22"/>
      <c r="Y40" s="84"/>
      <c r="Z40" s="337"/>
      <c r="AA40" s="337"/>
      <c r="AB40" s="388"/>
      <c r="AC40" s="388"/>
      <c r="AD40" s="92"/>
      <c r="AE40" s="92"/>
      <c r="AF40" s="314"/>
      <c r="AG40" s="206"/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17</v>
      </c>
      <c r="K48" s="155">
        <f t="shared" si="36"/>
        <v>1565</v>
      </c>
      <c r="L48" s="158">
        <f t="shared" si="36"/>
        <v>92.058823529411768</v>
      </c>
      <c r="M48" s="155">
        <f t="shared" si="36"/>
        <v>14</v>
      </c>
      <c r="N48" s="155">
        <f t="shared" si="36"/>
        <v>1086.9226044226007</v>
      </c>
      <c r="O48" s="158">
        <f t="shared" si="36"/>
        <v>77.637328887328636</v>
      </c>
      <c r="P48" s="221">
        <f>M48-J48</f>
        <v>-3</v>
      </c>
      <c r="Q48" s="222">
        <f>N48-K48</f>
        <v>-478.07739557739933</v>
      </c>
      <c r="R48" s="223">
        <f t="shared" ref="R48:R52" si="37">O48/L48</f>
        <v>0.84334478663551871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8">N48-K48</f>
        <v>-478.07739557739933</v>
      </c>
      <c r="AG48" s="162">
        <f t="shared" ref="AG48:AG52" si="39">N48/K48</f>
        <v>0.69451923605277999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918</v>
      </c>
      <c r="H49" s="134">
        <f>F49*G49</f>
        <v>52601.399999999994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0">K49/J49</f>
        <v>107.14285714285714</v>
      </c>
      <c r="M49" s="170">
        <v>17</v>
      </c>
      <c r="N49" s="140">
        <f>G49/W49*60</f>
        <v>1721.2500000000191</v>
      </c>
      <c r="O49" s="141">
        <f>N49/M49</f>
        <v>101.25000000000112</v>
      </c>
      <c r="P49" s="229">
        <f>M49-J49</f>
        <v>3</v>
      </c>
      <c r="Q49" s="230">
        <f>O49-L49</f>
        <v>-5.8928571428560161</v>
      </c>
      <c r="R49" s="52">
        <f t="shared" si="37"/>
        <v>0.9450000000000105</v>
      </c>
      <c r="S49" s="376">
        <f>R58</f>
        <v>0.92774970248053978</v>
      </c>
      <c r="T49" s="191">
        <v>0.29166666666666702</v>
      </c>
      <c r="U49" s="191">
        <v>0.31388888888888899</v>
      </c>
      <c r="V49" s="55"/>
      <c r="W49" s="193">
        <f t="shared" si="18"/>
        <v>31.999999999999645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221.2500000000191</v>
      </c>
      <c r="AG49" s="52">
        <f t="shared" si="39"/>
        <v>1.1475000000000128</v>
      </c>
      <c r="AH49" s="382">
        <f>AG58</f>
        <v>0.98886917370080873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2440</v>
      </c>
      <c r="H50" s="231">
        <f>F50*G50</f>
        <v>121780.4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16</v>
      </c>
      <c r="N50" s="234">
        <f>G50/W50*60</f>
        <v>1435.2941176470447</v>
      </c>
      <c r="O50" s="235">
        <f>N50/M50</f>
        <v>89.705882352940293</v>
      </c>
      <c r="P50" s="74">
        <f>M50-J50</f>
        <v>1</v>
      </c>
      <c r="Q50" s="83">
        <f>O50-L50</f>
        <v>-14.627450980393036</v>
      </c>
      <c r="R50" s="72">
        <f t="shared" si="37"/>
        <v>0.85980078932530635</v>
      </c>
      <c r="S50" s="377"/>
      <c r="T50" s="21">
        <v>0.31944444444444398</v>
      </c>
      <c r="U50" s="21">
        <v>0.390277777777778</v>
      </c>
      <c r="V50" s="30">
        <f t="shared" ref="V50:V52" si="41">(T50-U49)*24*60</f>
        <v>7.9999999999991722</v>
      </c>
      <c r="W50" s="236">
        <f t="shared" si="18"/>
        <v>102.00000000000099</v>
      </c>
      <c r="X50" s="22"/>
      <c r="Y50" s="84"/>
      <c r="Z50" s="90">
        <v>1</v>
      </c>
      <c r="AA50" s="90">
        <v>10</v>
      </c>
      <c r="AB50" s="501" t="s">
        <v>152</v>
      </c>
      <c r="AC50" s="502"/>
      <c r="AD50" s="92"/>
      <c r="AE50" s="92"/>
      <c r="AF50" s="307">
        <f t="shared" si="38"/>
        <v>-129.70588235295531</v>
      </c>
      <c r="AG50" s="72">
        <f t="shared" si="39"/>
        <v>0.91712084194699339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3189</v>
      </c>
      <c r="H51" s="231">
        <f>F51*G51</f>
        <v>159354.32999999999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1693.2743362831907</v>
      </c>
      <c r="O51" s="235">
        <f>N51/M51</f>
        <v>105.82964601769942</v>
      </c>
      <c r="P51" s="74">
        <f>M51-J51</f>
        <v>0</v>
      </c>
      <c r="Q51" s="83">
        <f>O51-L51</f>
        <v>-1.2953539823005826</v>
      </c>
      <c r="R51" s="72">
        <f t="shared" si="37"/>
        <v>0.9879080141675558</v>
      </c>
      <c r="S51" s="377"/>
      <c r="T51" s="21">
        <v>0.39861111111111103</v>
      </c>
      <c r="U51" s="19">
        <v>0.47708333333333303</v>
      </c>
      <c r="V51" s="30">
        <f t="shared" si="41"/>
        <v>11.999999999999558</v>
      </c>
      <c r="W51" s="236">
        <f t="shared" si="18"/>
        <v>112.99999999999967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-20.725663716809322</v>
      </c>
      <c r="AG51" s="72">
        <f t="shared" si="39"/>
        <v>0.9879080141675558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f>1896+120</f>
        <v>2016</v>
      </c>
      <c r="H52" s="231">
        <f>F52*G52</f>
        <v>100739.52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1570.9090909090964</v>
      </c>
      <c r="O52" s="235">
        <f>N52/M52</f>
        <v>98.181818181818528</v>
      </c>
      <c r="P52" s="74">
        <f>M52-J52</f>
        <v>0</v>
      </c>
      <c r="Q52" s="83">
        <f>O52-L52</f>
        <v>-8.943181818181472</v>
      </c>
      <c r="R52" s="72">
        <f t="shared" si="37"/>
        <v>0.91651638909515543</v>
      </c>
      <c r="S52" s="377"/>
      <c r="T52" s="21">
        <v>0.53472222222222199</v>
      </c>
      <c r="U52" s="21">
        <v>0.58819444444444402</v>
      </c>
      <c r="V52" s="30">
        <f t="shared" si="41"/>
        <v>83.000000000000099</v>
      </c>
      <c r="W52" s="236">
        <f t="shared" si="18"/>
        <v>76.99999999999973</v>
      </c>
      <c r="X52" s="22">
        <v>0.48611111111111099</v>
      </c>
      <c r="Y52" s="84">
        <v>0.52777777777777801</v>
      </c>
      <c r="Z52" s="90"/>
      <c r="AA52" s="90"/>
      <c r="AB52" s="388"/>
      <c r="AC52" s="388"/>
      <c r="AD52" s="92"/>
      <c r="AE52" s="92"/>
      <c r="AF52" s="307">
        <f t="shared" si="38"/>
        <v>-143.09090909090355</v>
      </c>
      <c r="AG52" s="72">
        <f t="shared" si="39"/>
        <v>0.91651638909515543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16.25</v>
      </c>
      <c r="N58" s="120">
        <f t="shared" si="42"/>
        <v>1605.1818862098378</v>
      </c>
      <c r="O58" s="117">
        <f t="shared" si="42"/>
        <v>98.741836638114833</v>
      </c>
      <c r="P58" s="121">
        <f>M58-J58</f>
        <v>1</v>
      </c>
      <c r="Q58" s="122">
        <f>N58-K58</f>
        <v>-18.068113790162215</v>
      </c>
      <c r="R58" s="123">
        <f t="shared" ref="R58:R60" si="43">O58/L58</f>
        <v>0.92774970248053978</v>
      </c>
      <c r="S58" s="380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-18.068113790162215</v>
      </c>
      <c r="AG58" s="124">
        <f t="shared" ref="AG58:AG61" si="45">N58/K58</f>
        <v>0.98886917370080873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3445</v>
      </c>
      <c r="H59" s="243">
        <f>F59*G59</f>
        <v>92980.549999999988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6">K59/J59</f>
        <v>120.38461538461539</v>
      </c>
      <c r="M59" s="244">
        <v>13</v>
      </c>
      <c r="N59" s="137">
        <f t="shared" ref="N59:N62" si="47">G59/W59*60</f>
        <v>1542.5373134328449</v>
      </c>
      <c r="O59" s="138">
        <f t="shared" ref="O59:O62" si="48">N59/M59</f>
        <v>118.65671641791116</v>
      </c>
      <c r="P59" s="56">
        <f t="shared" ref="P59:P62" si="49">M59-J59</f>
        <v>0</v>
      </c>
      <c r="Q59" s="230">
        <f t="shared" ref="Q59:Q62" si="50">O59-L59</f>
        <v>-1.727898966704231</v>
      </c>
      <c r="R59" s="52">
        <f t="shared" si="43"/>
        <v>0.98564684564399041</v>
      </c>
      <c r="S59" s="376">
        <f>R69</f>
        <v>0.8968671229290136</v>
      </c>
      <c r="T59" s="245">
        <v>0.29027777777777802</v>
      </c>
      <c r="U59" s="245">
        <v>0.38333333333333303</v>
      </c>
      <c r="V59" s="55"/>
      <c r="W59" s="54">
        <f t="shared" si="18"/>
        <v>133.9999999999992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-22.46268656715506</v>
      </c>
      <c r="AG59" s="246">
        <f t="shared" si="45"/>
        <v>0.98564684564399041</v>
      </c>
      <c r="AH59" s="382">
        <f>AG69</f>
        <v>0.90438969508556177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1717</v>
      </c>
      <c r="H60" s="78">
        <f>F60*G60</f>
        <v>48522.420000000006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1515.0000000000073</v>
      </c>
      <c r="O60" s="81">
        <f t="shared" si="48"/>
        <v>126.25000000000061</v>
      </c>
      <c r="P60" s="74">
        <f t="shared" si="49"/>
        <v>0</v>
      </c>
      <c r="Q60" s="83">
        <f t="shared" si="50"/>
        <v>-4.1666666666660461</v>
      </c>
      <c r="R60" s="72">
        <f t="shared" si="43"/>
        <v>0.96805111821086742</v>
      </c>
      <c r="S60" s="394"/>
      <c r="T60" s="22">
        <v>0.39374999999999999</v>
      </c>
      <c r="U60" s="22">
        <v>0.44097222222222199</v>
      </c>
      <c r="V60" s="30">
        <f t="shared" ref="V60:V62" si="51">(T60-U59)*24*60</f>
        <v>15.000000000000426</v>
      </c>
      <c r="W60" s="248">
        <f t="shared" si="18"/>
        <v>67.999999999999673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4"/>
        <v>-49.999999999992724</v>
      </c>
      <c r="AG60" s="249">
        <f t="shared" si="45"/>
        <v>0.96805111821086731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1421</v>
      </c>
      <c r="H61" s="254">
        <f>F61*G61</f>
        <v>40157.46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1311.6923076923042</v>
      </c>
      <c r="O61" s="238">
        <f t="shared" si="48"/>
        <v>109.30769230769202</v>
      </c>
      <c r="P61" s="111">
        <f t="shared" si="49"/>
        <v>0</v>
      </c>
      <c r="Q61" s="255">
        <f t="shared" si="50"/>
        <v>-21.108974358974635</v>
      </c>
      <c r="R61" s="85">
        <f>O61/L61</f>
        <v>0.83814204964364492</v>
      </c>
      <c r="S61" s="377"/>
      <c r="T61" s="22">
        <v>0.45138888888888901</v>
      </c>
      <c r="U61" s="22">
        <v>0.49652777777777801</v>
      </c>
      <c r="V61" s="30">
        <f t="shared" si="51"/>
        <v>15.000000000000506</v>
      </c>
      <c r="W61" s="256">
        <f t="shared" si="18"/>
        <v>65.000000000000171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4"/>
        <v>-253.30769230769579</v>
      </c>
      <c r="AG61" s="247">
        <f t="shared" si="45"/>
        <v>0.83814204964364492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2939</v>
      </c>
      <c r="H62" s="254">
        <f>F62*G62</f>
        <v>83056.14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9</v>
      </c>
      <c r="N62" s="107">
        <f t="shared" si="47"/>
        <v>1356.4615384615349</v>
      </c>
      <c r="O62" s="238">
        <f t="shared" si="48"/>
        <v>150.71794871794833</v>
      </c>
      <c r="P62" s="111">
        <f t="shared" si="49"/>
        <v>0</v>
      </c>
      <c r="Q62" s="255">
        <f t="shared" si="50"/>
        <v>-31.05982905982944</v>
      </c>
      <c r="R62" s="85">
        <f>O62/L62</f>
        <v>0.82913296971976469</v>
      </c>
      <c r="S62" s="377"/>
      <c r="T62" s="22">
        <v>0.55208333333333304</v>
      </c>
      <c r="U62" s="22">
        <v>0.64236111111111105</v>
      </c>
      <c r="V62" s="30">
        <f t="shared" si="51"/>
        <v>79.999999999999233</v>
      </c>
      <c r="W62" s="248">
        <f t="shared" si="18"/>
        <v>130.00000000000034</v>
      </c>
      <c r="X62" s="22">
        <v>0.50347222222222199</v>
      </c>
      <c r="Y62" s="84">
        <v>0.54513888888888895</v>
      </c>
      <c r="Z62" s="90"/>
      <c r="AA62" s="90"/>
      <c r="AB62" s="501"/>
      <c r="AC62" s="502"/>
      <c r="AD62" s="92"/>
      <c r="AE62" s="92"/>
      <c r="AF62" s="317">
        <f>N62-K62</f>
        <v>-279.53846153846507</v>
      </c>
      <c r="AG62" s="247">
        <f>N62/K62</f>
        <v>0.82913296971976458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11.5</v>
      </c>
      <c r="N69" s="240">
        <f t="shared" si="52"/>
        <v>1431.4227898966728</v>
      </c>
      <c r="O69" s="268">
        <f t="shared" si="52"/>
        <v>126.23308936088803</v>
      </c>
      <c r="P69" s="269">
        <f>M69-J69</f>
        <v>0</v>
      </c>
      <c r="Q69" s="222">
        <f>N69-K69</f>
        <v>-151.32721010332716</v>
      </c>
      <c r="R69" s="123">
        <f t="shared" ref="R69:R72" si="53">O69/L69</f>
        <v>0.8968671229290136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-151.32721010332716</v>
      </c>
      <c r="AG69" s="124">
        <f>N69/K69</f>
        <v>0.90438969508556177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1466</v>
      </c>
      <c r="H70" s="243">
        <f>F70*G70</f>
        <v>74282.22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11</v>
      </c>
      <c r="N70" s="137">
        <f>G70/W70*60</f>
        <v>1034.8235294117605</v>
      </c>
      <c r="O70" s="138">
        <f>N70/M70</f>
        <v>94.074866310160047</v>
      </c>
      <c r="P70" s="56">
        <f>M70-J70</f>
        <v>1</v>
      </c>
      <c r="Q70" s="230">
        <f>O70-L70</f>
        <v>-18.425133689839953</v>
      </c>
      <c r="R70" s="52">
        <f t="shared" si="53"/>
        <v>0.83622103386808933</v>
      </c>
      <c r="S70" s="376">
        <f>R79</f>
        <v>0.87988332787518897</v>
      </c>
      <c r="T70" s="245">
        <v>0.33333333333333298</v>
      </c>
      <c r="U70" s="245">
        <v>0.39236111111111099</v>
      </c>
      <c r="V70" s="55"/>
      <c r="W70" s="54">
        <f t="shared" si="18"/>
        <v>85.000000000000341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-90.176470588239454</v>
      </c>
      <c r="AG70" s="246">
        <f>N70/K70</f>
        <v>0.9198431372548983</v>
      </c>
      <c r="AH70" s="382">
        <f>AG79</f>
        <v>0.8708864976331897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f>1243+104</f>
        <v>1347</v>
      </c>
      <c r="H71" s="254">
        <f>F71*G71</f>
        <v>76011.210000000006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54">K71/J71</f>
        <v>87.875</v>
      </c>
      <c r="M71" s="82">
        <v>12</v>
      </c>
      <c r="N71" s="107">
        <f t="shared" ref="N71:N72" si="55">G71/W71*60</f>
        <v>973.73493975903489</v>
      </c>
      <c r="O71" s="238">
        <f t="shared" ref="O71:O72" si="56">N71/M71</f>
        <v>81.144578313252907</v>
      </c>
      <c r="P71" s="111">
        <f t="shared" ref="P71:P72" si="57">M71-J71</f>
        <v>-4</v>
      </c>
      <c r="Q71" s="255">
        <f t="shared" ref="Q71:Q72" si="58">O71-L71</f>
        <v>-6.7304216867470927</v>
      </c>
      <c r="R71" s="85">
        <f t="shared" si="53"/>
        <v>0.92340914154484099</v>
      </c>
      <c r="S71" s="377"/>
      <c r="T71" s="22">
        <v>0.40069444444444402</v>
      </c>
      <c r="U71" s="22">
        <v>0.45833333333333298</v>
      </c>
      <c r="V71" s="30">
        <f t="shared" ref="V71:V73" si="59">(T71-U70)*24*60</f>
        <v>11.999999999999558</v>
      </c>
      <c r="W71" s="73">
        <f t="shared" si="18"/>
        <v>83.000000000000099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1453</v>
      </c>
      <c r="H72" s="361">
        <f>F72*G72</f>
        <v>41061.78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4"/>
        <v>181.77777777777777</v>
      </c>
      <c r="M72" s="94">
        <v>10</v>
      </c>
      <c r="N72" s="107">
        <f t="shared" si="55"/>
        <v>1585.0909090909286</v>
      </c>
      <c r="O72" s="238">
        <f t="shared" si="56"/>
        <v>158.50909090909286</v>
      </c>
      <c r="P72" s="111">
        <f t="shared" si="57"/>
        <v>1</v>
      </c>
      <c r="Q72" s="255">
        <f t="shared" si="58"/>
        <v>-23.26868686868491</v>
      </c>
      <c r="R72" s="85">
        <f t="shared" si="53"/>
        <v>0.87199377639476516</v>
      </c>
      <c r="S72" s="377"/>
      <c r="T72" s="22">
        <v>0.46527777777777801</v>
      </c>
      <c r="U72" s="22">
        <v>0.50347222222222199</v>
      </c>
      <c r="V72" s="30">
        <f t="shared" si="59"/>
        <v>10.000000000000844</v>
      </c>
      <c r="W72" s="73">
        <f t="shared" si="18"/>
        <v>54.999999999999325</v>
      </c>
      <c r="X72" s="272">
        <v>0.51041666666666696</v>
      </c>
      <c r="Y72" s="288">
        <v>0.55208333333333304</v>
      </c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58"/>
      <c r="D73" s="259" t="s">
        <v>132</v>
      </c>
      <c r="E73" s="60"/>
      <c r="F73" s="250">
        <f>VLOOKUP(D73,廠價表!$C$1:$E$41,3,0)</f>
        <v>50.67</v>
      </c>
      <c r="G73" s="273">
        <v>1032</v>
      </c>
      <c r="H73" s="361">
        <f>F73*G73</f>
        <v>52291.44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>K73/J73</f>
        <v>112.5</v>
      </c>
      <c r="M73" s="94">
        <v>10</v>
      </c>
      <c r="N73" s="107">
        <f>G73/W73*60</f>
        <v>1015.0819672131158</v>
      </c>
      <c r="O73" s="238">
        <f>N73/M73</f>
        <v>101.50819672131158</v>
      </c>
      <c r="P73" s="111">
        <f>M73-J73</f>
        <v>0</v>
      </c>
      <c r="Q73" s="255">
        <f>O73-L73</f>
        <v>-10.991803278688423</v>
      </c>
      <c r="R73" s="85">
        <f>O73/L73</f>
        <v>0.90229508196721397</v>
      </c>
      <c r="S73" s="377"/>
      <c r="T73" s="22">
        <v>0.56874999999999998</v>
      </c>
      <c r="U73" s="22">
        <v>0.61111111111111105</v>
      </c>
      <c r="V73" s="30">
        <f t="shared" si="59"/>
        <v>94.000000000000313</v>
      </c>
      <c r="W73" s="73">
        <f t="shared" si="18"/>
        <v>60.999999999999943</v>
      </c>
      <c r="X73" s="22"/>
      <c r="Y73" s="84"/>
      <c r="Z73" s="90"/>
      <c r="AA73" s="90"/>
      <c r="AB73" s="388"/>
      <c r="AC73" s="388"/>
      <c r="AD73" s="92"/>
      <c r="AE73" s="92"/>
      <c r="AF73" s="311">
        <v>-129.333333333333</v>
      </c>
      <c r="AG73" s="99">
        <v>1.9167199148029801</v>
      </c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94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8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0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1">AVERAGE(J70:J78)</f>
        <v>11.25</v>
      </c>
      <c r="K79" s="240">
        <f t="shared" si="61"/>
        <v>1323</v>
      </c>
      <c r="L79" s="268">
        <f t="shared" si="61"/>
        <v>123.66319444444444</v>
      </c>
      <c r="M79" s="240">
        <f t="shared" si="61"/>
        <v>10.75</v>
      </c>
      <c r="N79" s="240">
        <f t="shared" si="61"/>
        <v>1152.18283636871</v>
      </c>
      <c r="O79" s="268">
        <f t="shared" si="61"/>
        <v>108.80918306345436</v>
      </c>
      <c r="P79" s="269">
        <f>M79-J79</f>
        <v>-0.5</v>
      </c>
      <c r="Q79" s="222">
        <f>N79-K79</f>
        <v>-170.81716363128999</v>
      </c>
      <c r="R79" s="223">
        <f>O79/L79</f>
        <v>0.87988332787518897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-170.81716363128999</v>
      </c>
      <c r="AG79" s="124">
        <f>N79/K79</f>
        <v>0.8708864976331897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T1:Y2"/>
    <mergeCell ref="N3:N4"/>
    <mergeCell ref="O3:O4"/>
    <mergeCell ref="P3:P4"/>
    <mergeCell ref="AF1:AH2"/>
    <mergeCell ref="AG3:AG4"/>
    <mergeCell ref="AH3:AH4"/>
    <mergeCell ref="Q3:Q4"/>
    <mergeCell ref="R3:R4"/>
    <mergeCell ref="T3:U3"/>
    <mergeCell ref="AD3:AE3"/>
    <mergeCell ref="AF3:AF4"/>
    <mergeCell ref="V3:V4"/>
    <mergeCell ref="AB1:AC2"/>
    <mergeCell ref="W3:W4"/>
    <mergeCell ref="X3:Y3"/>
    <mergeCell ref="P1:S2"/>
    <mergeCell ref="AB5:AC5"/>
    <mergeCell ref="S3:S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5:AC15"/>
    <mergeCell ref="Z3:AA3"/>
    <mergeCell ref="AB20:AC20"/>
    <mergeCell ref="AB21:AC21"/>
    <mergeCell ref="AB22:AC22"/>
    <mergeCell ref="AB23:AC23"/>
    <mergeCell ref="AB24:AC24"/>
    <mergeCell ref="AB25:AC25"/>
    <mergeCell ref="A2:B2"/>
    <mergeCell ref="A3:A4"/>
    <mergeCell ref="B3:B4"/>
    <mergeCell ref="D3:E4"/>
    <mergeCell ref="F3:F4"/>
    <mergeCell ref="D15:E15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A5:A15"/>
    <mergeCell ref="S5:S15"/>
    <mergeCell ref="AB13:AC13"/>
    <mergeCell ref="A16:A26"/>
    <mergeCell ref="S16:S26"/>
    <mergeCell ref="AB16:AC16"/>
    <mergeCell ref="D26:E26"/>
    <mergeCell ref="AB26:AC2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49:A58"/>
    <mergeCell ref="S49:S58"/>
    <mergeCell ref="AB49:AC49"/>
    <mergeCell ref="A59:A69"/>
    <mergeCell ref="S59:S69"/>
    <mergeCell ref="AB59:AC59"/>
    <mergeCell ref="D69:E69"/>
    <mergeCell ref="AB69:AC69"/>
    <mergeCell ref="AB67:AC67"/>
    <mergeCell ref="AB68:AC68"/>
    <mergeCell ref="AB54:AC54"/>
    <mergeCell ref="AB55:AC55"/>
    <mergeCell ref="AB56:AC56"/>
    <mergeCell ref="AB57:AC57"/>
    <mergeCell ref="AH38:AH48"/>
    <mergeCell ref="AB42:AC42"/>
    <mergeCell ref="AB43:AC43"/>
    <mergeCell ref="AB44:AC44"/>
    <mergeCell ref="AB45:AC45"/>
    <mergeCell ref="AB46:AC46"/>
    <mergeCell ref="D58:E58"/>
    <mergeCell ref="AB58:AC58"/>
    <mergeCell ref="AH49:AH58"/>
    <mergeCell ref="AB50:AC50"/>
    <mergeCell ref="AB51:AC51"/>
    <mergeCell ref="AB52:AC52"/>
    <mergeCell ref="AB53:AC53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B8B6F6-4F80-41ED-89ED-739C706495D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608F-9C0F-4CBC-A192-F84A5D8B1C60}">
  <dimension ref="B1:O26"/>
  <sheetViews>
    <sheetView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46089</v>
      </c>
      <c r="E3" s="466"/>
      <c r="F3" s="3" t="s">
        <v>72</v>
      </c>
      <c r="G3" s="467">
        <f>'0308'!E1</f>
        <v>70541</v>
      </c>
      <c r="H3" s="467"/>
      <c r="I3" s="3" t="s">
        <v>2</v>
      </c>
      <c r="J3" s="468">
        <f>'0308'!G1</f>
        <v>3289055.7499999995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125.79239718031735</v>
      </c>
      <c r="G6" s="473"/>
      <c r="H6" s="474">
        <f>AVERAGE(D13:H13,J13)</f>
        <v>124.15232425073111</v>
      </c>
      <c r="I6" s="474"/>
      <c r="J6" s="474">
        <f>AVERAGE(I13)</f>
        <v>135.63283475783473</v>
      </c>
      <c r="K6" s="474"/>
      <c r="L6" s="499">
        <f>SUM(D18:J18)</f>
        <v>1</v>
      </c>
      <c r="M6" s="477">
        <f>SUM(D19:J19)</f>
        <v>10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113.44416550151153</v>
      </c>
      <c r="G7" s="497"/>
      <c r="H7" s="498">
        <f>AVERAGE(D14:H14,J14)</f>
        <v>112.37343629487036</v>
      </c>
      <c r="I7" s="498"/>
      <c r="J7" s="498">
        <f>AVERAGE(I14)</f>
        <v>119.86854074135859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0.90183642290316468</v>
      </c>
      <c r="G8" s="470"/>
      <c r="H8" s="470">
        <f>H7/H6</f>
        <v>0.90512551394468643</v>
      </c>
      <c r="I8" s="470"/>
      <c r="J8" s="470">
        <f>J7/J6</f>
        <v>0.88377228829123522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VALUE('0308'!L15)</f>
        <v>144.14871794871794</v>
      </c>
      <c r="E13" s="13">
        <f>VALUE('0308'!L26)</f>
        <v>181.44696969696969</v>
      </c>
      <c r="F13" s="13">
        <f>VALUE('0308'!L37)</f>
        <v>93.443627450980387</v>
      </c>
      <c r="G13" s="13">
        <f>VALUE('0308'!L48)</f>
        <v>92.058823529411768</v>
      </c>
      <c r="H13" s="13">
        <f>VALUE('0308'!L58)</f>
        <v>106.43154761904762</v>
      </c>
      <c r="I13" s="13">
        <f>VALUE('0308'!L69)</f>
        <v>135.63283475783473</v>
      </c>
      <c r="J13" s="13">
        <f>'0308'!L79</f>
        <v>127.38425925925925</v>
      </c>
    </row>
    <row r="14" spans="2:15" ht="39.950000000000003" customHeight="1">
      <c r="B14" s="491"/>
      <c r="C14" s="12" t="s">
        <v>100</v>
      </c>
      <c r="D14" s="13">
        <f>VALUE('0308'!O15)</f>
        <v>133.38982529715094</v>
      </c>
      <c r="E14" s="13">
        <f>VALUE('0308'!O26)</f>
        <v>165.78970444865581</v>
      </c>
      <c r="F14" s="13">
        <f>VALUE('0308'!O37)</f>
        <v>84.987304075235102</v>
      </c>
      <c r="G14" s="13">
        <f>VALUE('0308'!O48)</f>
        <v>79.052894367295949</v>
      </c>
      <c r="H14" s="13">
        <f>VALUE('0308'!O58)</f>
        <v>97.848212258207425</v>
      </c>
      <c r="I14" s="13">
        <f>VALUE('0308'!O69)</f>
        <v>119.86854074135859</v>
      </c>
      <c r="J14" s="13">
        <f>'0308'!O79</f>
        <v>113.17267732267696</v>
      </c>
    </row>
    <row r="15" spans="2:15" ht="39.950000000000003" customHeight="1">
      <c r="B15" s="492"/>
      <c r="C15" s="10" t="s">
        <v>26</v>
      </c>
      <c r="D15" s="14">
        <f>D14/D13</f>
        <v>0.92536255053343885</v>
      </c>
      <c r="E15" s="14">
        <f t="shared" ref="E15:I15" si="1">E14/E13</f>
        <v>0.9137088633970426</v>
      </c>
      <c r="F15" s="14">
        <f t="shared" si="1"/>
        <v>0.90950347705431933</v>
      </c>
      <c r="G15" s="14">
        <f t="shared" si="1"/>
        <v>0.85872153625816683</v>
      </c>
      <c r="H15" s="14">
        <f t="shared" si="1"/>
        <v>0.91935346659091455</v>
      </c>
      <c r="I15" s="14">
        <f t="shared" si="1"/>
        <v>0.88377228829123522</v>
      </c>
      <c r="J15" s="15">
        <f>'0308'!S70</f>
        <v>0.88843533715058054</v>
      </c>
    </row>
    <row r="16" spans="2:15" ht="17.25" customHeight="1">
      <c r="B16" s="493" t="s">
        <v>101</v>
      </c>
      <c r="C16" s="10" t="s">
        <v>34</v>
      </c>
      <c r="D16" s="16">
        <f>'0308'!T5</f>
        <v>0.29027777777777802</v>
      </c>
      <c r="E16" s="16">
        <f>'0308'!T16</f>
        <v>0.29027777777777802</v>
      </c>
      <c r="F16" s="16">
        <f>'0308'!T27</f>
        <v>0.29166666666666702</v>
      </c>
      <c r="G16" s="16">
        <f>'0308'!T38</f>
        <v>0.33333333333333298</v>
      </c>
      <c r="H16" s="16">
        <f>'0308'!T49</f>
        <v>0.29166666666666702</v>
      </c>
      <c r="I16" s="16">
        <f>'0308'!T59</f>
        <v>0.29166666666666702</v>
      </c>
      <c r="J16" s="16">
        <f>'0308'!T70</f>
        <v>0.33333333333333298</v>
      </c>
    </row>
    <row r="17" spans="2:10" ht="17.25" customHeight="1">
      <c r="B17" s="494"/>
      <c r="C17" s="10" t="s">
        <v>35</v>
      </c>
      <c r="D17" s="16">
        <v>0.65138888888888902</v>
      </c>
      <c r="E17" s="19">
        <v>0.66388888888888897</v>
      </c>
      <c r="F17" s="19">
        <v>0.61805555555555602</v>
      </c>
      <c r="G17" s="20">
        <v>0.64236111111111105</v>
      </c>
      <c r="H17" s="21">
        <v>0.63958333333333295</v>
      </c>
      <c r="I17" s="22">
        <v>0.67361111111111105</v>
      </c>
      <c r="J17" s="22">
        <v>0.67361111111111105</v>
      </c>
    </row>
    <row r="18" spans="2:10" ht="17.25" customHeight="1">
      <c r="B18" s="495" t="s">
        <v>102</v>
      </c>
      <c r="C18" s="330" t="s">
        <v>36</v>
      </c>
      <c r="D18" s="358">
        <f>'0308'!Z15</f>
        <v>0</v>
      </c>
      <c r="E18" s="359">
        <f>'0308'!Z26</f>
        <v>0</v>
      </c>
      <c r="F18" s="359">
        <f>'0308'!Z37</f>
        <v>0</v>
      </c>
      <c r="G18" s="360">
        <f>'0308'!Z48</f>
        <v>0</v>
      </c>
      <c r="H18" s="360">
        <f>'0308'!Z58</f>
        <v>1</v>
      </c>
      <c r="I18" s="359">
        <f>'0308'!Z69</f>
        <v>0</v>
      </c>
      <c r="J18" s="359">
        <f>'0308'!AA79</f>
        <v>0</v>
      </c>
    </row>
    <row r="19" spans="2:10" ht="17.25" customHeight="1">
      <c r="B19" s="496"/>
      <c r="C19" s="330" t="s">
        <v>37</v>
      </c>
      <c r="D19" s="358">
        <f>'0308'!AA15</f>
        <v>0</v>
      </c>
      <c r="E19" s="359">
        <f>'0308'!AA26</f>
        <v>0</v>
      </c>
      <c r="F19" s="359">
        <f>'0308'!AA37</f>
        <v>0</v>
      </c>
      <c r="G19" s="360">
        <f>'0308'!AA48</f>
        <v>0</v>
      </c>
      <c r="H19" s="360">
        <f>'0308'!AA58</f>
        <v>10</v>
      </c>
      <c r="I19" s="359">
        <f>'0308'!AA69</f>
        <v>0</v>
      </c>
      <c r="J19" s="359">
        <f>'0308'!AB79</f>
        <v>0</v>
      </c>
    </row>
    <row r="20" spans="2:10" ht="17.25" customHeight="1">
      <c r="B20" s="495" t="s">
        <v>103</v>
      </c>
      <c r="C20" s="330" t="s">
        <v>36</v>
      </c>
      <c r="D20" s="358">
        <f>'0308'!AD15</f>
        <v>0</v>
      </c>
      <c r="E20" s="359">
        <f>'0308'!AD26</f>
        <v>0</v>
      </c>
      <c r="F20" s="359">
        <f>'0308'!AD37</f>
        <v>0</v>
      </c>
      <c r="G20" s="360">
        <f>'0308'!AD48</f>
        <v>0</v>
      </c>
      <c r="H20" s="360">
        <f>'0308'!AD58</f>
        <v>0</v>
      </c>
      <c r="I20" s="359">
        <f>'0308'!AD69</f>
        <v>0</v>
      </c>
      <c r="J20" s="359">
        <f>'0308'!AD79</f>
        <v>0</v>
      </c>
    </row>
    <row r="21" spans="2:10" ht="17.25" customHeight="1">
      <c r="B21" s="496"/>
      <c r="C21" s="330" t="s">
        <v>85</v>
      </c>
      <c r="D21" s="358">
        <f>'0308'!AE15</f>
        <v>0</v>
      </c>
      <c r="E21" s="359">
        <f>'0308'!AE26</f>
        <v>0</v>
      </c>
      <c r="F21" s="359">
        <f>'0308'!AE37</f>
        <v>0</v>
      </c>
      <c r="G21" s="360">
        <f>'0308'!AE48</f>
        <v>0</v>
      </c>
      <c r="H21" s="360">
        <f>'0308'!AE58</f>
        <v>0</v>
      </c>
      <c r="I21" s="359">
        <f>'0308'!AE69</f>
        <v>0</v>
      </c>
      <c r="J21" s="359">
        <f>'0308'!AE79</f>
        <v>0</v>
      </c>
    </row>
    <row r="22" spans="2:10" ht="17.25" customHeight="1">
      <c r="B22" s="479" t="s">
        <v>104</v>
      </c>
      <c r="C22" s="480"/>
      <c r="D22" s="23">
        <f>VALUE('0308'!M15)</f>
        <v>13.8</v>
      </c>
      <c r="E22" s="23">
        <f>VALUE('0308'!M26)</f>
        <v>11.6</v>
      </c>
      <c r="F22" s="23">
        <f>VALUE('0308'!M37)</f>
        <v>16</v>
      </c>
      <c r="G22" s="23">
        <f>VALUE('0308'!M48)</f>
        <v>17</v>
      </c>
      <c r="H22" s="23">
        <f>VALUE('0308'!M58)</f>
        <v>16</v>
      </c>
      <c r="I22" s="23">
        <f>VALUE('0308'!M69)</f>
        <v>10.666666666666666</v>
      </c>
      <c r="J22" s="23">
        <f>'0308'!M79</f>
        <v>10.333333333333334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D682-25E7-4955-9901-2A930F3CA0AD}">
  <sheetPr>
    <tabColor theme="9" tint="0.79998168889431442"/>
  </sheetPr>
  <dimension ref="A1:AJ92"/>
  <sheetViews>
    <sheetView zoomScale="69" zoomScaleNormal="69" workbookViewId="0">
      <pane xSplit="5" ySplit="4" topLeftCell="F8" activePane="bottomRight" state="frozen"/>
      <selection activeCell="J17" sqref="J17"/>
      <selection pane="topRight" activeCell="J17" sqref="J17"/>
      <selection pane="bottomLeft" activeCell="J17" sqref="J17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70541</v>
      </c>
      <c r="F1" s="30" t="s">
        <v>2</v>
      </c>
      <c r="G1" s="31">
        <f>SUM(H5:H79)</f>
        <v>3289055.7499999995</v>
      </c>
      <c r="H1" s="32" t="s">
        <v>3</v>
      </c>
      <c r="I1" s="33">
        <f>M15+M26+M48+M58+M69+M79+M37</f>
        <v>95.399999999999991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153</v>
      </c>
      <c r="B2" s="447"/>
      <c r="C2" s="28"/>
      <c r="D2" s="28" t="s">
        <v>14</v>
      </c>
      <c r="E2" s="35">
        <f>AVERAGE(O15,O26,O37,O48,O58,O69,O79)</f>
        <v>113.44416550151153</v>
      </c>
      <c r="F2" s="36" t="s">
        <v>15</v>
      </c>
      <c r="G2" s="37">
        <f>G1/E1</f>
        <v>46.626157128478468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10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2606</v>
      </c>
      <c r="H5" s="43">
        <f>F5*G5</f>
        <v>124332.26000000001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8" si="0">K5/J5</f>
        <v>102.25</v>
      </c>
      <c r="M5" s="48">
        <v>16</v>
      </c>
      <c r="N5" s="46">
        <f t="shared" ref="N5:N8" si="1">G5/W5*60</f>
        <v>1611.9587628866009</v>
      </c>
      <c r="O5" s="47">
        <f t="shared" ref="O5:O8" si="2">N5/M5</f>
        <v>100.74742268041255</v>
      </c>
      <c r="P5" s="49">
        <f t="shared" ref="P5:P8" si="3">M5-J5</f>
        <v>0</v>
      </c>
      <c r="Q5" s="50">
        <f t="shared" ref="Q5:Q8" si="4">O5-L5</f>
        <v>-1.502577319587445</v>
      </c>
      <c r="R5" s="51">
        <f>O5/L5</f>
        <v>0.98530486729009836</v>
      </c>
      <c r="S5" s="376">
        <f>R15</f>
        <v>0.92536255053343885</v>
      </c>
      <c r="T5" s="319">
        <v>0.29027777777777802</v>
      </c>
      <c r="U5" s="320">
        <v>0.35763888888888901</v>
      </c>
      <c r="V5" s="53"/>
      <c r="W5" s="54">
        <f t="shared" ref="W5:W14" si="5">(U5-T5)*24*60</f>
        <v>96.999999999999815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8" si="6">N5-K5</f>
        <v>-24.04123711339912</v>
      </c>
      <c r="AG5" s="52">
        <f t="shared" ref="AG5:AG8" si="7">N5/K5</f>
        <v>0.98530486729009836</v>
      </c>
      <c r="AH5" s="382">
        <f>AG15</f>
        <v>0.9274392324729327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1188</v>
      </c>
      <c r="H6" s="78">
        <f>F6*G6</f>
        <v>66860.639999999999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1657.6744186046571</v>
      </c>
      <c r="O6" s="81">
        <f t="shared" si="2"/>
        <v>110.51162790697714</v>
      </c>
      <c r="P6" s="74">
        <f t="shared" si="3"/>
        <v>0</v>
      </c>
      <c r="Q6" s="83">
        <f t="shared" si="4"/>
        <v>-9.4883720930228606</v>
      </c>
      <c r="R6" s="72">
        <f>O6/L6</f>
        <v>0.92093023255814288</v>
      </c>
      <c r="S6" s="377"/>
      <c r="T6" s="18">
        <v>0.36597222222222198</v>
      </c>
      <c r="U6" s="18">
        <v>0.39583333333333298</v>
      </c>
      <c r="V6" s="30">
        <f>(T6-U5)*24*60</f>
        <v>11.999999999999478</v>
      </c>
      <c r="W6" s="73">
        <f t="shared" si="5"/>
        <v>42.999999999999844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-142.32558139534285</v>
      </c>
      <c r="AG6" s="72">
        <f t="shared" si="7"/>
        <v>0.92093023255814288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3785</v>
      </c>
      <c r="H7" s="78">
        <f t="shared" ref="H7:H8" si="8">F7*G7</f>
        <v>185994.9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1892.5000000000082</v>
      </c>
      <c r="O7" s="81">
        <f t="shared" si="2"/>
        <v>145.57692307692372</v>
      </c>
      <c r="P7" s="74">
        <f t="shared" si="3"/>
        <v>0</v>
      </c>
      <c r="Q7" s="83">
        <f t="shared" si="4"/>
        <v>-15.961538461537828</v>
      </c>
      <c r="R7" s="72">
        <f t="shared" ref="R7:R8" si="9">O7/L7</f>
        <v>0.90119047619048009</v>
      </c>
      <c r="S7" s="377"/>
      <c r="T7" s="16">
        <v>0.40277777777777801</v>
      </c>
      <c r="U7" s="16">
        <v>0.48611111111111099</v>
      </c>
      <c r="V7" s="30">
        <f>(T7-U6)*24*60</f>
        <v>10.000000000000844</v>
      </c>
      <c r="W7" s="73">
        <f t="shared" si="5"/>
        <v>119.99999999999949</v>
      </c>
      <c r="X7" s="22"/>
      <c r="Y7" s="84"/>
      <c r="Z7" s="90"/>
      <c r="AA7" s="90"/>
      <c r="AB7" s="501"/>
      <c r="AC7" s="502"/>
      <c r="AD7" s="92"/>
      <c r="AE7" s="92"/>
      <c r="AF7" s="307">
        <f t="shared" si="6"/>
        <v>-207.49999999999181</v>
      </c>
      <c r="AG7" s="72">
        <f t="shared" si="7"/>
        <v>0.90119047619048009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3363</v>
      </c>
      <c r="H8" s="78">
        <f t="shared" si="8"/>
        <v>165257.82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1959.0291262136116</v>
      </c>
      <c r="O8" s="81">
        <f t="shared" si="2"/>
        <v>150.69454817027781</v>
      </c>
      <c r="P8" s="74">
        <f t="shared" si="3"/>
        <v>0</v>
      </c>
      <c r="Q8" s="83">
        <f t="shared" si="4"/>
        <v>-10.843913368183735</v>
      </c>
      <c r="R8" s="72">
        <f t="shared" si="9"/>
        <v>0.93287101248267212</v>
      </c>
      <c r="S8" s="377"/>
      <c r="T8" s="16">
        <v>0.54166666666666696</v>
      </c>
      <c r="U8" s="16">
        <v>0.61319444444444404</v>
      </c>
      <c r="V8" s="30">
        <f>(T8-U7)*24*60</f>
        <v>80.000000000000597</v>
      </c>
      <c r="W8" s="73">
        <f t="shared" si="5"/>
        <v>102.99999999999899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6"/>
        <v>-140.97087378638844</v>
      </c>
      <c r="AG8" s="72">
        <f t="shared" si="7"/>
        <v>0.93287101248267212</v>
      </c>
      <c r="AH8" s="384"/>
    </row>
    <row r="9" spans="1:34" ht="15" customHeight="1">
      <c r="A9" s="424"/>
      <c r="B9" s="75" t="s">
        <v>81</v>
      </c>
      <c r="C9" s="76"/>
      <c r="D9" s="59" t="s">
        <v>113</v>
      </c>
      <c r="E9" s="77"/>
      <c r="F9" s="75">
        <f>VLOOKUP(D9,廠價表!$C$1:$E$41,3,0)</f>
        <v>57.21</v>
      </c>
      <c r="G9" s="66">
        <v>1371</v>
      </c>
      <c r="H9" s="78">
        <f>F9*G9</f>
        <v>78434.91</v>
      </c>
      <c r="I9" s="73"/>
      <c r="J9" s="79">
        <f>VLOOKUP(D9,產線配置圖!$A$3:$C$38,2,0)</f>
        <v>12</v>
      </c>
      <c r="K9" s="80">
        <f>VLOOKUP(D9,產線配置圖!$A$3:$C$38,3,0)</f>
        <v>2105</v>
      </c>
      <c r="L9" s="81">
        <f>K9/J9</f>
        <v>175.41666666666666</v>
      </c>
      <c r="M9" s="82">
        <v>12</v>
      </c>
      <c r="N9" s="80">
        <f>G9/W9*60</f>
        <v>1913.0232558139603</v>
      </c>
      <c r="O9" s="81">
        <f>N9/M9</f>
        <v>159.41860465116335</v>
      </c>
      <c r="P9" s="74">
        <f>M9-J9</f>
        <v>0</v>
      </c>
      <c r="Q9" s="83">
        <f>O9-L9</f>
        <v>-15.998062015503308</v>
      </c>
      <c r="R9" s="72">
        <f>O9/L9</f>
        <v>0.9087996464674396</v>
      </c>
      <c r="S9" s="378"/>
      <c r="T9" s="16">
        <v>0.62152777777777801</v>
      </c>
      <c r="U9" s="16">
        <v>0.65138888888888902</v>
      </c>
      <c r="V9" s="30">
        <f>(T9-U8)*24*60</f>
        <v>12.000000000000917</v>
      </c>
      <c r="W9" s="73">
        <f t="shared" si="5"/>
        <v>42.999999999999844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13.8</v>
      </c>
      <c r="K15" s="120">
        <f t="shared" si="10"/>
        <v>1948.2</v>
      </c>
      <c r="L15" s="117">
        <f t="shared" si="10"/>
        <v>144.14871794871794</v>
      </c>
      <c r="M15" s="120">
        <f t="shared" si="10"/>
        <v>13.8</v>
      </c>
      <c r="N15" s="120">
        <f t="shared" si="10"/>
        <v>1806.8371127037676</v>
      </c>
      <c r="O15" s="117">
        <f t="shared" si="10"/>
        <v>133.38982529715094</v>
      </c>
      <c r="P15" s="121">
        <f t="shared" ref="P15:P20" si="11">M15-J15</f>
        <v>0</v>
      </c>
      <c r="Q15" s="122">
        <f t="shared" ref="Q15:Q20" si="12">O15-L15</f>
        <v>-10.75889265156701</v>
      </c>
      <c r="R15" s="123">
        <f t="shared" ref="R15:R20" si="13">O15/L15</f>
        <v>0.92536255053343885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4">N15-K15</f>
        <v>-141.36288729623243</v>
      </c>
      <c r="AG15" s="124">
        <f t="shared" ref="AG15:AG19" si="15">N15/K15</f>
        <v>0.9274392324729327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2764</v>
      </c>
      <c r="H16" s="134">
        <f>F16*G16</f>
        <v>158128.44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20" si="16">K16/J16</f>
        <v>175.41666666666666</v>
      </c>
      <c r="M16" s="139">
        <v>12</v>
      </c>
      <c r="N16" s="140">
        <f t="shared" ref="N16:N20" si="17">G16/W16*60</f>
        <v>1928.3720930232646</v>
      </c>
      <c r="O16" s="141">
        <f>N16/M16</f>
        <v>160.69767441860537</v>
      </c>
      <c r="P16" s="142">
        <f>M16-J16</f>
        <v>0</v>
      </c>
      <c r="Q16" s="143">
        <f t="shared" si="12"/>
        <v>-14.718992248061284</v>
      </c>
      <c r="R16" s="144">
        <f>O16/L16</f>
        <v>0.91609125559299975</v>
      </c>
      <c r="S16" s="413">
        <f>R26</f>
        <v>0.9137088633970426</v>
      </c>
      <c r="T16" s="145">
        <v>0.29027777777777802</v>
      </c>
      <c r="U16" s="145">
        <v>0.35</v>
      </c>
      <c r="V16" s="135"/>
      <c r="W16" s="146">
        <f t="shared" ref="W16:W78" si="18">(U16-T16)*24*60</f>
        <v>85.999999999999616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4"/>
        <v>-176.6279069767354</v>
      </c>
      <c r="AG16" s="52">
        <f t="shared" si="15"/>
        <v>0.91609125559299975</v>
      </c>
      <c r="AH16" s="382">
        <f>AG26</f>
        <v>0.91434660236522924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3726</v>
      </c>
      <c r="H17" s="78">
        <f>F17*G17</f>
        <v>188796.42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1927.2413793103347</v>
      </c>
      <c r="O17" s="96">
        <f t="shared" ref="O17:O20" si="19">N17/M17</f>
        <v>160.60344827586121</v>
      </c>
      <c r="P17" s="97">
        <f t="shared" si="11"/>
        <v>0</v>
      </c>
      <c r="Q17" s="98">
        <f t="shared" si="12"/>
        <v>-14.396551724138789</v>
      </c>
      <c r="R17" s="99">
        <f t="shared" si="13"/>
        <v>0.91773399014777834</v>
      </c>
      <c r="S17" s="414"/>
      <c r="T17" s="19">
        <v>0.35694444444444401</v>
      </c>
      <c r="U17" s="19">
        <v>0.4375</v>
      </c>
      <c r="V17" s="30">
        <f>(T17-U16)*24*60</f>
        <v>9.9999999999994049</v>
      </c>
      <c r="W17" s="149">
        <f t="shared" si="18"/>
        <v>116.00000000000063</v>
      </c>
      <c r="X17" s="19"/>
      <c r="Y17" s="297"/>
      <c r="Z17" s="90"/>
      <c r="AA17" s="90"/>
      <c r="AB17" s="501"/>
      <c r="AC17" s="502"/>
      <c r="AD17" s="92"/>
      <c r="AE17" s="92"/>
      <c r="AF17" s="307">
        <f t="shared" si="14"/>
        <v>-172.75862068966535</v>
      </c>
      <c r="AG17" s="72">
        <f t="shared" si="15"/>
        <v>0.91773399014777846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2043</v>
      </c>
      <c r="H18" s="78">
        <f>F18*G18</f>
        <v>102946.77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1945.7142857142853</v>
      </c>
      <c r="O18" s="96">
        <f t="shared" si="19"/>
        <v>176.88311688311686</v>
      </c>
      <c r="P18" s="97">
        <f t="shared" si="11"/>
        <v>0</v>
      </c>
      <c r="Q18" s="98">
        <f t="shared" si="12"/>
        <v>-14.025974025974051</v>
      </c>
      <c r="R18" s="99">
        <f t="shared" si="13"/>
        <v>0.92653061224489786</v>
      </c>
      <c r="S18" s="414"/>
      <c r="T18" s="19">
        <v>0.44444444444444398</v>
      </c>
      <c r="U18" s="19">
        <v>0.48819444444444399</v>
      </c>
      <c r="V18" s="30">
        <f>(T18-U17)*24*60</f>
        <v>9.999999999999325</v>
      </c>
      <c r="W18" s="149">
        <f t="shared" si="18"/>
        <v>63.000000000000014</v>
      </c>
      <c r="X18" s="22">
        <v>0.49305555555555602</v>
      </c>
      <c r="Y18" s="84">
        <v>0.53472222222222199</v>
      </c>
      <c r="Z18" s="90"/>
      <c r="AA18" s="90"/>
      <c r="AB18" s="381"/>
      <c r="AC18" s="381"/>
      <c r="AD18" s="92"/>
      <c r="AE18" s="92"/>
      <c r="AF18" s="307">
        <f t="shared" si="14"/>
        <v>-154.28571428571468</v>
      </c>
      <c r="AG18" s="72">
        <f t="shared" si="15"/>
        <v>0.92653061224489774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f>3837+66+400</f>
        <v>4303</v>
      </c>
      <c r="H19" s="78">
        <f>F19*G19</f>
        <v>216828.17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1818.1690140845092</v>
      </c>
      <c r="O19" s="96">
        <f t="shared" si="19"/>
        <v>165.28809218950084</v>
      </c>
      <c r="P19" s="97">
        <f t="shared" si="11"/>
        <v>0</v>
      </c>
      <c r="Q19" s="98">
        <f t="shared" si="12"/>
        <v>-25.620998719590062</v>
      </c>
      <c r="R19" s="99">
        <f t="shared" si="13"/>
        <v>0.86579476861167115</v>
      </c>
      <c r="S19" s="414"/>
      <c r="T19" s="19">
        <v>0.54166666666666696</v>
      </c>
      <c r="U19" s="19">
        <v>0.64027777777777795</v>
      </c>
      <c r="V19" s="30">
        <f>(T19-U18)*24*60</f>
        <v>77.00000000000108</v>
      </c>
      <c r="W19" s="149">
        <f t="shared" si="18"/>
        <v>141.99999999999983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4"/>
        <v>-281.83098591549083</v>
      </c>
      <c r="AG19" s="72">
        <f t="shared" si="15"/>
        <v>0.86579476861167104</v>
      </c>
      <c r="AH19" s="385"/>
    </row>
    <row r="20" spans="1:34" ht="15" customHeight="1">
      <c r="A20" s="419"/>
      <c r="B20" s="75" t="s">
        <v>81</v>
      </c>
      <c r="C20" s="76"/>
      <c r="D20" s="59" t="s">
        <v>115</v>
      </c>
      <c r="E20" s="77"/>
      <c r="F20" s="75">
        <f>VLOOKUP(D20,廠價表!$C$1:$E$41,3,0)</f>
        <v>50.67</v>
      </c>
      <c r="G20" s="147">
        <v>695</v>
      </c>
      <c r="H20" s="78">
        <f>F20*G20</f>
        <v>35215.65</v>
      </c>
      <c r="I20" s="30"/>
      <c r="J20" s="79">
        <f>VLOOKUP(D20,產線配置圖!$A$3:$C$38,2,0)</f>
        <v>12</v>
      </c>
      <c r="K20" s="80">
        <f>VLOOKUP(D20,產線配置圖!$A$3:$C$38,3,0)</f>
        <v>2100</v>
      </c>
      <c r="L20" s="81">
        <f t="shared" si="16"/>
        <v>175</v>
      </c>
      <c r="M20" s="148">
        <v>12</v>
      </c>
      <c r="N20" s="95">
        <f t="shared" si="17"/>
        <v>1985.7142857143381</v>
      </c>
      <c r="O20" s="96">
        <f t="shared" si="19"/>
        <v>165.47619047619483</v>
      </c>
      <c r="P20" s="97">
        <f t="shared" si="11"/>
        <v>0</v>
      </c>
      <c r="Q20" s="98">
        <f t="shared" si="12"/>
        <v>-9.5238095238051699</v>
      </c>
      <c r="R20" s="99">
        <f t="shared" si="13"/>
        <v>0.94557823129254193</v>
      </c>
      <c r="S20" s="414"/>
      <c r="T20" s="19">
        <v>0.64930555555555602</v>
      </c>
      <c r="U20" s="19">
        <v>0.66388888888888897</v>
      </c>
      <c r="V20" s="30">
        <f>(T20-U19)*24*60</f>
        <v>13.000000000000433</v>
      </c>
      <c r="W20" s="149">
        <f t="shared" si="18"/>
        <v>20.999999999999446</v>
      </c>
      <c r="X20" s="19"/>
      <c r="Y20" s="297"/>
      <c r="Z20" s="90"/>
      <c r="AA20" s="90"/>
      <c r="AB20" s="388"/>
      <c r="AC20" s="388"/>
      <c r="AD20" s="92"/>
      <c r="AE20" s="92"/>
      <c r="AF20" s="307">
        <f>N20-K20</f>
        <v>-114.28571428566192</v>
      </c>
      <c r="AG20" s="72">
        <f>N20/K20</f>
        <v>0.94557823129254193</v>
      </c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2101</v>
      </c>
      <c r="L26" s="158">
        <f t="shared" si="21"/>
        <v>181.44696969696969</v>
      </c>
      <c r="M26" s="155">
        <f t="shared" si="21"/>
        <v>11.6</v>
      </c>
      <c r="N26" s="155">
        <f t="shared" si="21"/>
        <v>1921.0422115693466</v>
      </c>
      <c r="O26" s="158">
        <f t="shared" si="21"/>
        <v>165.78970444865581</v>
      </c>
      <c r="P26" s="159">
        <f t="shared" ref="P26:P29" si="22">M26-J26</f>
        <v>0</v>
      </c>
      <c r="Q26" s="160">
        <f t="shared" ref="Q26:Q29" si="23">O26-L26</f>
        <v>-15.657265248313877</v>
      </c>
      <c r="R26" s="161">
        <f>O26/L26</f>
        <v>0.9137088633970426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4">N26-K26</f>
        <v>-179.95778843065341</v>
      </c>
      <c r="AG26" s="124">
        <f t="shared" ref="AG26:AG29" si="25">N26/K26</f>
        <v>0.91434660236522924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3561</v>
      </c>
      <c r="H27" s="134">
        <f>F27*G27</f>
        <v>207143.37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6">K27/J27</f>
        <v>97.8125</v>
      </c>
      <c r="M27" s="170">
        <v>16</v>
      </c>
      <c r="N27" s="140">
        <f>G27/W27*60</f>
        <v>1424.4000000000096</v>
      </c>
      <c r="O27" s="141">
        <f>N27/M27</f>
        <v>89.025000000000603</v>
      </c>
      <c r="P27" s="142">
        <f t="shared" si="22"/>
        <v>0</v>
      </c>
      <c r="Q27" s="143">
        <f t="shared" si="23"/>
        <v>-8.7874999999993975</v>
      </c>
      <c r="R27" s="144">
        <f>O27/L27</f>
        <v>0.91015974440895187</v>
      </c>
      <c r="S27" s="413">
        <f>R37</f>
        <v>0.90950347705431933</v>
      </c>
      <c r="T27" s="171">
        <v>0.29166666666666702</v>
      </c>
      <c r="U27" s="171">
        <v>0.39583333333333298</v>
      </c>
      <c r="V27" s="135"/>
      <c r="W27" s="146">
        <f t="shared" si="18"/>
        <v>149.99999999999898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-140.59999999999036</v>
      </c>
      <c r="AG27" s="172">
        <f t="shared" si="25"/>
        <v>0.91015974440895187</v>
      </c>
      <c r="AH27" s="382">
        <f>AG37</f>
        <v>0.89264564455389173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2504</v>
      </c>
      <c r="H28" s="91">
        <f>F28*G28</f>
        <v>123998.08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16</v>
      </c>
      <c r="N28" s="95">
        <f>G28/W28*60</f>
        <v>1295.1724137930964</v>
      </c>
      <c r="O28" s="96">
        <f>N28/M28</f>
        <v>80.948275862068527</v>
      </c>
      <c r="P28" s="97">
        <f t="shared" si="22"/>
        <v>-1</v>
      </c>
      <c r="Q28" s="98">
        <f t="shared" si="23"/>
        <v>-3.7576064908726465</v>
      </c>
      <c r="R28" s="99">
        <f>O28/L28</f>
        <v>0.95563936781608683</v>
      </c>
      <c r="S28" s="414"/>
      <c r="T28" s="19">
        <v>0.40069444444444402</v>
      </c>
      <c r="U28" s="19">
        <v>0.48125000000000001</v>
      </c>
      <c r="V28" s="92">
        <f>(T28-U27)*24*60</f>
        <v>6.9999999999998952</v>
      </c>
      <c r="W28" s="149">
        <f t="shared" si="18"/>
        <v>116.00000000000063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4"/>
        <v>-144.82758620690356</v>
      </c>
      <c r="AG28" s="99">
        <f t="shared" si="25"/>
        <v>0.89942528735631699</v>
      </c>
      <c r="AH28" s="383"/>
    </row>
    <row r="29" spans="1:34" ht="15" customHeight="1">
      <c r="A29" s="411"/>
      <c r="B29" s="75" t="s">
        <v>81</v>
      </c>
      <c r="C29" s="173"/>
      <c r="D29" s="59" t="s">
        <v>137</v>
      </c>
      <c r="E29" s="104"/>
      <c r="F29" s="75">
        <f>VLOOKUP(D29,廠價表!$C$1:$E$41,3,0)</f>
        <v>58.17</v>
      </c>
      <c r="G29" s="90">
        <v>2493</v>
      </c>
      <c r="H29" s="91">
        <f>F29*G29</f>
        <v>145017.81</v>
      </c>
      <c r="I29" s="92"/>
      <c r="J29" s="79">
        <f>VLOOKUP(D29,產線配置圖!$A$3:$C$38,2,0)</f>
        <v>16</v>
      </c>
      <c r="K29" s="80">
        <f>VLOOKUP(D29,產線配置圖!$A$3:$C$38,3,0)</f>
        <v>1565</v>
      </c>
      <c r="L29" s="93">
        <f t="shared" si="26"/>
        <v>97.8125</v>
      </c>
      <c r="M29" s="94">
        <v>16</v>
      </c>
      <c r="N29" s="95">
        <f>G29/W29*60</f>
        <v>1359.8181818181786</v>
      </c>
      <c r="O29" s="96">
        <f>N29/M29</f>
        <v>84.988636363636161</v>
      </c>
      <c r="P29" s="97">
        <f t="shared" si="22"/>
        <v>0</v>
      </c>
      <c r="Q29" s="98">
        <f t="shared" si="23"/>
        <v>-12.823863636363839</v>
      </c>
      <c r="R29" s="99">
        <f>O29/L29</f>
        <v>0.86889340691257422</v>
      </c>
      <c r="S29" s="414"/>
      <c r="T29" s="19">
        <v>0.54166666666666696</v>
      </c>
      <c r="U29" s="19">
        <v>0.61805555555555602</v>
      </c>
      <c r="V29" s="92">
        <f>(T29-U28)*24*60</f>
        <v>87.000000000000412</v>
      </c>
      <c r="W29" s="149">
        <f t="shared" si="18"/>
        <v>110.00000000000026</v>
      </c>
      <c r="X29" s="22">
        <v>0.49305555555555602</v>
      </c>
      <c r="Y29" s="84">
        <v>0.53472222222222199</v>
      </c>
      <c r="Z29" s="90"/>
      <c r="AA29" s="90"/>
      <c r="AB29" s="388"/>
      <c r="AC29" s="388"/>
      <c r="AD29" s="92"/>
      <c r="AE29" s="92"/>
      <c r="AF29" s="312">
        <f t="shared" si="24"/>
        <v>-205.18181818182143</v>
      </c>
      <c r="AG29" s="99">
        <f t="shared" si="25"/>
        <v>0.86889340691257422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16.333333333333332</v>
      </c>
      <c r="K37" s="155">
        <f t="shared" si="28"/>
        <v>1523.3333333333333</v>
      </c>
      <c r="L37" s="158">
        <f t="shared" si="28"/>
        <v>93.443627450980387</v>
      </c>
      <c r="M37" s="155">
        <f t="shared" si="28"/>
        <v>16</v>
      </c>
      <c r="N37" s="155">
        <f t="shared" si="28"/>
        <v>1359.7968652037616</v>
      </c>
      <c r="O37" s="158">
        <f t="shared" si="28"/>
        <v>84.987304075235102</v>
      </c>
      <c r="P37" s="159">
        <f>M37-J37</f>
        <v>-0.33333333333333215</v>
      </c>
      <c r="Q37" s="160">
        <f>N37-K37</f>
        <v>-163.53646812957163</v>
      </c>
      <c r="R37" s="161">
        <f t="shared" ref="R37:R39" si="29">O37/L37</f>
        <v>0.90950347705431933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39" si="30">N37-K37</f>
        <v>-163.53646812957163</v>
      </c>
      <c r="AG37" s="124">
        <f t="shared" ref="AG37:AG39" si="31">N37/K37</f>
        <v>0.89264564455389173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1447</v>
      </c>
      <c r="H38" s="134">
        <f>F38*G38</f>
        <v>82290.89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39" si="32">K38/J38</f>
        <v>92.058823529411768</v>
      </c>
      <c r="M38" s="190">
        <v>17</v>
      </c>
      <c r="N38" s="140">
        <f>G38/W38*60</f>
        <v>1335.6923076923042</v>
      </c>
      <c r="O38" s="141">
        <f>N38/M38</f>
        <v>78.570135746606127</v>
      </c>
      <c r="P38" s="142">
        <f t="shared" ref="P38:P39" si="33">M38-J38</f>
        <v>0</v>
      </c>
      <c r="Q38" s="143">
        <f t="shared" ref="Q38:Q39" si="34">O38-L38</f>
        <v>-13.488687782805641</v>
      </c>
      <c r="R38" s="144">
        <f>O38/L38</f>
        <v>0.85347751290243079</v>
      </c>
      <c r="S38" s="404">
        <f>R48</f>
        <v>0.85872153625816683</v>
      </c>
      <c r="T38" s="191">
        <v>0.33333333333333298</v>
      </c>
      <c r="U38" s="191">
        <v>0.37847222222222199</v>
      </c>
      <c r="V38" s="192"/>
      <c r="W38" s="193">
        <f t="shared" si="18"/>
        <v>65.000000000000171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-229.30769230769579</v>
      </c>
      <c r="AG38" s="195">
        <f t="shared" si="31"/>
        <v>0.85347751290243079</v>
      </c>
      <c r="AH38" s="398">
        <f>AG48</f>
        <v>0.85872153625816683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2915</v>
      </c>
      <c r="H39" s="91">
        <f>F39*G39</f>
        <v>129134.49999999999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1345.3846153846118</v>
      </c>
      <c r="O39" s="203">
        <f>N39/M39</f>
        <v>79.140271493212467</v>
      </c>
      <c r="P39" s="97">
        <f t="shared" si="33"/>
        <v>0</v>
      </c>
      <c r="Q39" s="98">
        <f t="shared" si="34"/>
        <v>-12.918552036199301</v>
      </c>
      <c r="R39" s="99">
        <f t="shared" si="29"/>
        <v>0.85967068075694053</v>
      </c>
      <c r="S39" s="405"/>
      <c r="T39" s="20">
        <v>0.39583333333333298</v>
      </c>
      <c r="U39" s="20">
        <v>0.48611111111111099</v>
      </c>
      <c r="V39" s="92">
        <f>(T39-U38)*24*60</f>
        <v>24.999999999999829</v>
      </c>
      <c r="W39" s="205">
        <f t="shared" si="18"/>
        <v>130.00000000000034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-219.61538461538817</v>
      </c>
      <c r="AG39" s="206">
        <f t="shared" si="31"/>
        <v>0.85967068075694042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f>3216+48</f>
        <v>3264</v>
      </c>
      <c r="H40" s="91">
        <f>F40*G40</f>
        <v>144595.19999999998</v>
      </c>
      <c r="I40" s="200"/>
      <c r="J40" s="148">
        <f>VLOOKUP(D40,產線配置圖!$A$3:$C$38,2,0)</f>
        <v>17</v>
      </c>
      <c r="K40" s="95">
        <v>1565</v>
      </c>
      <c r="L40" s="96">
        <f>K40/J40</f>
        <v>92.058823529411768</v>
      </c>
      <c r="M40" s="201">
        <v>17</v>
      </c>
      <c r="N40" s="202">
        <f>G40/W40*60</f>
        <v>1350.6206896551773</v>
      </c>
      <c r="O40" s="203">
        <f>N40/M40</f>
        <v>79.448275862069252</v>
      </c>
      <c r="P40" s="97">
        <f>M40-J40</f>
        <v>0</v>
      </c>
      <c r="Q40" s="98">
        <f>O40-L40</f>
        <v>-12.610547667342516</v>
      </c>
      <c r="R40" s="99">
        <f>O40/L40</f>
        <v>0.86301641511512928</v>
      </c>
      <c r="S40" s="377"/>
      <c r="T40" s="20">
        <v>0.54166666666666696</v>
      </c>
      <c r="U40" s="20">
        <v>0.64236111111111105</v>
      </c>
      <c r="V40" s="92">
        <f>(T40-U39)*24*60</f>
        <v>80.000000000000597</v>
      </c>
      <c r="W40" s="205">
        <f t="shared" si="18"/>
        <v>144.99999999999949</v>
      </c>
      <c r="X40" s="22">
        <v>0.49305555555555602</v>
      </c>
      <c r="Y40" s="84">
        <v>0.53472222222222199</v>
      </c>
      <c r="Z40" s="337"/>
      <c r="AA40" s="337"/>
      <c r="AB40" s="388"/>
      <c r="AC40" s="388"/>
      <c r="AD40" s="92"/>
      <c r="AE40" s="92"/>
      <c r="AF40" s="314">
        <f>N40-K40</f>
        <v>-214.37931034482267</v>
      </c>
      <c r="AG40" s="206">
        <f>N40/K40</f>
        <v>0.86301641511512928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17</v>
      </c>
      <c r="K48" s="155">
        <f t="shared" si="36"/>
        <v>1565</v>
      </c>
      <c r="L48" s="158">
        <f t="shared" si="36"/>
        <v>92.058823529411768</v>
      </c>
      <c r="M48" s="155">
        <f t="shared" si="36"/>
        <v>17</v>
      </c>
      <c r="N48" s="155">
        <f t="shared" si="36"/>
        <v>1343.8992042440311</v>
      </c>
      <c r="O48" s="158">
        <f t="shared" si="36"/>
        <v>79.052894367295949</v>
      </c>
      <c r="P48" s="221">
        <f>M48-J48</f>
        <v>0</v>
      </c>
      <c r="Q48" s="222">
        <f>N48-K48</f>
        <v>-221.10079575596887</v>
      </c>
      <c r="R48" s="223">
        <f t="shared" ref="R48:R52" si="37">O48/L48</f>
        <v>0.85872153625816683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8">N48-K48</f>
        <v>-221.10079575596887</v>
      </c>
      <c r="AG48" s="162">
        <f t="shared" ref="AG48:AG52" si="39">N48/K48</f>
        <v>0.85872153625816683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816</v>
      </c>
      <c r="H49" s="134">
        <f>F49*G49</f>
        <v>46756.799999999996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0">K49/J49</f>
        <v>107.14285714285714</v>
      </c>
      <c r="M49" s="170">
        <v>16</v>
      </c>
      <c r="N49" s="140">
        <f>G49/W49*60</f>
        <v>1530.0000000000171</v>
      </c>
      <c r="O49" s="141">
        <f>N49/M49</f>
        <v>95.625000000001066</v>
      </c>
      <c r="P49" s="229">
        <f>M49-J49</f>
        <v>2</v>
      </c>
      <c r="Q49" s="230">
        <f>O49-L49</f>
        <v>-11.517857142856073</v>
      </c>
      <c r="R49" s="52">
        <f t="shared" si="37"/>
        <v>0.89250000000000995</v>
      </c>
      <c r="S49" s="376">
        <f>R58</f>
        <v>0.91935346659091455</v>
      </c>
      <c r="T49" s="191">
        <v>0.29166666666666702</v>
      </c>
      <c r="U49" s="191">
        <v>0.31388888888888899</v>
      </c>
      <c r="V49" s="55"/>
      <c r="W49" s="193">
        <f t="shared" si="18"/>
        <v>31.999999999999645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30.000000000017053</v>
      </c>
      <c r="AG49" s="52">
        <f t="shared" si="39"/>
        <v>1.0200000000000113</v>
      </c>
      <c r="AH49" s="382">
        <f>AG58</f>
        <v>0.96446720845915224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2969</v>
      </c>
      <c r="H50" s="231">
        <f>F50*G50</f>
        <v>148182.78999999998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16</v>
      </c>
      <c r="N50" s="234">
        <f>G50/W50*60</f>
        <v>1472.2314049586732</v>
      </c>
      <c r="O50" s="235">
        <f>N50/M50</f>
        <v>92.014462809917077</v>
      </c>
      <c r="P50" s="74">
        <f>M50-J50</f>
        <v>1</v>
      </c>
      <c r="Q50" s="83">
        <f>O50-L50</f>
        <v>-12.318870523416251</v>
      </c>
      <c r="R50" s="72">
        <f t="shared" si="37"/>
        <v>0.88192775856150563</v>
      </c>
      <c r="S50" s="377"/>
      <c r="T50" s="21">
        <v>0.32013888888888897</v>
      </c>
      <c r="U50" s="21">
        <v>0.40416666666666701</v>
      </c>
      <c r="V50" s="30">
        <f t="shared" ref="V50:V52" si="41">(T50-U49)*24*60</f>
        <v>8.999999999999968</v>
      </c>
      <c r="W50" s="236">
        <f t="shared" si="18"/>
        <v>121.00000000000037</v>
      </c>
      <c r="X50" s="22"/>
      <c r="Y50" s="84"/>
      <c r="Z50" s="90">
        <v>1</v>
      </c>
      <c r="AA50" s="90">
        <v>10</v>
      </c>
      <c r="AB50" s="501" t="s">
        <v>154</v>
      </c>
      <c r="AC50" s="502"/>
      <c r="AD50" s="92"/>
      <c r="AE50" s="92"/>
      <c r="AF50" s="307">
        <f t="shared" si="38"/>
        <v>-92.768595041326762</v>
      </c>
      <c r="AG50" s="72">
        <f t="shared" si="39"/>
        <v>0.94072294246560595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3184</v>
      </c>
      <c r="H51" s="231">
        <f>F51*G51</f>
        <v>159104.48000000001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1675.7894736842247</v>
      </c>
      <c r="O51" s="235">
        <f>N51/M51</f>
        <v>104.73684210526405</v>
      </c>
      <c r="P51" s="74">
        <f>M51-J51</f>
        <v>0</v>
      </c>
      <c r="Q51" s="83">
        <f>O51-L51</f>
        <v>-2.3881578947359543</v>
      </c>
      <c r="R51" s="72">
        <f t="shared" si="37"/>
        <v>0.9777068107842618</v>
      </c>
      <c r="S51" s="377"/>
      <c r="T51" s="21">
        <v>0.41041666666666698</v>
      </c>
      <c r="U51" s="19">
        <v>0.48958333333333298</v>
      </c>
      <c r="V51" s="30">
        <f t="shared" si="41"/>
        <v>8.999999999999968</v>
      </c>
      <c r="W51" s="236">
        <f t="shared" si="18"/>
        <v>113.99999999999903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-38.210526315775269</v>
      </c>
      <c r="AG51" s="72">
        <f t="shared" si="39"/>
        <v>0.9777068107842618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3591</v>
      </c>
      <c r="H52" s="231">
        <f>F52*G52</f>
        <v>179442.27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1584.2647058823604</v>
      </c>
      <c r="O52" s="235">
        <f>N52/M52</f>
        <v>99.016544117647527</v>
      </c>
      <c r="P52" s="74">
        <f>M52-J52</f>
        <v>0</v>
      </c>
      <c r="Q52" s="83">
        <f>O52-L52</f>
        <v>-8.1084558823524731</v>
      </c>
      <c r="R52" s="72">
        <f t="shared" si="37"/>
        <v>0.9243084631752394</v>
      </c>
      <c r="S52" s="377"/>
      <c r="T52" s="21">
        <v>0.54513888888888895</v>
      </c>
      <c r="U52" s="21">
        <v>0.63958333333333295</v>
      </c>
      <c r="V52" s="30">
        <f t="shared" si="41"/>
        <v>80.000000000000597</v>
      </c>
      <c r="W52" s="236">
        <f t="shared" si="18"/>
        <v>135.99999999999935</v>
      </c>
      <c r="X52" s="22">
        <v>0.49652777777777801</v>
      </c>
      <c r="Y52" s="84">
        <v>0.53819444444444398</v>
      </c>
      <c r="Z52" s="90"/>
      <c r="AA52" s="90"/>
      <c r="AB52" s="388"/>
      <c r="AC52" s="388"/>
      <c r="AD52" s="92"/>
      <c r="AE52" s="92"/>
      <c r="AF52" s="307">
        <f t="shared" si="38"/>
        <v>-129.73529411763957</v>
      </c>
      <c r="AG52" s="72">
        <f t="shared" si="39"/>
        <v>0.9243084631752394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16</v>
      </c>
      <c r="N58" s="120">
        <f t="shared" si="42"/>
        <v>1565.5713961313188</v>
      </c>
      <c r="O58" s="117">
        <f t="shared" si="42"/>
        <v>97.848212258207425</v>
      </c>
      <c r="P58" s="121">
        <f>M58-J58</f>
        <v>0.75</v>
      </c>
      <c r="Q58" s="122">
        <f>N58-K58</f>
        <v>-57.678603868681193</v>
      </c>
      <c r="R58" s="123">
        <f t="shared" ref="R58:R60" si="43">O58/L58</f>
        <v>0.91935346659091455</v>
      </c>
      <c r="S58" s="380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-57.678603868681193</v>
      </c>
      <c r="AG58" s="124">
        <f t="shared" ref="AG58:AG61" si="45">N58/K58</f>
        <v>0.96446720845915224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2039</v>
      </c>
      <c r="H59" s="243">
        <f>F59*G59</f>
        <v>55032.609999999993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6">K59/J59</f>
        <v>120.38461538461539</v>
      </c>
      <c r="M59" s="244">
        <v>13</v>
      </c>
      <c r="N59" s="137">
        <f t="shared" ref="N59:N62" si="47">G59/W59*60</f>
        <v>1529.2500000000159</v>
      </c>
      <c r="O59" s="138">
        <f t="shared" ref="O59:O62" si="48">N59/M59</f>
        <v>117.63461538461661</v>
      </c>
      <c r="P59" s="56">
        <f t="shared" ref="P59:P62" si="49">M59-J59</f>
        <v>0</v>
      </c>
      <c r="Q59" s="230">
        <f t="shared" ref="Q59:Q62" si="50">O59-L59</f>
        <v>-2.7499999999987779</v>
      </c>
      <c r="R59" s="52">
        <f t="shared" si="43"/>
        <v>0.97715654952077691</v>
      </c>
      <c r="S59" s="376">
        <f>R69</f>
        <v>0.88377228829123522</v>
      </c>
      <c r="T59" s="245">
        <v>0.29166666666666702</v>
      </c>
      <c r="U59" s="245">
        <v>0.34722222222222199</v>
      </c>
      <c r="V59" s="55"/>
      <c r="W59" s="54">
        <f t="shared" si="18"/>
        <v>79.999999999999162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-35.749999999984084</v>
      </c>
      <c r="AG59" s="246">
        <f t="shared" si="45"/>
        <v>0.97715654952077691</v>
      </c>
      <c r="AH59" s="382">
        <f>AG69</f>
        <v>0.80674972561397607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1689</v>
      </c>
      <c r="H60" s="78">
        <f>F60*G60</f>
        <v>47731.14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1559.076923076919</v>
      </c>
      <c r="O60" s="81">
        <f t="shared" si="48"/>
        <v>129.92307692307659</v>
      </c>
      <c r="P60" s="74">
        <f t="shared" si="49"/>
        <v>0</v>
      </c>
      <c r="Q60" s="83">
        <f t="shared" si="50"/>
        <v>-0.49358974359006424</v>
      </c>
      <c r="R60" s="72">
        <f t="shared" si="43"/>
        <v>0.99621528631113054</v>
      </c>
      <c r="S60" s="394"/>
      <c r="T60" s="22">
        <v>0.35763888888888901</v>
      </c>
      <c r="U60" s="22">
        <v>0.40277777777777801</v>
      </c>
      <c r="V60" s="30">
        <f t="shared" ref="V60:V61" si="51">(T60-U59)*24*60</f>
        <v>15.000000000000506</v>
      </c>
      <c r="W60" s="248">
        <f t="shared" si="18"/>
        <v>65.000000000000171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4"/>
        <v>-5.9230769230809983</v>
      </c>
      <c r="AG60" s="249">
        <f t="shared" si="45"/>
        <v>0.99621528631113032</v>
      </c>
      <c r="AH60" s="389"/>
    </row>
    <row r="61" spans="1:34" ht="15" customHeight="1">
      <c r="A61" s="392"/>
      <c r="B61" s="250" t="s">
        <v>128</v>
      </c>
      <c r="C61" s="251"/>
      <c r="D61" s="252" t="s">
        <v>138</v>
      </c>
      <c r="E61" s="253"/>
      <c r="F61" s="250">
        <f>VLOOKUP(D61,廠價表!$C$1:$E$41,3,0)</f>
        <v>28.26</v>
      </c>
      <c r="G61" s="38">
        <v>3378</v>
      </c>
      <c r="H61" s="254">
        <f>F61*G61</f>
        <v>95462.28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 t="shared" si="46"/>
        <v>181.77777777777777</v>
      </c>
      <c r="M61" s="108">
        <v>8</v>
      </c>
      <c r="N61" s="107">
        <f t="shared" si="47"/>
        <v>1307.6129032258043</v>
      </c>
      <c r="O61" s="238">
        <f t="shared" si="48"/>
        <v>163.45161290322554</v>
      </c>
      <c r="P61" s="111">
        <f t="shared" si="49"/>
        <v>-1</v>
      </c>
      <c r="Q61" s="255">
        <f t="shared" si="50"/>
        <v>-18.326164874552234</v>
      </c>
      <c r="R61" s="85">
        <f>O61/L61</f>
        <v>0.89918368956542172</v>
      </c>
      <c r="S61" s="377"/>
      <c r="T61" s="22">
        <v>0.40972222222222199</v>
      </c>
      <c r="U61" s="22">
        <v>0.51736111111111105</v>
      </c>
      <c r="V61" s="30">
        <f t="shared" si="51"/>
        <v>9.999999999999325</v>
      </c>
      <c r="W61" s="256">
        <f t="shared" si="18"/>
        <v>155.00000000000026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4"/>
        <v>-328.3870967741957</v>
      </c>
      <c r="AG61" s="247">
        <f t="shared" si="45"/>
        <v>0.79927439072481921</v>
      </c>
      <c r="AH61" s="384"/>
    </row>
    <row r="62" spans="1:34" ht="15" customHeight="1">
      <c r="A62" s="392"/>
      <c r="B62" s="258" t="s">
        <v>128</v>
      </c>
      <c r="C62" s="58"/>
      <c r="D62" s="259" t="s">
        <v>131</v>
      </c>
      <c r="E62" s="60"/>
      <c r="F62" s="250">
        <f>VLOOKUP(D62,廠價表!$C$1:$E$41,3,0)</f>
        <v>28.26</v>
      </c>
      <c r="G62" s="260">
        <v>795</v>
      </c>
      <c r="H62" s="254">
        <f>F62*G62</f>
        <v>22466.7</v>
      </c>
      <c r="I62" s="182"/>
      <c r="J62" s="106">
        <f>VLOOKUP(D62,產線配置圖!$A$3:$C$38,2,0)</f>
        <v>12</v>
      </c>
      <c r="K62" s="107">
        <f>VLOOKUP(D62,產線配置圖!$A$3:$C$38,3,0)</f>
        <v>1565</v>
      </c>
      <c r="L62" s="238">
        <f t="shared" si="46"/>
        <v>130.41666666666666</v>
      </c>
      <c r="M62" s="108">
        <v>6</v>
      </c>
      <c r="N62" s="107">
        <f t="shared" si="47"/>
        <v>561.17647058823252</v>
      </c>
      <c r="O62" s="238">
        <f t="shared" si="48"/>
        <v>93.529411764705415</v>
      </c>
      <c r="P62" s="111">
        <f t="shared" si="49"/>
        <v>-6</v>
      </c>
      <c r="Q62" s="255">
        <f t="shared" si="50"/>
        <v>-36.887254901961242</v>
      </c>
      <c r="R62" s="85">
        <f>O62/L62</f>
        <v>0.71715842886675085</v>
      </c>
      <c r="S62" s="377"/>
      <c r="T62" s="22">
        <v>0.45833333333333298</v>
      </c>
      <c r="U62" s="22">
        <v>0.51736111111111105</v>
      </c>
      <c r="V62" s="30">
        <f>(T62-U61)*24*60</f>
        <v>-85.000000000000412</v>
      </c>
      <c r="W62" s="248">
        <f t="shared" si="18"/>
        <v>85.000000000000412</v>
      </c>
      <c r="X62" s="22">
        <v>0.52430555555555602</v>
      </c>
      <c r="Y62" s="84">
        <v>0.56597222222222199</v>
      </c>
      <c r="Z62" s="90"/>
      <c r="AA62" s="90"/>
      <c r="AB62" s="501" t="s">
        <v>155</v>
      </c>
      <c r="AC62" s="502"/>
      <c r="AD62" s="92"/>
      <c r="AE62" s="92"/>
      <c r="AF62" s="317">
        <f>N62-K62</f>
        <v>-1003.8235294117675</v>
      </c>
      <c r="AG62" s="247">
        <f>N62/K62</f>
        <v>0.35857921443337543</v>
      </c>
      <c r="AH62" s="384"/>
    </row>
    <row r="63" spans="1:34" ht="15" customHeight="1">
      <c r="A63" s="392"/>
      <c r="B63" s="258" t="s">
        <v>128</v>
      </c>
      <c r="C63" s="58"/>
      <c r="D63" s="259" t="s">
        <v>131</v>
      </c>
      <c r="E63" s="60"/>
      <c r="F63" s="250">
        <f>VLOOKUP(D63,廠價表!$C$1:$E$41,3,0)</f>
        <v>28.26</v>
      </c>
      <c r="G63" s="260">
        <v>576</v>
      </c>
      <c r="H63" s="254">
        <f t="shared" ref="H63:H64" si="52">F63*G63</f>
        <v>16277.76</v>
      </c>
      <c r="I63" s="182"/>
      <c r="J63" s="106">
        <f>VLOOKUP(D63,產線配置圖!$A$3:$C$38,2,0)</f>
        <v>12</v>
      </c>
      <c r="K63" s="107">
        <f>VLOOKUP(D63,產線配置圖!$A$3:$C$38,3,0)</f>
        <v>1565</v>
      </c>
      <c r="L63" s="238">
        <f t="shared" ref="L63:L64" si="53">K63/J63</f>
        <v>130.41666666666666</v>
      </c>
      <c r="M63" s="68">
        <v>12</v>
      </c>
      <c r="N63" s="107">
        <f t="shared" ref="N63:N64" si="54">G63/W63*60</f>
        <v>1382.4000000000049</v>
      </c>
      <c r="O63" s="238">
        <f t="shared" ref="O63:O64" si="55">N63/M63</f>
        <v>115.2000000000004</v>
      </c>
      <c r="P63" s="111">
        <f t="shared" ref="P63:P64" si="56">M63-J63</f>
        <v>0</v>
      </c>
      <c r="Q63" s="255">
        <f t="shared" ref="Q63:Q64" si="57">O63-L63</f>
        <v>-15.216666666666256</v>
      </c>
      <c r="R63" s="85">
        <f t="shared" ref="R63:R64" si="58">O63/L63</f>
        <v>0.88332268370607347</v>
      </c>
      <c r="S63" s="377"/>
      <c r="T63" s="22">
        <v>0.57291666666666696</v>
      </c>
      <c r="U63" s="22">
        <v>0.59027777777777801</v>
      </c>
      <c r="V63" s="30">
        <f t="shared" ref="V63:V64" si="59">(T63-U62)*24*60</f>
        <v>80.000000000000512</v>
      </c>
      <c r="W63" s="248">
        <f t="shared" si="18"/>
        <v>24.999999999999911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 t="s">
        <v>128</v>
      </c>
      <c r="C64" s="76"/>
      <c r="D64" s="175" t="s">
        <v>129</v>
      </c>
      <c r="E64" s="77"/>
      <c r="F64" s="250">
        <f>VLOOKUP(D64,廠價表!$C$1:$E$41,3,0)</f>
        <v>26.99</v>
      </c>
      <c r="G64" s="30">
        <v>2263</v>
      </c>
      <c r="H64" s="254">
        <f t="shared" si="52"/>
        <v>61078.369999999995</v>
      </c>
      <c r="I64" s="182"/>
      <c r="J64" s="106">
        <f>VLOOKUP(D64,產線配置圖!$A$3:$C$38,2,0)</f>
        <v>13</v>
      </c>
      <c r="K64" s="107">
        <f>VLOOKUP(D64,產線配置圖!$A$3:$C$38,3,0)</f>
        <v>1565</v>
      </c>
      <c r="L64" s="238">
        <f t="shared" si="53"/>
        <v>120.38461538461539</v>
      </c>
      <c r="M64" s="82">
        <v>13</v>
      </c>
      <c r="N64" s="107">
        <f t="shared" si="54"/>
        <v>1293.1428571428501</v>
      </c>
      <c r="O64" s="238">
        <f t="shared" si="55"/>
        <v>99.472527472526934</v>
      </c>
      <c r="P64" s="111">
        <f t="shared" si="56"/>
        <v>0</v>
      </c>
      <c r="Q64" s="255">
        <f t="shared" si="57"/>
        <v>-20.912087912088452</v>
      </c>
      <c r="R64" s="85">
        <f t="shared" si="58"/>
        <v>0.82628936558648569</v>
      </c>
      <c r="S64" s="377"/>
      <c r="T64" s="22">
        <v>0.60069444444444398</v>
      </c>
      <c r="U64" s="22">
        <v>0.67361111111111105</v>
      </c>
      <c r="V64" s="30">
        <f t="shared" si="59"/>
        <v>14.999999999998987</v>
      </c>
      <c r="W64" s="73">
        <f t="shared" si="18"/>
        <v>105.00000000000058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60">AVERAGE(J59:J68)</f>
        <v>11.833333333333334</v>
      </c>
      <c r="K69" s="240">
        <f t="shared" si="60"/>
        <v>1576.8333333333333</v>
      </c>
      <c r="L69" s="268">
        <f t="shared" si="60"/>
        <v>135.63283475783473</v>
      </c>
      <c r="M69" s="240">
        <f t="shared" si="60"/>
        <v>10.666666666666666</v>
      </c>
      <c r="N69" s="240">
        <f t="shared" si="60"/>
        <v>1272.1098590056379</v>
      </c>
      <c r="O69" s="268">
        <f t="shared" si="60"/>
        <v>119.86854074135859</v>
      </c>
      <c r="P69" s="269">
        <f>M69-J69</f>
        <v>-1.1666666666666679</v>
      </c>
      <c r="Q69" s="222">
        <f>N69-K69</f>
        <v>-304.72347432769538</v>
      </c>
      <c r="R69" s="123">
        <f t="shared" ref="R69:R72" si="61">O69/L69</f>
        <v>0.88377228829123522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-304.72347432769538</v>
      </c>
      <c r="AG69" s="124">
        <f>N69/K69</f>
        <v>0.80674972561397607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2925</v>
      </c>
      <c r="H70" s="243">
        <f>F70*G70</f>
        <v>148209.75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1063.6363636363569</v>
      </c>
      <c r="O70" s="138">
        <f>N70/M70</f>
        <v>106.36363636363569</v>
      </c>
      <c r="P70" s="56">
        <f>M70-J70</f>
        <v>0</v>
      </c>
      <c r="Q70" s="230">
        <f>O70-L70</f>
        <v>-6.1363636363643081</v>
      </c>
      <c r="R70" s="52">
        <f t="shared" si="61"/>
        <v>0.94545454545453944</v>
      </c>
      <c r="S70" s="376">
        <f>R79</f>
        <v>0.88843533715058054</v>
      </c>
      <c r="T70" s="245">
        <v>0.33333333333333298</v>
      </c>
      <c r="U70" s="245">
        <v>0.44791666666666702</v>
      </c>
      <c r="V70" s="55"/>
      <c r="W70" s="54">
        <f t="shared" si="18"/>
        <v>165.00000000000102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-61.363636363643081</v>
      </c>
      <c r="AG70" s="246">
        <f>N70/K70</f>
        <v>0.94545454545453944</v>
      </c>
      <c r="AH70" s="382">
        <f>AG79</f>
        <v>0.79599076229745569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v>1177</v>
      </c>
      <c r="H71" s="254">
        <f>F71*G71</f>
        <v>66418.11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62">K71/J71</f>
        <v>87.875</v>
      </c>
      <c r="M71" s="82">
        <v>13</v>
      </c>
      <c r="N71" s="107">
        <f t="shared" ref="N71:N72" si="63">G71/W71*60</f>
        <v>1008.8571428571454</v>
      </c>
      <c r="O71" s="238">
        <f t="shared" ref="O71:O72" si="64">N71/M71</f>
        <v>77.604395604395805</v>
      </c>
      <c r="P71" s="111">
        <f t="shared" ref="P71:P72" si="65">M71-J71</f>
        <v>-3</v>
      </c>
      <c r="Q71" s="255">
        <f t="shared" ref="Q71:Q72" si="66">O71-L71</f>
        <v>-10.270604395604195</v>
      </c>
      <c r="R71" s="85">
        <f t="shared" si="61"/>
        <v>0.88312256733309591</v>
      </c>
      <c r="S71" s="377"/>
      <c r="T71" s="22">
        <v>0.45833333333333298</v>
      </c>
      <c r="U71" s="22">
        <v>0.50694444444444398</v>
      </c>
      <c r="V71" s="30">
        <f t="shared" ref="V71:V72" si="67">(T71-U70)*24*60</f>
        <v>14.999999999998987</v>
      </c>
      <c r="W71" s="73">
        <f t="shared" si="18"/>
        <v>69.999999999999829</v>
      </c>
      <c r="X71" s="271"/>
      <c r="Y71" s="293"/>
      <c r="Z71" s="90"/>
      <c r="AA71" s="90"/>
      <c r="AB71" s="501"/>
      <c r="AC71" s="502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3111</v>
      </c>
      <c r="H72" s="361">
        <f>F72*G72</f>
        <v>87916.86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62"/>
        <v>181.77777777777777</v>
      </c>
      <c r="M72" s="94">
        <v>8</v>
      </c>
      <c r="N72" s="107">
        <f t="shared" si="63"/>
        <v>1244.3999999999951</v>
      </c>
      <c r="O72" s="238">
        <f t="shared" si="64"/>
        <v>155.54999999999939</v>
      </c>
      <c r="P72" s="111">
        <f t="shared" si="65"/>
        <v>-1</v>
      </c>
      <c r="Q72" s="255">
        <f t="shared" si="66"/>
        <v>-26.227777777778385</v>
      </c>
      <c r="R72" s="85">
        <f t="shared" si="61"/>
        <v>0.85571515892420202</v>
      </c>
      <c r="S72" s="377"/>
      <c r="T72" s="22">
        <v>0.56944444444444398</v>
      </c>
      <c r="U72" s="22">
        <v>0.67361111111111105</v>
      </c>
      <c r="V72" s="30">
        <f t="shared" si="67"/>
        <v>90</v>
      </c>
      <c r="W72" s="73">
        <f t="shared" si="18"/>
        <v>150.0000000000006</v>
      </c>
      <c r="X72" s="272">
        <v>0.51388888888888895</v>
      </c>
      <c r="Y72" s="288">
        <v>0.55555555555555602</v>
      </c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58"/>
      <c r="D73" s="259"/>
      <c r="E73" s="60"/>
      <c r="F73" s="250"/>
      <c r="G73" s="273"/>
      <c r="H73" s="361"/>
      <c r="I73" s="182"/>
      <c r="J73" s="106"/>
      <c r="K73" s="107"/>
      <c r="L73" s="238"/>
      <c r="M73" s="94"/>
      <c r="N73" s="107"/>
      <c r="O73" s="238"/>
      <c r="P73" s="111"/>
      <c r="Q73" s="255"/>
      <c r="R73" s="85"/>
      <c r="S73" s="377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388"/>
      <c r="AC73" s="388"/>
      <c r="AD73" s="92"/>
      <c r="AE73" s="92"/>
      <c r="AF73" s="311">
        <v>-129.333333333333</v>
      </c>
      <c r="AG73" s="99">
        <v>1.9167199148029801</v>
      </c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94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8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8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8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8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9">AVERAGE(J70:J78)</f>
        <v>11.666666666666666</v>
      </c>
      <c r="K79" s="240">
        <f t="shared" si="69"/>
        <v>1389</v>
      </c>
      <c r="L79" s="268">
        <f t="shared" si="69"/>
        <v>127.38425925925925</v>
      </c>
      <c r="M79" s="240">
        <f t="shared" si="69"/>
        <v>10.333333333333334</v>
      </c>
      <c r="N79" s="240">
        <f t="shared" si="69"/>
        <v>1105.631168831166</v>
      </c>
      <c r="O79" s="268">
        <f t="shared" si="69"/>
        <v>113.17267732267696</v>
      </c>
      <c r="P79" s="269">
        <f>M79-J79</f>
        <v>-1.3333333333333321</v>
      </c>
      <c r="Q79" s="222">
        <f>N79-K79</f>
        <v>-283.36883116883405</v>
      </c>
      <c r="R79" s="223">
        <f>O79/L79</f>
        <v>0.88843533715058054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-283.36883116883405</v>
      </c>
      <c r="AG79" s="124">
        <f>N79/K79</f>
        <v>0.79599076229745569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70:A79"/>
    <mergeCell ref="S70:S7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70:AH79"/>
    <mergeCell ref="AB58:AC58"/>
    <mergeCell ref="AB59:AC59"/>
    <mergeCell ref="D79:E79"/>
    <mergeCell ref="AB79:AC79"/>
    <mergeCell ref="AH59:AH69"/>
    <mergeCell ref="AB66:AC66"/>
    <mergeCell ref="AH49:AH58"/>
    <mergeCell ref="AB50:AC50"/>
    <mergeCell ref="AB67:AC67"/>
    <mergeCell ref="AB68:AC68"/>
    <mergeCell ref="AB51:AC51"/>
    <mergeCell ref="AB52:AC52"/>
    <mergeCell ref="AB53:AC53"/>
    <mergeCell ref="AB54:AC54"/>
    <mergeCell ref="AB55:AC55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58:E58"/>
    <mergeCell ref="A59:A69"/>
    <mergeCell ref="S59:S69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42:AC42"/>
    <mergeCell ref="AB43:AC43"/>
    <mergeCell ref="AB44:AC44"/>
    <mergeCell ref="AB45:AC45"/>
    <mergeCell ref="AB46:AC46"/>
    <mergeCell ref="N3:N4"/>
    <mergeCell ref="O3:O4"/>
    <mergeCell ref="V3:V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H16:AH26"/>
    <mergeCell ref="AG3:AG4"/>
    <mergeCell ref="AH3:AH4"/>
    <mergeCell ref="D15:E15"/>
    <mergeCell ref="AB15:AC15"/>
    <mergeCell ref="S16:S26"/>
    <mergeCell ref="AB16:AC16"/>
    <mergeCell ref="D26:E26"/>
    <mergeCell ref="AB26:AC26"/>
    <mergeCell ref="AB25:AC25"/>
    <mergeCell ref="AF3:AF4"/>
    <mergeCell ref="A5:A15"/>
    <mergeCell ref="S5:S15"/>
    <mergeCell ref="AB5:AC5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16:A26"/>
    <mergeCell ref="X3:Y3"/>
    <mergeCell ref="Z3:AA3"/>
    <mergeCell ref="R3:R4"/>
    <mergeCell ref="T3:U3"/>
    <mergeCell ref="A2:B2"/>
    <mergeCell ref="A3:A4"/>
    <mergeCell ref="B3:B4"/>
    <mergeCell ref="D3:E4"/>
    <mergeCell ref="F3:F4"/>
    <mergeCell ref="W3:W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P3:P4"/>
    <mergeCell ref="Q3:Q4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C27B04-9F37-4059-8FF5-E60DC3019C2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86F4-488B-4178-8443-7CB819CAF58B}">
  <dimension ref="B1:O26"/>
  <sheetViews>
    <sheetView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46090</v>
      </c>
      <c r="E3" s="466"/>
      <c r="F3" s="3" t="s">
        <v>72</v>
      </c>
      <c r="G3" s="467">
        <f>'0309'!E1</f>
        <v>65203</v>
      </c>
      <c r="H3" s="467"/>
      <c r="I3" s="3" t="s">
        <v>2</v>
      </c>
      <c r="J3" s="468">
        <f>'0309'!G1</f>
        <v>3028870.1799999997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127.9340336212185</v>
      </c>
      <c r="G6" s="473"/>
      <c r="H6" s="474">
        <f>AVERAGE(D13:H13,J13)</f>
        <v>125.2242025675849</v>
      </c>
      <c r="I6" s="474"/>
      <c r="J6" s="474">
        <f>AVERAGE(I13)</f>
        <v>144.19301994301995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117.97917933102656</v>
      </c>
      <c r="G7" s="497"/>
      <c r="H7" s="498">
        <f>AVERAGE(D14:H14,J14)</f>
        <v>114.43334907703303</v>
      </c>
      <c r="I7" s="498"/>
      <c r="J7" s="498">
        <f>AVERAGE(I14)</f>
        <v>139.25416085498776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0.9221875992774069</v>
      </c>
      <c r="G8" s="470"/>
      <c r="H8" s="470">
        <f>H7/H6</f>
        <v>0.91382773242474491</v>
      </c>
      <c r="I8" s="470"/>
      <c r="J8" s="470">
        <f>J7/J6</f>
        <v>0.96574827900834692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VALUE('0309'!L15)</f>
        <v>147.04700854700855</v>
      </c>
      <c r="E13" s="13">
        <f>VALUE('0309'!L26)</f>
        <v>181.44696969696969</v>
      </c>
      <c r="F13" s="13">
        <f>VALUE('0309'!L37)</f>
        <v>89.074754901960773</v>
      </c>
      <c r="G13" s="13">
        <f>VALUE('0309'!L48)</f>
        <v>92.058823529411768</v>
      </c>
      <c r="H13" s="13">
        <f>VALUE('0309'!L58)</f>
        <v>106.43154761904762</v>
      </c>
      <c r="I13" s="13">
        <f>VALUE('0309'!L69)</f>
        <v>144.19301994301995</v>
      </c>
      <c r="J13" s="13">
        <f>'0309'!L79</f>
        <v>135.2861111111111</v>
      </c>
    </row>
    <row r="14" spans="2:15" ht="39.950000000000003" customHeight="1">
      <c r="B14" s="491"/>
      <c r="C14" s="12" t="s">
        <v>100</v>
      </c>
      <c r="D14" s="13">
        <f>VALUE('0309'!O15)</f>
        <v>133.110735922575</v>
      </c>
      <c r="E14" s="13">
        <f>VALUE('0309'!O26)</f>
        <v>169.59022616949551</v>
      </c>
      <c r="F14" s="13">
        <f>VALUE('0309'!O37)</f>
        <v>86.429634353741505</v>
      </c>
      <c r="G14" s="13">
        <f>VALUE('0309'!O48)</f>
        <v>81.450903055397248</v>
      </c>
      <c r="H14" s="13">
        <f>VALUE('0309'!O58)</f>
        <v>99.617505343619911</v>
      </c>
      <c r="I14" s="13">
        <f>VALUE('0309'!O69)</f>
        <v>139.25416085498776</v>
      </c>
      <c r="J14" s="13">
        <f>'0309'!O79</f>
        <v>116.40108961736894</v>
      </c>
    </row>
    <row r="15" spans="2:15" ht="39.950000000000003" customHeight="1">
      <c r="B15" s="492"/>
      <c r="C15" s="10" t="s">
        <v>26</v>
      </c>
      <c r="D15" s="14">
        <f>D14/D13</f>
        <v>0.90522573181093757</v>
      </c>
      <c r="E15" s="14">
        <f t="shared" ref="E15:I15" si="1">E14/E13</f>
        <v>0.93465449686332125</v>
      </c>
      <c r="F15" s="14">
        <f t="shared" si="1"/>
        <v>0.97030448693200899</v>
      </c>
      <c r="G15" s="14">
        <f t="shared" si="1"/>
        <v>0.88477019293402759</v>
      </c>
      <c r="H15" s="14">
        <f t="shared" si="1"/>
        <v>0.93597723205325045</v>
      </c>
      <c r="I15" s="14">
        <f t="shared" si="1"/>
        <v>0.96574827900834692</v>
      </c>
      <c r="J15" s="15">
        <f>'0309'!S70</f>
        <v>0.86040679757412941</v>
      </c>
    </row>
    <row r="16" spans="2:15" ht="17.25" customHeight="1">
      <c r="B16" s="493" t="s">
        <v>101</v>
      </c>
      <c r="C16" s="10" t="s">
        <v>34</v>
      </c>
      <c r="D16" s="16">
        <f>'0309'!T5</f>
        <v>0.29166666666666702</v>
      </c>
      <c r="E16" s="16">
        <f>'0309'!T16</f>
        <v>0.29027777777777802</v>
      </c>
      <c r="F16" s="16">
        <f>'0309'!T27</f>
        <v>0.29027777777777802</v>
      </c>
      <c r="G16" s="16">
        <f>'0309'!T38</f>
        <v>0.33333333333333298</v>
      </c>
      <c r="H16" s="16">
        <f>'0309'!T49</f>
        <v>0.29027777777777802</v>
      </c>
      <c r="I16" s="16">
        <f>'0309'!T59</f>
        <v>0.29027777777777802</v>
      </c>
      <c r="J16" s="16">
        <f>'0309'!T70</f>
        <v>0.33333333333333298</v>
      </c>
    </row>
    <row r="17" spans="2:10" ht="17.25" customHeight="1">
      <c r="B17" s="494"/>
      <c r="C17" s="10" t="s">
        <v>35</v>
      </c>
      <c r="D17" s="22">
        <v>0.66944444444444395</v>
      </c>
      <c r="E17" s="19">
        <v>0.66111111111111098</v>
      </c>
      <c r="F17" s="19">
        <v>0.5625</v>
      </c>
      <c r="G17" s="210">
        <v>0.69444444444444398</v>
      </c>
      <c r="H17" s="21">
        <v>0.61597222222222203</v>
      </c>
      <c r="I17" s="22">
        <v>0.65069444444444402</v>
      </c>
      <c r="J17" s="22">
        <v>0.719444444444444</v>
      </c>
    </row>
    <row r="18" spans="2:10" ht="17.25" customHeight="1">
      <c r="B18" s="495" t="s">
        <v>102</v>
      </c>
      <c r="C18" s="330" t="s">
        <v>36</v>
      </c>
      <c r="D18" s="358">
        <f>'0309'!Z15</f>
        <v>0</v>
      </c>
      <c r="E18" s="359">
        <f>'0309'!Z26</f>
        <v>0</v>
      </c>
      <c r="F18" s="359">
        <f>'0309'!Z37</f>
        <v>0</v>
      </c>
      <c r="G18" s="360">
        <f>'0309'!Z48</f>
        <v>0</v>
      </c>
      <c r="H18" s="360">
        <f>'0309'!Z58</f>
        <v>0</v>
      </c>
      <c r="I18" s="359">
        <f>'0309'!Z69</f>
        <v>0</v>
      </c>
      <c r="J18" s="359">
        <f>'0309'!AA79</f>
        <v>0</v>
      </c>
    </row>
    <row r="19" spans="2:10" ht="17.25" customHeight="1">
      <c r="B19" s="496"/>
      <c r="C19" s="330" t="s">
        <v>37</v>
      </c>
      <c r="D19" s="358">
        <f>'0309'!AA15</f>
        <v>0</v>
      </c>
      <c r="E19" s="359">
        <f>'0309'!AA26</f>
        <v>0</v>
      </c>
      <c r="F19" s="359">
        <f>'0309'!AA37</f>
        <v>0</v>
      </c>
      <c r="G19" s="360">
        <f>'0309'!AA48</f>
        <v>0</v>
      </c>
      <c r="H19" s="360">
        <f>'0309'!AA58</f>
        <v>0</v>
      </c>
      <c r="I19" s="359">
        <f>'0309'!AA69</f>
        <v>0</v>
      </c>
      <c r="J19" s="359">
        <f>'0309'!AB79</f>
        <v>0</v>
      </c>
    </row>
    <row r="20" spans="2:10" ht="17.25" customHeight="1">
      <c r="B20" s="495" t="s">
        <v>103</v>
      </c>
      <c r="C20" s="330" t="s">
        <v>36</v>
      </c>
      <c r="D20" s="358">
        <f>'0309'!AD15</f>
        <v>0</v>
      </c>
      <c r="E20" s="359">
        <f>'0309'!AD26</f>
        <v>0</v>
      </c>
      <c r="F20" s="359">
        <f>'0309'!AD37</f>
        <v>0</v>
      </c>
      <c r="G20" s="360">
        <f>'0309'!AD48</f>
        <v>0</v>
      </c>
      <c r="H20" s="360">
        <f>'0309'!AD58</f>
        <v>0</v>
      </c>
      <c r="I20" s="359">
        <f>'0309'!AD69</f>
        <v>0</v>
      </c>
      <c r="J20" s="359">
        <f>'0309'!AD79</f>
        <v>0</v>
      </c>
    </row>
    <row r="21" spans="2:10" ht="17.25" customHeight="1">
      <c r="B21" s="496"/>
      <c r="C21" s="330" t="s">
        <v>85</v>
      </c>
      <c r="D21" s="358">
        <f>'0309'!AE15</f>
        <v>0</v>
      </c>
      <c r="E21" s="359">
        <f>'0309'!AE26</f>
        <v>0</v>
      </c>
      <c r="F21" s="359">
        <f>'0309'!AE37</f>
        <v>0</v>
      </c>
      <c r="G21" s="360">
        <f>'0309'!AE48</f>
        <v>0</v>
      </c>
      <c r="H21" s="360">
        <f>'0309'!AE58</f>
        <v>0</v>
      </c>
      <c r="I21" s="359">
        <f>'0309'!AE69</f>
        <v>0</v>
      </c>
      <c r="J21" s="359">
        <f>'0309'!AE79</f>
        <v>0</v>
      </c>
    </row>
    <row r="22" spans="2:10" ht="17.25" customHeight="1">
      <c r="B22" s="479" t="s">
        <v>104</v>
      </c>
      <c r="C22" s="480"/>
      <c r="D22" s="23">
        <f>VALUE('0309'!M15)</f>
        <v>13.666666666666666</v>
      </c>
      <c r="E22" s="23">
        <f>VALUE('0309'!M26)</f>
        <v>11.6</v>
      </c>
      <c r="F22" s="23">
        <f>VALUE('0309'!M37)</f>
        <v>14</v>
      </c>
      <c r="G22" s="23">
        <f>VALUE('0309'!M48)</f>
        <v>16.75</v>
      </c>
      <c r="H22" s="23">
        <f>VALUE('0309'!M58)</f>
        <v>16.25</v>
      </c>
      <c r="I22" s="23">
        <f>VALUE('0309'!M69)</f>
        <v>11.333333333333334</v>
      </c>
      <c r="J22" s="23">
        <f>'0309'!M79</f>
        <v>9.8000000000000007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E622-556F-4E2D-BF13-F1E0270B7283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activeCell="G76" sqref="G76"/>
      <selection pane="topRight" activeCell="G76" sqref="G76"/>
      <selection pane="bottomLeft" activeCell="G76" sqref="G76"/>
      <selection pane="bottomRight" activeCell="K42" sqref="K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65203</v>
      </c>
      <c r="F1" s="30" t="s">
        <v>2</v>
      </c>
      <c r="G1" s="31">
        <f>SUM(H5:H79)</f>
        <v>3028870.1799999997</v>
      </c>
      <c r="H1" s="32" t="s">
        <v>3</v>
      </c>
      <c r="I1" s="33">
        <f>M15+M26+M48+M58+M69+M79+M37</f>
        <v>93.399999999999991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156</v>
      </c>
      <c r="B2" s="447"/>
      <c r="C2" s="28"/>
      <c r="D2" s="28" t="s">
        <v>14</v>
      </c>
      <c r="E2" s="35">
        <f>AVERAGE(O15,O26,O37,O48,O58,O69,O79)</f>
        <v>117.97917933102656</v>
      </c>
      <c r="F2" s="36" t="s">
        <v>15</v>
      </c>
      <c r="G2" s="37">
        <f>G1/E1</f>
        <v>46.452926705826414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2599</v>
      </c>
      <c r="H5" s="43">
        <f>F5*G5</f>
        <v>123998.29000000001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9" si="0">K5/J5</f>
        <v>102.25</v>
      </c>
      <c r="M5" s="48">
        <v>16</v>
      </c>
      <c r="N5" s="46">
        <f t="shared" ref="N5:N9" si="1">G5/W5*60</f>
        <v>1559.4000000000106</v>
      </c>
      <c r="O5" s="47">
        <f t="shared" ref="O5:O9" si="2">N5/M5</f>
        <v>97.462500000000659</v>
      </c>
      <c r="P5" s="49">
        <f t="shared" ref="P5:P9" si="3">M5-J5</f>
        <v>0</v>
      </c>
      <c r="Q5" s="50">
        <f t="shared" ref="Q5:Q9" si="4">O5-L5</f>
        <v>-4.7874999999993406</v>
      </c>
      <c r="R5" s="51">
        <f>O5/L5</f>
        <v>0.95317848410758588</v>
      </c>
      <c r="S5" s="376">
        <f>R15</f>
        <v>0.90522573181093757</v>
      </c>
      <c r="T5" s="319">
        <v>0.29166666666666702</v>
      </c>
      <c r="U5" s="320">
        <v>0.36111111111111099</v>
      </c>
      <c r="V5" s="53"/>
      <c r="W5" s="54">
        <f t="shared" ref="W5:W14" si="5">(U5-T5)*24*60</f>
        <v>99.999999999999318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8" si="6">N5-K5</f>
        <v>-76.59999999998945</v>
      </c>
      <c r="AG5" s="52">
        <f t="shared" ref="AG5:AG8" si="7">N5/K5</f>
        <v>0.95317848410758588</v>
      </c>
      <c r="AH5" s="382">
        <f>AG15</f>
        <v>0.90522354199682298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1288</v>
      </c>
      <c r="H6" s="78">
        <f>F6*G6</f>
        <v>72488.639999999999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1545.6000000000106</v>
      </c>
      <c r="O6" s="81">
        <f t="shared" si="2"/>
        <v>103.0400000000007</v>
      </c>
      <c r="P6" s="74">
        <f t="shared" si="3"/>
        <v>0</v>
      </c>
      <c r="Q6" s="83">
        <f t="shared" si="4"/>
        <v>-16.959999999999297</v>
      </c>
      <c r="R6" s="72">
        <f>O6/L6</f>
        <v>0.85866666666667257</v>
      </c>
      <c r="S6" s="377"/>
      <c r="T6" s="18">
        <v>0.36805555555555602</v>
      </c>
      <c r="U6" s="18">
        <v>0.40277777777777801</v>
      </c>
      <c r="V6" s="30">
        <f>(T6-U5)*24*60</f>
        <v>10.000000000000844</v>
      </c>
      <c r="W6" s="73">
        <f t="shared" si="5"/>
        <v>49.999999999999659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-254.3999999999894</v>
      </c>
      <c r="AG6" s="72">
        <f t="shared" si="7"/>
        <v>0.85866666666667257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3271</v>
      </c>
      <c r="H7" s="78">
        <f t="shared" ref="H7:H9" si="8">F7*G7</f>
        <v>160736.94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1962.6000000000115</v>
      </c>
      <c r="O7" s="81">
        <f t="shared" si="2"/>
        <v>150.96923076923164</v>
      </c>
      <c r="P7" s="74">
        <f t="shared" si="3"/>
        <v>0</v>
      </c>
      <c r="Q7" s="83">
        <f t="shared" si="4"/>
        <v>-10.569230769229904</v>
      </c>
      <c r="R7" s="72">
        <f t="shared" ref="R7:R9" si="9">O7/L7</f>
        <v>0.93457142857143394</v>
      </c>
      <c r="S7" s="377"/>
      <c r="T7" s="16">
        <v>0.40902777777777799</v>
      </c>
      <c r="U7" s="16">
        <v>0.47847222222222202</v>
      </c>
      <c r="V7" s="30">
        <f>(T7-U6)*24*60</f>
        <v>8.999999999999968</v>
      </c>
      <c r="W7" s="73">
        <f t="shared" si="5"/>
        <v>99.999999999999403</v>
      </c>
      <c r="X7" s="22"/>
      <c r="Y7" s="84"/>
      <c r="Z7" s="90"/>
      <c r="AA7" s="90"/>
      <c r="AB7" s="501"/>
      <c r="AC7" s="502"/>
      <c r="AD7" s="92"/>
      <c r="AE7" s="92"/>
      <c r="AF7" s="307">
        <f t="shared" si="6"/>
        <v>-137.39999999998849</v>
      </c>
      <c r="AG7" s="72">
        <f t="shared" si="7"/>
        <v>0.93457142857143405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986</v>
      </c>
      <c r="H8" s="78">
        <f t="shared" si="8"/>
        <v>48452.04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1848.7500000000157</v>
      </c>
      <c r="O8" s="81">
        <f t="shared" si="2"/>
        <v>142.21153846153967</v>
      </c>
      <c r="P8" s="74">
        <f t="shared" si="3"/>
        <v>0</v>
      </c>
      <c r="Q8" s="83">
        <f t="shared" si="4"/>
        <v>-19.326923076921872</v>
      </c>
      <c r="R8" s="72">
        <f t="shared" si="9"/>
        <v>0.88035714285715028</v>
      </c>
      <c r="S8" s="377"/>
      <c r="T8" s="16">
        <v>0.54166666666666696</v>
      </c>
      <c r="U8" s="16">
        <v>0.56388888888888899</v>
      </c>
      <c r="V8" s="30">
        <f>(T8-U7)*24*60</f>
        <v>91.000000000000711</v>
      </c>
      <c r="W8" s="73">
        <f t="shared" si="5"/>
        <v>31.999999999999726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6"/>
        <v>-251.24999999998431</v>
      </c>
      <c r="AG8" s="72">
        <f t="shared" si="7"/>
        <v>0.88035714285715028</v>
      </c>
      <c r="AH8" s="384"/>
    </row>
    <row r="9" spans="1:34" ht="15" customHeight="1">
      <c r="A9" s="424"/>
      <c r="B9" s="75" t="s">
        <v>81</v>
      </c>
      <c r="C9" s="76"/>
      <c r="D9" s="59" t="s">
        <v>117</v>
      </c>
      <c r="E9" s="77"/>
      <c r="F9" s="75">
        <f>VLOOKUP(D9,廠價表!$C$1:$E$41,3,0)</f>
        <v>49.14</v>
      </c>
      <c r="G9" s="66">
        <v>2225</v>
      </c>
      <c r="H9" s="78">
        <f t="shared" si="8"/>
        <v>109336.5</v>
      </c>
      <c r="I9" s="73"/>
      <c r="J9" s="79">
        <f>VLOOKUP(D9,產線配置圖!$A$3:$C$38,2,0)</f>
        <v>13</v>
      </c>
      <c r="K9" s="80">
        <f>VLOOKUP(D9,產線配置圖!$A$3:$C$38,3,0)</f>
        <v>2100</v>
      </c>
      <c r="L9" s="81">
        <f t="shared" si="0"/>
        <v>161.53846153846155</v>
      </c>
      <c r="M9" s="82">
        <v>13</v>
      </c>
      <c r="N9" s="80">
        <f t="shared" si="1"/>
        <v>1854.1666666666692</v>
      </c>
      <c r="O9" s="81">
        <f t="shared" si="2"/>
        <v>142.62820512820534</v>
      </c>
      <c r="P9" s="74">
        <f t="shared" si="3"/>
        <v>0</v>
      </c>
      <c r="Q9" s="83">
        <f t="shared" si="4"/>
        <v>-18.91025641025621</v>
      </c>
      <c r="R9" s="72">
        <f t="shared" si="9"/>
        <v>0.88293650793650913</v>
      </c>
      <c r="S9" s="378"/>
      <c r="T9" s="16">
        <v>0.58472222222222203</v>
      </c>
      <c r="U9" s="16">
        <v>0.63472222222222197</v>
      </c>
      <c r="V9" s="30">
        <f>(T9-U8)*24*60</f>
        <v>29.999999999999574</v>
      </c>
      <c r="W9" s="73">
        <f t="shared" si="5"/>
        <v>71.999999999999901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 t="s">
        <v>81</v>
      </c>
      <c r="C10" s="86"/>
      <c r="D10" s="59" t="s">
        <v>113</v>
      </c>
      <c r="E10" s="87"/>
      <c r="F10" s="75">
        <f>VLOOKUP(D10,廠價表!$C$1:$E$41,3,0)</f>
        <v>57.21</v>
      </c>
      <c r="G10" s="62">
        <v>1104</v>
      </c>
      <c r="H10" s="78">
        <f>F10*G10</f>
        <v>63159.840000000004</v>
      </c>
      <c r="I10" s="73"/>
      <c r="J10" s="79">
        <f>VLOOKUP(D10,產線配置圖!$A$3:$C$38,2,0)</f>
        <v>12</v>
      </c>
      <c r="K10" s="80">
        <f>VLOOKUP(D10,產線配置圖!$A$3:$C$38,3,0)</f>
        <v>2105</v>
      </c>
      <c r="L10" s="81">
        <f>K10/J10</f>
        <v>175.41666666666666</v>
      </c>
      <c r="M10" s="82">
        <v>12</v>
      </c>
      <c r="N10" s="80">
        <f>G10/W10*60</f>
        <v>1948.2352941176632</v>
      </c>
      <c r="O10" s="81">
        <f>N10/M10</f>
        <v>162.35294117647194</v>
      </c>
      <c r="P10" s="74">
        <f>M10-J10</f>
        <v>0</v>
      </c>
      <c r="Q10" s="83">
        <f>O10-L10</f>
        <v>-13.063725490194713</v>
      </c>
      <c r="R10" s="72">
        <f>O10/L10</f>
        <v>0.92552745563784489</v>
      </c>
      <c r="S10" s="378"/>
      <c r="T10" s="22">
        <v>0.64583333333333304</v>
      </c>
      <c r="U10" s="22">
        <v>0.66944444444444395</v>
      </c>
      <c r="V10" s="30">
        <f>(T10-U9)*24*60</f>
        <v>15.999999999999943</v>
      </c>
      <c r="W10" s="73">
        <f t="shared" si="5"/>
        <v>33.999999999999716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13.666666666666666</v>
      </c>
      <c r="K15" s="120">
        <f t="shared" si="10"/>
        <v>1973.5</v>
      </c>
      <c r="L15" s="117">
        <f t="shared" si="10"/>
        <v>147.04700854700855</v>
      </c>
      <c r="M15" s="120">
        <f t="shared" si="10"/>
        <v>13.666666666666666</v>
      </c>
      <c r="N15" s="120">
        <f t="shared" si="10"/>
        <v>1786.4586601307301</v>
      </c>
      <c r="O15" s="117">
        <f t="shared" si="10"/>
        <v>133.110735922575</v>
      </c>
      <c r="P15" s="121">
        <f t="shared" ref="P15:P20" si="11">M15-J15</f>
        <v>0</v>
      </c>
      <c r="Q15" s="122">
        <f t="shared" ref="Q15:Q20" si="12">O15-L15</f>
        <v>-13.936272624433542</v>
      </c>
      <c r="R15" s="123">
        <f t="shared" ref="R15:R20" si="13">O15/L15</f>
        <v>0.90522573181093757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20" si="14">N15-K15</f>
        <v>-187.0413398692699</v>
      </c>
      <c r="AG15" s="124">
        <f t="shared" ref="AG15:AG20" si="15">N15/K15</f>
        <v>0.90522354199682298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2709</v>
      </c>
      <c r="H16" s="134">
        <f>F16*G16</f>
        <v>154981.89000000001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20" si="16">K16/J16</f>
        <v>175.41666666666666</v>
      </c>
      <c r="M16" s="139">
        <v>12</v>
      </c>
      <c r="N16" s="140">
        <f t="shared" ref="N16:N20" si="17">G16/W16*60</f>
        <v>1982.1951219512362</v>
      </c>
      <c r="O16" s="141">
        <f>N16/M16</f>
        <v>165.18292682926969</v>
      </c>
      <c r="P16" s="142">
        <f>M16-J16</f>
        <v>0</v>
      </c>
      <c r="Q16" s="143">
        <f t="shared" si="12"/>
        <v>-10.233739837396968</v>
      </c>
      <c r="R16" s="144">
        <f>O16/L16</f>
        <v>0.94166039047564676</v>
      </c>
      <c r="S16" s="413">
        <f>R26</f>
        <v>0.93465449686332125</v>
      </c>
      <c r="T16" s="145">
        <v>0.29027777777777802</v>
      </c>
      <c r="U16" s="145">
        <v>0.34722222222222199</v>
      </c>
      <c r="V16" s="135"/>
      <c r="W16" s="146">
        <f t="shared" ref="W16:W78" si="18">(U16-T16)*24*60</f>
        <v>81.999999999999304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4"/>
        <v>-122.80487804876384</v>
      </c>
      <c r="AG16" s="52">
        <f t="shared" si="15"/>
        <v>0.94166039047564665</v>
      </c>
      <c r="AH16" s="382">
        <f>AG26</f>
        <v>0.93461431322032584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3280</v>
      </c>
      <c r="H17" s="78">
        <f>F17*G17</f>
        <v>166197.6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1987.8787878787884</v>
      </c>
      <c r="O17" s="96">
        <f t="shared" ref="O17:O20" si="19">N17/M17</f>
        <v>165.6565656565657</v>
      </c>
      <c r="P17" s="97">
        <f t="shared" si="11"/>
        <v>0</v>
      </c>
      <c r="Q17" s="98">
        <f t="shared" si="12"/>
        <v>-9.3434343434342964</v>
      </c>
      <c r="R17" s="99">
        <f t="shared" si="13"/>
        <v>0.9466089466089469</v>
      </c>
      <c r="S17" s="414"/>
      <c r="T17" s="19">
        <v>0.35416666666666702</v>
      </c>
      <c r="U17" s="19">
        <v>0.422916666666667</v>
      </c>
      <c r="V17" s="30">
        <f>(T17-U16)*24*60</f>
        <v>10.000000000000844</v>
      </c>
      <c r="W17" s="149">
        <f t="shared" si="18"/>
        <v>98.999999999999972</v>
      </c>
      <c r="X17" s="19"/>
      <c r="Y17" s="297"/>
      <c r="Z17" s="90"/>
      <c r="AA17" s="90"/>
      <c r="AB17" s="501"/>
      <c r="AC17" s="502"/>
      <c r="AD17" s="92"/>
      <c r="AE17" s="92"/>
      <c r="AF17" s="307">
        <f t="shared" si="14"/>
        <v>-112.12121212121156</v>
      </c>
      <c r="AG17" s="72">
        <f t="shared" si="15"/>
        <v>0.9466089466089469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2554</v>
      </c>
      <c r="H18" s="78">
        <f>F18*G18</f>
        <v>128696.06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1964.6153846153736</v>
      </c>
      <c r="O18" s="96">
        <f t="shared" si="19"/>
        <v>178.60139860139759</v>
      </c>
      <c r="P18" s="97">
        <f t="shared" si="11"/>
        <v>0</v>
      </c>
      <c r="Q18" s="98">
        <f t="shared" si="12"/>
        <v>-12.307692307693316</v>
      </c>
      <c r="R18" s="99">
        <f t="shared" si="13"/>
        <v>0.93553113553113021</v>
      </c>
      <c r="S18" s="414"/>
      <c r="T18" s="19">
        <v>0.42986111111111103</v>
      </c>
      <c r="U18" s="19">
        <v>0.484027777777778</v>
      </c>
      <c r="V18" s="30">
        <f>(T18-U17)*24*60</f>
        <v>9.9999999999994049</v>
      </c>
      <c r="W18" s="149">
        <f t="shared" si="18"/>
        <v>78.000000000000441</v>
      </c>
      <c r="X18" s="22">
        <v>0.49305555555555602</v>
      </c>
      <c r="Y18" s="84">
        <v>0.53472222222222199</v>
      </c>
      <c r="Z18" s="90"/>
      <c r="AA18" s="90"/>
      <c r="AB18" s="381"/>
      <c r="AC18" s="381"/>
      <c r="AD18" s="92"/>
      <c r="AE18" s="92"/>
      <c r="AF18" s="307">
        <f t="shared" si="14"/>
        <v>-135.38461538462639</v>
      </c>
      <c r="AG18" s="72">
        <f t="shared" si="15"/>
        <v>0.93553113553113032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3407</v>
      </c>
      <c r="H19" s="78">
        <f>F19*G19</f>
        <v>171678.73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1965.5769230769301</v>
      </c>
      <c r="O19" s="96">
        <f t="shared" si="19"/>
        <v>178.68881118881183</v>
      </c>
      <c r="P19" s="97">
        <f t="shared" si="11"/>
        <v>0</v>
      </c>
      <c r="Q19" s="98">
        <f t="shared" si="12"/>
        <v>-12.22027972027908</v>
      </c>
      <c r="R19" s="99">
        <f t="shared" si="13"/>
        <v>0.93598901098901433</v>
      </c>
      <c r="S19" s="414"/>
      <c r="T19" s="19">
        <v>0.56111111111111101</v>
      </c>
      <c r="U19" s="19">
        <v>0.63333333333333297</v>
      </c>
      <c r="V19" s="30">
        <f>(T19-U18)*24*60</f>
        <v>110.99999999999953</v>
      </c>
      <c r="W19" s="149">
        <f t="shared" si="18"/>
        <v>103.99999999999963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4"/>
        <v>-134.42307692306986</v>
      </c>
      <c r="AG19" s="72">
        <f t="shared" si="15"/>
        <v>0.93598901098901433</v>
      </c>
      <c r="AH19" s="385"/>
    </row>
    <row r="20" spans="1:34" ht="15" customHeight="1">
      <c r="A20" s="419"/>
      <c r="B20" s="75" t="s">
        <v>81</v>
      </c>
      <c r="C20" s="76"/>
      <c r="D20" s="59" t="s">
        <v>115</v>
      </c>
      <c r="E20" s="77"/>
      <c r="F20" s="75">
        <f>VLOOKUP(D20,廠價表!$C$1:$E$41,3,0)</f>
        <v>50.67</v>
      </c>
      <c r="G20" s="147">
        <v>895</v>
      </c>
      <c r="H20" s="78">
        <f>F20*G20</f>
        <v>45349.65</v>
      </c>
      <c r="I20" s="30"/>
      <c r="J20" s="79">
        <f>VLOOKUP(D20,產線配置圖!$A$3:$C$38,2,0)</f>
        <v>12</v>
      </c>
      <c r="K20" s="80">
        <f>VLOOKUP(D20,產線配置圖!$A$3:$C$38,3,0)</f>
        <v>2100</v>
      </c>
      <c r="L20" s="81">
        <f t="shared" si="16"/>
        <v>175</v>
      </c>
      <c r="M20" s="148">
        <v>12</v>
      </c>
      <c r="N20" s="95">
        <f t="shared" si="17"/>
        <v>1917.8571428571934</v>
      </c>
      <c r="O20" s="96">
        <f t="shared" si="19"/>
        <v>159.82142857143279</v>
      </c>
      <c r="P20" s="97">
        <f t="shared" si="11"/>
        <v>0</v>
      </c>
      <c r="Q20" s="98">
        <f t="shared" si="12"/>
        <v>-15.17857142856721</v>
      </c>
      <c r="R20" s="99">
        <f t="shared" si="13"/>
        <v>0.91326530612247303</v>
      </c>
      <c r="S20" s="414"/>
      <c r="T20" s="19">
        <v>0.64166666666666705</v>
      </c>
      <c r="U20" s="19">
        <v>0.66111111111111098</v>
      </c>
      <c r="V20" s="30">
        <f>(T20-U19)*24*60</f>
        <v>12.000000000001076</v>
      </c>
      <c r="W20" s="149">
        <f t="shared" si="18"/>
        <v>27.999999999999261</v>
      </c>
      <c r="X20" s="19"/>
      <c r="Y20" s="297"/>
      <c r="Z20" s="90"/>
      <c r="AA20" s="90"/>
      <c r="AB20" s="388"/>
      <c r="AC20" s="388"/>
      <c r="AD20" s="92"/>
      <c r="AE20" s="92"/>
      <c r="AF20" s="307">
        <f t="shared" si="14"/>
        <v>-182.14285714280663</v>
      </c>
      <c r="AG20" s="72">
        <f t="shared" si="15"/>
        <v>0.91326530612247303</v>
      </c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2101</v>
      </c>
      <c r="L26" s="158">
        <f t="shared" si="21"/>
        <v>181.44696969696969</v>
      </c>
      <c r="M26" s="155">
        <f t="shared" si="21"/>
        <v>11.6</v>
      </c>
      <c r="N26" s="155">
        <f t="shared" si="21"/>
        <v>1963.6246720759045</v>
      </c>
      <c r="O26" s="158">
        <f t="shared" si="21"/>
        <v>169.59022616949551</v>
      </c>
      <c r="P26" s="159">
        <f t="shared" ref="P26:P29" si="22">M26-J26</f>
        <v>0</v>
      </c>
      <c r="Q26" s="160">
        <f t="shared" ref="Q26:Q29" si="23">O26-L26</f>
        <v>-11.85674352747418</v>
      </c>
      <c r="R26" s="161">
        <f>O26/L26</f>
        <v>0.93465449686332125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4">N26-K26</f>
        <v>-137.37532792409547</v>
      </c>
      <c r="AG26" s="124">
        <f t="shared" ref="AG26:AG29" si="25">N26/K26</f>
        <v>0.93461431322032584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f>3688+62</f>
        <v>3750</v>
      </c>
      <c r="H27" s="134">
        <f>F27*G27</f>
        <v>218137.5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6">K27/J27</f>
        <v>97.8125</v>
      </c>
      <c r="M27" s="170">
        <v>16</v>
      </c>
      <c r="N27" s="140">
        <f>G27/W27*60</f>
        <v>1562.5000000000002</v>
      </c>
      <c r="O27" s="141">
        <f>N27/M27</f>
        <v>97.656250000000014</v>
      </c>
      <c r="P27" s="142">
        <f t="shared" si="22"/>
        <v>0</v>
      </c>
      <c r="Q27" s="143">
        <f t="shared" si="23"/>
        <v>-0.15624999999998579</v>
      </c>
      <c r="R27" s="144">
        <f>O27/L27</f>
        <v>0.99840255591054328</v>
      </c>
      <c r="S27" s="413">
        <f>R37</f>
        <v>0.97030448693200899</v>
      </c>
      <c r="T27" s="171">
        <v>0.29027777777777802</v>
      </c>
      <c r="U27" s="171">
        <v>0.390277777777778</v>
      </c>
      <c r="V27" s="135"/>
      <c r="W27" s="146">
        <f t="shared" si="18"/>
        <v>143.99999999999997</v>
      </c>
      <c r="X27" s="135"/>
      <c r="Y27" s="300" t="s">
        <v>46</v>
      </c>
      <c r="Z27" s="169"/>
      <c r="AA27" s="169"/>
      <c r="AB27" s="388"/>
      <c r="AC27" s="388"/>
      <c r="AD27" s="135"/>
      <c r="AE27" s="135"/>
      <c r="AF27" s="310">
        <f t="shared" si="24"/>
        <v>-2.4999999999997726</v>
      </c>
      <c r="AG27" s="172">
        <f t="shared" si="25"/>
        <v>0.99840255591054328</v>
      </c>
      <c r="AH27" s="382">
        <f>AG37</f>
        <v>0.82423498083147784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1668</v>
      </c>
      <c r="H28" s="91">
        <f>F28*G28</f>
        <v>82599.360000000001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13</v>
      </c>
      <c r="N28" s="95">
        <f>G28/W28*60</f>
        <v>1021.224489795911</v>
      </c>
      <c r="O28" s="96">
        <f>N28/M28</f>
        <v>78.555729984300854</v>
      </c>
      <c r="P28" s="97">
        <f t="shared" si="22"/>
        <v>-4</v>
      </c>
      <c r="Q28" s="98">
        <f t="shared" si="23"/>
        <v>-6.1501523686403203</v>
      </c>
      <c r="R28" s="99">
        <f>O28/L28</f>
        <v>0.92739403453688507</v>
      </c>
      <c r="S28" s="414"/>
      <c r="T28" s="19">
        <v>0.39722222222222198</v>
      </c>
      <c r="U28" s="19">
        <v>0.46527777777777801</v>
      </c>
      <c r="V28" s="92">
        <f>(T28-U27)*24*60</f>
        <v>9.999999999999325</v>
      </c>
      <c r="W28" s="149">
        <f t="shared" si="18"/>
        <v>98.000000000000696</v>
      </c>
      <c r="X28" s="174"/>
      <c r="Y28" s="301"/>
      <c r="Z28" s="335"/>
      <c r="AA28" s="335"/>
      <c r="AD28" s="92"/>
      <c r="AE28" s="92"/>
      <c r="AF28" s="311">
        <f t="shared" si="24"/>
        <v>-418.77551020408896</v>
      </c>
      <c r="AG28" s="99">
        <f t="shared" si="25"/>
        <v>0.70918367346938271</v>
      </c>
      <c r="AH28" s="383"/>
    </row>
    <row r="29" spans="1:34" ht="15" customHeight="1">
      <c r="A29" s="411"/>
      <c r="B29" s="75" t="s">
        <v>120</v>
      </c>
      <c r="C29" s="173"/>
      <c r="D29" s="59" t="s">
        <v>122</v>
      </c>
      <c r="E29" s="104"/>
      <c r="F29" s="75">
        <f>VLOOKUP(D29,廠價表!$C$1:$E$41,3,0)</f>
        <v>49.52</v>
      </c>
      <c r="G29" s="90">
        <f>850+50</f>
        <v>900</v>
      </c>
      <c r="H29" s="91">
        <f>F29*G29</f>
        <v>44568</v>
      </c>
      <c r="I29" s="92"/>
      <c r="J29" s="79">
        <f>VLOOKUP(D29,產線配置圖!$A$3:$C$38,2,0)</f>
        <v>17</v>
      </c>
      <c r="K29" s="80">
        <f>VLOOKUP(D29,產線配置圖!$A$3:$C$38,3,0)</f>
        <v>1440</v>
      </c>
      <c r="L29" s="93">
        <f t="shared" si="26"/>
        <v>84.705882352941174</v>
      </c>
      <c r="M29" s="94">
        <v>13</v>
      </c>
      <c r="N29" s="95">
        <f>G29/W29*60</f>
        <v>1080.0000000000075</v>
      </c>
      <c r="O29" s="96">
        <f>N29/M29</f>
        <v>83.076923076923649</v>
      </c>
      <c r="P29" s="97">
        <f t="shared" si="22"/>
        <v>-4</v>
      </c>
      <c r="Q29" s="98">
        <f t="shared" si="23"/>
        <v>-1.6289592760175253</v>
      </c>
      <c r="R29" s="99">
        <f>O29/L29</f>
        <v>0.9807692307692375</v>
      </c>
      <c r="S29" s="414"/>
      <c r="T29" s="19">
        <v>0.52777777777777801</v>
      </c>
      <c r="U29" s="19">
        <v>0.5625</v>
      </c>
      <c r="V29" s="92">
        <f>(T29-U28)*24*60</f>
        <v>90</v>
      </c>
      <c r="W29" s="149">
        <f t="shared" si="18"/>
        <v>49.999999999999659</v>
      </c>
      <c r="X29" s="22">
        <v>0.49305555555555602</v>
      </c>
      <c r="Y29" s="84">
        <v>0.53472222222222199</v>
      </c>
      <c r="Z29" s="90"/>
      <c r="AA29" s="90"/>
      <c r="AB29" s="388"/>
      <c r="AC29" s="388"/>
      <c r="AD29" s="92"/>
      <c r="AE29" s="92"/>
      <c r="AF29" s="312">
        <f t="shared" si="24"/>
        <v>-359.9999999999925</v>
      </c>
      <c r="AG29" s="99">
        <f t="shared" si="25"/>
        <v>0.75000000000000522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16.666666666666668</v>
      </c>
      <c r="K37" s="155">
        <f t="shared" si="28"/>
        <v>1481.6666666666667</v>
      </c>
      <c r="L37" s="158">
        <f t="shared" si="28"/>
        <v>89.074754901960773</v>
      </c>
      <c r="M37" s="155">
        <f t="shared" si="28"/>
        <v>14</v>
      </c>
      <c r="N37" s="155">
        <f t="shared" si="28"/>
        <v>1221.2414965986397</v>
      </c>
      <c r="O37" s="158">
        <f t="shared" si="28"/>
        <v>86.429634353741505</v>
      </c>
      <c r="P37" s="159">
        <f>M37-J37</f>
        <v>-2.6666666666666679</v>
      </c>
      <c r="Q37" s="160">
        <f>N37-K37</f>
        <v>-260.425170068027</v>
      </c>
      <c r="R37" s="161">
        <f t="shared" ref="R37:R40" si="29">O37/L37</f>
        <v>0.97030448693200899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0" si="30">N37-K37</f>
        <v>-260.425170068027</v>
      </c>
      <c r="AG37" s="124">
        <f t="shared" ref="AG37:AG40" si="31">N37/K37</f>
        <v>0.82423498083147784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1477</v>
      </c>
      <c r="H38" s="134">
        <f>F38*G38</f>
        <v>83996.989999999991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2">K38/J38</f>
        <v>92.058823529411768</v>
      </c>
      <c r="M38" s="190">
        <v>16</v>
      </c>
      <c r="N38" s="140">
        <f>G38/W38*60</f>
        <v>1266.0000000000032</v>
      </c>
      <c r="O38" s="141">
        <f>N38/M38</f>
        <v>79.125000000000199</v>
      </c>
      <c r="P38" s="142">
        <f t="shared" ref="P38:P40" si="33">M38-J38</f>
        <v>-1</v>
      </c>
      <c r="Q38" s="143">
        <f t="shared" ref="Q38:Q40" si="34">O38-L38</f>
        <v>-12.933823529411569</v>
      </c>
      <c r="R38" s="144">
        <f>O38/L38</f>
        <v>0.85950479233227051</v>
      </c>
      <c r="S38" s="404">
        <f>R48</f>
        <v>0.88477019293402759</v>
      </c>
      <c r="T38" s="191">
        <v>0.33333333333333298</v>
      </c>
      <c r="U38" s="191">
        <v>0.38194444444444398</v>
      </c>
      <c r="V38" s="192"/>
      <c r="W38" s="193">
        <f t="shared" si="18"/>
        <v>69.999999999999829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-298.99999999999682</v>
      </c>
      <c r="AG38" s="195">
        <f t="shared" si="31"/>
        <v>0.80894568690096047</v>
      </c>
      <c r="AH38" s="398">
        <f>AG48</f>
        <v>0.87213041657620016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2792</v>
      </c>
      <c r="H39" s="91">
        <f>F39*G39</f>
        <v>123685.59999999999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1396.0000000000059</v>
      </c>
      <c r="O39" s="203">
        <f>N39/M39</f>
        <v>82.117647058823877</v>
      </c>
      <c r="P39" s="97">
        <f t="shared" si="33"/>
        <v>0</v>
      </c>
      <c r="Q39" s="98">
        <f t="shared" si="34"/>
        <v>-9.9411764705878909</v>
      </c>
      <c r="R39" s="99">
        <f t="shared" si="29"/>
        <v>0.8920127795527194</v>
      </c>
      <c r="S39" s="405"/>
      <c r="T39" s="20">
        <v>0.39930555555555602</v>
      </c>
      <c r="U39" s="20">
        <v>0.48263888888888901</v>
      </c>
      <c r="V39" s="92">
        <f>(T39-U38)*24*60</f>
        <v>25.00000000000135</v>
      </c>
      <c r="W39" s="205">
        <f t="shared" si="18"/>
        <v>119.99999999999949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-168.99999999999409</v>
      </c>
      <c r="AG39" s="206">
        <f t="shared" si="31"/>
        <v>0.8920127795527194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2427</v>
      </c>
      <c r="H40" s="91">
        <f>F40*G40</f>
        <v>107516.09999999999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17</v>
      </c>
      <c r="N40" s="202">
        <f>G40/W40*60</f>
        <v>1413.7864077669844</v>
      </c>
      <c r="O40" s="203">
        <f>N40/M40</f>
        <v>83.163906339234373</v>
      </c>
      <c r="P40" s="97">
        <f t="shared" si="33"/>
        <v>0</v>
      </c>
      <c r="Q40" s="98">
        <f t="shared" si="34"/>
        <v>-8.8949171901773951</v>
      </c>
      <c r="R40" s="99">
        <f t="shared" si="29"/>
        <v>0.90337789633673116</v>
      </c>
      <c r="S40" s="377"/>
      <c r="T40" s="20">
        <v>0.54513888888888895</v>
      </c>
      <c r="U40" s="20">
        <v>0.61666666666666703</v>
      </c>
      <c r="V40" s="92">
        <f>(T40-U39)*24*60</f>
        <v>89.999999999999915</v>
      </c>
      <c r="W40" s="205">
        <f t="shared" si="18"/>
        <v>103.00000000000043</v>
      </c>
      <c r="X40" s="22">
        <v>0.49305555555555602</v>
      </c>
      <c r="Y40" s="84">
        <v>0.53472222222222199</v>
      </c>
      <c r="Z40" s="337"/>
      <c r="AA40" s="337"/>
      <c r="AB40" s="388"/>
      <c r="AC40" s="388"/>
      <c r="AD40" s="92"/>
      <c r="AE40" s="92"/>
      <c r="AF40" s="314">
        <f t="shared" si="30"/>
        <v>-151.21359223301556</v>
      </c>
      <c r="AG40" s="206">
        <f t="shared" si="31"/>
        <v>0.90337789633673127</v>
      </c>
      <c r="AH40" s="399"/>
    </row>
    <row r="41" spans="1:34" ht="15" customHeight="1">
      <c r="A41" s="402"/>
      <c r="B41" s="75" t="s">
        <v>120</v>
      </c>
      <c r="C41" s="207"/>
      <c r="D41" s="198" t="s">
        <v>124</v>
      </c>
      <c r="E41" s="178"/>
      <c r="F41" s="75">
        <f>VLOOKUP(D41,廠價表!$C$1:$E$41,3,0)</f>
        <v>44.3</v>
      </c>
      <c r="G41" s="199">
        <v>738</v>
      </c>
      <c r="H41" s="91">
        <f>F41*G41</f>
        <v>32693.399999999998</v>
      </c>
      <c r="I41" s="200"/>
      <c r="J41" s="148">
        <f>VLOOKUP(D41,產線配置圖!$A$3:$C$38,2,0)</f>
        <v>17</v>
      </c>
      <c r="K41" s="95">
        <v>1565</v>
      </c>
      <c r="L41" s="96">
        <f>K41/J41</f>
        <v>92.058823529411768</v>
      </c>
      <c r="M41" s="201">
        <v>17</v>
      </c>
      <c r="N41" s="202">
        <f>G41/W41*60</f>
        <v>1383.7500000000186</v>
      </c>
      <c r="O41" s="203">
        <f>N41/M41</f>
        <v>81.397058823530514</v>
      </c>
      <c r="P41" s="97">
        <f>M41-J41</f>
        <v>0</v>
      </c>
      <c r="Q41" s="98">
        <f>O41-L41</f>
        <v>-10.661764705881254</v>
      </c>
      <c r="R41" s="99">
        <f>O41/L41</f>
        <v>0.88418530351438895</v>
      </c>
      <c r="S41" s="377"/>
      <c r="T41" s="20">
        <v>0.67222222222222205</v>
      </c>
      <c r="U41" s="210">
        <v>0.69444444444444398</v>
      </c>
      <c r="V41" s="92">
        <f>(T41-U40)*24*60</f>
        <v>79.999999999999233</v>
      </c>
      <c r="W41" s="205">
        <f t="shared" si="18"/>
        <v>31.999999999999567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17</v>
      </c>
      <c r="K48" s="155">
        <f t="shared" si="36"/>
        <v>1565</v>
      </c>
      <c r="L48" s="158">
        <f t="shared" si="36"/>
        <v>92.058823529411768</v>
      </c>
      <c r="M48" s="155">
        <f t="shared" si="36"/>
        <v>16.75</v>
      </c>
      <c r="N48" s="155">
        <f t="shared" si="36"/>
        <v>1364.8841019417532</v>
      </c>
      <c r="O48" s="158">
        <f t="shared" si="36"/>
        <v>81.450903055397248</v>
      </c>
      <c r="P48" s="221">
        <f>M48-J48</f>
        <v>-0.25</v>
      </c>
      <c r="Q48" s="222">
        <f>N48-K48</f>
        <v>-200.11589805824678</v>
      </c>
      <c r="R48" s="223">
        <f t="shared" ref="R48:R52" si="37">O48/L48</f>
        <v>0.88477019293402759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8">N48-K48</f>
        <v>-200.11589805824678</v>
      </c>
      <c r="AG48" s="162">
        <f t="shared" ref="AG48:AG52" si="39">N48/K48</f>
        <v>0.87213041657620016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935</v>
      </c>
      <c r="H49" s="134">
        <f>F49*G49</f>
        <v>53575.5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0">K49/J49</f>
        <v>107.14285714285714</v>
      </c>
      <c r="M49" s="170">
        <v>15</v>
      </c>
      <c r="N49" s="140">
        <f>G49/W49*60</f>
        <v>1476.3157894736801</v>
      </c>
      <c r="O49" s="141">
        <f>N49/M49</f>
        <v>98.421052631578675</v>
      </c>
      <c r="P49" s="229">
        <f>M49-J49</f>
        <v>1</v>
      </c>
      <c r="Q49" s="230">
        <f>O49-L49</f>
        <v>-8.7218045112784637</v>
      </c>
      <c r="R49" s="52">
        <f t="shared" si="37"/>
        <v>0.91859649122806764</v>
      </c>
      <c r="S49" s="376">
        <f>R58</f>
        <v>0.93597723205325045</v>
      </c>
      <c r="T49" s="191">
        <v>0.29027777777777802</v>
      </c>
      <c r="U49" s="191">
        <v>0.31666666666666698</v>
      </c>
      <c r="V49" s="55"/>
      <c r="W49" s="193">
        <f t="shared" si="18"/>
        <v>38.000000000000107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-23.68421052631993</v>
      </c>
      <c r="AG49" s="52">
        <f t="shared" si="39"/>
        <v>0.98421052631578676</v>
      </c>
      <c r="AH49" s="382">
        <f>AG58</f>
        <v>0.99725783660911704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f>2857+85</f>
        <v>2942</v>
      </c>
      <c r="H50" s="231">
        <f>F50*G50</f>
        <v>146835.22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17</v>
      </c>
      <c r="N50" s="234">
        <f>G50/W50*60</f>
        <v>1681.1428571428503</v>
      </c>
      <c r="O50" s="235">
        <f>N50/M50</f>
        <v>98.8907563025206</v>
      </c>
      <c r="P50" s="74">
        <f>M50-J50</f>
        <v>2</v>
      </c>
      <c r="Q50" s="83">
        <f>O50-L50</f>
        <v>-5.4425770308127284</v>
      </c>
      <c r="R50" s="72">
        <f t="shared" si="37"/>
        <v>0.947834724944287</v>
      </c>
      <c r="S50" s="377"/>
      <c r="T50" s="21">
        <v>0.32222222222222202</v>
      </c>
      <c r="U50" s="21">
        <v>0.39513888888888898</v>
      </c>
      <c r="V50" s="30">
        <f t="shared" ref="V50:V52" si="41">(T50-U49)*24*60</f>
        <v>7.9999999999992522</v>
      </c>
      <c r="W50" s="236">
        <f t="shared" si="18"/>
        <v>105.00000000000043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38"/>
        <v>116.14285714285029</v>
      </c>
      <c r="AG50" s="72">
        <f t="shared" si="39"/>
        <v>1.0742126882701919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3120</v>
      </c>
      <c r="H51" s="231">
        <f>F51*G51</f>
        <v>155906.4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17</v>
      </c>
      <c r="N51" s="234">
        <f>G51/W51*60</f>
        <v>1686.4864864864719</v>
      </c>
      <c r="O51" s="235">
        <f>N51/M51</f>
        <v>99.205087440380694</v>
      </c>
      <c r="P51" s="74">
        <f>M51-J51</f>
        <v>1</v>
      </c>
      <c r="Q51" s="83">
        <f>O51-L51</f>
        <v>-7.9199125596193056</v>
      </c>
      <c r="R51" s="72">
        <f t="shared" si="37"/>
        <v>0.92606849419258519</v>
      </c>
      <c r="S51" s="377"/>
      <c r="T51" s="21">
        <v>0.40208333333333302</v>
      </c>
      <c r="U51" s="19">
        <v>0.47916666666666702</v>
      </c>
      <c r="V51" s="30">
        <f t="shared" si="41"/>
        <v>9.9999999999994049</v>
      </c>
      <c r="W51" s="236">
        <f t="shared" si="18"/>
        <v>111.00000000000097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-27.513513513528096</v>
      </c>
      <c r="AG51" s="72">
        <f t="shared" si="39"/>
        <v>0.98394777507962183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3045</v>
      </c>
      <c r="H52" s="231">
        <f>F52*G52</f>
        <v>152158.65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1631.2499999999943</v>
      </c>
      <c r="O52" s="235">
        <f>N52/M52</f>
        <v>101.95312499999964</v>
      </c>
      <c r="P52" s="74">
        <f>M52-J52</f>
        <v>0</v>
      </c>
      <c r="Q52" s="83">
        <f>O52-L52</f>
        <v>-5.1718750000003553</v>
      </c>
      <c r="R52" s="72">
        <f t="shared" si="37"/>
        <v>0.95172112018669441</v>
      </c>
      <c r="S52" s="377"/>
      <c r="T52" s="21">
        <v>0.53819444444444398</v>
      </c>
      <c r="U52" s="21">
        <v>0.61597222222222203</v>
      </c>
      <c r="V52" s="30">
        <f t="shared" si="41"/>
        <v>84.99999999999882</v>
      </c>
      <c r="W52" s="236">
        <f t="shared" si="18"/>
        <v>112.0000000000004</v>
      </c>
      <c r="X52" s="22">
        <v>0.48611111111111099</v>
      </c>
      <c r="Y52" s="84">
        <v>0.52777777777777801</v>
      </c>
      <c r="Z52" s="90"/>
      <c r="AA52" s="90"/>
      <c r="AB52" s="388"/>
      <c r="AC52" s="388"/>
      <c r="AD52" s="92"/>
      <c r="AE52" s="92"/>
      <c r="AF52" s="307">
        <f t="shared" si="38"/>
        <v>-82.750000000005684</v>
      </c>
      <c r="AG52" s="72">
        <f t="shared" si="39"/>
        <v>0.95172112018669441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16.25</v>
      </c>
      <c r="N58" s="120">
        <f t="shared" si="42"/>
        <v>1618.7987832757492</v>
      </c>
      <c r="O58" s="117">
        <f t="shared" si="42"/>
        <v>99.617505343619911</v>
      </c>
      <c r="P58" s="121">
        <f>M58-J58</f>
        <v>1</v>
      </c>
      <c r="Q58" s="122">
        <f>N58-K58</f>
        <v>-4.4512167242507985</v>
      </c>
      <c r="R58" s="123">
        <f t="shared" ref="R58:R60" si="43">O58/L58</f>
        <v>0.93597723205325045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-4.4512167242507985</v>
      </c>
      <c r="AG58" s="124">
        <f t="shared" ref="AG58:AG61" si="45">N58/K58</f>
        <v>0.99725783660911704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2698</v>
      </c>
      <c r="H59" s="243">
        <f>F59*G59</f>
        <v>72819.01999999999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46">K59/J59</f>
        <v>120.38461538461539</v>
      </c>
      <c r="M59" s="244">
        <v>13</v>
      </c>
      <c r="N59" s="137">
        <f t="shared" ref="N59:N64" si="47">G59/W59*60</f>
        <v>1512.8971962616943</v>
      </c>
      <c r="O59" s="138">
        <f t="shared" ref="O59:O64" si="48">N59/M59</f>
        <v>116.37670740474572</v>
      </c>
      <c r="P59" s="56">
        <f t="shared" ref="P59:P64" si="49">M59-J59</f>
        <v>0</v>
      </c>
      <c r="Q59" s="230">
        <f t="shared" ref="Q59:Q64" si="50">O59-L59</f>
        <v>-4.0079079798696711</v>
      </c>
      <c r="R59" s="52">
        <f t="shared" si="43"/>
        <v>0.96670747364964493</v>
      </c>
      <c r="S59" s="376">
        <f>R69</f>
        <v>0.96574827900834692</v>
      </c>
      <c r="T59" s="245">
        <v>0.29027777777777802</v>
      </c>
      <c r="U59" s="245">
        <v>0.36458333333333298</v>
      </c>
      <c r="V59" s="55"/>
      <c r="W59" s="54">
        <f t="shared" si="18"/>
        <v>106.99999999999915</v>
      </c>
      <c r="X59" s="55"/>
      <c r="Y59" s="290"/>
      <c r="Z59" s="169"/>
      <c r="AA59" s="169"/>
      <c r="AB59" s="381" t="s">
        <v>157</v>
      </c>
      <c r="AC59" s="381"/>
      <c r="AD59" s="135"/>
      <c r="AE59" s="135"/>
      <c r="AF59" s="310">
        <f t="shared" si="44"/>
        <v>-52.102803738305738</v>
      </c>
      <c r="AG59" s="246">
        <f t="shared" si="45"/>
        <v>0.96670747364964493</v>
      </c>
      <c r="AH59" s="382">
        <f>AG69</f>
        <v>0.96533805334314204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1832</v>
      </c>
      <c r="H60" s="78">
        <f>F60*G60</f>
        <v>51772.32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1526.666666666667</v>
      </c>
      <c r="O60" s="81">
        <f t="shared" si="48"/>
        <v>127.22222222222224</v>
      </c>
      <c r="P60" s="74">
        <f t="shared" si="49"/>
        <v>0</v>
      </c>
      <c r="Q60" s="83">
        <f t="shared" si="50"/>
        <v>-3.1944444444444144</v>
      </c>
      <c r="R60" s="72">
        <f t="shared" si="43"/>
        <v>0.97550585729499495</v>
      </c>
      <c r="S60" s="394"/>
      <c r="T60" s="22">
        <v>0.37361111111111101</v>
      </c>
      <c r="U60" s="22">
        <v>0.42361111111111099</v>
      </c>
      <c r="V60" s="30">
        <f t="shared" ref="V60:V61" si="51">(T60-U59)*24*60</f>
        <v>13.000000000000353</v>
      </c>
      <c r="W60" s="248">
        <f t="shared" si="18"/>
        <v>71.999999999999986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4"/>
        <v>-38.33333333333303</v>
      </c>
      <c r="AG60" s="249">
        <f t="shared" si="45"/>
        <v>0.97550585729499484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1460</v>
      </c>
      <c r="H61" s="254">
        <f>F61*G61</f>
        <v>41259.600000000006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1460.0000000000246</v>
      </c>
      <c r="O61" s="238">
        <f t="shared" si="48"/>
        <v>121.66666666666872</v>
      </c>
      <c r="P61" s="111">
        <f t="shared" si="49"/>
        <v>0</v>
      </c>
      <c r="Q61" s="255">
        <f t="shared" si="50"/>
        <v>-8.7499999999979394</v>
      </c>
      <c r="R61" s="85">
        <f>O61/L61</f>
        <v>0.93290734824282728</v>
      </c>
      <c r="S61" s="377"/>
      <c r="T61" s="22">
        <v>0.43402777777777801</v>
      </c>
      <c r="U61" s="22">
        <v>0.47569444444444398</v>
      </c>
      <c r="V61" s="30">
        <f t="shared" si="51"/>
        <v>15.000000000000506</v>
      </c>
      <c r="W61" s="256">
        <f t="shared" si="18"/>
        <v>59.999999999998991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4"/>
        <v>-104.99999999997544</v>
      </c>
      <c r="AG61" s="247">
        <f t="shared" si="45"/>
        <v>0.93290734824282717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1053</v>
      </c>
      <c r="H62" s="254">
        <f>F62*G62</f>
        <v>29757.780000000002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9</v>
      </c>
      <c r="N62" s="107">
        <f t="shared" si="47"/>
        <v>1579.49999999999</v>
      </c>
      <c r="O62" s="238">
        <f t="shared" si="48"/>
        <v>175.49999999999889</v>
      </c>
      <c r="P62" s="111">
        <f t="shared" si="49"/>
        <v>0</v>
      </c>
      <c r="Q62" s="255">
        <f t="shared" si="50"/>
        <v>-6.2777777777788799</v>
      </c>
      <c r="R62" s="85">
        <f>O62/L62</f>
        <v>0.96546454767725554</v>
      </c>
      <c r="S62" s="377"/>
      <c r="T62" s="22">
        <v>0.48263888888888901</v>
      </c>
      <c r="U62" s="22">
        <v>0.51041666666666696</v>
      </c>
      <c r="V62" s="30">
        <f>(T62-U61)*24*60</f>
        <v>10.000000000000844</v>
      </c>
      <c r="W62" s="248">
        <f t="shared" si="18"/>
        <v>40.000000000000256</v>
      </c>
      <c r="X62" s="22">
        <v>0.51736111111111105</v>
      </c>
      <c r="Y62" s="84">
        <v>0.55902777777777801</v>
      </c>
      <c r="Z62" s="90"/>
      <c r="AA62" s="90"/>
      <c r="AB62" s="501" t="s">
        <v>155</v>
      </c>
      <c r="AC62" s="502"/>
      <c r="AD62" s="92"/>
      <c r="AE62" s="92"/>
      <c r="AF62" s="317">
        <f>N62-K62</f>
        <v>-56.500000000010004</v>
      </c>
      <c r="AG62" s="247">
        <f>N62/K62</f>
        <v>0.96546454767725554</v>
      </c>
      <c r="AH62" s="384"/>
    </row>
    <row r="63" spans="1:34" ht="15" customHeight="1">
      <c r="A63" s="392"/>
      <c r="B63" s="258" t="s">
        <v>128</v>
      </c>
      <c r="C63" s="58"/>
      <c r="D63" s="259" t="s">
        <v>138</v>
      </c>
      <c r="E63" s="60"/>
      <c r="F63" s="250">
        <f>VLOOKUP(D63,廠價表!$C$1:$E$41,3,0)</f>
        <v>28.26</v>
      </c>
      <c r="G63" s="260">
        <v>1596</v>
      </c>
      <c r="H63" s="254">
        <f t="shared" ref="H63:H64" si="52">F63*G63</f>
        <v>45102.96</v>
      </c>
      <c r="I63" s="182"/>
      <c r="J63" s="106">
        <f>VLOOKUP(D63,產線配置圖!$A$3:$C$38,2,0)</f>
        <v>9</v>
      </c>
      <c r="K63" s="107">
        <f>VLOOKUP(D63,產線配置圖!$A$3:$C$38,3,0)</f>
        <v>1636</v>
      </c>
      <c r="L63" s="238">
        <f t="shared" si="46"/>
        <v>181.77777777777777</v>
      </c>
      <c r="M63" s="68">
        <v>9</v>
      </c>
      <c r="N63" s="107">
        <f t="shared" si="47"/>
        <v>1595.9999999999886</v>
      </c>
      <c r="O63" s="238">
        <f t="shared" si="48"/>
        <v>177.33333333333206</v>
      </c>
      <c r="P63" s="111">
        <f t="shared" si="49"/>
        <v>0</v>
      </c>
      <c r="Q63" s="255">
        <f t="shared" si="50"/>
        <v>-4.4444444444457076</v>
      </c>
      <c r="R63" s="85">
        <f t="shared" ref="R63:R64" si="53">O63/L63</f>
        <v>0.97555012224938176</v>
      </c>
      <c r="S63" s="377"/>
      <c r="T63" s="22">
        <v>0.5625</v>
      </c>
      <c r="U63" s="22">
        <v>0.60416666666666696</v>
      </c>
      <c r="V63" s="30">
        <f t="shared" ref="V63:V64" si="54">(T63-U62)*24*60</f>
        <v>74.999999999999574</v>
      </c>
      <c r="W63" s="248">
        <f t="shared" si="18"/>
        <v>60.000000000000426</v>
      </c>
      <c r="X63" s="261"/>
      <c r="Y63" s="291"/>
      <c r="Z63" s="335"/>
      <c r="AA63" s="335"/>
      <c r="AB63" s="388"/>
      <c r="AC63" s="388"/>
      <c r="AD63" s="92"/>
      <c r="AE63" s="92"/>
      <c r="AF63" s="317">
        <f t="shared" ref="AF63:AF64" si="55">N63-K63</f>
        <v>-40.000000000011369</v>
      </c>
      <c r="AG63" s="247">
        <f t="shared" ref="AG63:AG64" si="56">N63/K63</f>
        <v>0.97555012224938176</v>
      </c>
      <c r="AH63" s="384"/>
    </row>
    <row r="64" spans="1:34" ht="15" customHeight="1">
      <c r="A64" s="392"/>
      <c r="B64" s="75" t="s">
        <v>128</v>
      </c>
      <c r="C64" s="76"/>
      <c r="D64" s="175" t="s">
        <v>129</v>
      </c>
      <c r="E64" s="77"/>
      <c r="F64" s="250">
        <f>VLOOKUP(D64,廠價表!$C$1:$E$41,3,0)</f>
        <v>26.99</v>
      </c>
      <c r="G64" s="30">
        <v>1323</v>
      </c>
      <c r="H64" s="254">
        <f t="shared" si="52"/>
        <v>35707.769999999997</v>
      </c>
      <c r="I64" s="182"/>
      <c r="J64" s="106">
        <f>VLOOKUP(D64,產線配置圖!$A$3:$C$38,2,0)</f>
        <v>13</v>
      </c>
      <c r="K64" s="107">
        <f>VLOOKUP(D64,產線配置圖!$A$3:$C$38,3,0)</f>
        <v>1565</v>
      </c>
      <c r="L64" s="238">
        <f t="shared" si="46"/>
        <v>120.38461538461539</v>
      </c>
      <c r="M64" s="82">
        <v>13</v>
      </c>
      <c r="N64" s="107">
        <f t="shared" si="47"/>
        <v>1526.5384615384669</v>
      </c>
      <c r="O64" s="238">
        <f t="shared" si="48"/>
        <v>117.426035502959</v>
      </c>
      <c r="P64" s="111">
        <f t="shared" si="49"/>
        <v>0</v>
      </c>
      <c r="Q64" s="255">
        <f t="shared" si="50"/>
        <v>-2.9585798816563909</v>
      </c>
      <c r="R64" s="85">
        <f t="shared" si="53"/>
        <v>0.97542393708528241</v>
      </c>
      <c r="S64" s="377"/>
      <c r="T64" s="22">
        <v>0.61458333333333304</v>
      </c>
      <c r="U64" s="22">
        <v>0.65069444444444402</v>
      </c>
      <c r="V64" s="30">
        <f t="shared" si="54"/>
        <v>14.999999999999147</v>
      </c>
      <c r="W64" s="73">
        <f t="shared" si="18"/>
        <v>51.999999999999815</v>
      </c>
      <c r="X64" s="261"/>
      <c r="Y64" s="291"/>
      <c r="Z64" s="335"/>
      <c r="AA64" s="335"/>
      <c r="AB64" s="388"/>
      <c r="AC64" s="388"/>
      <c r="AD64" s="92"/>
      <c r="AE64" s="92"/>
      <c r="AF64" s="317">
        <f t="shared" si="55"/>
        <v>-38.46153846153311</v>
      </c>
      <c r="AG64" s="247">
        <f t="shared" si="56"/>
        <v>0.97542393708528241</v>
      </c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7">AVERAGE(J59:J68)</f>
        <v>11.333333333333334</v>
      </c>
      <c r="K69" s="240">
        <f t="shared" si="57"/>
        <v>1588.6666666666667</v>
      </c>
      <c r="L69" s="268">
        <f t="shared" si="57"/>
        <v>144.19301994301995</v>
      </c>
      <c r="M69" s="240">
        <f t="shared" si="57"/>
        <v>11.333333333333334</v>
      </c>
      <c r="N69" s="240">
        <f t="shared" si="57"/>
        <v>1533.6003874111384</v>
      </c>
      <c r="O69" s="268">
        <f t="shared" si="57"/>
        <v>139.25416085498776</v>
      </c>
      <c r="P69" s="269">
        <f>M69-J69</f>
        <v>0</v>
      </c>
      <c r="Q69" s="222">
        <f>N69-K69</f>
        <v>-55.066279255528343</v>
      </c>
      <c r="R69" s="123">
        <f t="shared" ref="R69:R72" si="58">O69/L69</f>
        <v>0.96574827900834692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-55.066279255528343</v>
      </c>
      <c r="AG69" s="124">
        <f>N69/K69</f>
        <v>0.96533805334314204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1579</v>
      </c>
      <c r="H70" s="243">
        <f>F70*G70</f>
        <v>80007.930000000008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997.26315789472449</v>
      </c>
      <c r="O70" s="138">
        <f>N70/M70</f>
        <v>99.726315789472451</v>
      </c>
      <c r="P70" s="56">
        <f>M70-J70</f>
        <v>0</v>
      </c>
      <c r="Q70" s="230">
        <f>O70-L70</f>
        <v>-12.773684210527549</v>
      </c>
      <c r="R70" s="52">
        <f t="shared" si="58"/>
        <v>0.88645614035086628</v>
      </c>
      <c r="S70" s="376">
        <f>R79</f>
        <v>0.86040679757412941</v>
      </c>
      <c r="T70" s="245">
        <v>0.33333333333333298</v>
      </c>
      <c r="U70" s="245">
        <v>0.39930555555555602</v>
      </c>
      <c r="V70" s="55"/>
      <c r="W70" s="54">
        <f t="shared" si="18"/>
        <v>95.00000000000118</v>
      </c>
      <c r="X70" s="270"/>
      <c r="Y70" s="292"/>
      <c r="Z70" s="169"/>
      <c r="AA70" s="169"/>
      <c r="AB70" s="381"/>
      <c r="AC70" s="381"/>
      <c r="AD70" s="135"/>
      <c r="AE70" s="135"/>
      <c r="AF70" s="317">
        <f>N70-K70</f>
        <v>-127.73684210527551</v>
      </c>
      <c r="AG70" s="247">
        <f>N70/K70</f>
        <v>0.88645614035086617</v>
      </c>
      <c r="AH70" s="382">
        <f>AG79</f>
        <v>0.79416076192375717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f>1288+75</f>
        <v>1363</v>
      </c>
      <c r="H71" s="254">
        <f>F71*G71</f>
        <v>76914.09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59">K71/J71</f>
        <v>87.875</v>
      </c>
      <c r="M71" s="82">
        <v>12</v>
      </c>
      <c r="N71" s="107">
        <f t="shared" ref="N71:N72" si="60">G71/W71*60</f>
        <v>860.84210526314712</v>
      </c>
      <c r="O71" s="238">
        <f t="shared" ref="O71:O72" si="61">N71/M71</f>
        <v>71.736842105262255</v>
      </c>
      <c r="P71" s="111">
        <f t="shared" ref="P71:P72" si="62">M71-J71</f>
        <v>-4</v>
      </c>
      <c r="Q71" s="255">
        <f t="shared" ref="Q71:Q72" si="63">O71-L71</f>
        <v>-16.138157894737745</v>
      </c>
      <c r="R71" s="85">
        <f t="shared" si="58"/>
        <v>0.81635097701578674</v>
      </c>
      <c r="S71" s="377"/>
      <c r="T71" s="22">
        <v>0.41319444444444398</v>
      </c>
      <c r="U71" s="22">
        <v>0.47916666666666702</v>
      </c>
      <c r="V71" s="30">
        <f t="shared" ref="V71:V74" si="64">(T71-U70)*24*60</f>
        <v>19.99999999999865</v>
      </c>
      <c r="W71" s="73">
        <f t="shared" si="18"/>
        <v>95.00000000000118</v>
      </c>
      <c r="X71" s="271"/>
      <c r="Y71" s="293"/>
      <c r="Z71" s="90"/>
      <c r="AA71" s="90"/>
      <c r="AB71" s="501"/>
      <c r="AC71" s="502"/>
      <c r="AD71" s="200"/>
      <c r="AE71" s="200"/>
      <c r="AF71" s="317">
        <f t="shared" ref="AF71:AF74" si="65">N71-K71</f>
        <v>-545.15789473685288</v>
      </c>
      <c r="AG71" s="247">
        <f t="shared" ref="AG71:AG74" si="66">N71/K71</f>
        <v>0.61226323276184003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1074</v>
      </c>
      <c r="H72" s="361">
        <f>F72*G72</f>
        <v>30351.24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9"/>
        <v>181.77777777777777</v>
      </c>
      <c r="M72" s="94">
        <v>9</v>
      </c>
      <c r="N72" s="107">
        <f t="shared" si="60"/>
        <v>1400.8695652173647</v>
      </c>
      <c r="O72" s="238">
        <f t="shared" si="61"/>
        <v>155.65217391304051</v>
      </c>
      <c r="P72" s="111">
        <f t="shared" si="62"/>
        <v>0</v>
      </c>
      <c r="Q72" s="255">
        <f t="shared" si="63"/>
        <v>-26.125603864737258</v>
      </c>
      <c r="R72" s="85">
        <f t="shared" si="58"/>
        <v>0.85627724035291242</v>
      </c>
      <c r="S72" s="377"/>
      <c r="T72" s="22">
        <v>0.48611111111111099</v>
      </c>
      <c r="U72" s="22">
        <v>0.51805555555555605</v>
      </c>
      <c r="V72" s="30">
        <f t="shared" si="64"/>
        <v>9.999999999999325</v>
      </c>
      <c r="W72" s="73">
        <f t="shared" si="18"/>
        <v>46.000000000000874</v>
      </c>
      <c r="X72" s="272">
        <v>0.52777777777777801</v>
      </c>
      <c r="Y72" s="288">
        <v>0.56944444444444398</v>
      </c>
      <c r="Z72" s="90"/>
      <c r="AA72" s="90"/>
      <c r="AB72" s="388"/>
      <c r="AC72" s="388"/>
      <c r="AD72" s="92"/>
      <c r="AE72" s="92"/>
      <c r="AF72" s="317">
        <f t="shared" si="65"/>
        <v>-235.13043478263535</v>
      </c>
      <c r="AG72" s="247">
        <f t="shared" si="66"/>
        <v>0.85627724035291242</v>
      </c>
      <c r="AH72" s="383"/>
    </row>
    <row r="73" spans="1:36" ht="15" customHeight="1">
      <c r="A73" s="374"/>
      <c r="B73" s="30" t="s">
        <v>81</v>
      </c>
      <c r="C73" s="151"/>
      <c r="D73" s="59" t="s">
        <v>132</v>
      </c>
      <c r="E73" s="87"/>
      <c r="F73" s="250">
        <f>VLOOKUP(D73,廠價表!$C$1:$E$41,3,0)</f>
        <v>50.67</v>
      </c>
      <c r="G73" s="30">
        <v>1359</v>
      </c>
      <c r="H73" s="361">
        <f t="shared" ref="H73:H74" si="67">F73*G73</f>
        <v>68860.53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 t="shared" ref="L73:L74" si="68">K73/J73</f>
        <v>112.5</v>
      </c>
      <c r="M73" s="94">
        <v>10</v>
      </c>
      <c r="N73" s="107">
        <f t="shared" ref="N73:N74" si="69">G73/W73*60</f>
        <v>1019.2499999999914</v>
      </c>
      <c r="O73" s="238">
        <f t="shared" ref="O73:O74" si="70">N73/M73</f>
        <v>101.92499999999913</v>
      </c>
      <c r="P73" s="111">
        <f t="shared" ref="P73:P74" si="71">M73-J73</f>
        <v>0</v>
      </c>
      <c r="Q73" s="255">
        <f t="shared" ref="Q73:Q74" si="72">O73-L73</f>
        <v>-10.57500000000087</v>
      </c>
      <c r="R73" s="85">
        <f t="shared" ref="R73:R74" si="73">O73/L73</f>
        <v>0.90599999999999226</v>
      </c>
      <c r="S73" s="377"/>
      <c r="T73" s="22">
        <v>0.59722222222222199</v>
      </c>
      <c r="U73" s="22">
        <v>0.65277777777777801</v>
      </c>
      <c r="V73" s="30">
        <f t="shared" si="64"/>
        <v>113.99999999999895</v>
      </c>
      <c r="W73" s="73">
        <f t="shared" si="18"/>
        <v>80.000000000000682</v>
      </c>
      <c r="X73" s="22"/>
      <c r="Y73" s="84"/>
      <c r="Z73" s="90"/>
      <c r="AA73" s="90"/>
      <c r="AB73" s="388"/>
      <c r="AC73" s="388"/>
      <c r="AD73" s="92"/>
      <c r="AE73" s="92"/>
      <c r="AF73" s="317">
        <f t="shared" si="65"/>
        <v>-105.75000000000864</v>
      </c>
      <c r="AG73" s="247">
        <f t="shared" si="66"/>
        <v>0.90599999999999237</v>
      </c>
      <c r="AH73" s="383"/>
    </row>
    <row r="74" spans="1:36" ht="15" customHeight="1">
      <c r="A74" s="374"/>
      <c r="B74" s="30" t="s">
        <v>128</v>
      </c>
      <c r="C74" s="151"/>
      <c r="D74" s="59" t="s">
        <v>138</v>
      </c>
      <c r="E74" s="87"/>
      <c r="F74" s="250">
        <f>VLOOKUP(D74,廠價表!$C$1:$E$41,3,0)</f>
        <v>28.26</v>
      </c>
      <c r="G74" s="30">
        <v>1754</v>
      </c>
      <c r="H74" s="361">
        <f t="shared" si="67"/>
        <v>49568.04</v>
      </c>
      <c r="I74" s="182"/>
      <c r="J74" s="106">
        <f>VLOOKUP(D74,產線配置圖!$A$3:$C$38,2,0)</f>
        <v>9</v>
      </c>
      <c r="K74" s="107">
        <f>VLOOKUP(D74,產線配置圖!$A$3:$C$38,3,0)</f>
        <v>1636</v>
      </c>
      <c r="L74" s="238">
        <f t="shared" si="68"/>
        <v>181.77777777777777</v>
      </c>
      <c r="M74" s="108">
        <v>8</v>
      </c>
      <c r="N74" s="107">
        <f t="shared" si="69"/>
        <v>1223.7209302325625</v>
      </c>
      <c r="O74" s="238">
        <f t="shared" si="70"/>
        <v>152.96511627907032</v>
      </c>
      <c r="P74" s="111">
        <f t="shared" si="71"/>
        <v>-1</v>
      </c>
      <c r="Q74" s="255">
        <f t="shared" si="72"/>
        <v>-28.812661498707456</v>
      </c>
      <c r="R74" s="85">
        <f t="shared" si="73"/>
        <v>0.84149513845454338</v>
      </c>
      <c r="S74" s="377"/>
      <c r="T74" s="22">
        <v>0.65972222222222199</v>
      </c>
      <c r="U74" s="22">
        <v>0.719444444444444</v>
      </c>
      <c r="V74" s="30">
        <f t="shared" si="64"/>
        <v>9.999999999999325</v>
      </c>
      <c r="W74" s="73">
        <f t="shared" si="18"/>
        <v>85.999999999999687</v>
      </c>
      <c r="X74" s="22"/>
      <c r="Y74" s="84"/>
      <c r="Z74" s="90"/>
      <c r="AA74" s="90"/>
      <c r="AB74" s="388"/>
      <c r="AC74" s="388"/>
      <c r="AD74" s="92"/>
      <c r="AE74" s="92"/>
      <c r="AF74" s="317">
        <f t="shared" si="65"/>
        <v>-412.27906976743748</v>
      </c>
      <c r="AG74" s="247">
        <f t="shared" si="66"/>
        <v>0.74799567862626071</v>
      </c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74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7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7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75">AVERAGE(J70:J78)</f>
        <v>10.8</v>
      </c>
      <c r="K79" s="240">
        <f t="shared" si="75"/>
        <v>1385.6</v>
      </c>
      <c r="L79" s="268">
        <f t="shared" si="75"/>
        <v>135.2861111111111</v>
      </c>
      <c r="M79" s="240">
        <f t="shared" si="75"/>
        <v>9.8000000000000007</v>
      </c>
      <c r="N79" s="240">
        <f t="shared" si="75"/>
        <v>1100.3891517215579</v>
      </c>
      <c r="O79" s="268">
        <f t="shared" si="75"/>
        <v>116.40108961736894</v>
      </c>
      <c r="P79" s="269">
        <f>M79-J79</f>
        <v>-1</v>
      </c>
      <c r="Q79" s="222">
        <f>N79-K79</f>
        <v>-285.21084827844197</v>
      </c>
      <c r="R79" s="223">
        <f>O79/L79</f>
        <v>0.86040679757412941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-285.21084827844197</v>
      </c>
      <c r="AG79" s="124">
        <f>N79/K79</f>
        <v>0.79416076192375717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W3:W4"/>
    <mergeCell ref="X3:Y3"/>
    <mergeCell ref="Z3:AA3"/>
    <mergeCell ref="T3:U3"/>
    <mergeCell ref="V3:V4"/>
    <mergeCell ref="AH27:AH37"/>
    <mergeCell ref="A16:A26"/>
    <mergeCell ref="S16:S26"/>
    <mergeCell ref="AB16:AC16"/>
    <mergeCell ref="AB21:AC21"/>
    <mergeCell ref="AB22:AC22"/>
    <mergeCell ref="AB23:AC23"/>
    <mergeCell ref="AH16:AH26"/>
    <mergeCell ref="AB17:AC17"/>
    <mergeCell ref="AB18:AC18"/>
    <mergeCell ref="AB19:AC19"/>
    <mergeCell ref="AB20:AC20"/>
    <mergeCell ref="AB24:AC24"/>
    <mergeCell ref="AB25:AC25"/>
    <mergeCell ref="AB26:AC26"/>
    <mergeCell ref="AH5:AH15"/>
    <mergeCell ref="AB27:AC27"/>
    <mergeCell ref="AD3:AE3"/>
    <mergeCell ref="AF3:AF4"/>
    <mergeCell ref="AG3:AG4"/>
    <mergeCell ref="AH3:AH4"/>
    <mergeCell ref="A2:B2"/>
    <mergeCell ref="A3:A4"/>
    <mergeCell ref="B3:B4"/>
    <mergeCell ref="D3:E4"/>
    <mergeCell ref="F3:F4"/>
    <mergeCell ref="AB9:AC9"/>
    <mergeCell ref="AB10:AC10"/>
    <mergeCell ref="AB11:AC11"/>
    <mergeCell ref="O3:O4"/>
    <mergeCell ref="A5:A15"/>
    <mergeCell ref="S5:S15"/>
    <mergeCell ref="D15:E15"/>
    <mergeCell ref="AB15:AC15"/>
    <mergeCell ref="AB8:AC8"/>
    <mergeCell ref="AB6:AC6"/>
    <mergeCell ref="AB7:AC7"/>
    <mergeCell ref="AB12:AC12"/>
    <mergeCell ref="AB14:AC14"/>
    <mergeCell ref="AB13:AC13"/>
    <mergeCell ref="AB5:AC5"/>
    <mergeCell ref="AB3:AC4"/>
    <mergeCell ref="P3:P4"/>
    <mergeCell ref="Q3:Q4"/>
    <mergeCell ref="R3:R4"/>
    <mergeCell ref="AB29:AC29"/>
    <mergeCell ref="AB30:AC30"/>
    <mergeCell ref="A27:A37"/>
    <mergeCell ref="S27:S37"/>
    <mergeCell ref="D26:E26"/>
    <mergeCell ref="AB36:AC36"/>
    <mergeCell ref="A38:A48"/>
    <mergeCell ref="S38:S48"/>
    <mergeCell ref="AB38:AC38"/>
    <mergeCell ref="D48:E48"/>
    <mergeCell ref="AB48:AC48"/>
    <mergeCell ref="AB31:AC31"/>
    <mergeCell ref="AB32:AC32"/>
    <mergeCell ref="AB33:AC33"/>
    <mergeCell ref="AB34:AC34"/>
    <mergeCell ref="AB35:AC35"/>
    <mergeCell ref="D37:E37"/>
    <mergeCell ref="AB37:AC37"/>
    <mergeCell ref="AB41:AC41"/>
    <mergeCell ref="AB42:AC42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59:A69"/>
    <mergeCell ref="S59:S69"/>
    <mergeCell ref="AB59:AC59"/>
    <mergeCell ref="D69:E69"/>
    <mergeCell ref="AB69:AC69"/>
    <mergeCell ref="AH38:AH48"/>
    <mergeCell ref="AB39:AC39"/>
    <mergeCell ref="AB40:AC40"/>
    <mergeCell ref="D58:E58"/>
    <mergeCell ref="AB58:AC58"/>
    <mergeCell ref="AB52:AC52"/>
    <mergeCell ref="AB53:AC53"/>
    <mergeCell ref="AB54:AC54"/>
    <mergeCell ref="AB55:AC55"/>
    <mergeCell ref="AB56:AC56"/>
    <mergeCell ref="AB57:AC57"/>
    <mergeCell ref="AB46:AC46"/>
    <mergeCell ref="AB47:AC47"/>
    <mergeCell ref="AB43:AC43"/>
    <mergeCell ref="AB44:AC44"/>
    <mergeCell ref="AB45:AC45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299A7B-FF45-4F63-A81F-E3E6F81FDBB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0A68-CABE-4319-AE67-B807326CD6F3}">
  <dimension ref="B1:O26"/>
  <sheetViews>
    <sheetView topLeftCell="A3" zoomScale="70" zoomScaleNormal="70" workbookViewId="0">
      <selection activeCell="L17" sqref="L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46091</v>
      </c>
      <c r="E3" s="466"/>
      <c r="F3" s="3" t="s">
        <v>72</v>
      </c>
      <c r="G3" s="467">
        <f>'0310'!E1</f>
        <v>59799</v>
      </c>
      <c r="H3" s="467"/>
      <c r="I3" s="3" t="s">
        <v>2</v>
      </c>
      <c r="J3" s="468">
        <f>'0310'!G1</f>
        <v>2790631.77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125.74872210539228</v>
      </c>
      <c r="G6" s="473"/>
      <c r="H6" s="474">
        <f>AVERAGE(D13:H13,J13)</f>
        <v>123.24868718563572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116.63037118580664</v>
      </c>
      <c r="G7" s="497"/>
      <c r="H7" s="498">
        <f>AVERAGE(D14:H14,J14)</f>
        <v>114.19425379401611</v>
      </c>
      <c r="I7" s="498"/>
      <c r="J7" s="498">
        <f>AVERAGE(I14)</f>
        <v>131.24707553654983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0.92748752617984154</v>
      </c>
      <c r="G8" s="470"/>
      <c r="H8" s="470">
        <f>H7/H6</f>
        <v>0.9265352548706508</v>
      </c>
      <c r="I8" s="470"/>
      <c r="J8" s="470">
        <f>J7/J6</f>
        <v>0.93249074094025874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VALUE('0310'!L15)</f>
        <v>144.14871794871794</v>
      </c>
      <c r="E13" s="13">
        <f>VALUE('0310'!L26)</f>
        <v>183.0587121212121</v>
      </c>
      <c r="F13" s="13">
        <f>VALUE('0310'!L37)</f>
        <v>90.131127450980387</v>
      </c>
      <c r="G13" s="13">
        <f>VALUE('0310'!L48)</f>
        <v>92.058823529411768</v>
      </c>
      <c r="H13" s="13">
        <f>VALUE('0310'!L58)</f>
        <v>106.43154761904762</v>
      </c>
      <c r="I13" s="13">
        <f>VALUE('0310'!L69)</f>
        <v>140.74893162393164</v>
      </c>
      <c r="J13" s="13">
        <f>'0310'!L79</f>
        <v>123.66319444444444</v>
      </c>
    </row>
    <row r="14" spans="2:15" ht="39.950000000000003" customHeight="1">
      <c r="B14" s="491"/>
      <c r="C14" s="12" t="s">
        <v>100</v>
      </c>
      <c r="D14" s="13">
        <f>VALUE('0310'!O15)</f>
        <v>136.48465040096204</v>
      </c>
      <c r="E14" s="13">
        <f>VALUE('0310'!O26)</f>
        <v>171.46952983687339</v>
      </c>
      <c r="F14" s="13">
        <f>VALUE('0310'!O37)</f>
        <v>84.324918228544945</v>
      </c>
      <c r="G14" s="13">
        <f>VALUE('0310'!O48)</f>
        <v>83.498171329560009</v>
      </c>
      <c r="H14" s="13">
        <f>VALUE('0310'!O58)</f>
        <v>99.625180598423711</v>
      </c>
      <c r="I14" s="13">
        <f>VALUE('0310'!O69)</f>
        <v>131.24707553654983</v>
      </c>
      <c r="J14" s="13">
        <f>'0310'!O79</f>
        <v>109.7630723697325</v>
      </c>
    </row>
    <row r="15" spans="2:15" ht="39.950000000000003" customHeight="1">
      <c r="B15" s="492"/>
      <c r="C15" s="10" t="s">
        <v>26</v>
      </c>
      <c r="D15" s="14">
        <f>D14/D13</f>
        <v>0.94683221844205057</v>
      </c>
      <c r="E15" s="14">
        <f t="shared" ref="E15:I15" si="1">E14/E13</f>
        <v>0.93669144642149049</v>
      </c>
      <c r="F15" s="14">
        <f t="shared" si="1"/>
        <v>0.93558042169623068</v>
      </c>
      <c r="G15" s="14">
        <f t="shared" si="1"/>
        <v>0.9070088898418659</v>
      </c>
      <c r="H15" s="14">
        <f t="shared" si="1"/>
        <v>0.93604934652471594</v>
      </c>
      <c r="I15" s="14">
        <f t="shared" si="1"/>
        <v>0.93249074094025874</v>
      </c>
      <c r="J15" s="15">
        <f>'0310'!S70</f>
        <v>0.88759693506901471</v>
      </c>
    </row>
    <row r="16" spans="2:15" ht="17.25" customHeight="1">
      <c r="B16" s="493" t="s">
        <v>101</v>
      </c>
      <c r="C16" s="10" t="s">
        <v>34</v>
      </c>
      <c r="D16" s="16">
        <f>'0310'!T5</f>
        <v>0.29027777777777802</v>
      </c>
      <c r="E16" s="16">
        <f>'0310'!T16</f>
        <v>0.29027777777777802</v>
      </c>
      <c r="F16" s="16">
        <f>'0310'!T27</f>
        <v>0.29027777777777802</v>
      </c>
      <c r="G16" s="16">
        <f>'0310'!T38</f>
        <v>0.33194444444444399</v>
      </c>
      <c r="H16" s="16">
        <f>'0310'!T49</f>
        <v>0.28958333333333303</v>
      </c>
      <c r="I16" s="16">
        <f>'0310'!T59</f>
        <v>0.29027777777777802</v>
      </c>
      <c r="J16" s="16">
        <f>'0310'!T70</f>
        <v>0.33333333333333298</v>
      </c>
    </row>
    <row r="17" spans="2:10" ht="17.25" customHeight="1">
      <c r="B17" s="494"/>
      <c r="C17" s="10" t="s">
        <v>35</v>
      </c>
      <c r="D17" s="22">
        <v>0.61111111111111105</v>
      </c>
      <c r="E17" s="19">
        <v>0.62152777777777801</v>
      </c>
      <c r="F17" s="19">
        <v>0.53472222222222199</v>
      </c>
      <c r="G17" s="20">
        <v>0.60347222222222197</v>
      </c>
      <c r="H17" s="21">
        <v>0.61875000000000002</v>
      </c>
      <c r="I17" s="22">
        <v>0.625</v>
      </c>
      <c r="J17" s="22">
        <v>0.60763888888888895</v>
      </c>
    </row>
    <row r="18" spans="2:10" ht="17.25" customHeight="1">
      <c r="B18" s="495" t="s">
        <v>102</v>
      </c>
      <c r="C18" s="330" t="s">
        <v>36</v>
      </c>
      <c r="D18" s="358">
        <f>'0310'!Z15</f>
        <v>0</v>
      </c>
      <c r="E18" s="359">
        <f>'0310'!Z26</f>
        <v>0</v>
      </c>
      <c r="F18" s="359">
        <f>'0310'!Z37</f>
        <v>0</v>
      </c>
      <c r="G18" s="360">
        <f>'0310'!Z48</f>
        <v>0</v>
      </c>
      <c r="H18" s="360">
        <f>'0310'!Z58</f>
        <v>0</v>
      </c>
      <c r="I18" s="359">
        <f>'0310'!Z69</f>
        <v>0</v>
      </c>
      <c r="J18" s="359">
        <f>'0310'!AA79</f>
        <v>0</v>
      </c>
    </row>
    <row r="19" spans="2:10" ht="17.25" customHeight="1">
      <c r="B19" s="496"/>
      <c r="C19" s="330" t="s">
        <v>37</v>
      </c>
      <c r="D19" s="358">
        <f>'0310'!AA15</f>
        <v>0</v>
      </c>
      <c r="E19" s="359">
        <f>'0310'!AA26</f>
        <v>0</v>
      </c>
      <c r="F19" s="359">
        <f>'0310'!AA37</f>
        <v>0</v>
      </c>
      <c r="G19" s="360">
        <f>'0310'!AA48</f>
        <v>0</v>
      </c>
      <c r="H19" s="360">
        <f>'0310'!AA58</f>
        <v>0</v>
      </c>
      <c r="I19" s="359">
        <f>'0310'!AA69</f>
        <v>0</v>
      </c>
      <c r="J19" s="359">
        <f>'0310'!AB79</f>
        <v>0</v>
      </c>
    </row>
    <row r="20" spans="2:10" ht="17.25" customHeight="1">
      <c r="B20" s="495" t="s">
        <v>103</v>
      </c>
      <c r="C20" s="330" t="s">
        <v>36</v>
      </c>
      <c r="D20" s="358">
        <f>'0310'!AD15</f>
        <v>0</v>
      </c>
      <c r="E20" s="359">
        <f>'0310'!AD26</f>
        <v>0</v>
      </c>
      <c r="F20" s="359">
        <f>'0310'!AD37</f>
        <v>0</v>
      </c>
      <c r="G20" s="360">
        <f>'0310'!AD48</f>
        <v>0</v>
      </c>
      <c r="H20" s="360">
        <f>'0310'!AD58</f>
        <v>0</v>
      </c>
      <c r="I20" s="359">
        <f>'0310'!AD69</f>
        <v>0</v>
      </c>
      <c r="J20" s="359">
        <f>'0310'!AD79</f>
        <v>0</v>
      </c>
    </row>
    <row r="21" spans="2:10" ht="17.25" customHeight="1">
      <c r="B21" s="496"/>
      <c r="C21" s="330" t="s">
        <v>85</v>
      </c>
      <c r="D21" s="358">
        <f>'0310'!AE15</f>
        <v>0</v>
      </c>
      <c r="E21" s="359">
        <f>'0310'!AE26</f>
        <v>0</v>
      </c>
      <c r="F21" s="359">
        <f>'0310'!AE37</f>
        <v>0</v>
      </c>
      <c r="G21" s="360">
        <f>'0310'!AE48</f>
        <v>0</v>
      </c>
      <c r="H21" s="360">
        <f>'0310'!AE58</f>
        <v>0</v>
      </c>
      <c r="I21" s="359">
        <f>'0310'!AE69</f>
        <v>0</v>
      </c>
      <c r="J21" s="359">
        <f>'0310'!AE79</f>
        <v>0</v>
      </c>
    </row>
    <row r="22" spans="2:10" ht="17.25" customHeight="1">
      <c r="B22" s="479" t="s">
        <v>104</v>
      </c>
      <c r="C22" s="480"/>
      <c r="D22" s="23">
        <f>VALUE('0310'!M15)</f>
        <v>13.8</v>
      </c>
      <c r="E22" s="23">
        <f>VALUE('0310'!M26)</f>
        <v>11.5</v>
      </c>
      <c r="F22" s="23">
        <f>VALUE('0310'!M37)</f>
        <v>16</v>
      </c>
      <c r="G22" s="23">
        <f>VALUE('0310'!M48)</f>
        <v>17</v>
      </c>
      <c r="H22" s="23">
        <f>VALUE('0310'!M58)</f>
        <v>15.25</v>
      </c>
      <c r="I22" s="23">
        <f>VALUE('0310'!M69)</f>
        <v>11.5</v>
      </c>
      <c r="J22" s="23">
        <f>'0310'!M79</f>
        <v>11.25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3FCB-2318-4504-B69C-C35DC867573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L17" sqref="L17"/>
      <selection pane="topRight" activeCell="L17" sqref="L17"/>
      <selection pane="bottomLeft" activeCell="L17" sqref="L17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59799</v>
      </c>
      <c r="F1" s="30" t="s">
        <v>2</v>
      </c>
      <c r="G1" s="31">
        <f>SUM(H5:H79)</f>
        <v>2790631.77</v>
      </c>
      <c r="H1" s="32" t="s">
        <v>3</v>
      </c>
      <c r="I1" s="33">
        <f>M15+M26+M48+M58+M69+M79+M37</f>
        <v>96.3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158</v>
      </c>
      <c r="B2" s="447"/>
      <c r="C2" s="28"/>
      <c r="D2" s="28" t="s">
        <v>14</v>
      </c>
      <c r="E2" s="35">
        <f>AVERAGE(O15,O26,O37,O48,O58,O69,O79)</f>
        <v>116.63037118580664</v>
      </c>
      <c r="F2" s="36" t="s">
        <v>15</v>
      </c>
      <c r="G2" s="37">
        <f>G1/E1</f>
        <v>46.66686349270055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125</v>
      </c>
      <c r="E5" s="41"/>
      <c r="F5" s="39">
        <f>VLOOKUP(D5,廠價表!$C$1:$E$41,3,0)</f>
        <v>47.71</v>
      </c>
      <c r="G5" s="42">
        <v>2429</v>
      </c>
      <c r="H5" s="43">
        <f>F5*G5</f>
        <v>115887.59</v>
      </c>
      <c r="I5" s="44"/>
      <c r="J5" s="45">
        <f>VLOOKUP(D5,產線配置圖!$A$3:$C$38,2,0)</f>
        <v>16</v>
      </c>
      <c r="K5" s="46">
        <f>VLOOKUP(D5,產線配置圖!$A$3:$C$38,3,0)</f>
        <v>1636</v>
      </c>
      <c r="L5" s="47">
        <f t="shared" ref="L5:L6" si="0">K5/J5</f>
        <v>102.25</v>
      </c>
      <c r="M5" s="48">
        <v>16</v>
      </c>
      <c r="N5" s="46">
        <f t="shared" ref="N5:N6" si="1">G5/W5*60</f>
        <v>1619.3333333333333</v>
      </c>
      <c r="O5" s="47">
        <f t="shared" ref="O5:O6" si="2">N5/M5</f>
        <v>101.20833333333333</v>
      </c>
      <c r="P5" s="49">
        <f t="shared" ref="P5:P6" si="3">M5-J5</f>
        <v>0</v>
      </c>
      <c r="Q5" s="50">
        <f t="shared" ref="Q5:Q6" si="4">O5-L5</f>
        <v>-1.0416666666666714</v>
      </c>
      <c r="R5" s="51">
        <f>O5/L5</f>
        <v>0.98981255093724529</v>
      </c>
      <c r="S5" s="376">
        <f>R15</f>
        <v>0.94683221844205057</v>
      </c>
      <c r="T5" s="319">
        <v>0.29027777777777802</v>
      </c>
      <c r="U5" s="320">
        <v>0.35277777777777802</v>
      </c>
      <c r="V5" s="53"/>
      <c r="W5" s="54">
        <f t="shared" ref="W5:W14" si="5">(U5-T5)*24*60</f>
        <v>90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8" si="6">N5-K5</f>
        <v>-16.666666666666742</v>
      </c>
      <c r="AG5" s="52">
        <f t="shared" ref="AG5:AG8" si="7">N5/K5</f>
        <v>0.98981255093724529</v>
      </c>
      <c r="AH5" s="382">
        <f>AG15</f>
        <v>0.94740220953919985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f>1082+40</f>
        <v>1122</v>
      </c>
      <c r="H6" s="78">
        <f>F6*G6</f>
        <v>63146.16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1682.9999999999854</v>
      </c>
      <c r="O6" s="81">
        <f t="shared" si="2"/>
        <v>112.19999999999904</v>
      </c>
      <c r="P6" s="74">
        <f t="shared" si="3"/>
        <v>0</v>
      </c>
      <c r="Q6" s="83">
        <f t="shared" si="4"/>
        <v>-7.8000000000009635</v>
      </c>
      <c r="R6" s="72">
        <f>O6/L6</f>
        <v>0.93499999999999195</v>
      </c>
      <c r="S6" s="377"/>
      <c r="T6" s="18">
        <v>0.359722222222222</v>
      </c>
      <c r="U6" s="18">
        <v>0.38750000000000001</v>
      </c>
      <c r="V6" s="30">
        <f>(T6-U5)*24*60</f>
        <v>9.999999999999325</v>
      </c>
      <c r="W6" s="73">
        <f t="shared" si="5"/>
        <v>40.000000000000341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-117.00000000001455</v>
      </c>
      <c r="AG6" s="72">
        <f t="shared" si="7"/>
        <v>0.93499999999999195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4080</v>
      </c>
      <c r="H7" s="78">
        <f t="shared" ref="H7:H9" si="8">F7*G7</f>
        <v>200491.2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ref="L7:L9" si="9">K7/J7</f>
        <v>161.53846153846155</v>
      </c>
      <c r="M7" s="82">
        <v>13</v>
      </c>
      <c r="N7" s="80">
        <f t="shared" ref="N7:N9" si="10">G7/W7*60</f>
        <v>1990.243902439016</v>
      </c>
      <c r="O7" s="81">
        <f t="shared" ref="O7:O9" si="11">N7/M7</f>
        <v>153.09568480300123</v>
      </c>
      <c r="P7" s="74">
        <f t="shared" ref="P7:P9" si="12">M7-J7</f>
        <v>0</v>
      </c>
      <c r="Q7" s="83">
        <f t="shared" ref="Q7:Q9" si="13">O7-L7</f>
        <v>-8.4427767354603134</v>
      </c>
      <c r="R7" s="72">
        <f t="shared" ref="R7:R9" si="14">O7/L7</f>
        <v>0.94773519163762665</v>
      </c>
      <c r="S7" s="377"/>
      <c r="T7" s="16">
        <v>0.39444444444444399</v>
      </c>
      <c r="U7" s="16">
        <v>0.47986111111111102</v>
      </c>
      <c r="V7" s="30">
        <f>(T7-U6)*24*60</f>
        <v>9.999999999999325</v>
      </c>
      <c r="W7" s="73">
        <f t="shared" si="5"/>
        <v>123.00000000000053</v>
      </c>
      <c r="X7" s="22"/>
      <c r="Y7" s="84"/>
      <c r="Z7" s="90"/>
      <c r="AA7" s="90"/>
      <c r="AB7" s="501"/>
      <c r="AC7" s="502"/>
      <c r="AD7" s="92"/>
      <c r="AE7" s="92"/>
      <c r="AF7" s="307">
        <f t="shared" si="6"/>
        <v>-109.75609756098402</v>
      </c>
      <c r="AG7" s="72">
        <f t="shared" si="7"/>
        <v>0.94773519163762665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f>2207+87</f>
        <v>2294</v>
      </c>
      <c r="H8" s="78">
        <f t="shared" si="8"/>
        <v>112727.16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9"/>
        <v>161.53846153846155</v>
      </c>
      <c r="M8" s="82">
        <v>13</v>
      </c>
      <c r="N8" s="80">
        <f t="shared" si="10"/>
        <v>1885.4794520548096</v>
      </c>
      <c r="O8" s="81">
        <f t="shared" si="11"/>
        <v>145.03688092729305</v>
      </c>
      <c r="P8" s="74">
        <f t="shared" si="12"/>
        <v>0</v>
      </c>
      <c r="Q8" s="83">
        <f t="shared" si="13"/>
        <v>-16.501580611168492</v>
      </c>
      <c r="R8" s="72">
        <f t="shared" si="14"/>
        <v>0.89784735812133787</v>
      </c>
      <c r="S8" s="377"/>
      <c r="T8" s="16">
        <v>0.54166666666666696</v>
      </c>
      <c r="U8" s="16">
        <v>0.59236111111111101</v>
      </c>
      <c r="V8" s="30">
        <f>(T8-U7)*24*60</f>
        <v>89.000000000000568</v>
      </c>
      <c r="W8" s="73">
        <f t="shared" si="5"/>
        <v>72.999999999999417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6"/>
        <v>-214.5205479451904</v>
      </c>
      <c r="AG8" s="72">
        <f t="shared" si="7"/>
        <v>0.89784735812133787</v>
      </c>
      <c r="AH8" s="384"/>
    </row>
    <row r="9" spans="1:34" ht="15" customHeight="1">
      <c r="A9" s="424"/>
      <c r="B9" s="75" t="s">
        <v>81</v>
      </c>
      <c r="C9" s="76"/>
      <c r="D9" s="59" t="s">
        <v>113</v>
      </c>
      <c r="E9" s="87"/>
      <c r="F9" s="75">
        <f>VLOOKUP(D9,廠價表!$C$1:$E$41,3,0)</f>
        <v>57.21</v>
      </c>
      <c r="G9" s="62">
        <v>581</v>
      </c>
      <c r="H9" s="78">
        <f t="shared" si="8"/>
        <v>33239.01</v>
      </c>
      <c r="I9" s="73"/>
      <c r="J9" s="79">
        <f>VLOOKUP(D9,產線配置圖!$A$3:$C$38,2,0)</f>
        <v>12</v>
      </c>
      <c r="K9" s="80">
        <f>VLOOKUP(D9,產線配置圖!$A$3:$C$38,3,0)</f>
        <v>2105</v>
      </c>
      <c r="L9" s="81">
        <f t="shared" si="9"/>
        <v>175.41666666666666</v>
      </c>
      <c r="M9" s="82">
        <v>12</v>
      </c>
      <c r="N9" s="80">
        <f t="shared" si="10"/>
        <v>2050.5882352942021</v>
      </c>
      <c r="O9" s="81">
        <f t="shared" si="11"/>
        <v>170.88235294118351</v>
      </c>
      <c r="P9" s="74">
        <f t="shared" si="12"/>
        <v>0</v>
      </c>
      <c r="Q9" s="83">
        <f t="shared" si="13"/>
        <v>-4.5343137254831447</v>
      </c>
      <c r="R9" s="72">
        <f t="shared" si="14"/>
        <v>0.97415118066232886</v>
      </c>
      <c r="S9" s="378"/>
      <c r="T9" s="22">
        <v>0.59930555555555598</v>
      </c>
      <c r="U9" s="22">
        <v>0.61111111111111105</v>
      </c>
      <c r="V9" s="30">
        <f>(T9-U8)*24*60</f>
        <v>10.000000000000764</v>
      </c>
      <c r="W9" s="73">
        <f t="shared" si="5"/>
        <v>16.9999999999993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5">AVERAGE(J5:J14)</f>
        <v>13.8</v>
      </c>
      <c r="K15" s="120">
        <f t="shared" si="15"/>
        <v>1948.2</v>
      </c>
      <c r="L15" s="117">
        <f t="shared" si="15"/>
        <v>144.14871794871794</v>
      </c>
      <c r="M15" s="120">
        <f t="shared" si="15"/>
        <v>13.8</v>
      </c>
      <c r="N15" s="120">
        <f t="shared" si="15"/>
        <v>1845.7289846242693</v>
      </c>
      <c r="O15" s="117">
        <f t="shared" si="15"/>
        <v>136.48465040096204</v>
      </c>
      <c r="P15" s="121">
        <f t="shared" ref="P15:P19" si="16">M15-J15</f>
        <v>0</v>
      </c>
      <c r="Q15" s="122">
        <f t="shared" ref="Q15:Q19" si="17">O15-L15</f>
        <v>-7.6640675477559057</v>
      </c>
      <c r="R15" s="123">
        <f t="shared" ref="R15:R19" si="18">O15/L15</f>
        <v>0.94683221844205057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20" si="19">N15-K15</f>
        <v>-102.47101537573076</v>
      </c>
      <c r="AG15" s="124">
        <f t="shared" ref="AG15:AG20" si="20">N15/K15</f>
        <v>0.94740220953919985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2789</v>
      </c>
      <c r="H16" s="134">
        <f>F16*G16</f>
        <v>159558.69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21">K16/J16</f>
        <v>175.41666666666666</v>
      </c>
      <c r="M16" s="139">
        <v>12</v>
      </c>
      <c r="N16" s="140">
        <f t="shared" ref="N16:N19" si="22">G16/W16*60</f>
        <v>2091.7500000000218</v>
      </c>
      <c r="O16" s="141">
        <f>N16/M16</f>
        <v>174.31250000000182</v>
      </c>
      <c r="P16" s="142">
        <f>M16-J16</f>
        <v>0</v>
      </c>
      <c r="Q16" s="143">
        <f t="shared" si="17"/>
        <v>-1.1041666666648382</v>
      </c>
      <c r="R16" s="144">
        <f>O16/L16</f>
        <v>0.99370546318290831</v>
      </c>
      <c r="S16" s="413">
        <f>R26</f>
        <v>0.93669144642149049</v>
      </c>
      <c r="T16" s="145">
        <v>0.29027777777777802</v>
      </c>
      <c r="U16" s="145">
        <v>0.34583333333333299</v>
      </c>
      <c r="V16" s="135"/>
      <c r="W16" s="146">
        <f t="shared" ref="W16:W78" si="23">(U16-T16)*24*60</f>
        <v>79.999999999999162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9"/>
        <v>-13.249999999978172</v>
      </c>
      <c r="AG16" s="52">
        <f t="shared" si="20"/>
        <v>0.9937054631829082</v>
      </c>
      <c r="AH16" s="382">
        <f>AG26</f>
        <v>0.93784749273751267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3960</v>
      </c>
      <c r="H17" s="78">
        <f>F17*G17</f>
        <v>200653.2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21"/>
        <v>175</v>
      </c>
      <c r="M17" s="148">
        <v>12</v>
      </c>
      <c r="N17" s="95">
        <f>G17/W17*60</f>
        <v>1963.636363636359</v>
      </c>
      <c r="O17" s="96">
        <f t="shared" ref="O17:O19" si="24">N17/M17</f>
        <v>163.63636363636326</v>
      </c>
      <c r="P17" s="97">
        <f t="shared" si="16"/>
        <v>0</v>
      </c>
      <c r="Q17" s="98">
        <f t="shared" si="17"/>
        <v>-11.363636363636743</v>
      </c>
      <c r="R17" s="99">
        <f t="shared" si="18"/>
        <v>0.93506493506493293</v>
      </c>
      <c r="S17" s="414"/>
      <c r="T17" s="19">
        <v>0.35277777777777802</v>
      </c>
      <c r="U17" s="19">
        <v>0.436805555555556</v>
      </c>
      <c r="V17" s="30">
        <f>(T17-U16)*24*60</f>
        <v>10.000000000000844</v>
      </c>
      <c r="W17" s="149">
        <f t="shared" si="23"/>
        <v>121.00000000000028</v>
      </c>
      <c r="X17" s="19"/>
      <c r="Y17" s="297"/>
      <c r="Z17" s="90"/>
      <c r="AA17" s="90"/>
      <c r="AB17" s="504"/>
      <c r="AC17" s="505"/>
      <c r="AD17" s="92"/>
      <c r="AE17" s="92"/>
      <c r="AF17" s="307">
        <f t="shared" si="19"/>
        <v>-136.36363636364104</v>
      </c>
      <c r="AG17" s="72">
        <f t="shared" si="20"/>
        <v>0.93506493506493282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1878</v>
      </c>
      <c r="H18" s="78">
        <f>F18*G18</f>
        <v>94632.42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21"/>
        <v>190.90909090909091</v>
      </c>
      <c r="M18" s="148">
        <v>11</v>
      </c>
      <c r="N18" s="95">
        <f t="shared" si="22"/>
        <v>1909.8305084745857</v>
      </c>
      <c r="O18" s="96">
        <f t="shared" si="24"/>
        <v>173.62095531587144</v>
      </c>
      <c r="P18" s="97">
        <f t="shared" si="16"/>
        <v>0</v>
      </c>
      <c r="Q18" s="98">
        <f t="shared" si="17"/>
        <v>-17.288135593219465</v>
      </c>
      <c r="R18" s="99">
        <f t="shared" si="18"/>
        <v>0.90944309927361233</v>
      </c>
      <c r="S18" s="414"/>
      <c r="T18" s="19">
        <v>0.44305555555555598</v>
      </c>
      <c r="U18" s="19">
        <v>0.484027777777778</v>
      </c>
      <c r="V18" s="30">
        <f>(T18-U17)*24*60</f>
        <v>8.999999999999968</v>
      </c>
      <c r="W18" s="149">
        <f t="shared" si="23"/>
        <v>58.999999999999709</v>
      </c>
      <c r="X18" s="22">
        <v>0.49305555555555602</v>
      </c>
      <c r="Y18" s="84">
        <v>0.53472222222222199</v>
      </c>
      <c r="Z18" s="90"/>
      <c r="AA18" s="90"/>
      <c r="AB18" s="388"/>
      <c r="AC18" s="388"/>
      <c r="AD18" s="92"/>
      <c r="AE18" s="92"/>
      <c r="AF18" s="307">
        <f t="shared" si="19"/>
        <v>-190.16949152541429</v>
      </c>
      <c r="AG18" s="72">
        <f t="shared" si="20"/>
        <v>0.90944309927361222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3675</v>
      </c>
      <c r="H19" s="78">
        <f>F19*G19</f>
        <v>185183.25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21"/>
        <v>190.90909090909091</v>
      </c>
      <c r="M19" s="148">
        <v>11</v>
      </c>
      <c r="N19" s="95">
        <f t="shared" si="22"/>
        <v>1917.3913043478276</v>
      </c>
      <c r="O19" s="96">
        <f t="shared" si="24"/>
        <v>174.30830039525705</v>
      </c>
      <c r="P19" s="97">
        <f t="shared" si="16"/>
        <v>0</v>
      </c>
      <c r="Q19" s="98">
        <f t="shared" si="17"/>
        <v>-16.600790513833857</v>
      </c>
      <c r="R19" s="99">
        <f t="shared" si="18"/>
        <v>0.91304347826087029</v>
      </c>
      <c r="S19" s="414"/>
      <c r="T19" s="19">
        <v>0.54166666666666696</v>
      </c>
      <c r="U19" s="19">
        <v>0.62152777777777801</v>
      </c>
      <c r="V19" s="30">
        <f>(T19-U18)*24*60</f>
        <v>83.000000000000099</v>
      </c>
      <c r="W19" s="149">
        <f t="shared" si="23"/>
        <v>114.99999999999991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9"/>
        <v>-182.6086956521724</v>
      </c>
      <c r="AG19" s="72">
        <f t="shared" si="20"/>
        <v>0.91304347826087029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23"/>
        <v>0</v>
      </c>
      <c r="X20" s="19"/>
      <c r="Y20" s="297"/>
      <c r="Z20" s="90"/>
      <c r="AA20" s="90"/>
      <c r="AB20" s="388"/>
      <c r="AC20" s="388"/>
      <c r="AD20" s="92"/>
      <c r="AE20" s="92"/>
      <c r="AF20" s="307">
        <f t="shared" si="19"/>
        <v>0</v>
      </c>
      <c r="AG20" s="72" t="e">
        <f t="shared" si="20"/>
        <v>#DIV/0!</v>
      </c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23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23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5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23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5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23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6">AVERAGE(J16:J25)</f>
        <v>11.5</v>
      </c>
      <c r="K26" s="155">
        <f t="shared" si="26"/>
        <v>2101.25</v>
      </c>
      <c r="L26" s="158">
        <f t="shared" si="26"/>
        <v>183.0587121212121</v>
      </c>
      <c r="M26" s="155">
        <f t="shared" si="26"/>
        <v>11.5</v>
      </c>
      <c r="N26" s="155">
        <f t="shared" si="26"/>
        <v>1970.6520441146986</v>
      </c>
      <c r="O26" s="158">
        <f t="shared" si="26"/>
        <v>171.46952983687339</v>
      </c>
      <c r="P26" s="159">
        <f t="shared" ref="P26:P29" si="27">M26-J26</f>
        <v>0</v>
      </c>
      <c r="Q26" s="160">
        <f t="shared" ref="Q26:Q29" si="28">O26-L26</f>
        <v>-11.589182284338705</v>
      </c>
      <c r="R26" s="161">
        <f>O26/L26</f>
        <v>0.93669144642149049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9">N26-K26</f>
        <v>-130.59795588530142</v>
      </c>
      <c r="AG26" s="124">
        <f t="shared" ref="AG26:AG29" si="30">N26/K26</f>
        <v>0.93784749273751267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f>3122+53</f>
        <v>3175</v>
      </c>
      <c r="H27" s="134">
        <f>F27*G27</f>
        <v>184689.75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31">K27/J27</f>
        <v>97.8125</v>
      </c>
      <c r="M27" s="170">
        <v>16</v>
      </c>
      <c r="N27" s="140">
        <f>G27/W27*60</f>
        <v>1500.0000000000084</v>
      </c>
      <c r="O27" s="141">
        <f>N27/M27</f>
        <v>93.750000000000526</v>
      </c>
      <c r="P27" s="142">
        <f t="shared" si="27"/>
        <v>0</v>
      </c>
      <c r="Q27" s="143">
        <f t="shared" si="28"/>
        <v>-4.0624999999994742</v>
      </c>
      <c r="R27" s="144">
        <f>O27/L27</f>
        <v>0.95846645367412675</v>
      </c>
      <c r="S27" s="413">
        <f>R37</f>
        <v>0.93558042169623068</v>
      </c>
      <c r="T27" s="171">
        <v>0.29027777777777802</v>
      </c>
      <c r="U27" s="171">
        <v>0.37847222222222199</v>
      </c>
      <c r="V27" s="135"/>
      <c r="W27" s="146">
        <f t="shared" si="23"/>
        <v>126.9999999999993</v>
      </c>
      <c r="X27" s="135"/>
      <c r="Y27" s="300" t="s">
        <v>46</v>
      </c>
      <c r="Z27" s="169"/>
      <c r="AA27" s="169"/>
      <c r="AB27" s="388"/>
      <c r="AC27" s="388"/>
      <c r="AD27" s="135"/>
      <c r="AE27" s="135"/>
      <c r="AF27" s="310">
        <f t="shared" si="29"/>
        <v>-64.999999999991587</v>
      </c>
      <c r="AG27" s="172">
        <f t="shared" si="30"/>
        <v>0.95846645367412675</v>
      </c>
      <c r="AH27" s="382">
        <f>AG37</f>
        <v>0.91958181253918359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2450</v>
      </c>
      <c r="H28" s="91">
        <f>F28*G28</f>
        <v>121324.00000000001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31"/>
        <v>84.705882352941174</v>
      </c>
      <c r="M28" s="94">
        <v>17</v>
      </c>
      <c r="N28" s="95">
        <f>G28/W28*60</f>
        <v>1427.1844660194336</v>
      </c>
      <c r="O28" s="96">
        <f>N28/M28</f>
        <v>83.952027412907853</v>
      </c>
      <c r="P28" s="97">
        <f t="shared" si="27"/>
        <v>0</v>
      </c>
      <c r="Q28" s="98">
        <f t="shared" si="28"/>
        <v>-0.75385494003332099</v>
      </c>
      <c r="R28" s="99">
        <f>O28/L28</f>
        <v>0.99110032362460665</v>
      </c>
      <c r="S28" s="414"/>
      <c r="T28" s="19">
        <v>0.38541666666666702</v>
      </c>
      <c r="U28" s="19">
        <v>0.45694444444444399</v>
      </c>
      <c r="V28" s="92">
        <f>(T28-U27)*24*60</f>
        <v>10.000000000000844</v>
      </c>
      <c r="W28" s="149">
        <f t="shared" si="23"/>
        <v>102.99999999999883</v>
      </c>
      <c r="X28" s="174"/>
      <c r="Y28" s="301"/>
      <c r="Z28" s="335"/>
      <c r="AA28" s="335"/>
      <c r="AD28" s="92"/>
      <c r="AE28" s="92"/>
      <c r="AF28" s="311">
        <f t="shared" si="29"/>
        <v>-12.815533980566443</v>
      </c>
      <c r="AG28" s="99">
        <f t="shared" si="30"/>
        <v>0.99110032362460665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414</v>
      </c>
      <c r="H29" s="91">
        <f>F29*G29</f>
        <v>23362.02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31"/>
        <v>87.875</v>
      </c>
      <c r="M29" s="94">
        <v>15</v>
      </c>
      <c r="N29" s="95">
        <f>G29/W29*60</f>
        <v>1129.0909090908967</v>
      </c>
      <c r="O29" s="96">
        <f>N29/M29</f>
        <v>75.272727272726442</v>
      </c>
      <c r="P29" s="97">
        <f t="shared" si="27"/>
        <v>-1</v>
      </c>
      <c r="Q29" s="98">
        <f t="shared" si="28"/>
        <v>-12.602272727273558</v>
      </c>
      <c r="R29" s="99">
        <f>O29/L29</f>
        <v>0.85658864606232077</v>
      </c>
      <c r="S29" s="414"/>
      <c r="T29" s="19">
        <v>0.51944444444444404</v>
      </c>
      <c r="U29" s="19">
        <v>0.53472222222222199</v>
      </c>
      <c r="V29" s="92">
        <f>(T29-U28)*24*60</f>
        <v>90.000000000000085</v>
      </c>
      <c r="W29" s="149">
        <f t="shared" si="23"/>
        <v>22.000000000000242</v>
      </c>
      <c r="X29" s="22">
        <v>0.46527777777777801</v>
      </c>
      <c r="Y29" s="84">
        <v>0.50694444444444398</v>
      </c>
      <c r="Z29" s="90"/>
      <c r="AA29" s="90"/>
      <c r="AB29" s="388"/>
      <c r="AC29" s="388"/>
      <c r="AD29" s="92"/>
      <c r="AE29" s="92"/>
      <c r="AF29" s="312">
        <f t="shared" si="29"/>
        <v>-276.90909090910327</v>
      </c>
      <c r="AG29" s="99">
        <f t="shared" si="30"/>
        <v>0.80305185568342585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23"/>
        <v>0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23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23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23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23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23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23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33">AVERAGE(J27:J36)</f>
        <v>16.333333333333332</v>
      </c>
      <c r="K37" s="155">
        <f t="shared" si="33"/>
        <v>1470.3333333333333</v>
      </c>
      <c r="L37" s="158">
        <f t="shared" si="33"/>
        <v>90.131127450980387</v>
      </c>
      <c r="M37" s="155">
        <f t="shared" si="33"/>
        <v>16</v>
      </c>
      <c r="N37" s="155">
        <f t="shared" si="33"/>
        <v>1352.0917917034462</v>
      </c>
      <c r="O37" s="158">
        <f t="shared" si="33"/>
        <v>84.324918228544945</v>
      </c>
      <c r="P37" s="159">
        <f>M37-J37</f>
        <v>-0.33333333333333215</v>
      </c>
      <c r="Q37" s="160">
        <f>N37-K37</f>
        <v>-118.24154162988702</v>
      </c>
      <c r="R37" s="161">
        <f t="shared" ref="R37:R40" si="34">O37/L37</f>
        <v>0.93558042169623068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0" si="35">N37-K37</f>
        <v>-118.24154162988702</v>
      </c>
      <c r="AG37" s="124">
        <f t="shared" ref="AG37:AG40" si="36">N37/K37</f>
        <v>0.91958181253918359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f>1313+48</f>
        <v>1361</v>
      </c>
      <c r="H38" s="134">
        <f>F38*G38</f>
        <v>77400.069999999992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7">K38/J38</f>
        <v>92.058823529411768</v>
      </c>
      <c r="M38" s="190">
        <v>17</v>
      </c>
      <c r="N38" s="140">
        <f>G38/W38*60</f>
        <v>1407.93103448275</v>
      </c>
      <c r="O38" s="141">
        <f>N38/M38</f>
        <v>82.819472616632353</v>
      </c>
      <c r="P38" s="142">
        <f t="shared" ref="P38:P40" si="38">M38-J38</f>
        <v>0</v>
      </c>
      <c r="Q38" s="143">
        <f t="shared" ref="Q38:Q40" si="39">O38-L38</f>
        <v>-9.2393509127794147</v>
      </c>
      <c r="R38" s="144">
        <f>O38/L38</f>
        <v>0.89963644375894569</v>
      </c>
      <c r="S38" s="404">
        <f>R48</f>
        <v>0.9070088898418659</v>
      </c>
      <c r="T38" s="191">
        <v>0.33194444444444399</v>
      </c>
      <c r="U38" s="191">
        <v>0.37222222222222201</v>
      </c>
      <c r="V38" s="192"/>
      <c r="W38" s="193">
        <f t="shared" si="23"/>
        <v>58.000000000000355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5"/>
        <v>-157.06896551725004</v>
      </c>
      <c r="AG38" s="195">
        <f t="shared" si="36"/>
        <v>0.89963644375894569</v>
      </c>
      <c r="AH38" s="398">
        <f>AG48</f>
        <v>0.90700888984186567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2744</v>
      </c>
      <c r="H39" s="91">
        <f>F39*G39</f>
        <v>121559.2</v>
      </c>
      <c r="I39" s="200"/>
      <c r="J39" s="148">
        <f>VLOOKUP(D39,產線配置圖!$A$3:$C$38,2,0)</f>
        <v>17</v>
      </c>
      <c r="K39" s="95">
        <v>1565</v>
      </c>
      <c r="L39" s="96">
        <f t="shared" si="37"/>
        <v>92.058823529411768</v>
      </c>
      <c r="M39" s="201">
        <v>17</v>
      </c>
      <c r="N39" s="202">
        <f>G39/W39*60</f>
        <v>1431.6521739130458</v>
      </c>
      <c r="O39" s="203">
        <f>N39/M39</f>
        <v>84.214833759590931</v>
      </c>
      <c r="P39" s="97">
        <f t="shared" si="38"/>
        <v>0</v>
      </c>
      <c r="Q39" s="98">
        <f t="shared" si="39"/>
        <v>-7.843989769820837</v>
      </c>
      <c r="R39" s="99">
        <f t="shared" si="34"/>
        <v>0.91479372135018899</v>
      </c>
      <c r="S39" s="405"/>
      <c r="T39" s="20">
        <v>0.38055555555555598</v>
      </c>
      <c r="U39" s="20">
        <v>0.46041666666666697</v>
      </c>
      <c r="V39" s="92">
        <f>(T39-U38)*24*60</f>
        <v>12.000000000000917</v>
      </c>
      <c r="W39" s="205">
        <f t="shared" si="23"/>
        <v>114.99999999999983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5"/>
        <v>-133.34782608695423</v>
      </c>
      <c r="AG39" s="206">
        <f t="shared" si="36"/>
        <v>0.91479372135018899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2814</v>
      </c>
      <c r="H40" s="91">
        <f>F40*G40</f>
        <v>124660.2</v>
      </c>
      <c r="I40" s="200"/>
      <c r="J40" s="148">
        <f>VLOOKUP(D40,產線配置圖!$A$3:$C$38,2,0)</f>
        <v>17</v>
      </c>
      <c r="K40" s="95">
        <v>1565</v>
      </c>
      <c r="L40" s="96">
        <f t="shared" si="37"/>
        <v>92.058823529411768</v>
      </c>
      <c r="M40" s="201">
        <v>17</v>
      </c>
      <c r="N40" s="202">
        <f>G40/W40*60</f>
        <v>1418.823529411764</v>
      </c>
      <c r="O40" s="203">
        <f>N40/M40</f>
        <v>83.460207612456699</v>
      </c>
      <c r="P40" s="97">
        <f t="shared" si="38"/>
        <v>0</v>
      </c>
      <c r="Q40" s="98">
        <f t="shared" si="39"/>
        <v>-8.5986159169550689</v>
      </c>
      <c r="R40" s="99">
        <f t="shared" si="34"/>
        <v>0.90659650441646256</v>
      </c>
      <c r="S40" s="377"/>
      <c r="T40" s="20">
        <v>0.52083333333333304</v>
      </c>
      <c r="U40" s="20">
        <v>0.60347222222222197</v>
      </c>
      <c r="V40" s="92">
        <f>(T40-U39)*24*60</f>
        <v>86.999999999999133</v>
      </c>
      <c r="W40" s="205">
        <f t="shared" si="23"/>
        <v>119.00000000000006</v>
      </c>
      <c r="X40" s="22">
        <v>0.47222222222222199</v>
      </c>
      <c r="Y40" s="84">
        <v>0.51388888888888895</v>
      </c>
      <c r="Z40" s="337"/>
      <c r="AA40" s="337"/>
      <c r="AB40" s="388"/>
      <c r="AC40" s="388"/>
      <c r="AD40" s="92"/>
      <c r="AE40" s="92"/>
      <c r="AF40" s="314">
        <f t="shared" si="35"/>
        <v>-146.17647058823604</v>
      </c>
      <c r="AG40" s="206">
        <f t="shared" si="36"/>
        <v>0.90659650441646256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23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23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40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40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40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40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41">AVERAGE(J38:J47)</f>
        <v>17</v>
      </c>
      <c r="K48" s="155">
        <f t="shared" si="41"/>
        <v>1565</v>
      </c>
      <c r="L48" s="158">
        <f t="shared" si="41"/>
        <v>92.058823529411768</v>
      </c>
      <c r="M48" s="155">
        <f t="shared" si="41"/>
        <v>17</v>
      </c>
      <c r="N48" s="155">
        <f t="shared" si="41"/>
        <v>1419.4689126025198</v>
      </c>
      <c r="O48" s="158">
        <f t="shared" si="41"/>
        <v>83.498171329560009</v>
      </c>
      <c r="P48" s="221">
        <f>M48-J48</f>
        <v>0</v>
      </c>
      <c r="Q48" s="222">
        <f>N48-K48</f>
        <v>-145.53108739748018</v>
      </c>
      <c r="R48" s="223">
        <f t="shared" ref="R48:R52" si="42">O48/L48</f>
        <v>0.9070088898418659</v>
      </c>
      <c r="S48" s="380"/>
      <c r="T48" s="224"/>
      <c r="U48" s="224"/>
      <c r="V48" s="225"/>
      <c r="W48" s="226">
        <f t="shared" si="40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43">N48-K48</f>
        <v>-145.53108739748018</v>
      </c>
      <c r="AG48" s="162">
        <f t="shared" ref="AG48:AG52" si="44">N48/K48</f>
        <v>0.90700888984186567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754</v>
      </c>
      <c r="H49" s="134">
        <f>F49*G49</f>
        <v>43204.2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5">K49/J49</f>
        <v>107.14285714285714</v>
      </c>
      <c r="M49" s="170">
        <v>14</v>
      </c>
      <c r="N49" s="140">
        <f>G49/W49*60</f>
        <v>1459.3548387096637</v>
      </c>
      <c r="O49" s="141">
        <f>N49/M49</f>
        <v>104.23963133640454</v>
      </c>
      <c r="P49" s="229">
        <f>M49-J49</f>
        <v>0</v>
      </c>
      <c r="Q49" s="230">
        <f>O49-L49</f>
        <v>-2.9032258064525962</v>
      </c>
      <c r="R49" s="52">
        <f t="shared" si="42"/>
        <v>0.9729032258064424</v>
      </c>
      <c r="S49" s="376">
        <f>R58</f>
        <v>0.93604934652471594</v>
      </c>
      <c r="T49" s="191">
        <v>0.28958333333333303</v>
      </c>
      <c r="U49" s="191">
        <v>0.31111111111111101</v>
      </c>
      <c r="V49" s="55"/>
      <c r="W49" s="193">
        <f t="shared" si="23"/>
        <v>31.000000000000291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3"/>
        <v>-40.645161290336318</v>
      </c>
      <c r="AG49" s="52">
        <f t="shared" si="44"/>
        <v>0.97290322580644251</v>
      </c>
      <c r="AH49" s="382">
        <f>AG58</f>
        <v>0.93502894118209368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2723</v>
      </c>
      <c r="H50" s="231">
        <f>F50*G50</f>
        <v>135904.93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5"/>
        <v>104.33333333333333</v>
      </c>
      <c r="M50" s="233">
        <v>15</v>
      </c>
      <c r="N50" s="234">
        <f>G50/W50*60</f>
        <v>1445.8407079646058</v>
      </c>
      <c r="O50" s="235">
        <f>N50/M50</f>
        <v>96.389380530973725</v>
      </c>
      <c r="P50" s="74">
        <f>M50-J50</f>
        <v>0</v>
      </c>
      <c r="Q50" s="83">
        <f>O50-L50</f>
        <v>-7.943952802359604</v>
      </c>
      <c r="R50" s="72">
        <f t="shared" si="42"/>
        <v>0.92385987729367791</v>
      </c>
      <c r="S50" s="377"/>
      <c r="T50" s="21">
        <v>0.31805555555555598</v>
      </c>
      <c r="U50" s="21">
        <v>0.39652777777777798</v>
      </c>
      <c r="V50" s="30">
        <f t="shared" ref="V50:V52" si="46">(T50-U49)*24*60</f>
        <v>10.000000000000764</v>
      </c>
      <c r="W50" s="236">
        <f t="shared" si="23"/>
        <v>112.99999999999967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43"/>
        <v>-119.15929203539417</v>
      </c>
      <c r="AG50" s="72">
        <f t="shared" si="44"/>
        <v>0.9238598772936778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2645</v>
      </c>
      <c r="H51" s="231">
        <f>F51*G51</f>
        <v>132170.65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5"/>
        <v>107.125</v>
      </c>
      <c r="M51" s="233">
        <v>16</v>
      </c>
      <c r="N51" s="234">
        <f>G51/W51*60</f>
        <v>1587.0000000000109</v>
      </c>
      <c r="O51" s="235">
        <f>N51/M51</f>
        <v>99.187500000000682</v>
      </c>
      <c r="P51" s="74">
        <f>M51-J51</f>
        <v>0</v>
      </c>
      <c r="Q51" s="83">
        <f>O51-L51</f>
        <v>-7.9374999999993179</v>
      </c>
      <c r="R51" s="72">
        <f t="shared" si="42"/>
        <v>0.92590431738623735</v>
      </c>
      <c r="S51" s="377"/>
      <c r="T51" s="21">
        <v>0.40138888888888902</v>
      </c>
      <c r="U51" s="19">
        <v>0.47083333333333299</v>
      </c>
      <c r="V51" s="30">
        <f t="shared" si="46"/>
        <v>6.9999999999998952</v>
      </c>
      <c r="W51" s="236">
        <f t="shared" si="23"/>
        <v>99.999999999999318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3"/>
        <v>-126.99999999998909</v>
      </c>
      <c r="AG51" s="72">
        <f t="shared" si="44"/>
        <v>0.92590431738623735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3500</v>
      </c>
      <c r="H52" s="231">
        <f>F52*G52</f>
        <v>174895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5"/>
        <v>107.125</v>
      </c>
      <c r="M52" s="233">
        <v>16</v>
      </c>
      <c r="N52" s="234">
        <f>G52/W52*60</f>
        <v>1578.9473684210543</v>
      </c>
      <c r="O52" s="235">
        <f>N52/M52</f>
        <v>98.684210526315894</v>
      </c>
      <c r="P52" s="74">
        <f>M52-J52</f>
        <v>0</v>
      </c>
      <c r="Q52" s="83">
        <f>O52-L52</f>
        <v>-8.4407894736841058</v>
      </c>
      <c r="R52" s="72">
        <f t="shared" si="42"/>
        <v>0.92120616593993832</v>
      </c>
      <c r="S52" s="377"/>
      <c r="T52" s="21">
        <v>0.52638888888888902</v>
      </c>
      <c r="U52" s="21">
        <v>0.61875000000000002</v>
      </c>
      <c r="V52" s="30">
        <f t="shared" si="46"/>
        <v>80.000000000000682</v>
      </c>
      <c r="W52" s="236">
        <f t="shared" si="23"/>
        <v>132.99999999999986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43"/>
        <v>-135.05263157894569</v>
      </c>
      <c r="AG52" s="72">
        <f t="shared" si="44"/>
        <v>0.92120616593993832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23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23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23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23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23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7">AVERAGE(J49:J57)</f>
        <v>15.25</v>
      </c>
      <c r="K58" s="120">
        <f t="shared" si="47"/>
        <v>1623.25</v>
      </c>
      <c r="L58" s="117">
        <f t="shared" si="47"/>
        <v>106.43154761904762</v>
      </c>
      <c r="M58" s="120">
        <f t="shared" si="47"/>
        <v>15.25</v>
      </c>
      <c r="N58" s="120">
        <f t="shared" si="47"/>
        <v>1517.7857287738336</v>
      </c>
      <c r="O58" s="117">
        <f t="shared" si="47"/>
        <v>99.625180598423711</v>
      </c>
      <c r="P58" s="121">
        <f>M58-J58</f>
        <v>0</v>
      </c>
      <c r="Q58" s="122">
        <f>N58-K58</f>
        <v>-105.46427122616637</v>
      </c>
      <c r="R58" s="123">
        <f t="shared" ref="R58:R60" si="48">O58/L58</f>
        <v>0.93604934652471594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9">N58-K58</f>
        <v>-105.46427122616637</v>
      </c>
      <c r="AG58" s="124">
        <f t="shared" ref="AG58:AG61" si="50">N58/K58</f>
        <v>0.93502894118209368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3875</v>
      </c>
      <c r="H59" s="243">
        <f>F59*G59</f>
        <v>104586.25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51">K59/J59</f>
        <v>120.38461538461539</v>
      </c>
      <c r="M59" s="244">
        <v>13</v>
      </c>
      <c r="N59" s="137">
        <f t="shared" ref="N59:N62" si="52">G59/W59*60</f>
        <v>1529.6052631579032</v>
      </c>
      <c r="O59" s="138">
        <f t="shared" ref="O59:O62" si="53">N59/M59</f>
        <v>117.66194331983871</v>
      </c>
      <c r="P59" s="56">
        <f t="shared" ref="P59:P62" si="54">M59-J59</f>
        <v>0</v>
      </c>
      <c r="Q59" s="230">
        <f t="shared" ref="Q59:Q62" si="55">O59-L59</f>
        <v>-2.722672064776674</v>
      </c>
      <c r="R59" s="52">
        <f t="shared" si="48"/>
        <v>0.97738355473348448</v>
      </c>
      <c r="S59" s="376">
        <f>R69</f>
        <v>0.93249074094025874</v>
      </c>
      <c r="T59" s="245">
        <v>0.29027777777777802</v>
      </c>
      <c r="U59" s="245">
        <v>0.39583333333333298</v>
      </c>
      <c r="V59" s="55"/>
      <c r="W59" s="54">
        <f t="shared" si="23"/>
        <v>151.99999999999915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9"/>
        <v>-35.39473684209679</v>
      </c>
      <c r="AG59" s="246">
        <f t="shared" si="50"/>
        <v>0.97738355473348448</v>
      </c>
      <c r="AH59" s="382">
        <f>AG69</f>
        <v>0.94135899404461432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1815</v>
      </c>
      <c r="H60" s="78">
        <f>F60*G60</f>
        <v>51291.9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1"/>
        <v>130.41666666666666</v>
      </c>
      <c r="M60" s="82">
        <v>12</v>
      </c>
      <c r="N60" s="80">
        <f t="shared" si="52"/>
        <v>1555.7142857142894</v>
      </c>
      <c r="O60" s="81">
        <f t="shared" si="53"/>
        <v>129.64285714285745</v>
      </c>
      <c r="P60" s="74">
        <f t="shared" si="54"/>
        <v>0</v>
      </c>
      <c r="Q60" s="83">
        <f t="shared" si="55"/>
        <v>-0.77380952380920576</v>
      </c>
      <c r="R60" s="72">
        <f t="shared" si="48"/>
        <v>0.99406663623916269</v>
      </c>
      <c r="S60" s="394"/>
      <c r="T60" s="22">
        <v>0.40625</v>
      </c>
      <c r="U60" s="22">
        <v>0.45486111111111099</v>
      </c>
      <c r="V60" s="30">
        <f t="shared" ref="V60:V61" si="56">(T60-U59)*24*60</f>
        <v>15.000000000000506</v>
      </c>
      <c r="W60" s="248">
        <f t="shared" si="23"/>
        <v>69.999999999999829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9"/>
        <v>-9.2857142857105828</v>
      </c>
      <c r="AG60" s="249">
        <f t="shared" si="50"/>
        <v>0.99406663623916258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1376</v>
      </c>
      <c r="H61" s="254">
        <f>F61*G61</f>
        <v>38885.760000000002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1"/>
        <v>130.41666666666666</v>
      </c>
      <c r="M61" s="108">
        <v>12</v>
      </c>
      <c r="N61" s="107">
        <f t="shared" si="52"/>
        <v>1501.0909090909274</v>
      </c>
      <c r="O61" s="238">
        <f t="shared" si="53"/>
        <v>125.09090909091061</v>
      </c>
      <c r="P61" s="111">
        <f t="shared" si="54"/>
        <v>0</v>
      </c>
      <c r="Q61" s="255">
        <f t="shared" si="55"/>
        <v>-5.3257575757560431</v>
      </c>
      <c r="R61" s="85">
        <f>O61/L61</f>
        <v>0.95916352018589612</v>
      </c>
      <c r="S61" s="377"/>
      <c r="T61" s="22">
        <v>0.46527777777777801</v>
      </c>
      <c r="U61" s="22">
        <v>0.50347222222222199</v>
      </c>
      <c r="V61" s="30">
        <f t="shared" si="56"/>
        <v>15.000000000000506</v>
      </c>
      <c r="W61" s="256">
        <f t="shared" si="23"/>
        <v>54.999999999999325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9"/>
        <v>-63.909090909072575</v>
      </c>
      <c r="AG61" s="247">
        <f t="shared" si="50"/>
        <v>0.95916352018589612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2060</v>
      </c>
      <c r="H62" s="254">
        <f>F62*G62</f>
        <v>58215.600000000006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51"/>
        <v>181.77777777777777</v>
      </c>
      <c r="M62" s="108">
        <v>9</v>
      </c>
      <c r="N62" s="107">
        <f t="shared" si="52"/>
        <v>1373.3333333333333</v>
      </c>
      <c r="O62" s="238">
        <f t="shared" si="53"/>
        <v>152.59259259259258</v>
      </c>
      <c r="P62" s="111">
        <f t="shared" si="54"/>
        <v>0</v>
      </c>
      <c r="Q62" s="255">
        <f t="shared" si="55"/>
        <v>-29.18518518518519</v>
      </c>
      <c r="R62" s="85">
        <f>O62/L62</f>
        <v>0.83944580277098613</v>
      </c>
      <c r="S62" s="377"/>
      <c r="T62" s="22">
        <v>0.5625</v>
      </c>
      <c r="U62" s="22">
        <v>0.625</v>
      </c>
      <c r="V62" s="30">
        <f>(T62-U61)*24*60</f>
        <v>85.000000000000341</v>
      </c>
      <c r="W62" s="248">
        <f t="shared" si="23"/>
        <v>90</v>
      </c>
      <c r="X62" s="22">
        <v>0.51041666666666696</v>
      </c>
      <c r="Y62" s="84">
        <v>0.55208333333333304</v>
      </c>
      <c r="Z62" s="90"/>
      <c r="AA62" s="90"/>
      <c r="AB62" s="501"/>
      <c r="AC62" s="502"/>
      <c r="AD62" s="92"/>
      <c r="AE62" s="92"/>
      <c r="AF62" s="317">
        <f>N62-K62</f>
        <v>-262.66666666666674</v>
      </c>
      <c r="AG62" s="247">
        <f>N62/K62</f>
        <v>0.83944580277098613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23"/>
        <v>0</v>
      </c>
      <c r="X63" s="261"/>
      <c r="Y63" s="291"/>
      <c r="Z63" s="335"/>
      <c r="AA63" s="335"/>
      <c r="AB63" s="388"/>
      <c r="AC63" s="388"/>
      <c r="AD63" s="92"/>
      <c r="AE63" s="92"/>
      <c r="AF63" s="317">
        <f t="shared" ref="AF63:AF64" si="57">N63-K63</f>
        <v>0</v>
      </c>
      <c r="AG63" s="247" t="e">
        <f t="shared" ref="AG63:AG64" si="58">N63/K63</f>
        <v>#DIV/0!</v>
      </c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23"/>
        <v>0</v>
      </c>
      <c r="X64" s="261"/>
      <c r="Y64" s="291"/>
      <c r="Z64" s="335"/>
      <c r="AA64" s="335"/>
      <c r="AB64" s="388"/>
      <c r="AC64" s="388"/>
      <c r="AD64" s="92"/>
      <c r="AE64" s="92"/>
      <c r="AF64" s="317">
        <f t="shared" si="57"/>
        <v>0</v>
      </c>
      <c r="AG64" s="247" t="e">
        <f t="shared" si="58"/>
        <v>#DIV/0!</v>
      </c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23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23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23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23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9">AVERAGE(J59:J68)</f>
        <v>11.5</v>
      </c>
      <c r="K69" s="240">
        <f t="shared" si="59"/>
        <v>1582.75</v>
      </c>
      <c r="L69" s="268">
        <f t="shared" si="59"/>
        <v>140.74893162393164</v>
      </c>
      <c r="M69" s="240">
        <f t="shared" si="59"/>
        <v>11.5</v>
      </c>
      <c r="N69" s="240">
        <f t="shared" si="59"/>
        <v>1489.9359478241133</v>
      </c>
      <c r="O69" s="268">
        <f t="shared" si="59"/>
        <v>131.24707553654983</v>
      </c>
      <c r="P69" s="269">
        <f>M69-J69</f>
        <v>0</v>
      </c>
      <c r="Q69" s="222">
        <f>N69-K69</f>
        <v>-92.814052175886673</v>
      </c>
      <c r="R69" s="123">
        <f t="shared" ref="R69:R73" si="60">O69/L69</f>
        <v>0.93249074094025874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-92.814052175886673</v>
      </c>
      <c r="AG69" s="124">
        <f>N69/K69</f>
        <v>0.94135899404461432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1476</v>
      </c>
      <c r="H70" s="243">
        <f>F70*G70</f>
        <v>74788.92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1041.8823529411723</v>
      </c>
      <c r="O70" s="138">
        <f>N70/M70</f>
        <v>104.18823529411722</v>
      </c>
      <c r="P70" s="56">
        <f>M70-J70</f>
        <v>0</v>
      </c>
      <c r="Q70" s="230">
        <f>O70-L70</f>
        <v>-8.3117647058827799</v>
      </c>
      <c r="R70" s="52">
        <f t="shared" si="60"/>
        <v>0.92611764705881972</v>
      </c>
      <c r="S70" s="376">
        <f>R79</f>
        <v>0.88759693506901471</v>
      </c>
      <c r="T70" s="245">
        <v>0.33333333333333298</v>
      </c>
      <c r="U70" s="245">
        <v>0.39236111111111099</v>
      </c>
      <c r="V70" s="55"/>
      <c r="W70" s="54">
        <f t="shared" si="23"/>
        <v>85.000000000000341</v>
      </c>
      <c r="X70" s="270"/>
      <c r="Y70" s="292"/>
      <c r="Z70" s="169"/>
      <c r="AA70" s="169"/>
      <c r="AB70" s="381"/>
      <c r="AC70" s="381"/>
      <c r="AD70" s="135"/>
      <c r="AE70" s="135"/>
      <c r="AF70" s="317">
        <f t="shared" ref="AF70:AF74" si="61">N70-K70</f>
        <v>-83.117647058827743</v>
      </c>
      <c r="AG70" s="247">
        <f t="shared" ref="AG70:AG74" si="62">N70/K70</f>
        <v>0.92611764705881983</v>
      </c>
      <c r="AH70" s="382">
        <f>AG79</f>
        <v>0.90455592009421804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v>875</v>
      </c>
      <c r="H71" s="254">
        <f>F71*G71</f>
        <v>49376.25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3" si="63">K71/J71</f>
        <v>87.875</v>
      </c>
      <c r="M71" s="82">
        <v>13</v>
      </c>
      <c r="N71" s="107">
        <f t="shared" ref="N71:N73" si="64">G71/W71*60</f>
        <v>990.56603773586437</v>
      </c>
      <c r="O71" s="238">
        <f t="shared" ref="O71:O73" si="65">N71/M71</f>
        <v>76.197387518143415</v>
      </c>
      <c r="P71" s="111">
        <f t="shared" ref="P71:P73" si="66">M71-J71</f>
        <v>-3</v>
      </c>
      <c r="Q71" s="255">
        <f t="shared" ref="Q71:Q73" si="67">O71-L71</f>
        <v>-11.677612481856585</v>
      </c>
      <c r="R71" s="85">
        <f t="shared" si="60"/>
        <v>0.86711109551230059</v>
      </c>
      <c r="S71" s="377"/>
      <c r="T71" s="22">
        <v>0.39930555555555602</v>
      </c>
      <c r="U71" s="22">
        <v>0.43611111111111101</v>
      </c>
      <c r="V71" s="30">
        <f t="shared" ref="V71:V73" si="68">(T71-U70)*24*60</f>
        <v>10.000000000000844</v>
      </c>
      <c r="W71" s="73">
        <f t="shared" si="23"/>
        <v>52.999999999999176</v>
      </c>
      <c r="X71" s="271"/>
      <c r="Y71" s="293"/>
      <c r="Z71" s="90"/>
      <c r="AA71" s="90"/>
      <c r="AB71" s="501"/>
      <c r="AC71" s="502"/>
      <c r="AD71" s="200"/>
      <c r="AE71" s="200"/>
      <c r="AF71" s="317">
        <f t="shared" si="61"/>
        <v>-415.43396226413563</v>
      </c>
      <c r="AG71" s="247">
        <f t="shared" si="62"/>
        <v>0.70452776510374426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1779</v>
      </c>
      <c r="H72" s="361">
        <f>F72*G72</f>
        <v>50274.54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63"/>
        <v>181.77777777777777</v>
      </c>
      <c r="M72" s="94">
        <v>9</v>
      </c>
      <c r="N72" s="107">
        <f t="shared" si="64"/>
        <v>1368.4615384615558</v>
      </c>
      <c r="O72" s="238">
        <f t="shared" si="65"/>
        <v>152.05128205128398</v>
      </c>
      <c r="P72" s="111">
        <f t="shared" si="66"/>
        <v>0</v>
      </c>
      <c r="Q72" s="255">
        <f t="shared" si="67"/>
        <v>-29.726495726493795</v>
      </c>
      <c r="R72" s="85">
        <f t="shared" si="60"/>
        <v>0.83646793304496081</v>
      </c>
      <c r="S72" s="377"/>
      <c r="T72" s="22">
        <v>0.44791666666666702</v>
      </c>
      <c r="U72" s="22">
        <v>0.50208333333333299</v>
      </c>
      <c r="V72" s="30">
        <f t="shared" si="68"/>
        <v>17.000000000000661</v>
      </c>
      <c r="W72" s="73">
        <f t="shared" si="23"/>
        <v>77.999999999999005</v>
      </c>
      <c r="X72" s="272">
        <v>0.51388888888888895</v>
      </c>
      <c r="Y72" s="288">
        <v>0.55555555555555602</v>
      </c>
      <c r="Z72" s="90"/>
      <c r="AA72" s="90"/>
      <c r="AB72" s="388"/>
      <c r="AC72" s="388"/>
      <c r="AD72" s="92"/>
      <c r="AE72" s="92"/>
      <c r="AF72" s="317">
        <f t="shared" si="61"/>
        <v>-267.53846153844415</v>
      </c>
      <c r="AG72" s="247">
        <f t="shared" si="62"/>
        <v>0.83646793304496081</v>
      </c>
      <c r="AH72" s="383"/>
    </row>
    <row r="73" spans="1:36" ht="15" customHeight="1">
      <c r="A73" s="374"/>
      <c r="B73" s="30" t="s">
        <v>81</v>
      </c>
      <c r="C73" s="151"/>
      <c r="D73" s="59" t="s">
        <v>132</v>
      </c>
      <c r="E73" s="87"/>
      <c r="F73" s="250">
        <f>VLOOKUP(D73,廠價表!$C$1:$E$41,3,0)</f>
        <v>50.67</v>
      </c>
      <c r="G73" s="30">
        <v>1155</v>
      </c>
      <c r="H73" s="361">
        <f>F73*G73</f>
        <v>58523.85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 t="shared" si="63"/>
        <v>112.5</v>
      </c>
      <c r="M73" s="94">
        <v>13</v>
      </c>
      <c r="N73" s="107">
        <f t="shared" si="64"/>
        <v>1386.0000000000095</v>
      </c>
      <c r="O73" s="238">
        <f t="shared" si="65"/>
        <v>106.61538461538535</v>
      </c>
      <c r="P73" s="111">
        <f t="shared" si="66"/>
        <v>3</v>
      </c>
      <c r="Q73" s="255">
        <f t="shared" si="67"/>
        <v>-5.8846153846146478</v>
      </c>
      <c r="R73" s="85">
        <f t="shared" si="60"/>
        <v>0.94769230769231427</v>
      </c>
      <c r="S73" s="377"/>
      <c r="T73" s="22">
        <v>0.57291666666666696</v>
      </c>
      <c r="U73" s="22">
        <v>0.60763888888888895</v>
      </c>
      <c r="V73" s="30">
        <f t="shared" si="68"/>
        <v>102.00000000000091</v>
      </c>
      <c r="W73" s="73">
        <f t="shared" si="23"/>
        <v>49.999999999999659</v>
      </c>
      <c r="X73" s="22"/>
      <c r="Y73" s="84"/>
      <c r="Z73" s="90"/>
      <c r="AA73" s="90"/>
      <c r="AB73" s="388"/>
      <c r="AC73" s="388"/>
      <c r="AD73" s="92"/>
      <c r="AE73" s="92"/>
      <c r="AF73" s="317">
        <f t="shared" si="61"/>
        <v>261.00000000000955</v>
      </c>
      <c r="AG73" s="247">
        <f t="shared" si="62"/>
        <v>1.2320000000000084</v>
      </c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23"/>
        <v>0</v>
      </c>
      <c r="X74" s="22"/>
      <c r="Y74" s="84"/>
      <c r="Z74" s="90"/>
      <c r="AA74" s="90"/>
      <c r="AB74" s="388"/>
      <c r="AC74" s="388"/>
      <c r="AD74" s="92"/>
      <c r="AE74" s="92"/>
      <c r="AF74" s="317">
        <f t="shared" si="61"/>
        <v>0</v>
      </c>
      <c r="AG74" s="247" t="e">
        <f t="shared" si="62"/>
        <v>#DIV/0!</v>
      </c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23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9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23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23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23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70">AVERAGE(J70:J78)</f>
        <v>11.25</v>
      </c>
      <c r="K79" s="240">
        <f t="shared" si="70"/>
        <v>1323</v>
      </c>
      <c r="L79" s="268">
        <f t="shared" si="70"/>
        <v>123.66319444444444</v>
      </c>
      <c r="M79" s="240">
        <f t="shared" si="70"/>
        <v>11.25</v>
      </c>
      <c r="N79" s="240">
        <f t="shared" si="70"/>
        <v>1196.7274822846505</v>
      </c>
      <c r="O79" s="268">
        <f t="shared" si="70"/>
        <v>109.7630723697325</v>
      </c>
      <c r="P79" s="269">
        <f>M79-J79</f>
        <v>0</v>
      </c>
      <c r="Q79" s="222">
        <f>N79-K79</f>
        <v>-126.27251771534952</v>
      </c>
      <c r="R79" s="223">
        <f>O79/L79</f>
        <v>0.88759693506901471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-126.27251771534952</v>
      </c>
      <c r="AG79" s="124">
        <f>N79/K79</f>
        <v>0.90455592009421804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Q3:Q4"/>
    <mergeCell ref="R3:R4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F3:AF4"/>
    <mergeCell ref="AG3:AG4"/>
    <mergeCell ref="AH3:AH4"/>
    <mergeCell ref="O3:O4"/>
    <mergeCell ref="T3:U3"/>
    <mergeCell ref="V3:V4"/>
    <mergeCell ref="W3:W4"/>
    <mergeCell ref="X3:Y3"/>
    <mergeCell ref="P3:P4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FCA705-C9A7-486B-B635-64BB42726F9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AC2F-8D78-4D7B-A400-F780809BD756}">
  <dimension ref="B1:O26"/>
  <sheetViews>
    <sheetView topLeftCell="A2"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46092</v>
      </c>
      <c r="E3" s="466"/>
      <c r="F3" s="3" t="s">
        <v>72</v>
      </c>
      <c r="G3" s="467">
        <f>'0311'!E1</f>
        <v>53821</v>
      </c>
      <c r="H3" s="467"/>
      <c r="I3" s="3" t="s">
        <v>2</v>
      </c>
      <c r="J3" s="468">
        <f>'0311'!G1</f>
        <v>2523263.7699999996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127.24510488927505</v>
      </c>
      <c r="G6" s="473"/>
      <c r="H6" s="474">
        <f>AVERAGE(D13:H13,J13)</f>
        <v>124.99446710016564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2</v>
      </c>
      <c r="O6" s="477">
        <f>SUM(D20:J20)</f>
        <v>2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114.03456380503917</v>
      </c>
      <c r="G7" s="497"/>
      <c r="H7" s="498">
        <f>AVERAGE(D14:H14,J14)</f>
        <v>112.3592633387665</v>
      </c>
      <c r="I7" s="498"/>
      <c r="J7" s="498">
        <f>AVERAGE(I14)</f>
        <v>124.08636660267518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0.89618035919156724</v>
      </c>
      <c r="G8" s="470"/>
      <c r="H8" s="470">
        <f>H7/H6</f>
        <v>0.89891389551448075</v>
      </c>
      <c r="I8" s="470"/>
      <c r="J8" s="470">
        <f>J7/J6</f>
        <v>0.88161498045486186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VALUE('0311'!L15)</f>
        <v>154.62339743589743</v>
      </c>
      <c r="E13" s="13">
        <f>VALUE('0311'!L26)</f>
        <v>183.0587121212121</v>
      </c>
      <c r="F13" s="13">
        <f>VALUE('0311'!L37)</f>
        <v>90.131127450980387</v>
      </c>
      <c r="G13" s="13">
        <f>VALUE('0311'!L48)</f>
        <v>92.058823529411768</v>
      </c>
      <c r="H13" s="13">
        <f>VALUE('0311'!L58)</f>
        <v>106.43154761904762</v>
      </c>
      <c r="I13" s="13">
        <f>VALUE('0311'!L69)</f>
        <v>140.74893162393164</v>
      </c>
      <c r="J13" s="13">
        <f>'0311'!L79</f>
        <v>123.66319444444444</v>
      </c>
    </row>
    <row r="14" spans="2:15" ht="39.950000000000003" customHeight="1">
      <c r="B14" s="491"/>
      <c r="C14" s="12" t="s">
        <v>100</v>
      </c>
      <c r="D14" s="13">
        <f>VALUE('0311'!O15)</f>
        <v>141.84347768161143</v>
      </c>
      <c r="E14" s="13">
        <f>VALUE('0311'!O26)</f>
        <v>167.66336938663784</v>
      </c>
      <c r="F14" s="13">
        <f>VALUE('0311'!O37)</f>
        <v>82.050138414308435</v>
      </c>
      <c r="G14" s="13">
        <f>VALUE('0311'!O48)</f>
        <v>79.370734137575297</v>
      </c>
      <c r="H14" s="13">
        <f>VALUE('0311'!O58)</f>
        <v>96.440522072874856</v>
      </c>
      <c r="I14" s="13">
        <f>VALUE('0311'!O69)</f>
        <v>124.08636660267518</v>
      </c>
      <c r="J14" s="13">
        <f>'0311'!O79</f>
        <v>106.78733833959113</v>
      </c>
    </row>
    <row r="15" spans="2:15" ht="39.950000000000003" customHeight="1">
      <c r="B15" s="492"/>
      <c r="C15" s="10" t="s">
        <v>26</v>
      </c>
      <c r="D15" s="14">
        <f>D14/D13</f>
        <v>0.91734808595455808</v>
      </c>
      <c r="E15" s="14">
        <f t="shared" ref="E15:I15" si="1">E14/E13</f>
        <v>0.91589942616672482</v>
      </c>
      <c r="F15" s="14">
        <f t="shared" si="1"/>
        <v>0.91034186229316882</v>
      </c>
      <c r="G15" s="14">
        <f t="shared" si="1"/>
        <v>0.86217410884267098</v>
      </c>
      <c r="H15" s="14">
        <f t="shared" si="1"/>
        <v>0.90612721726142864</v>
      </c>
      <c r="I15" s="14">
        <f t="shared" si="1"/>
        <v>0.88161498045486186</v>
      </c>
      <c r="J15" s="15">
        <f>'0311'!S70</f>
        <v>0.86353372011237528</v>
      </c>
    </row>
    <row r="16" spans="2:15" ht="17.25" customHeight="1">
      <c r="B16" s="493" t="s">
        <v>101</v>
      </c>
      <c r="C16" s="10" t="s">
        <v>34</v>
      </c>
      <c r="D16" s="16">
        <f>'0311'!T5</f>
        <v>0.29027777777777802</v>
      </c>
      <c r="E16" s="16">
        <f>'0311'!T16</f>
        <v>0.29027777777777802</v>
      </c>
      <c r="F16" s="16">
        <f>'0311'!T27</f>
        <v>0.29027777777777802</v>
      </c>
      <c r="G16" s="16">
        <f>'0311'!T38</f>
        <v>0.33333333333333298</v>
      </c>
      <c r="H16" s="16">
        <f>'0311'!T49</f>
        <v>0.29027777777777802</v>
      </c>
      <c r="I16" s="16">
        <f>'0311'!T59</f>
        <v>0.29027777777777802</v>
      </c>
      <c r="J16" s="16">
        <f>'0311'!T70</f>
        <v>0.33333333333333298</v>
      </c>
    </row>
    <row r="17" spans="2:10" ht="17.25" customHeight="1">
      <c r="B17" s="494"/>
      <c r="C17" s="10" t="s">
        <v>35</v>
      </c>
      <c r="D17" s="16">
        <v>0.56458333333333299</v>
      </c>
      <c r="E17" s="19">
        <v>0.59722222222222199</v>
      </c>
      <c r="F17" s="19">
        <v>0.54236111111111096</v>
      </c>
      <c r="G17" s="20">
        <v>0.59375</v>
      </c>
      <c r="H17" s="21">
        <v>0.60902777777777795</v>
      </c>
      <c r="I17" s="22">
        <v>0.62013888888888902</v>
      </c>
      <c r="J17" s="22">
        <v>0.61458333333333304</v>
      </c>
    </row>
    <row r="18" spans="2:10" ht="17.25" customHeight="1">
      <c r="B18" s="495" t="s">
        <v>102</v>
      </c>
      <c r="C18" s="330" t="s">
        <v>36</v>
      </c>
      <c r="D18" s="358">
        <f>'0311'!Z15</f>
        <v>0</v>
      </c>
      <c r="E18" s="359">
        <f>'0311'!Z26</f>
        <v>0</v>
      </c>
      <c r="F18" s="359">
        <f>'0311'!Z37</f>
        <v>0</v>
      </c>
      <c r="G18" s="360">
        <f>'0311'!Z48</f>
        <v>0</v>
      </c>
      <c r="H18" s="360">
        <f>'0311'!Z58</f>
        <v>0</v>
      </c>
      <c r="I18" s="359">
        <f>'0311'!Z69</f>
        <v>0</v>
      </c>
      <c r="J18" s="359">
        <f>'0311'!AA79</f>
        <v>0</v>
      </c>
    </row>
    <row r="19" spans="2:10" ht="17.25" customHeight="1">
      <c r="B19" s="496"/>
      <c r="C19" s="330" t="s">
        <v>37</v>
      </c>
      <c r="D19" s="358">
        <f>'0311'!AA15</f>
        <v>0</v>
      </c>
      <c r="E19" s="359">
        <f>'0311'!AA26</f>
        <v>0</v>
      </c>
      <c r="F19" s="359">
        <f>'0311'!AA37</f>
        <v>0</v>
      </c>
      <c r="G19" s="360">
        <f>'0311'!AA48</f>
        <v>0</v>
      </c>
      <c r="H19" s="360">
        <f>'0311'!AA58</f>
        <v>0</v>
      </c>
      <c r="I19" s="359">
        <f>'0311'!AA69</f>
        <v>0</v>
      </c>
      <c r="J19" s="359">
        <f>'0311'!AB79</f>
        <v>0</v>
      </c>
    </row>
    <row r="20" spans="2:10" ht="17.25" customHeight="1">
      <c r="B20" s="495" t="s">
        <v>103</v>
      </c>
      <c r="C20" s="330" t="s">
        <v>36</v>
      </c>
      <c r="D20" s="358">
        <f>'0311'!AD15</f>
        <v>0</v>
      </c>
      <c r="E20" s="359">
        <f>'0311'!AD26</f>
        <v>2</v>
      </c>
      <c r="F20" s="359">
        <f>'0311'!AD37</f>
        <v>0</v>
      </c>
      <c r="G20" s="360">
        <f>'0311'!AD48</f>
        <v>0</v>
      </c>
      <c r="H20" s="360">
        <f>'0311'!AD58</f>
        <v>0</v>
      </c>
      <c r="I20" s="359">
        <f>'0311'!AD69</f>
        <v>0</v>
      </c>
      <c r="J20" s="359">
        <f>'0311'!AD79</f>
        <v>0</v>
      </c>
    </row>
    <row r="21" spans="2:10" ht="17.25" customHeight="1">
      <c r="B21" s="496"/>
      <c r="C21" s="330" t="s">
        <v>85</v>
      </c>
      <c r="D21" s="358">
        <f>'0311'!AE15</f>
        <v>0</v>
      </c>
      <c r="E21" s="359">
        <f>'0311'!AE26</f>
        <v>2</v>
      </c>
      <c r="F21" s="359">
        <f>'0311'!AE37</f>
        <v>0</v>
      </c>
      <c r="G21" s="360">
        <f>'0311'!AE48</f>
        <v>0</v>
      </c>
      <c r="H21" s="360">
        <f>'0311'!AE58</f>
        <v>0</v>
      </c>
      <c r="I21" s="359">
        <f>'0311'!AE69</f>
        <v>0</v>
      </c>
      <c r="J21" s="359">
        <f>'0311'!AE79</f>
        <v>0</v>
      </c>
    </row>
    <row r="22" spans="2:10" ht="17.25" customHeight="1">
      <c r="B22" s="479" t="s">
        <v>104</v>
      </c>
      <c r="C22" s="480"/>
      <c r="D22" s="23">
        <f>VALUE('0311'!M15)</f>
        <v>13.25</v>
      </c>
      <c r="E22" s="23">
        <f>VALUE('0311'!M26)</f>
        <v>11.5</v>
      </c>
      <c r="F22" s="23">
        <f>VALUE('0311'!M37)</f>
        <v>15.333333333333334</v>
      </c>
      <c r="G22" s="23">
        <f>VALUE('0311'!M48)</f>
        <v>16.333333333333332</v>
      </c>
      <c r="H22" s="23">
        <f>VALUE('0311'!M58)</f>
        <v>16.25</v>
      </c>
      <c r="I22" s="23">
        <f>VALUE('0311'!M69)</f>
        <v>11.5</v>
      </c>
      <c r="J22" s="23">
        <f>'0311'!M79</f>
        <v>11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F675-C1AA-411D-87A5-91BA0A370073}">
  <sheetPr>
    <tabColor theme="9" tint="0.79998168889431442"/>
  </sheetPr>
  <dimension ref="A1:AJ92"/>
  <sheetViews>
    <sheetView zoomScale="69" zoomScaleNormal="69" workbookViewId="0">
      <pane xSplit="5" ySplit="4" topLeftCell="F14" activePane="bottomRight" state="frozen"/>
      <selection activeCell="J17" sqref="J17"/>
      <selection pane="topRight" activeCell="J17" sqref="J17"/>
      <selection pane="bottomLeft" activeCell="J17" sqref="J17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53821</v>
      </c>
      <c r="F1" s="30" t="s">
        <v>2</v>
      </c>
      <c r="G1" s="31">
        <f>SUM(H5:H79)</f>
        <v>2523263.7699999996</v>
      </c>
      <c r="H1" s="32" t="s">
        <v>3</v>
      </c>
      <c r="I1" s="33">
        <f>M15+M26+M48+M58+M69+M79+M37</f>
        <v>95.166666666666657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159</v>
      </c>
      <c r="B2" s="447"/>
      <c r="C2" s="28"/>
      <c r="D2" s="28" t="s">
        <v>14</v>
      </c>
      <c r="E2" s="35">
        <f>AVERAGE(O15,O26,O37,O48,O58,O69,O79)</f>
        <v>114.03456380503917</v>
      </c>
      <c r="F2" s="36" t="s">
        <v>15</v>
      </c>
      <c r="G2" s="37">
        <f>G1/E1</f>
        <v>46.882513702829741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2</v>
      </c>
      <c r="AE2" s="340">
        <f>AE15+AE26+AE37+AE48+AE58+AE69+AE79</f>
        <v>2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f>1831+25</f>
        <v>1856</v>
      </c>
      <c r="H5" s="43">
        <f>F5*G5</f>
        <v>106181.75999999999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2062.2222222222231</v>
      </c>
      <c r="O5" s="47">
        <f t="shared" ref="O5:O8" si="2">N5/M5</f>
        <v>171.85185185185193</v>
      </c>
      <c r="P5" s="49">
        <f t="shared" ref="P5:P8" si="3">M5-J5</f>
        <v>0</v>
      </c>
      <c r="Q5" s="50">
        <f t="shared" ref="Q5:Q8" si="4">O5-L5</f>
        <v>-3.5648148148147243</v>
      </c>
      <c r="R5" s="51">
        <f>O5/L5</f>
        <v>0.97967801530746945</v>
      </c>
      <c r="S5" s="376">
        <f>R15</f>
        <v>0.91734808595455808</v>
      </c>
      <c r="T5" s="319">
        <v>0.29027777777777802</v>
      </c>
      <c r="U5" s="320">
        <v>0.327777777777778</v>
      </c>
      <c r="V5" s="53"/>
      <c r="W5" s="54">
        <f t="shared" ref="W5:W14" si="5">(U5-T5)*24*60</f>
        <v>53.999999999999972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8" si="6">N5-K5</f>
        <v>-42.777777777776919</v>
      </c>
      <c r="AG5" s="52">
        <f t="shared" ref="AG5:AG8" si="7">N5/K5</f>
        <v>0.97967801530746945</v>
      </c>
      <c r="AH5" s="382">
        <f>AG15</f>
        <v>0.91725166897786847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1094</v>
      </c>
      <c r="H6" s="78">
        <f>F6*G6</f>
        <v>61570.32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1727.368421052623</v>
      </c>
      <c r="O6" s="81">
        <f t="shared" si="2"/>
        <v>115.15789473684154</v>
      </c>
      <c r="P6" s="74">
        <f t="shared" si="3"/>
        <v>0</v>
      </c>
      <c r="Q6" s="83">
        <f t="shared" si="4"/>
        <v>-4.8421052631584587</v>
      </c>
      <c r="R6" s="72">
        <f>O6/L6</f>
        <v>0.95964912280701287</v>
      </c>
      <c r="S6" s="377"/>
      <c r="T6" s="18">
        <v>0.33472222222222198</v>
      </c>
      <c r="U6" s="18">
        <v>0.36111111111111099</v>
      </c>
      <c r="V6" s="30">
        <f>(T6-U5)*24*60</f>
        <v>9.999999999999325</v>
      </c>
      <c r="W6" s="73">
        <f t="shared" si="5"/>
        <v>38.000000000000185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-72.631578947376966</v>
      </c>
      <c r="AG6" s="72">
        <f t="shared" si="7"/>
        <v>0.95964912280701276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5168</v>
      </c>
      <c r="H7" s="78">
        <f t="shared" ref="H7:H8" si="8">F7*G7</f>
        <v>253955.52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1950.1886792452772</v>
      </c>
      <c r="O7" s="81">
        <f t="shared" si="2"/>
        <v>150.01451378809824</v>
      </c>
      <c r="P7" s="74">
        <f t="shared" si="3"/>
        <v>0</v>
      </c>
      <c r="Q7" s="83">
        <f t="shared" si="4"/>
        <v>-11.523947750363305</v>
      </c>
      <c r="R7" s="72">
        <f t="shared" ref="R7:R8" si="9">O7/L7</f>
        <v>0.92866127583108427</v>
      </c>
      <c r="S7" s="377"/>
      <c r="T7" s="16">
        <v>0.375</v>
      </c>
      <c r="U7" s="16">
        <v>0.485416666666667</v>
      </c>
      <c r="V7" s="30">
        <f>(T7-U6)*24*60</f>
        <v>20.000000000000171</v>
      </c>
      <c r="W7" s="73">
        <f t="shared" si="5"/>
        <v>159.00000000000048</v>
      </c>
      <c r="X7" s="22"/>
      <c r="Y7" s="84"/>
      <c r="Z7" s="90"/>
      <c r="AA7" s="90"/>
      <c r="AB7" s="501"/>
      <c r="AC7" s="502"/>
      <c r="AD7" s="92"/>
      <c r="AE7" s="92"/>
      <c r="AF7" s="307">
        <f t="shared" si="6"/>
        <v>-149.81132075472283</v>
      </c>
      <c r="AG7" s="72">
        <f t="shared" si="7"/>
        <v>0.92866127583108438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932</v>
      </c>
      <c r="H8" s="78">
        <f t="shared" si="8"/>
        <v>45798.48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1694.5454545455016</v>
      </c>
      <c r="O8" s="81">
        <f t="shared" si="2"/>
        <v>130.34965034965396</v>
      </c>
      <c r="P8" s="74">
        <f t="shared" si="3"/>
        <v>0</v>
      </c>
      <c r="Q8" s="83">
        <f t="shared" si="4"/>
        <v>-31.188811188807591</v>
      </c>
      <c r="R8" s="72">
        <f t="shared" si="9"/>
        <v>0.80692640692642925</v>
      </c>
      <c r="S8" s="377"/>
      <c r="T8" s="16">
        <v>0.54166666666666696</v>
      </c>
      <c r="U8" s="16">
        <v>0.56458333333333299</v>
      </c>
      <c r="V8" s="30">
        <f>(T8-U7)*24*60</f>
        <v>80.999999999999957</v>
      </c>
      <c r="W8" s="73">
        <f t="shared" si="5"/>
        <v>32.999999999999083</v>
      </c>
      <c r="X8" s="22">
        <v>0.49305555555555602</v>
      </c>
      <c r="Y8" s="84">
        <v>0.53472222222222199</v>
      </c>
      <c r="Z8" s="90"/>
      <c r="AA8" s="90"/>
      <c r="AB8" s="501"/>
      <c r="AC8" s="502"/>
      <c r="AD8" s="149"/>
      <c r="AE8" s="149"/>
      <c r="AF8" s="307">
        <f t="shared" si="6"/>
        <v>-405.45454545449843</v>
      </c>
      <c r="AG8" s="72">
        <f t="shared" si="7"/>
        <v>0.80692640692642936</v>
      </c>
      <c r="AH8" s="384"/>
    </row>
    <row r="9" spans="1:34" ht="15" customHeight="1">
      <c r="A9" s="424"/>
      <c r="B9" s="75"/>
      <c r="C9" s="7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22"/>
      <c r="U9" s="22"/>
      <c r="V9" s="30"/>
      <c r="W9" s="73">
        <f t="shared" si="5"/>
        <v>0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10">AVERAGE(J5:J14)</f>
        <v>13.25</v>
      </c>
      <c r="K15" s="120">
        <f t="shared" si="10"/>
        <v>2026.25</v>
      </c>
      <c r="L15" s="117">
        <f t="shared" si="10"/>
        <v>154.62339743589743</v>
      </c>
      <c r="M15" s="120">
        <f t="shared" si="10"/>
        <v>13.25</v>
      </c>
      <c r="N15" s="120">
        <f t="shared" si="10"/>
        <v>1858.5811942664061</v>
      </c>
      <c r="O15" s="117">
        <f t="shared" si="10"/>
        <v>141.84347768161143</v>
      </c>
      <c r="P15" s="121">
        <f t="shared" ref="P15:P19" si="11">M15-J15</f>
        <v>0</v>
      </c>
      <c r="Q15" s="122">
        <f t="shared" ref="Q15:Q19" si="12">O15-L15</f>
        <v>-12.779919754285999</v>
      </c>
      <c r="R15" s="123">
        <f t="shared" ref="R15:R19" si="13">O15/L15</f>
        <v>0.91734808595455808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4">N15-K15</f>
        <v>-167.6688057335939</v>
      </c>
      <c r="AG15" s="124">
        <f t="shared" ref="AG15:AG19" si="15">N15/K15</f>
        <v>0.91725166897786847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1506</v>
      </c>
      <c r="H16" s="134">
        <f>F16*G16</f>
        <v>86158.26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6">K16/J16</f>
        <v>175.41666666666666</v>
      </c>
      <c r="M16" s="139">
        <v>12</v>
      </c>
      <c r="N16" s="140">
        <f t="shared" ref="N16:N19" si="17">G16/W16*60</f>
        <v>1882.5000000000191</v>
      </c>
      <c r="O16" s="141">
        <f>N16/M16</f>
        <v>156.87500000000159</v>
      </c>
      <c r="P16" s="142">
        <f>M16-J16</f>
        <v>0</v>
      </c>
      <c r="Q16" s="143">
        <f t="shared" si="12"/>
        <v>-18.541666666665066</v>
      </c>
      <c r="R16" s="144">
        <f>O16/L16</f>
        <v>0.89429928741093545</v>
      </c>
      <c r="S16" s="413">
        <f>R26</f>
        <v>0.91589942616672482</v>
      </c>
      <c r="T16" s="145">
        <v>0.29027777777777802</v>
      </c>
      <c r="U16" s="145">
        <v>0.32361111111111102</v>
      </c>
      <c r="V16" s="135"/>
      <c r="W16" s="146">
        <f t="shared" ref="W16:W78" si="18">(U16-T16)*24*60</f>
        <v>47.99999999999951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4"/>
        <v>-222.4999999999809</v>
      </c>
      <c r="AG16" s="52">
        <f t="shared" si="15"/>
        <v>0.89429928741093545</v>
      </c>
      <c r="AH16" s="382">
        <f>AG26</f>
        <v>0.91526630017990074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3810</v>
      </c>
      <c r="H17" s="78">
        <f>F17*G17</f>
        <v>193052.7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6"/>
        <v>175</v>
      </c>
      <c r="M17" s="148">
        <v>12</v>
      </c>
      <c r="N17" s="95">
        <f>G17/W17*60</f>
        <v>1904.9999999999841</v>
      </c>
      <c r="O17" s="96">
        <f t="shared" ref="O17:O19" si="19">N17/M17</f>
        <v>158.74999999999866</v>
      </c>
      <c r="P17" s="97">
        <f t="shared" si="11"/>
        <v>0</v>
      </c>
      <c r="Q17" s="98">
        <f t="shared" si="12"/>
        <v>-16.250000000001336</v>
      </c>
      <c r="R17" s="99">
        <f t="shared" si="13"/>
        <v>0.90714285714284948</v>
      </c>
      <c r="S17" s="414"/>
      <c r="T17" s="19">
        <v>0.33194444444444399</v>
      </c>
      <c r="U17" s="19">
        <v>0.41527777777777802</v>
      </c>
      <c r="V17" s="30">
        <f>(T17-U16)*24*60</f>
        <v>11.999999999999478</v>
      </c>
      <c r="W17" s="149">
        <f t="shared" si="18"/>
        <v>120.00000000000101</v>
      </c>
      <c r="X17" s="19"/>
      <c r="Y17" s="297"/>
      <c r="Z17" s="90"/>
      <c r="AA17" s="90"/>
      <c r="AB17" s="504"/>
      <c r="AC17" s="505"/>
      <c r="AD17" s="92"/>
      <c r="AE17" s="92"/>
      <c r="AF17" s="307">
        <f t="shared" si="14"/>
        <v>-195.00000000001592</v>
      </c>
      <c r="AG17" s="72">
        <f t="shared" si="15"/>
        <v>0.90714285714284959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2709</v>
      </c>
      <c r="H18" s="78">
        <f>F18*G18</f>
        <v>136506.51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6"/>
        <v>190.90909090909091</v>
      </c>
      <c r="M18" s="148">
        <v>11</v>
      </c>
      <c r="N18" s="95">
        <f t="shared" si="17"/>
        <v>1958.3132530120438</v>
      </c>
      <c r="O18" s="96">
        <f t="shared" si="19"/>
        <v>178.02847754654942</v>
      </c>
      <c r="P18" s="97">
        <f t="shared" si="11"/>
        <v>0</v>
      </c>
      <c r="Q18" s="98">
        <f t="shared" si="12"/>
        <v>-12.880613362541482</v>
      </c>
      <c r="R18" s="99">
        <f t="shared" si="13"/>
        <v>0.93253012048192552</v>
      </c>
      <c r="S18" s="414"/>
      <c r="T18" s="19">
        <v>0.42361111111111099</v>
      </c>
      <c r="U18" s="19">
        <v>0.48125000000000001</v>
      </c>
      <c r="V18" s="30">
        <f>(T18-U17)*24*60</f>
        <v>11.999999999999478</v>
      </c>
      <c r="W18" s="149">
        <f t="shared" si="18"/>
        <v>83.000000000000185</v>
      </c>
      <c r="X18" s="22">
        <v>0.49305555555555602</v>
      </c>
      <c r="Y18" s="84">
        <v>0.53472222222222199</v>
      </c>
      <c r="Z18" s="90"/>
      <c r="AA18" s="90"/>
      <c r="AB18" s="388" t="s">
        <v>148</v>
      </c>
      <c r="AC18" s="388"/>
      <c r="AD18" s="92">
        <v>2</v>
      </c>
      <c r="AE18" s="92">
        <v>2</v>
      </c>
      <c r="AF18" s="307">
        <f t="shared" si="14"/>
        <v>-141.68674698795621</v>
      </c>
      <c r="AG18" s="72">
        <f t="shared" si="15"/>
        <v>0.93253012048192563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2596</v>
      </c>
      <c r="H19" s="78">
        <f>F19*G19</f>
        <v>130812.44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6"/>
        <v>190.90909090909091</v>
      </c>
      <c r="M19" s="148">
        <v>11</v>
      </c>
      <c r="N19" s="95">
        <f t="shared" si="17"/>
        <v>1947.0000000000184</v>
      </c>
      <c r="O19" s="96">
        <f t="shared" si="19"/>
        <v>177.00000000000168</v>
      </c>
      <c r="P19" s="97">
        <f t="shared" si="11"/>
        <v>0</v>
      </c>
      <c r="Q19" s="98">
        <f t="shared" si="12"/>
        <v>-13.90909090908923</v>
      </c>
      <c r="R19" s="99">
        <f t="shared" si="13"/>
        <v>0.92714285714286593</v>
      </c>
      <c r="S19" s="414"/>
      <c r="T19" s="19">
        <v>0.54166666666666696</v>
      </c>
      <c r="U19" s="19">
        <v>0.59722222222222199</v>
      </c>
      <c r="V19" s="30">
        <f>(T19-U18)*24*60</f>
        <v>87.000000000000412</v>
      </c>
      <c r="W19" s="149">
        <f t="shared" si="18"/>
        <v>79.999999999999233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4"/>
        <v>-152.99999999998158</v>
      </c>
      <c r="AG19" s="72">
        <f t="shared" si="15"/>
        <v>0.92714285714286593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8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8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11.5</v>
      </c>
      <c r="K26" s="155">
        <f t="shared" si="21"/>
        <v>2101.25</v>
      </c>
      <c r="L26" s="158">
        <f t="shared" si="21"/>
        <v>183.0587121212121</v>
      </c>
      <c r="M26" s="155">
        <f t="shared" si="21"/>
        <v>11.5</v>
      </c>
      <c r="N26" s="155">
        <f t="shared" si="21"/>
        <v>1923.2033132530164</v>
      </c>
      <c r="O26" s="158">
        <f t="shared" si="21"/>
        <v>167.66336938663784</v>
      </c>
      <c r="P26" s="159">
        <f t="shared" ref="P26:P29" si="22">M26-J26</f>
        <v>0</v>
      </c>
      <c r="Q26" s="160">
        <f t="shared" ref="Q26:Q29" si="23">O26-L26</f>
        <v>-15.395342734574257</v>
      </c>
      <c r="R26" s="161">
        <f>O26/L26</f>
        <v>0.91589942616672482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2</v>
      </c>
      <c r="AE26" s="323">
        <f>SUM(AE16:AE25)</f>
        <v>2</v>
      </c>
      <c r="AF26" s="309">
        <f t="shared" ref="AF26:AF29" si="24">N26-K26</f>
        <v>-178.0466867469836</v>
      </c>
      <c r="AG26" s="124">
        <f t="shared" ref="AG26:AG29" si="25">N26/K26</f>
        <v>0.91526630017990074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f>2992+46</f>
        <v>3038</v>
      </c>
      <c r="H27" s="134">
        <f>F27*G27</f>
        <v>176720.46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6">K27/J27</f>
        <v>97.8125</v>
      </c>
      <c r="M27" s="170">
        <v>16</v>
      </c>
      <c r="N27" s="140">
        <f>G27/W27*60</f>
        <v>1544.7457627118731</v>
      </c>
      <c r="O27" s="141">
        <f>N27/M27</f>
        <v>96.54661016949207</v>
      </c>
      <c r="P27" s="142">
        <f t="shared" si="22"/>
        <v>0</v>
      </c>
      <c r="Q27" s="143">
        <f t="shared" si="23"/>
        <v>-1.2658898305079305</v>
      </c>
      <c r="R27" s="144">
        <f>O27/L27</f>
        <v>0.98705799534304994</v>
      </c>
      <c r="S27" s="413">
        <f>R37</f>
        <v>0.91034186229316882</v>
      </c>
      <c r="T27" s="171">
        <v>0.29027777777777802</v>
      </c>
      <c r="U27" s="171">
        <v>0.37222222222222201</v>
      </c>
      <c r="V27" s="135"/>
      <c r="W27" s="146">
        <f t="shared" si="18"/>
        <v>117.99999999999935</v>
      </c>
      <c r="X27" s="135"/>
      <c r="Y27" s="300" t="s">
        <v>46</v>
      </c>
      <c r="Z27" s="169"/>
      <c r="AA27" s="169"/>
      <c r="AB27" s="388"/>
      <c r="AC27" s="388"/>
      <c r="AD27" s="135"/>
      <c r="AE27" s="135"/>
      <c r="AF27" s="310">
        <f t="shared" si="24"/>
        <v>-20.254237288126888</v>
      </c>
      <c r="AG27" s="172">
        <f t="shared" si="25"/>
        <v>0.98705799534304994</v>
      </c>
      <c r="AH27" s="382">
        <f>AG37</f>
        <v>0.85911346656759446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2145</v>
      </c>
      <c r="H28" s="91">
        <f>F28*G28</f>
        <v>106220.40000000001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16</v>
      </c>
      <c r="N28" s="95">
        <f>G28/W28*60</f>
        <v>1202.8037383177659</v>
      </c>
      <c r="O28" s="96">
        <f>N28/M28</f>
        <v>75.17523364486037</v>
      </c>
      <c r="P28" s="97">
        <f t="shared" si="22"/>
        <v>-1</v>
      </c>
      <c r="Q28" s="98">
        <f t="shared" si="23"/>
        <v>-9.530648708080804</v>
      </c>
      <c r="R28" s="99">
        <f>O28/L28</f>
        <v>0.88748539719626829</v>
      </c>
      <c r="S28" s="414"/>
      <c r="T28" s="19">
        <v>0.37916666666666698</v>
      </c>
      <c r="U28" s="19">
        <v>0.453472222222222</v>
      </c>
      <c r="V28" s="92">
        <f>(T28-U27)*24*60</f>
        <v>10.000000000000764</v>
      </c>
      <c r="W28" s="149">
        <f t="shared" si="18"/>
        <v>106.99999999999922</v>
      </c>
      <c r="X28" s="174">
        <v>0.46527777777777801</v>
      </c>
      <c r="Y28" s="301">
        <v>0.50694444444444398</v>
      </c>
      <c r="Z28" s="335"/>
      <c r="AA28" s="335"/>
      <c r="AD28" s="92"/>
      <c r="AE28" s="92"/>
      <c r="AF28" s="311">
        <f t="shared" si="24"/>
        <v>-237.19626168223408</v>
      </c>
      <c r="AG28" s="99">
        <f t="shared" si="25"/>
        <v>0.83528037383178189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521</v>
      </c>
      <c r="H29" s="91">
        <f>F29*G29</f>
        <v>29400.03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6"/>
        <v>87.875</v>
      </c>
      <c r="M29" s="94">
        <v>14</v>
      </c>
      <c r="N29" s="95">
        <f>G29/W29*60</f>
        <v>1042.0000000000202</v>
      </c>
      <c r="O29" s="96">
        <f>N29/M29</f>
        <v>74.42857142857288</v>
      </c>
      <c r="P29" s="97">
        <f t="shared" si="22"/>
        <v>-2</v>
      </c>
      <c r="Q29" s="98">
        <f t="shared" si="23"/>
        <v>-13.44642857142712</v>
      </c>
      <c r="R29" s="99">
        <f>O29/L29</f>
        <v>0.84698232066654766</v>
      </c>
      <c r="S29" s="414"/>
      <c r="T29" s="19">
        <v>0.52152777777777803</v>
      </c>
      <c r="U29" s="19">
        <v>0.54236111111111096</v>
      </c>
      <c r="V29" s="92">
        <f>(T29-U28)*24*60</f>
        <v>98.000000000000696</v>
      </c>
      <c r="W29" s="149">
        <f t="shared" si="18"/>
        <v>29.999999999999414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4"/>
        <v>-363.99999999997976</v>
      </c>
      <c r="AG29" s="99">
        <f t="shared" si="25"/>
        <v>0.74110953058322915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8"/>
        <v>0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16.333333333333332</v>
      </c>
      <c r="K37" s="155">
        <f t="shared" si="28"/>
        <v>1470.3333333333333</v>
      </c>
      <c r="L37" s="158">
        <f t="shared" si="28"/>
        <v>90.131127450980387</v>
      </c>
      <c r="M37" s="155">
        <f t="shared" si="28"/>
        <v>15.333333333333334</v>
      </c>
      <c r="N37" s="155">
        <f t="shared" si="28"/>
        <v>1263.1831670098863</v>
      </c>
      <c r="O37" s="158">
        <f t="shared" si="28"/>
        <v>82.050138414308435</v>
      </c>
      <c r="P37" s="159">
        <f>M37-J37</f>
        <v>-0.99999999999999822</v>
      </c>
      <c r="Q37" s="160">
        <f>N37-K37</f>
        <v>-207.15016632344691</v>
      </c>
      <c r="R37" s="161">
        <f t="shared" ref="R37:R40" si="29">O37/L37</f>
        <v>0.91034186229316882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0" si="30">N37-K37</f>
        <v>-207.15016632344691</v>
      </c>
      <c r="AG37" s="124">
        <f t="shared" ref="AG37:AG40" si="31">N37/K37</f>
        <v>0.85911346656759446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1246</v>
      </c>
      <c r="H38" s="134">
        <f>F38*G38</f>
        <v>70860.02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2">K38/J38</f>
        <v>92.058823529411768</v>
      </c>
      <c r="M38" s="190">
        <v>16</v>
      </c>
      <c r="N38" s="140">
        <f>G38/W38*60</f>
        <v>1288.9655172413713</v>
      </c>
      <c r="O38" s="141">
        <f>N38/M38</f>
        <v>80.560344827585709</v>
      </c>
      <c r="P38" s="142">
        <f t="shared" ref="P38:P40" si="33">M38-J38</f>
        <v>-1</v>
      </c>
      <c r="Q38" s="143">
        <f t="shared" ref="Q38:Q40" si="34">O38-L38</f>
        <v>-11.498478701826059</v>
      </c>
      <c r="R38" s="144">
        <f>O38/L38</f>
        <v>0.87509639748815149</v>
      </c>
      <c r="S38" s="404">
        <f>R48</f>
        <v>0.86217410884267098</v>
      </c>
      <c r="T38" s="191">
        <v>0.33333333333333298</v>
      </c>
      <c r="U38" s="191">
        <v>0.37361111111111101</v>
      </c>
      <c r="V38" s="192"/>
      <c r="W38" s="193">
        <f t="shared" si="18"/>
        <v>58.000000000000355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-276.03448275862866</v>
      </c>
      <c r="AG38" s="195">
        <f t="shared" si="31"/>
        <v>0.82362013881237783</v>
      </c>
      <c r="AH38" s="398">
        <f>AG48</f>
        <v>0.82830945381521581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2959</v>
      </c>
      <c r="H39" s="91">
        <f>F39*G39</f>
        <v>131083.69999999998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1345.0000000000095</v>
      </c>
      <c r="O39" s="203">
        <f>N39/M39</f>
        <v>79.11764705882409</v>
      </c>
      <c r="P39" s="97">
        <f t="shared" si="33"/>
        <v>0</v>
      </c>
      <c r="Q39" s="98">
        <f t="shared" si="34"/>
        <v>-12.941176470587678</v>
      </c>
      <c r="R39" s="99">
        <f t="shared" si="29"/>
        <v>0.85942492012780158</v>
      </c>
      <c r="S39" s="405"/>
      <c r="T39" s="20">
        <v>0.38055555555555598</v>
      </c>
      <c r="U39" s="20">
        <v>0.47222222222222199</v>
      </c>
      <c r="V39" s="92">
        <f>(T39-U38)*24*60</f>
        <v>10.000000000000764</v>
      </c>
      <c r="W39" s="205">
        <f t="shared" si="18"/>
        <v>131.99999999999906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-219.99999999999045</v>
      </c>
      <c r="AG39" s="206">
        <f t="shared" si="31"/>
        <v>0.85942492012780158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f>1980+7</f>
        <v>1987</v>
      </c>
      <c r="H40" s="91">
        <f>F40*G40</f>
        <v>88024.099999999991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16</v>
      </c>
      <c r="N40" s="202">
        <f>G40/W40*60</f>
        <v>1254.947368421057</v>
      </c>
      <c r="O40" s="203">
        <f>N40/M40</f>
        <v>78.434210526316065</v>
      </c>
      <c r="P40" s="97">
        <f t="shared" si="33"/>
        <v>-1</v>
      </c>
      <c r="Q40" s="98">
        <f t="shared" si="34"/>
        <v>-13.624613003095703</v>
      </c>
      <c r="R40" s="99">
        <f t="shared" si="29"/>
        <v>0.85200100891205943</v>
      </c>
      <c r="S40" s="377"/>
      <c r="T40" s="20">
        <v>0.52777777777777801</v>
      </c>
      <c r="U40" s="20">
        <v>0.59375</v>
      </c>
      <c r="V40" s="92">
        <f>(T40-U39)*24*60</f>
        <v>80.000000000000682</v>
      </c>
      <c r="W40" s="205">
        <f t="shared" si="18"/>
        <v>94.999999999999659</v>
      </c>
      <c r="X40" s="22">
        <v>0.47916666666666702</v>
      </c>
      <c r="Y40" s="84">
        <v>0.52083333333333304</v>
      </c>
      <c r="Z40" s="337"/>
      <c r="AA40" s="337"/>
      <c r="AB40" s="388"/>
      <c r="AC40" s="388"/>
      <c r="AD40" s="92"/>
      <c r="AE40" s="92"/>
      <c r="AF40" s="314">
        <f t="shared" si="30"/>
        <v>-310.05263157894296</v>
      </c>
      <c r="AG40" s="206">
        <f t="shared" si="31"/>
        <v>0.8018833025054678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17</v>
      </c>
      <c r="K48" s="155">
        <f t="shared" si="36"/>
        <v>1565</v>
      </c>
      <c r="L48" s="158">
        <f t="shared" si="36"/>
        <v>92.058823529411768</v>
      </c>
      <c r="M48" s="155">
        <f t="shared" si="36"/>
        <v>16.333333333333332</v>
      </c>
      <c r="N48" s="155">
        <f t="shared" si="36"/>
        <v>1296.3042952208127</v>
      </c>
      <c r="O48" s="158">
        <f t="shared" si="36"/>
        <v>79.370734137575297</v>
      </c>
      <c r="P48" s="221">
        <f>M48-J48</f>
        <v>-0.66666666666666785</v>
      </c>
      <c r="Q48" s="222">
        <f>N48-K48</f>
        <v>-268.69570477918728</v>
      </c>
      <c r="R48" s="223">
        <f t="shared" ref="R48:R52" si="37">O48/L48</f>
        <v>0.86217410884267098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8">N48-K48</f>
        <v>-268.69570477918728</v>
      </c>
      <c r="AG48" s="162">
        <f t="shared" ref="AG48:AG52" si="39">N48/K48</f>
        <v>0.82830945381521581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740</v>
      </c>
      <c r="H49" s="134">
        <f>F49*G49</f>
        <v>42402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0">K49/J49</f>
        <v>107.14285714285714</v>
      </c>
      <c r="M49" s="170">
        <v>17</v>
      </c>
      <c r="N49" s="140">
        <f>G49/W49*60</f>
        <v>1644.4444444444453</v>
      </c>
      <c r="O49" s="141">
        <f>N49/M49</f>
        <v>96.732026143790904</v>
      </c>
      <c r="P49" s="229">
        <f>M49-J49</f>
        <v>3</v>
      </c>
      <c r="Q49" s="230">
        <f>O49-L49</f>
        <v>-10.410830999066235</v>
      </c>
      <c r="R49" s="52">
        <f t="shared" si="37"/>
        <v>0.90283224400871509</v>
      </c>
      <c r="S49" s="376">
        <f>R58</f>
        <v>0.90612721726142864</v>
      </c>
      <c r="T49" s="191">
        <v>0.29027777777777802</v>
      </c>
      <c r="U49" s="191">
        <v>0.30902777777777801</v>
      </c>
      <c r="V49" s="55"/>
      <c r="W49" s="193">
        <f t="shared" si="18"/>
        <v>26.999999999999986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144.44444444444525</v>
      </c>
      <c r="AG49" s="52">
        <f t="shared" si="39"/>
        <v>1.0962962962962968</v>
      </c>
      <c r="AH49" s="382">
        <f>AG58</f>
        <v>0.9654898257828094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2614</v>
      </c>
      <c r="H50" s="231">
        <f>F50*G50</f>
        <v>130464.73999999999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16</v>
      </c>
      <c r="N50" s="234">
        <f>G50/W50*60</f>
        <v>1412.9729729729791</v>
      </c>
      <c r="O50" s="235">
        <f>N50/M50</f>
        <v>88.310810810811191</v>
      </c>
      <c r="P50" s="74">
        <f>M50-J50</f>
        <v>1</v>
      </c>
      <c r="Q50" s="83">
        <f>O50-L50</f>
        <v>-16.022522522522138</v>
      </c>
      <c r="R50" s="72">
        <f t="shared" si="37"/>
        <v>0.84642949658924471</v>
      </c>
      <c r="S50" s="377"/>
      <c r="T50" s="21">
        <v>0.31527777777777799</v>
      </c>
      <c r="U50" s="21">
        <v>0.39236111111111099</v>
      </c>
      <c r="V50" s="30">
        <f t="shared" ref="V50:V52" si="41">(T50-U49)*24*60</f>
        <v>8.999999999999968</v>
      </c>
      <c r="W50" s="236">
        <f t="shared" si="18"/>
        <v>110.99999999999953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38"/>
        <v>-152.02702702702095</v>
      </c>
      <c r="AG50" s="72">
        <f t="shared" si="39"/>
        <v>0.9028581296951943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2976</v>
      </c>
      <c r="H51" s="231">
        <f>F51*G51</f>
        <v>148710.72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1623.2727272727248</v>
      </c>
      <c r="O51" s="235">
        <f>N51/M51</f>
        <v>101.4545454545453</v>
      </c>
      <c r="P51" s="74">
        <f>M51-J51</f>
        <v>0</v>
      </c>
      <c r="Q51" s="83">
        <f>O51-L51</f>
        <v>-5.6704545454547031</v>
      </c>
      <c r="R51" s="72">
        <f t="shared" si="37"/>
        <v>0.94706693539832254</v>
      </c>
      <c r="S51" s="377"/>
      <c r="T51" s="21">
        <v>0.40138888888888902</v>
      </c>
      <c r="U51" s="19">
        <v>0.47777777777777802</v>
      </c>
      <c r="V51" s="30">
        <f t="shared" si="41"/>
        <v>13.000000000000353</v>
      </c>
      <c r="W51" s="236">
        <f t="shared" si="18"/>
        <v>110.00000000000017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-90.727272727275249</v>
      </c>
      <c r="AG51" s="72">
        <f t="shared" si="39"/>
        <v>0.94706693539832254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2700</v>
      </c>
      <c r="H52" s="231">
        <f>F52*G52</f>
        <v>134919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1588.235294117633</v>
      </c>
      <c r="O52" s="235">
        <f>N52/M52</f>
        <v>99.264705882352061</v>
      </c>
      <c r="P52" s="74">
        <f>M52-J52</f>
        <v>0</v>
      </c>
      <c r="Q52" s="83">
        <f>O52-L52</f>
        <v>-7.8602941176479391</v>
      </c>
      <c r="R52" s="72">
        <f t="shared" si="37"/>
        <v>0.92662502573957584</v>
      </c>
      <c r="S52" s="377"/>
      <c r="T52" s="21">
        <v>0.53819444444444398</v>
      </c>
      <c r="U52" s="21">
        <v>0.60902777777777795</v>
      </c>
      <c r="V52" s="30">
        <f t="shared" si="41"/>
        <v>86.999999999998977</v>
      </c>
      <c r="W52" s="236">
        <f t="shared" si="18"/>
        <v>102.00000000000091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-125.76470588236702</v>
      </c>
      <c r="AG52" s="72">
        <f t="shared" si="39"/>
        <v>0.92662502573957584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16.25</v>
      </c>
      <c r="N58" s="120">
        <f t="shared" si="42"/>
        <v>1567.2313597019454</v>
      </c>
      <c r="O58" s="117">
        <f t="shared" si="42"/>
        <v>96.440522072874856</v>
      </c>
      <c r="P58" s="121">
        <f>M58-J58</f>
        <v>1</v>
      </c>
      <c r="Q58" s="122">
        <f>N58-K58</f>
        <v>-56.018640298054606</v>
      </c>
      <c r="R58" s="123">
        <f t="shared" ref="R58:R60" si="43">O58/L58</f>
        <v>0.90612721726142864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-56.018640298054606</v>
      </c>
      <c r="AG58" s="124">
        <f t="shared" ref="AG58:AG61" si="45">N58/K58</f>
        <v>0.9654898257828094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3684</v>
      </c>
      <c r="H59" s="243">
        <f>F59*G59</f>
        <v>99431.159999999989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6">K59/J59</f>
        <v>120.38461538461539</v>
      </c>
      <c r="M59" s="244">
        <v>13</v>
      </c>
      <c r="N59" s="137">
        <f t="shared" ref="N59:N62" si="47">G59/W59*60</f>
        <v>1556.6197183098609</v>
      </c>
      <c r="O59" s="138">
        <f t="shared" ref="O59:O62" si="48">N59/M59</f>
        <v>119.73997833152777</v>
      </c>
      <c r="P59" s="56">
        <f t="shared" ref="P59:P62" si="49">M59-J59</f>
        <v>0</v>
      </c>
      <c r="Q59" s="230">
        <f t="shared" ref="Q59:Q62" si="50">O59-L59</f>
        <v>-0.64463705308762087</v>
      </c>
      <c r="R59" s="52">
        <f t="shared" si="43"/>
        <v>0.99464518741844143</v>
      </c>
      <c r="S59" s="376">
        <f>R69</f>
        <v>0.88161498045486186</v>
      </c>
      <c r="T59" s="191">
        <v>0.29027777777777802</v>
      </c>
      <c r="U59" s="245">
        <v>0.38888888888888901</v>
      </c>
      <c r="V59" s="55"/>
      <c r="W59" s="54">
        <f t="shared" si="18"/>
        <v>141.99999999999983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-8.3802816901390997</v>
      </c>
      <c r="AG59" s="246">
        <f t="shared" si="45"/>
        <v>0.99464518741844143</v>
      </c>
      <c r="AH59" s="382">
        <f>AG69</f>
        <v>0.89036664291353351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1770</v>
      </c>
      <c r="H60" s="78">
        <f>F60*G60</f>
        <v>50020.200000000004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1416.0000000000098</v>
      </c>
      <c r="O60" s="81">
        <f t="shared" si="48"/>
        <v>118.00000000000081</v>
      </c>
      <c r="P60" s="74">
        <f t="shared" si="49"/>
        <v>0</v>
      </c>
      <c r="Q60" s="83">
        <f t="shared" si="50"/>
        <v>-12.416666666665847</v>
      </c>
      <c r="R60" s="72">
        <f t="shared" si="43"/>
        <v>0.90479233226837685</v>
      </c>
      <c r="S60" s="394"/>
      <c r="T60" s="22">
        <v>0.39930555555555602</v>
      </c>
      <c r="U60" s="22">
        <v>0.45138888888888901</v>
      </c>
      <c r="V60" s="30">
        <f t="shared" ref="V60:V61" si="51">(T60-U59)*24*60</f>
        <v>15.000000000000506</v>
      </c>
      <c r="W60" s="248">
        <f t="shared" si="18"/>
        <v>74.999999999999488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4"/>
        <v>-148.99999999999022</v>
      </c>
      <c r="AG60" s="249">
        <f t="shared" si="45"/>
        <v>0.90479233226837685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1280</v>
      </c>
      <c r="H61" s="254">
        <f>F61*G61</f>
        <v>36172.800000000003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1347.3684210526419</v>
      </c>
      <c r="O61" s="238">
        <f t="shared" si="48"/>
        <v>112.28070175438683</v>
      </c>
      <c r="P61" s="111">
        <f t="shared" si="49"/>
        <v>0</v>
      </c>
      <c r="Q61" s="255">
        <f t="shared" si="50"/>
        <v>-18.135964912279832</v>
      </c>
      <c r="R61" s="85">
        <f>O61/L61</f>
        <v>0.86093828821255081</v>
      </c>
      <c r="S61" s="377"/>
      <c r="T61" s="22">
        <v>0.46041666666666697</v>
      </c>
      <c r="U61" s="22">
        <v>0.5</v>
      </c>
      <c r="V61" s="30">
        <f t="shared" si="51"/>
        <v>13.000000000000274</v>
      </c>
      <c r="W61" s="256">
        <f t="shared" si="18"/>
        <v>56.999999999999559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4"/>
        <v>-217.63157894735809</v>
      </c>
      <c r="AG61" s="247">
        <f t="shared" si="45"/>
        <v>0.8609382882125507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1712</v>
      </c>
      <c r="H62" s="254">
        <f>F62*G62</f>
        <v>48381.120000000003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9</v>
      </c>
      <c r="N62" s="107">
        <f t="shared" si="47"/>
        <v>1316.923076923068</v>
      </c>
      <c r="O62" s="238">
        <f t="shared" si="48"/>
        <v>146.32478632478535</v>
      </c>
      <c r="P62" s="111">
        <f t="shared" si="49"/>
        <v>0</v>
      </c>
      <c r="Q62" s="255">
        <f t="shared" si="50"/>
        <v>-35.452991452992421</v>
      </c>
      <c r="R62" s="85">
        <f>O62/L62</f>
        <v>0.80496520594319576</v>
      </c>
      <c r="S62" s="377"/>
      <c r="T62" s="22">
        <v>0.56597222222222199</v>
      </c>
      <c r="U62" s="22">
        <v>0.62013888888888902</v>
      </c>
      <c r="V62" s="30">
        <f>(T62-U61)*24*60</f>
        <v>94.999999999999659</v>
      </c>
      <c r="W62" s="248">
        <f t="shared" si="18"/>
        <v>78.000000000000526</v>
      </c>
      <c r="X62" s="22">
        <v>0.51041666666666696</v>
      </c>
      <c r="Y62" s="84">
        <v>0.55208333333333304</v>
      </c>
      <c r="Z62" s="90"/>
      <c r="AA62" s="90"/>
      <c r="AB62" s="501"/>
      <c r="AC62" s="502"/>
      <c r="AD62" s="92"/>
      <c r="AE62" s="92"/>
      <c r="AF62" s="317">
        <f>N62-K62</f>
        <v>-319.07692307693196</v>
      </c>
      <c r="AG62" s="247">
        <f>N62/K62</f>
        <v>0.80496520594319565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88"/>
      <c r="AC64" s="388"/>
      <c r="AD64" s="92"/>
      <c r="AE64" s="92"/>
      <c r="AF64" s="317"/>
      <c r="AG64" s="247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11.5</v>
      </c>
      <c r="N69" s="240">
        <f t="shared" si="52"/>
        <v>1409.2278040713952</v>
      </c>
      <c r="O69" s="268">
        <f t="shared" si="52"/>
        <v>124.08636660267518</v>
      </c>
      <c r="P69" s="269">
        <f>M69-J69</f>
        <v>0</v>
      </c>
      <c r="Q69" s="222">
        <f>N69-K69</f>
        <v>-173.52219592860479</v>
      </c>
      <c r="R69" s="123">
        <f t="shared" ref="R69:R73" si="53">O69/L69</f>
        <v>0.88161498045486186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-173.52219592860479</v>
      </c>
      <c r="AG69" s="124">
        <f>N69/K69</f>
        <v>0.89036664291353351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1242</v>
      </c>
      <c r="H70" s="243">
        <f>F70*G70</f>
        <v>62932.14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9</v>
      </c>
      <c r="N70" s="137">
        <f>G70/W70*60</f>
        <v>876.70588235293758</v>
      </c>
      <c r="O70" s="138">
        <f>N70/M70</f>
        <v>97.41176470588195</v>
      </c>
      <c r="P70" s="56">
        <f>M70-J70</f>
        <v>-1</v>
      </c>
      <c r="Q70" s="230">
        <f>O70-L70</f>
        <v>-15.08823529411805</v>
      </c>
      <c r="R70" s="52">
        <f t="shared" si="53"/>
        <v>0.86588235294117288</v>
      </c>
      <c r="S70" s="376">
        <f>R79</f>
        <v>0.86353372011237528</v>
      </c>
      <c r="T70" s="245">
        <v>0.33333333333333298</v>
      </c>
      <c r="U70" s="245">
        <v>0.39236111111111099</v>
      </c>
      <c r="V70" s="55"/>
      <c r="W70" s="54">
        <f t="shared" si="18"/>
        <v>85.000000000000341</v>
      </c>
      <c r="X70" s="270"/>
      <c r="Y70" s="292"/>
      <c r="Z70" s="169"/>
      <c r="AA70" s="169"/>
      <c r="AB70" s="381"/>
      <c r="AC70" s="381"/>
      <c r="AD70" s="135"/>
      <c r="AE70" s="135"/>
      <c r="AF70" s="317">
        <f t="shared" ref="AF70:AF74" si="54">N70-K70</f>
        <v>-248.29411764706242</v>
      </c>
      <c r="AG70" s="247">
        <f t="shared" ref="AG70:AG74" si="55">N70/K70</f>
        <v>0.77929411764705558</v>
      </c>
      <c r="AH70" s="382">
        <f>AG79</f>
        <v>0.85588916417631045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v>805</v>
      </c>
      <c r="H71" s="254">
        <f>F71*G71</f>
        <v>45426.15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3" si="56">K71/J71</f>
        <v>87.875</v>
      </c>
      <c r="M71" s="82">
        <v>14</v>
      </c>
      <c r="N71" s="107">
        <f t="shared" ref="N71:N73" si="57">G71/W71*60</f>
        <v>1027.6595744681131</v>
      </c>
      <c r="O71" s="238">
        <f t="shared" ref="O71:O73" si="58">N71/M71</f>
        <v>73.404255319150934</v>
      </c>
      <c r="P71" s="111">
        <f t="shared" ref="P71:P73" si="59">M71-J71</f>
        <v>-2</v>
      </c>
      <c r="Q71" s="255">
        <f t="shared" ref="Q71:Q73" si="60">O71-L71</f>
        <v>-14.470744680849066</v>
      </c>
      <c r="R71" s="85">
        <f t="shared" si="53"/>
        <v>0.83532580733030937</v>
      </c>
      <c r="S71" s="377"/>
      <c r="T71" s="22">
        <v>0.39930555555555602</v>
      </c>
      <c r="U71" s="22">
        <v>0.43194444444444402</v>
      </c>
      <c r="V71" s="30">
        <f t="shared" ref="V71:V73" si="61">(T71-U70)*24*60</f>
        <v>10.000000000000844</v>
      </c>
      <c r="W71" s="73">
        <f t="shared" si="18"/>
        <v>46.999999999998714</v>
      </c>
      <c r="X71" s="271"/>
      <c r="Y71" s="293"/>
      <c r="Z71" s="90"/>
      <c r="AA71" s="90"/>
      <c r="AB71" s="501"/>
      <c r="AC71" s="502"/>
      <c r="AD71" s="200"/>
      <c r="AE71" s="200"/>
      <c r="AF71" s="317">
        <f t="shared" si="54"/>
        <v>-378.34042553188692</v>
      </c>
      <c r="AG71" s="247">
        <f t="shared" si="55"/>
        <v>0.7309100814140207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1353</v>
      </c>
      <c r="H72" s="361">
        <f>F72*G72</f>
        <v>38235.78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6"/>
        <v>181.77777777777777</v>
      </c>
      <c r="M72" s="94">
        <v>9</v>
      </c>
      <c r="N72" s="107">
        <f t="shared" si="57"/>
        <v>1352.9999999999886</v>
      </c>
      <c r="O72" s="238">
        <f t="shared" si="58"/>
        <v>150.33333333333206</v>
      </c>
      <c r="P72" s="111">
        <f t="shared" si="59"/>
        <v>0</v>
      </c>
      <c r="Q72" s="255">
        <f t="shared" si="60"/>
        <v>-31.444444444445708</v>
      </c>
      <c r="R72" s="85">
        <f t="shared" si="53"/>
        <v>0.82701711491441843</v>
      </c>
      <c r="S72" s="377"/>
      <c r="T72" s="22">
        <v>0.44097222222222199</v>
      </c>
      <c r="U72" s="22">
        <v>0.48263888888888901</v>
      </c>
      <c r="V72" s="30">
        <f t="shared" si="61"/>
        <v>13.000000000000274</v>
      </c>
      <c r="W72" s="73">
        <f t="shared" si="18"/>
        <v>60.000000000000504</v>
      </c>
      <c r="X72" s="272">
        <v>0.49305555555555602</v>
      </c>
      <c r="Y72" s="288">
        <v>0.53472222222222199</v>
      </c>
      <c r="Z72" s="90"/>
      <c r="AA72" s="90"/>
      <c r="AB72" s="388"/>
      <c r="AC72" s="388"/>
      <c r="AD72" s="92"/>
      <c r="AE72" s="92"/>
      <c r="AF72" s="317">
        <f t="shared" si="54"/>
        <v>-283.00000000001137</v>
      </c>
      <c r="AG72" s="247">
        <f t="shared" si="55"/>
        <v>0.82701711491441843</v>
      </c>
      <c r="AH72" s="383"/>
    </row>
    <row r="73" spans="1:36" ht="15" customHeight="1">
      <c r="A73" s="374"/>
      <c r="B73" s="30" t="s">
        <v>81</v>
      </c>
      <c r="C73" s="151"/>
      <c r="D73" s="59" t="s">
        <v>132</v>
      </c>
      <c r="E73" s="87"/>
      <c r="F73" s="250">
        <f>VLOOKUP(D73,廠價表!$C$1:$E$41,3,0)</f>
        <v>50.67</v>
      </c>
      <c r="G73" s="30">
        <v>1378</v>
      </c>
      <c r="H73" s="361">
        <f>F73*G73</f>
        <v>69823.260000000009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 t="shared" si="56"/>
        <v>112.5</v>
      </c>
      <c r="M73" s="94">
        <v>12</v>
      </c>
      <c r="N73" s="107">
        <f t="shared" si="57"/>
        <v>1271.999999999995</v>
      </c>
      <c r="O73" s="238">
        <f t="shared" si="58"/>
        <v>105.99999999999959</v>
      </c>
      <c r="P73" s="111">
        <f t="shared" si="59"/>
        <v>2</v>
      </c>
      <c r="Q73" s="255">
        <f t="shared" si="60"/>
        <v>-6.5000000000004121</v>
      </c>
      <c r="R73" s="85">
        <f t="shared" si="53"/>
        <v>0.94222222222221852</v>
      </c>
      <c r="S73" s="377"/>
      <c r="T73" s="22">
        <v>0.56944444444444398</v>
      </c>
      <c r="U73" s="22">
        <v>0.61458333333333304</v>
      </c>
      <c r="V73" s="30">
        <f t="shared" si="61"/>
        <v>124.99999999999916</v>
      </c>
      <c r="W73" s="73">
        <f t="shared" si="18"/>
        <v>65.000000000000256</v>
      </c>
      <c r="X73" s="22"/>
      <c r="Y73" s="84"/>
      <c r="Z73" s="90"/>
      <c r="AA73" s="90"/>
      <c r="AB73" s="388"/>
      <c r="AC73" s="388"/>
      <c r="AD73" s="92"/>
      <c r="AE73" s="92"/>
      <c r="AF73" s="317">
        <f t="shared" si="54"/>
        <v>146.999999999995</v>
      </c>
      <c r="AG73" s="247">
        <f t="shared" si="55"/>
        <v>1.1306666666666623</v>
      </c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8"/>
        <v>0</v>
      </c>
      <c r="X74" s="22"/>
      <c r="Y74" s="84"/>
      <c r="Z74" s="90"/>
      <c r="AA74" s="90"/>
      <c r="AB74" s="388"/>
      <c r="AC74" s="388"/>
      <c r="AD74" s="92"/>
      <c r="AE74" s="92"/>
      <c r="AF74" s="317">
        <f t="shared" si="54"/>
        <v>0</v>
      </c>
      <c r="AG74" s="247" t="e">
        <f t="shared" si="55"/>
        <v>#DIV/0!</v>
      </c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8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2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3">AVERAGE(J70:J78)</f>
        <v>11.25</v>
      </c>
      <c r="K79" s="240">
        <f t="shared" si="63"/>
        <v>1323</v>
      </c>
      <c r="L79" s="268">
        <f t="shared" si="63"/>
        <v>123.66319444444444</v>
      </c>
      <c r="M79" s="240">
        <f t="shared" si="63"/>
        <v>11</v>
      </c>
      <c r="N79" s="240">
        <f t="shared" si="63"/>
        <v>1132.3413642052587</v>
      </c>
      <c r="O79" s="268">
        <f t="shared" si="63"/>
        <v>106.78733833959113</v>
      </c>
      <c r="P79" s="269">
        <f>M79-J79</f>
        <v>-0.25</v>
      </c>
      <c r="Q79" s="222">
        <f>N79-K79</f>
        <v>-190.65863579474126</v>
      </c>
      <c r="R79" s="223">
        <f>O79/L79</f>
        <v>0.86353372011237528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-190.65863579474126</v>
      </c>
      <c r="AG79" s="124">
        <f>N79/K79</f>
        <v>0.85588916417631045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P3:P4"/>
    <mergeCell ref="Q3:Q4"/>
    <mergeCell ref="R3:R4"/>
    <mergeCell ref="AB25:AC25"/>
    <mergeCell ref="AB15:AC15"/>
    <mergeCell ref="AH5:AH15"/>
    <mergeCell ref="AB3:AC4"/>
    <mergeCell ref="AD3:AE3"/>
    <mergeCell ref="AF3:AF4"/>
    <mergeCell ref="AG3:AG4"/>
    <mergeCell ref="AH3:AH4"/>
    <mergeCell ref="T3:U3"/>
    <mergeCell ref="A5:A15"/>
    <mergeCell ref="S5:S15"/>
    <mergeCell ref="AB13:AC13"/>
    <mergeCell ref="AB5:AC5"/>
    <mergeCell ref="AB20:AC20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D15:E15"/>
    <mergeCell ref="A16:A26"/>
    <mergeCell ref="S16:S26"/>
    <mergeCell ref="AB16:AC16"/>
    <mergeCell ref="D26:E26"/>
    <mergeCell ref="AB26:AC26"/>
    <mergeCell ref="AB21:AC21"/>
    <mergeCell ref="AB22:AC22"/>
    <mergeCell ref="AB23:AC23"/>
    <mergeCell ref="AB24:AC2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A2:B2"/>
    <mergeCell ref="A3:A4"/>
    <mergeCell ref="B3:B4"/>
    <mergeCell ref="D3:E4"/>
    <mergeCell ref="F3:F4"/>
    <mergeCell ref="AB1:AC2"/>
    <mergeCell ref="W3:W4"/>
    <mergeCell ref="X3:Y3"/>
    <mergeCell ref="Z3:AA3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D99FF1-1BAF-45D4-9DB4-D0380A9E0D7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2F16-35C8-48CA-B1CA-A1C7809AE484}">
  <dimension ref="B1:O26"/>
  <sheetViews>
    <sheetView topLeftCell="A7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46093</v>
      </c>
      <c r="E3" s="466"/>
      <c r="F3" s="3" t="s">
        <v>72</v>
      </c>
      <c r="G3" s="467">
        <f>'0312'!E1</f>
        <v>49076</v>
      </c>
      <c r="H3" s="467"/>
      <c r="I3" s="3" t="s">
        <v>2</v>
      </c>
      <c r="J3" s="468">
        <f>'0312'!G1</f>
        <v>2277041.8600000003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126.72205736898488</v>
      </c>
      <c r="G6" s="473"/>
      <c r="H6" s="474">
        <f>AVERAGE(D13:H13,J13)</f>
        <v>124.38424499316041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13</v>
      </c>
      <c r="O6" s="477">
        <f>SUM(D20:J20)</f>
        <v>13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113.75004571538118</v>
      </c>
      <c r="G7" s="497"/>
      <c r="H7" s="498">
        <f>AVERAGE(D14:H14,J14)</f>
        <v>111.66476999233168</v>
      </c>
      <c r="I7" s="498"/>
      <c r="J7" s="498">
        <f>AVERAGE(I14)</f>
        <v>126.26170005367813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0.8976341457601793</v>
      </c>
      <c r="G8" s="470"/>
      <c r="H8" s="470">
        <f>H7/H6</f>
        <v>0.89774046543010222</v>
      </c>
      <c r="I8" s="470"/>
      <c r="J8" s="470">
        <f>J7/J6</f>
        <v>0.89707039760016027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VALUE('0312'!L15)</f>
        <v>152.31837606837607</v>
      </c>
      <c r="E13" s="13">
        <f>VALUE('0312'!L26)</f>
        <v>183.0587121212121</v>
      </c>
      <c r="F13" s="13">
        <f>VALUE('0312'!L37)</f>
        <v>88.77481617647058</v>
      </c>
      <c r="G13" s="13">
        <f>VALUE('0312'!L48)</f>
        <v>92.058823529411768</v>
      </c>
      <c r="H13" s="13">
        <f>VALUE('0312'!L58)</f>
        <v>106.43154761904762</v>
      </c>
      <c r="I13" s="13">
        <f>VALUE('0312'!L69)</f>
        <v>140.74893162393164</v>
      </c>
      <c r="J13" s="13">
        <f>'0312'!L79</f>
        <v>123.66319444444444</v>
      </c>
    </row>
    <row r="14" spans="2:15" ht="39.950000000000003" customHeight="1">
      <c r="B14" s="491"/>
      <c r="C14" s="12" t="s">
        <v>100</v>
      </c>
      <c r="D14" s="13">
        <f>VALUE('0312'!O15)</f>
        <v>141.20139323188155</v>
      </c>
      <c r="E14" s="13">
        <f>VALUE('0312'!O26)</f>
        <v>165.9228849976858</v>
      </c>
      <c r="F14" s="13">
        <f>VALUE('0312'!O37)</f>
        <v>79.149779040404212</v>
      </c>
      <c r="G14" s="13">
        <f>VALUE('0312'!O48)</f>
        <v>80.718579243821793</v>
      </c>
      <c r="H14" s="13">
        <f>VALUE('0312'!O58)</f>
        <v>91.558126355213489</v>
      </c>
      <c r="I14" s="13">
        <f>VALUE('0312'!O69)</f>
        <v>126.26170005367813</v>
      </c>
      <c r="J14" s="13">
        <f>'0312'!O79</f>
        <v>111.43785708498318</v>
      </c>
    </row>
    <row r="15" spans="2:15" ht="39.950000000000003" customHeight="1">
      <c r="B15" s="492"/>
      <c r="C15" s="10" t="s">
        <v>26</v>
      </c>
      <c r="D15" s="14">
        <f>D14/D13</f>
        <v>0.92701482826009074</v>
      </c>
      <c r="E15" s="14">
        <f t="shared" ref="E15:I15" si="1">E14/E13</f>
        <v>0.90639163290857294</v>
      </c>
      <c r="F15" s="14">
        <f t="shared" si="1"/>
        <v>0.8915791938455464</v>
      </c>
      <c r="G15" s="14">
        <f t="shared" si="1"/>
        <v>0.87681523779231341</v>
      </c>
      <c r="H15" s="14">
        <f t="shared" si="1"/>
        <v>0.86025364098743695</v>
      </c>
      <c r="I15" s="14">
        <f t="shared" si="1"/>
        <v>0.89707039760016027</v>
      </c>
      <c r="J15" s="15">
        <f>'0312'!S70</f>
        <v>0.90114004886916066</v>
      </c>
    </row>
    <row r="16" spans="2:15" ht="17.25" customHeight="1">
      <c r="B16" s="493" t="s">
        <v>101</v>
      </c>
      <c r="C16" s="10" t="s">
        <v>34</v>
      </c>
      <c r="D16" s="16">
        <f>'0312'!T5</f>
        <v>0.29166666666666702</v>
      </c>
      <c r="E16" s="16">
        <f>'0312'!T16</f>
        <v>0.29027777777777802</v>
      </c>
      <c r="F16" s="16">
        <f>'0312'!T27</f>
        <v>0.29027777777777802</v>
      </c>
      <c r="G16" s="16">
        <f>'0312'!T38</f>
        <v>0.33333333333333298</v>
      </c>
      <c r="H16" s="16">
        <f>'0312'!T49</f>
        <v>0.28819444444444398</v>
      </c>
      <c r="I16" s="16">
        <f>'0312'!T59</f>
        <v>0.29027777777777802</v>
      </c>
      <c r="J16" s="16">
        <f>'0312'!T70</f>
        <v>0.33333333333333298</v>
      </c>
    </row>
    <row r="17" spans="2:10" ht="17.25" customHeight="1">
      <c r="B17" s="494"/>
      <c r="C17" s="10" t="s">
        <v>35</v>
      </c>
      <c r="D17" s="16">
        <v>0.46875</v>
      </c>
      <c r="E17" s="19">
        <v>0.59722222222222199</v>
      </c>
      <c r="F17" s="19">
        <v>0.56041666666666701</v>
      </c>
      <c r="G17" s="20">
        <v>0.57291666666666696</v>
      </c>
      <c r="H17" s="21">
        <v>0.57430555555555596</v>
      </c>
      <c r="I17" s="22">
        <v>0.61319444444444404</v>
      </c>
      <c r="J17" s="22">
        <v>0.60069444444444398</v>
      </c>
    </row>
    <row r="18" spans="2:10" ht="17.25" customHeight="1">
      <c r="B18" s="495" t="s">
        <v>102</v>
      </c>
      <c r="C18" s="330" t="s">
        <v>36</v>
      </c>
      <c r="D18" s="358">
        <f>'0312'!Z15</f>
        <v>0</v>
      </c>
      <c r="E18" s="359">
        <f>'0312'!Z26</f>
        <v>0</v>
      </c>
      <c r="F18" s="359">
        <f>'0312'!Z37</f>
        <v>0</v>
      </c>
      <c r="G18" s="360">
        <f>'0312'!Z48</f>
        <v>0</v>
      </c>
      <c r="H18" s="360">
        <f>'0312'!Z58</f>
        <v>0</v>
      </c>
      <c r="I18" s="359">
        <f>'0312'!Z69</f>
        <v>0</v>
      </c>
      <c r="J18" s="359">
        <f>'0312'!AA79</f>
        <v>0</v>
      </c>
    </row>
    <row r="19" spans="2:10" ht="17.25" customHeight="1">
      <c r="B19" s="496"/>
      <c r="C19" s="330" t="s">
        <v>37</v>
      </c>
      <c r="D19" s="358">
        <f>'0312'!AA15</f>
        <v>0</v>
      </c>
      <c r="E19" s="359">
        <f>'0312'!AA26</f>
        <v>0</v>
      </c>
      <c r="F19" s="359">
        <f>'0312'!AA37</f>
        <v>0</v>
      </c>
      <c r="G19" s="360">
        <f>'0312'!AA48</f>
        <v>0</v>
      </c>
      <c r="H19" s="360">
        <f>'0312'!AA58</f>
        <v>0</v>
      </c>
      <c r="I19" s="359">
        <f>'0312'!AA69</f>
        <v>0</v>
      </c>
      <c r="J19" s="359">
        <f>'0312'!AB79</f>
        <v>0</v>
      </c>
    </row>
    <row r="20" spans="2:10" ht="17.25" customHeight="1">
      <c r="B20" s="495" t="s">
        <v>103</v>
      </c>
      <c r="C20" s="330" t="s">
        <v>36</v>
      </c>
      <c r="D20" s="358">
        <f>'0312'!AD15</f>
        <v>3</v>
      </c>
      <c r="E20" s="359">
        <f>'0312'!AD26</f>
        <v>10</v>
      </c>
      <c r="F20" s="359">
        <f>'0312'!AD37</f>
        <v>0</v>
      </c>
      <c r="G20" s="360">
        <f>'0312'!AD48</f>
        <v>0</v>
      </c>
      <c r="H20" s="360">
        <f>'0312'!AD58</f>
        <v>0</v>
      </c>
      <c r="I20" s="359">
        <f>'0312'!AD69</f>
        <v>0</v>
      </c>
      <c r="J20" s="359">
        <f>'0312'!AD79</f>
        <v>0</v>
      </c>
    </row>
    <row r="21" spans="2:10" ht="17.25" customHeight="1">
      <c r="B21" s="496"/>
      <c r="C21" s="330" t="s">
        <v>85</v>
      </c>
      <c r="D21" s="358">
        <f>'0312'!AE15</f>
        <v>3</v>
      </c>
      <c r="E21" s="359">
        <f>'0312'!AE26</f>
        <v>11</v>
      </c>
      <c r="F21" s="359">
        <f>'0312'!AE37</f>
        <v>0</v>
      </c>
      <c r="G21" s="360">
        <f>'0312'!AE48</f>
        <v>0</v>
      </c>
      <c r="H21" s="360">
        <f>'0312'!AE58</f>
        <v>0</v>
      </c>
      <c r="I21" s="359">
        <f>'0312'!AE69</f>
        <v>0</v>
      </c>
      <c r="J21" s="359">
        <f>'0312'!AE79</f>
        <v>0</v>
      </c>
    </row>
    <row r="22" spans="2:10" ht="17.25" customHeight="1">
      <c r="B22" s="479" t="s">
        <v>104</v>
      </c>
      <c r="C22" s="480"/>
      <c r="D22" s="23">
        <f>VALUE('0312'!M15)</f>
        <v>13.333333333333334</v>
      </c>
      <c r="E22" s="23">
        <f>VALUE('0312'!M26)</f>
        <v>11.5</v>
      </c>
      <c r="F22" s="23">
        <f>VALUE('0312'!M37)</f>
        <v>16</v>
      </c>
      <c r="G22" s="23">
        <f>VALUE('0312'!M48)</f>
        <v>17</v>
      </c>
      <c r="H22" s="23">
        <f>VALUE('0312'!M58)</f>
        <v>15.75</v>
      </c>
      <c r="I22" s="23">
        <f>VALUE('0312'!M69)</f>
        <v>11.5</v>
      </c>
      <c r="J22" s="23">
        <f>'0312'!M79</f>
        <v>11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4FC1-1241-45C6-AD90-117742462D5B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49076</v>
      </c>
      <c r="F1" s="30" t="s">
        <v>2</v>
      </c>
      <c r="G1" s="31">
        <f>SUM(H5:H79)</f>
        <v>2277041.8600000003</v>
      </c>
      <c r="H1" s="32" t="s">
        <v>3</v>
      </c>
      <c r="I1" s="33">
        <f>M15+M26+M48+M58+M69+M79+M37</f>
        <v>96.083333333333343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160</v>
      </c>
      <c r="B2" s="447"/>
      <c r="C2" s="28"/>
      <c r="D2" s="28" t="s">
        <v>14</v>
      </c>
      <c r="E2" s="35">
        <f>AVERAGE(O15,O26,O37,O48,O58,O69,O79)</f>
        <v>113.75004571538118</v>
      </c>
      <c r="F2" s="36" t="s">
        <v>15</v>
      </c>
      <c r="G2" s="37">
        <f>G1/E1</f>
        <v>46.398277365718485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13</v>
      </c>
      <c r="AE2" s="340">
        <f>AE15+AE26+AE37+AE48+AE58+AE69+AE79</f>
        <v>14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f>1777+16</f>
        <v>1793</v>
      </c>
      <c r="H5" s="43">
        <f>F5*G5</f>
        <v>102577.53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7" si="0">K5/J5</f>
        <v>175.41666666666666</v>
      </c>
      <c r="M5" s="48">
        <v>12</v>
      </c>
      <c r="N5" s="46">
        <f t="shared" ref="N5:N7" si="1">G5/W5*60</f>
        <v>2068.8461538461611</v>
      </c>
      <c r="O5" s="47">
        <f t="shared" ref="O5:O7" si="2">N5/M5</f>
        <v>172.40384615384676</v>
      </c>
      <c r="P5" s="49">
        <f t="shared" ref="P5:P7" si="3">M5-J5</f>
        <v>0</v>
      </c>
      <c r="Q5" s="50">
        <f t="shared" ref="Q5:Q7" si="4">O5-L5</f>
        <v>-3.0128205128198999</v>
      </c>
      <c r="R5" s="51">
        <f>O5/L5</f>
        <v>0.98282477617394837</v>
      </c>
      <c r="S5" s="376">
        <f>R15</f>
        <v>0.92701482826009074</v>
      </c>
      <c r="T5" s="319">
        <v>0.29166666666666702</v>
      </c>
      <c r="U5" s="320">
        <v>0.327777777777778</v>
      </c>
      <c r="V5" s="53"/>
      <c r="W5" s="54">
        <f t="shared" ref="W5:W14" si="5">(U5-T5)*24*60</f>
        <v>51.999999999999815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7" si="6">N5-K5</f>
        <v>-36.153846153838913</v>
      </c>
      <c r="AG5" s="52">
        <f t="shared" ref="AG5:AG7" si="7">N5/K5</f>
        <v>0.98282477617394826</v>
      </c>
      <c r="AH5" s="382">
        <f>AG15</f>
        <v>0.92261517875539067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1055</v>
      </c>
      <c r="H6" s="78">
        <f>F6*G6</f>
        <v>59375.4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1543.9024390244047</v>
      </c>
      <c r="O6" s="81">
        <f t="shared" si="2"/>
        <v>102.92682926829364</v>
      </c>
      <c r="P6" s="74">
        <f t="shared" si="3"/>
        <v>0</v>
      </c>
      <c r="Q6" s="83">
        <f t="shared" si="4"/>
        <v>-17.073170731706355</v>
      </c>
      <c r="R6" s="72">
        <f>O6/L6</f>
        <v>0.85772357723578041</v>
      </c>
      <c r="S6" s="377"/>
      <c r="T6" s="18">
        <v>0.33680555555555602</v>
      </c>
      <c r="U6" s="18">
        <v>0.36527777777777798</v>
      </c>
      <c r="V6" s="30">
        <f>(T6-U5)*24*60</f>
        <v>13.000000000000353</v>
      </c>
      <c r="W6" s="73">
        <f t="shared" si="5"/>
        <v>40.999999999999616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-256.09756097559534</v>
      </c>
      <c r="AG6" s="72">
        <f t="shared" si="7"/>
        <v>0.85772357723578041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4337</v>
      </c>
      <c r="H7" s="78">
        <f>F7*G7</f>
        <v>213120.18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1927.5555555555557</v>
      </c>
      <c r="O7" s="81">
        <f t="shared" si="2"/>
        <v>148.27350427350427</v>
      </c>
      <c r="P7" s="74">
        <f t="shared" si="3"/>
        <v>0</v>
      </c>
      <c r="Q7" s="83">
        <f t="shared" si="4"/>
        <v>-13.264957264957275</v>
      </c>
      <c r="R7" s="72">
        <f>O7/L7</f>
        <v>0.91788359788359786</v>
      </c>
      <c r="S7" s="377"/>
      <c r="T7" s="16">
        <v>0.375</v>
      </c>
      <c r="U7" s="16">
        <v>0.46875</v>
      </c>
      <c r="V7" s="30">
        <f>(T7-U6)*24*60</f>
        <v>13.99999999999971</v>
      </c>
      <c r="W7" s="73">
        <f t="shared" si="5"/>
        <v>135</v>
      </c>
      <c r="X7" s="22"/>
      <c r="Y7" s="84"/>
      <c r="Z7" s="90"/>
      <c r="AA7" s="90"/>
      <c r="AB7" s="388" t="s">
        <v>148</v>
      </c>
      <c r="AC7" s="388"/>
      <c r="AD7" s="92">
        <v>3</v>
      </c>
      <c r="AE7" s="92">
        <v>3</v>
      </c>
      <c r="AF7" s="307">
        <f t="shared" si="6"/>
        <v>-172.44444444444434</v>
      </c>
      <c r="AG7" s="72">
        <f t="shared" si="7"/>
        <v>0.91788359788359797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5"/>
        <v>0</v>
      </c>
      <c r="X8" s="22">
        <v>0.47916666666666702</v>
      </c>
      <c r="Y8" s="84">
        <v>0.52083333333333304</v>
      </c>
      <c r="Z8" s="90"/>
      <c r="AA8" s="90"/>
      <c r="AB8" s="501"/>
      <c r="AC8" s="502"/>
      <c r="AD8" s="149"/>
      <c r="AE8" s="149"/>
      <c r="AF8" s="307"/>
      <c r="AG8" s="72"/>
      <c r="AH8" s="384"/>
    </row>
    <row r="9" spans="1:34" ht="15" customHeight="1">
      <c r="A9" s="424"/>
      <c r="B9" s="75"/>
      <c r="C9" s="7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22"/>
      <c r="U9" s="22"/>
      <c r="V9" s="30"/>
      <c r="W9" s="73">
        <f t="shared" si="5"/>
        <v>0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8">AVERAGE(J5:J14)</f>
        <v>13.333333333333334</v>
      </c>
      <c r="K15" s="120">
        <f t="shared" si="8"/>
        <v>2001.6666666666667</v>
      </c>
      <c r="L15" s="117">
        <f t="shared" si="8"/>
        <v>152.31837606837607</v>
      </c>
      <c r="M15" s="120">
        <f t="shared" si="8"/>
        <v>13.333333333333334</v>
      </c>
      <c r="N15" s="120">
        <f t="shared" si="8"/>
        <v>1846.7680494753738</v>
      </c>
      <c r="O15" s="117">
        <f t="shared" si="8"/>
        <v>141.20139323188155</v>
      </c>
      <c r="P15" s="121">
        <f t="shared" ref="P15:P19" si="9">M15-J15</f>
        <v>0</v>
      </c>
      <c r="Q15" s="122">
        <f t="shared" ref="Q15:Q19" si="10">O15-L15</f>
        <v>-11.116982836494515</v>
      </c>
      <c r="R15" s="123">
        <f t="shared" ref="R15:R19" si="11">O15/L15</f>
        <v>0.92701482826009074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3</v>
      </c>
      <c r="AE15" s="323">
        <f>SUM(AE5:AE14)</f>
        <v>3</v>
      </c>
      <c r="AF15" s="309">
        <f t="shared" ref="AF15:AF19" si="12">N15-K15</f>
        <v>-154.89861719129294</v>
      </c>
      <c r="AG15" s="124">
        <f t="shared" ref="AG15:AG19" si="13">N15/K15</f>
        <v>0.92261517875539067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1556</v>
      </c>
      <c r="H16" s="134">
        <f>F16*G16</f>
        <v>89018.76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4">K16/J16</f>
        <v>175.41666666666666</v>
      </c>
      <c r="M16" s="139">
        <v>12</v>
      </c>
      <c r="N16" s="140">
        <f t="shared" ref="N16:N19" si="15">G16/W16*60</f>
        <v>1986.3829787233979</v>
      </c>
      <c r="O16" s="141">
        <f>N16/M16</f>
        <v>165.53191489361649</v>
      </c>
      <c r="P16" s="142">
        <f>M16-J16</f>
        <v>0</v>
      </c>
      <c r="Q16" s="143">
        <f t="shared" si="10"/>
        <v>-9.8847517730501693</v>
      </c>
      <c r="R16" s="144">
        <f>O16/L16</f>
        <v>0.94364987112750498</v>
      </c>
      <c r="S16" s="413">
        <f>R26</f>
        <v>0.90639163290857294</v>
      </c>
      <c r="T16" s="145">
        <v>0.29027777777777802</v>
      </c>
      <c r="U16" s="145">
        <v>0.32291666666666702</v>
      </c>
      <c r="V16" s="135"/>
      <c r="W16" s="146">
        <f t="shared" ref="W16:W78" si="16">(U16-T16)*24*60</f>
        <v>47.000000000000156</v>
      </c>
      <c r="X16" s="141"/>
      <c r="Y16" s="296"/>
      <c r="Z16" s="169"/>
      <c r="AA16" s="169"/>
      <c r="AB16" s="381" t="s">
        <v>161</v>
      </c>
      <c r="AC16" s="381"/>
      <c r="AD16" s="135"/>
      <c r="AE16" s="135"/>
      <c r="AF16" s="229">
        <f t="shared" si="12"/>
        <v>-118.61702127660215</v>
      </c>
      <c r="AG16" s="52">
        <f t="shared" si="13"/>
        <v>0.94364987112750487</v>
      </c>
      <c r="AH16" s="382">
        <f>AG26</f>
        <v>0.9066421045782066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3608</v>
      </c>
      <c r="H17" s="78">
        <f>F17*G17</f>
        <v>182817.36000000002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4"/>
        <v>175</v>
      </c>
      <c r="M17" s="148">
        <v>12</v>
      </c>
      <c r="N17" s="95">
        <f>G17/W17*60</f>
        <v>1850.2564102564106</v>
      </c>
      <c r="O17" s="96">
        <f t="shared" ref="O17:O19" si="17">N17/M17</f>
        <v>154.18803418803421</v>
      </c>
      <c r="P17" s="97">
        <f t="shared" si="9"/>
        <v>0</v>
      </c>
      <c r="Q17" s="98">
        <f t="shared" si="10"/>
        <v>-20.811965811965791</v>
      </c>
      <c r="R17" s="99">
        <f t="shared" si="11"/>
        <v>0.88107448107448116</v>
      </c>
      <c r="S17" s="414"/>
      <c r="T17" s="19">
        <v>0.33680555555555602</v>
      </c>
      <c r="U17" s="19">
        <v>0.41805555555555601</v>
      </c>
      <c r="V17" s="30">
        <f>(T17-U16)*24*60</f>
        <v>20.000000000000171</v>
      </c>
      <c r="W17" s="149">
        <f t="shared" si="16"/>
        <v>116.99999999999999</v>
      </c>
      <c r="X17" s="19"/>
      <c r="Y17" s="297"/>
      <c r="Z17" s="90"/>
      <c r="AA17" s="90"/>
      <c r="AB17" s="504"/>
      <c r="AC17" s="505"/>
      <c r="AD17" s="92"/>
      <c r="AE17" s="92"/>
      <c r="AF17" s="307">
        <f t="shared" si="12"/>
        <v>-249.74358974358938</v>
      </c>
      <c r="AG17" s="72">
        <f t="shared" si="13"/>
        <v>0.88107448107448127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1973</v>
      </c>
      <c r="H18" s="78">
        <f>F18*G18</f>
        <v>99419.47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4"/>
        <v>190.90909090909091</v>
      </c>
      <c r="M18" s="148">
        <v>11</v>
      </c>
      <c r="N18" s="95">
        <f t="shared" si="15"/>
        <v>1849.6875000000182</v>
      </c>
      <c r="O18" s="96">
        <f t="shared" si="17"/>
        <v>168.15340909091074</v>
      </c>
      <c r="P18" s="97">
        <f t="shared" si="9"/>
        <v>0</v>
      </c>
      <c r="Q18" s="98">
        <f t="shared" si="10"/>
        <v>-22.755681818180165</v>
      </c>
      <c r="R18" s="99">
        <f t="shared" si="11"/>
        <v>0.88080357142858012</v>
      </c>
      <c r="S18" s="414"/>
      <c r="T18" s="19">
        <v>0.42499999999999999</v>
      </c>
      <c r="U18" s="19">
        <v>0.469444444444444</v>
      </c>
      <c r="V18" s="30">
        <f>(T18-U17)*24*60</f>
        <v>9.999999999999325</v>
      </c>
      <c r="W18" s="149">
        <f t="shared" si="16"/>
        <v>63.999999999999375</v>
      </c>
      <c r="X18" s="22">
        <v>0.47916666666666702</v>
      </c>
      <c r="Y18" s="84">
        <v>0.52083333333333304</v>
      </c>
      <c r="Z18" s="90"/>
      <c r="AA18" s="90"/>
      <c r="AB18" s="388" t="s">
        <v>148</v>
      </c>
      <c r="AC18" s="388"/>
      <c r="AD18" s="92">
        <v>10</v>
      </c>
      <c r="AE18" s="92">
        <v>11</v>
      </c>
      <c r="AF18" s="307">
        <f t="shared" si="12"/>
        <v>-250.31249999998181</v>
      </c>
      <c r="AG18" s="72">
        <f t="shared" si="13"/>
        <v>0.88080357142858012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2901</v>
      </c>
      <c r="H19" s="78">
        <f>F19*G19</f>
        <v>146181.39000000001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4"/>
        <v>190.90909090909091</v>
      </c>
      <c r="M19" s="148">
        <v>11</v>
      </c>
      <c r="N19" s="95">
        <f t="shared" si="15"/>
        <v>1934</v>
      </c>
      <c r="O19" s="96">
        <f t="shared" si="17"/>
        <v>175.81818181818181</v>
      </c>
      <c r="P19" s="97">
        <f t="shared" si="9"/>
        <v>0</v>
      </c>
      <c r="Q19" s="98">
        <f t="shared" si="10"/>
        <v>-15.090909090909093</v>
      </c>
      <c r="R19" s="99">
        <f t="shared" si="11"/>
        <v>0.92095238095238097</v>
      </c>
      <c r="S19" s="414"/>
      <c r="T19" s="19">
        <v>0.53472222222222199</v>
      </c>
      <c r="U19" s="19">
        <v>0.59722222222222199</v>
      </c>
      <c r="V19" s="30">
        <f>(T19-U18)*24*60</f>
        <v>94.000000000000313</v>
      </c>
      <c r="W19" s="149">
        <f t="shared" si="16"/>
        <v>90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2"/>
        <v>-166</v>
      </c>
      <c r="AG19" s="72">
        <f t="shared" si="13"/>
        <v>0.92095238095238097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6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6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6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8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6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8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6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19">AVERAGE(J16:J25)</f>
        <v>11.5</v>
      </c>
      <c r="K26" s="155">
        <f t="shared" si="19"/>
        <v>2101.25</v>
      </c>
      <c r="L26" s="158">
        <f t="shared" si="19"/>
        <v>183.0587121212121</v>
      </c>
      <c r="M26" s="155">
        <f t="shared" si="19"/>
        <v>11.5</v>
      </c>
      <c r="N26" s="155">
        <f t="shared" si="19"/>
        <v>1905.0817222449566</v>
      </c>
      <c r="O26" s="158">
        <f t="shared" si="19"/>
        <v>165.9228849976858</v>
      </c>
      <c r="P26" s="159">
        <f t="shared" ref="P26:P29" si="20">M26-J26</f>
        <v>0</v>
      </c>
      <c r="Q26" s="160">
        <f t="shared" ref="Q26:Q29" si="21">O26-L26</f>
        <v>-17.135827123526298</v>
      </c>
      <c r="R26" s="161">
        <f>O26/L26</f>
        <v>0.90639163290857294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10</v>
      </c>
      <c r="AE26" s="323">
        <f>SUM(AE16:AE25)</f>
        <v>11</v>
      </c>
      <c r="AF26" s="309">
        <f t="shared" ref="AF26:AF29" si="22">N26-K26</f>
        <v>-196.16827775504339</v>
      </c>
      <c r="AG26" s="124">
        <f t="shared" ref="AG26:AG29" si="23">N26/K26</f>
        <v>0.9066421045782066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3052</v>
      </c>
      <c r="H27" s="134">
        <f>F27*G27</f>
        <v>177534.84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9" si="24">K27/J27</f>
        <v>97.8125</v>
      </c>
      <c r="M27" s="170">
        <v>16</v>
      </c>
      <c r="N27" s="140">
        <f>G27/W27*60</f>
        <v>1526.0000000000064</v>
      </c>
      <c r="O27" s="141">
        <f>N27/M27</f>
        <v>95.375000000000398</v>
      </c>
      <c r="P27" s="142">
        <f t="shared" si="20"/>
        <v>0</v>
      </c>
      <c r="Q27" s="143">
        <f t="shared" si="21"/>
        <v>-2.4374999999996021</v>
      </c>
      <c r="R27" s="144">
        <f>O27/L27</f>
        <v>0.97507987220447689</v>
      </c>
      <c r="S27" s="413">
        <f>R37</f>
        <v>0.8915791938455464</v>
      </c>
      <c r="T27" s="171">
        <v>0.29027777777777802</v>
      </c>
      <c r="U27" s="171">
        <v>0.37361111111111101</v>
      </c>
      <c r="V27" s="135"/>
      <c r="W27" s="146">
        <f t="shared" si="16"/>
        <v>119.99999999999949</v>
      </c>
      <c r="X27" s="135"/>
      <c r="Y27" s="300" t="s">
        <v>46</v>
      </c>
      <c r="Z27" s="169"/>
      <c r="AA27" s="169"/>
      <c r="AB27" s="388"/>
      <c r="AC27" s="388"/>
      <c r="AD27" s="135"/>
      <c r="AE27" s="135"/>
      <c r="AF27" s="310">
        <f t="shared" si="22"/>
        <v>-38.999999999993634</v>
      </c>
      <c r="AG27" s="172">
        <f t="shared" si="23"/>
        <v>0.97507987220447689</v>
      </c>
      <c r="AH27" s="382">
        <f>AG37</f>
        <v>0.86576411871233461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1630</v>
      </c>
      <c r="H28" s="91">
        <f>F28*G28</f>
        <v>80717.600000000006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4"/>
        <v>84.705882352941174</v>
      </c>
      <c r="M28" s="94">
        <v>16</v>
      </c>
      <c r="N28" s="95">
        <f>G28/W28*60</f>
        <v>1111.3636363636201</v>
      </c>
      <c r="O28" s="96">
        <f>N28/M28</f>
        <v>69.460227272726257</v>
      </c>
      <c r="P28" s="97">
        <f t="shared" si="20"/>
        <v>-1</v>
      </c>
      <c r="Q28" s="98">
        <f t="shared" si="21"/>
        <v>-15.245655080214917</v>
      </c>
      <c r="R28" s="99">
        <f>O28/L28</f>
        <v>0.82001657196968503</v>
      </c>
      <c r="S28" s="414"/>
      <c r="T28" s="19">
        <v>0.38194444444444398</v>
      </c>
      <c r="U28" s="19">
        <v>0.44305555555555598</v>
      </c>
      <c r="V28" s="92">
        <f>(T28-U27)*24*60</f>
        <v>11.999999999999478</v>
      </c>
      <c r="W28" s="149">
        <f t="shared" si="16"/>
        <v>88.000000000001279</v>
      </c>
      <c r="X28" s="174"/>
      <c r="Y28" s="301"/>
      <c r="Z28" s="335"/>
      <c r="AA28" s="335"/>
      <c r="AD28" s="92"/>
      <c r="AE28" s="92"/>
      <c r="AF28" s="311">
        <f t="shared" si="22"/>
        <v>-328.63636363637988</v>
      </c>
      <c r="AG28" s="99">
        <f t="shared" si="23"/>
        <v>0.77178030303029177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f>390+203</f>
        <v>593</v>
      </c>
      <c r="H29" s="91">
        <f>F29*G29</f>
        <v>33462.99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4"/>
        <v>87.875</v>
      </c>
      <c r="M29" s="94">
        <v>16</v>
      </c>
      <c r="N29" s="95">
        <f>G29/W29*60</f>
        <v>1186.0000000000232</v>
      </c>
      <c r="O29" s="96">
        <f>N29/M29</f>
        <v>74.12500000000145</v>
      </c>
      <c r="P29" s="97">
        <f t="shared" si="20"/>
        <v>0</v>
      </c>
      <c r="Q29" s="98">
        <f t="shared" si="21"/>
        <v>-13.74999999999855</v>
      </c>
      <c r="R29" s="99">
        <f>O29/L29</f>
        <v>0.84352773826459682</v>
      </c>
      <c r="S29" s="414"/>
      <c r="T29" s="19">
        <v>0.51736111111111105</v>
      </c>
      <c r="U29" s="19">
        <v>0.53819444444444398</v>
      </c>
      <c r="V29" s="92">
        <f>(T29-U28)*24*60</f>
        <v>106.9999999999993</v>
      </c>
      <c r="W29" s="149">
        <f t="shared" si="16"/>
        <v>29.999999999999414</v>
      </c>
      <c r="X29" s="174">
        <v>0.45833333333333298</v>
      </c>
      <c r="Y29" s="301">
        <v>0.5</v>
      </c>
      <c r="Z29" s="90"/>
      <c r="AA29" s="90"/>
      <c r="AB29" s="388"/>
      <c r="AC29" s="388"/>
      <c r="AD29" s="92"/>
      <c r="AE29" s="92"/>
      <c r="AF29" s="312">
        <f t="shared" si="22"/>
        <v>-219.99999999997681</v>
      </c>
      <c r="AG29" s="99">
        <f t="shared" si="23"/>
        <v>0.84352773826459682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559</v>
      </c>
      <c r="H30" s="91">
        <f>F30*G30</f>
        <v>27681.68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>K30/J30</f>
        <v>84.705882352941174</v>
      </c>
      <c r="M30" s="94">
        <v>16</v>
      </c>
      <c r="N30" s="95">
        <f>G30/W30*60</f>
        <v>1242.2222222222194</v>
      </c>
      <c r="O30" s="96">
        <f>N30/M30</f>
        <v>77.638888888888715</v>
      </c>
      <c r="P30" s="97">
        <f>M30-J30</f>
        <v>-1</v>
      </c>
      <c r="Q30" s="98">
        <f>O30-L30</f>
        <v>-7.0669934640524588</v>
      </c>
      <c r="R30" s="99">
        <f>O30/L30</f>
        <v>0.91657021604938071</v>
      </c>
      <c r="S30" s="414"/>
      <c r="T30" s="19">
        <v>0.54166666666666696</v>
      </c>
      <c r="U30" s="19">
        <v>0.56041666666666701</v>
      </c>
      <c r="V30" s="92">
        <f>(T30-U29)*24*60</f>
        <v>5.0000000000011013</v>
      </c>
      <c r="W30" s="149">
        <f t="shared" si="16"/>
        <v>27.000000000000064</v>
      </c>
      <c r="X30" s="174"/>
      <c r="Y30" s="301"/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6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6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6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6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6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5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6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6">AVERAGE(J27:J36)</f>
        <v>16.5</v>
      </c>
      <c r="K37" s="155">
        <f t="shared" si="26"/>
        <v>1462.75</v>
      </c>
      <c r="L37" s="158">
        <f t="shared" si="26"/>
        <v>88.77481617647058</v>
      </c>
      <c r="M37" s="155">
        <f t="shared" si="26"/>
        <v>16</v>
      </c>
      <c r="N37" s="155">
        <f t="shared" si="26"/>
        <v>1266.3964646464674</v>
      </c>
      <c r="O37" s="158">
        <f t="shared" si="26"/>
        <v>79.149779040404212</v>
      </c>
      <c r="P37" s="159">
        <f>M37-J37</f>
        <v>-0.5</v>
      </c>
      <c r="Q37" s="160">
        <f>N37-K37</f>
        <v>-196.35353535353261</v>
      </c>
      <c r="R37" s="161">
        <f t="shared" ref="R37:R40" si="27">O37/L37</f>
        <v>0.8915791938455464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0" si="28">N37-K37</f>
        <v>-196.35353535353261</v>
      </c>
      <c r="AG37" s="124">
        <f t="shared" ref="AG37:AG40" si="29">N37/K37</f>
        <v>0.86576411871233461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1244</v>
      </c>
      <c r="H38" s="134">
        <f>F38*G38</f>
        <v>70746.28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0">K38/J38</f>
        <v>92.058823529411768</v>
      </c>
      <c r="M38" s="190">
        <v>17</v>
      </c>
      <c r="N38" s="140">
        <f>G38/W38*60</f>
        <v>1357.0909090908881</v>
      </c>
      <c r="O38" s="141">
        <f>N38/M38</f>
        <v>79.828877005346357</v>
      </c>
      <c r="P38" s="142">
        <f t="shared" ref="P38:P40" si="31">M38-J38</f>
        <v>0</v>
      </c>
      <c r="Q38" s="143">
        <f t="shared" ref="Q38:Q40" si="32">O38-L38</f>
        <v>-12.229946524065411</v>
      </c>
      <c r="R38" s="144">
        <f>O38/L38</f>
        <v>0.86715074063315523</v>
      </c>
      <c r="S38" s="404">
        <f>R48</f>
        <v>0.87681523779231341</v>
      </c>
      <c r="T38" s="191">
        <v>0.33333333333333298</v>
      </c>
      <c r="U38" s="191">
        <v>0.37152777777777801</v>
      </c>
      <c r="V38" s="192"/>
      <c r="W38" s="193">
        <f t="shared" si="16"/>
        <v>55.000000000000846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8"/>
        <v>-207.90909090911191</v>
      </c>
      <c r="AG38" s="195">
        <f t="shared" si="29"/>
        <v>0.86715074063315534</v>
      </c>
      <c r="AH38" s="398">
        <f>AG48</f>
        <v>0.87681523779231318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2965</v>
      </c>
      <c r="H39" s="91">
        <f>F39*G39</f>
        <v>131349.5</v>
      </c>
      <c r="I39" s="200"/>
      <c r="J39" s="148">
        <f>VLOOKUP(D39,產線配置圖!$A$3:$C$38,2,0)</f>
        <v>17</v>
      </c>
      <c r="K39" s="95">
        <v>1565</v>
      </c>
      <c r="L39" s="96">
        <f t="shared" si="30"/>
        <v>92.058823529411768</v>
      </c>
      <c r="M39" s="201">
        <v>17</v>
      </c>
      <c r="N39" s="202">
        <f>G39/W39*60</f>
        <v>1400.7874015747941</v>
      </c>
      <c r="O39" s="203">
        <f>N39/M39</f>
        <v>82.399258916164356</v>
      </c>
      <c r="P39" s="97">
        <f t="shared" si="31"/>
        <v>0</v>
      </c>
      <c r="Q39" s="98">
        <f t="shared" si="32"/>
        <v>-9.6595646132474116</v>
      </c>
      <c r="R39" s="99">
        <f t="shared" si="27"/>
        <v>0.89507182209252012</v>
      </c>
      <c r="S39" s="405"/>
      <c r="T39" s="20">
        <v>0.37847222222222199</v>
      </c>
      <c r="U39" s="20">
        <v>0.46666666666666701</v>
      </c>
      <c r="V39" s="92">
        <f>(T39-U38)*24*60</f>
        <v>9.999999999999325</v>
      </c>
      <c r="W39" s="205">
        <f t="shared" si="16"/>
        <v>127.00000000000082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8"/>
        <v>-164.2125984252059</v>
      </c>
      <c r="AG39" s="206">
        <f t="shared" si="29"/>
        <v>0.89507182209252023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1472</v>
      </c>
      <c r="H40" s="91">
        <f>F40*G40</f>
        <v>65209.599999999999</v>
      </c>
      <c r="I40" s="200"/>
      <c r="J40" s="148">
        <f>VLOOKUP(D40,產線配置圖!$A$3:$C$38,2,0)</f>
        <v>17</v>
      </c>
      <c r="K40" s="95">
        <v>1565</v>
      </c>
      <c r="L40" s="96">
        <f t="shared" si="30"/>
        <v>92.058823529411768</v>
      </c>
      <c r="M40" s="201">
        <v>17</v>
      </c>
      <c r="N40" s="202">
        <f>G40/W40*60</f>
        <v>1358.7692307692289</v>
      </c>
      <c r="O40" s="203">
        <f>N40/M40</f>
        <v>79.927601809954638</v>
      </c>
      <c r="P40" s="97">
        <f t="shared" si="31"/>
        <v>0</v>
      </c>
      <c r="Q40" s="98">
        <f t="shared" si="32"/>
        <v>-12.13122171945713</v>
      </c>
      <c r="R40" s="99">
        <f t="shared" si="27"/>
        <v>0.86822315065126443</v>
      </c>
      <c r="S40" s="377"/>
      <c r="T40" s="20">
        <v>0.52777777777777801</v>
      </c>
      <c r="U40" s="20">
        <v>0.57291666666666696</v>
      </c>
      <c r="V40" s="92">
        <f>(T40-U39)*24*60</f>
        <v>87.999999999999844</v>
      </c>
      <c r="W40" s="205">
        <f t="shared" si="16"/>
        <v>65.000000000000085</v>
      </c>
      <c r="X40" s="22">
        <v>0.47916666666666702</v>
      </c>
      <c r="Y40" s="84">
        <v>0.52083333333333304</v>
      </c>
      <c r="Z40" s="337"/>
      <c r="AA40" s="337"/>
      <c r="AB40" s="388"/>
      <c r="AC40" s="388"/>
      <c r="AD40" s="92"/>
      <c r="AE40" s="92"/>
      <c r="AF40" s="314">
        <f t="shared" si="28"/>
        <v>-206.2307692307711</v>
      </c>
      <c r="AG40" s="206">
        <f t="shared" si="29"/>
        <v>0.86822315065126443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6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6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3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3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3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5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3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4">AVERAGE(J38:J47)</f>
        <v>17</v>
      </c>
      <c r="K48" s="155">
        <f t="shared" si="34"/>
        <v>1565</v>
      </c>
      <c r="L48" s="158">
        <f t="shared" si="34"/>
        <v>92.058823529411768</v>
      </c>
      <c r="M48" s="155">
        <f t="shared" si="34"/>
        <v>17</v>
      </c>
      <c r="N48" s="155">
        <f t="shared" si="34"/>
        <v>1372.2158471449702</v>
      </c>
      <c r="O48" s="158">
        <f t="shared" si="34"/>
        <v>80.718579243821793</v>
      </c>
      <c r="P48" s="221">
        <f>M48-J48</f>
        <v>0</v>
      </c>
      <c r="Q48" s="222">
        <f>N48-K48</f>
        <v>-192.78415285502979</v>
      </c>
      <c r="R48" s="223">
        <f t="shared" ref="R48:R52" si="35">O48/L48</f>
        <v>0.87681523779231341</v>
      </c>
      <c r="S48" s="380"/>
      <c r="T48" s="224"/>
      <c r="U48" s="224"/>
      <c r="V48" s="225"/>
      <c r="W48" s="226">
        <f t="shared" si="33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6">N48-K48</f>
        <v>-192.78415285502979</v>
      </c>
      <c r="AG48" s="162">
        <f t="shared" ref="AG48:AG52" si="37">N48/K48</f>
        <v>0.87681523779231318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663</v>
      </c>
      <c r="H49" s="134">
        <f>F49*G49</f>
        <v>37989.9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38">K49/J49</f>
        <v>107.14285714285714</v>
      </c>
      <c r="M49" s="170">
        <v>16</v>
      </c>
      <c r="N49" s="140">
        <f>G49/W49*60</f>
        <v>1473.3333333333298</v>
      </c>
      <c r="O49" s="141">
        <f>N49/M49</f>
        <v>92.083333333333115</v>
      </c>
      <c r="P49" s="229">
        <f>M49-J49</f>
        <v>2</v>
      </c>
      <c r="Q49" s="230">
        <f>O49-L49</f>
        <v>-15.059523809524023</v>
      </c>
      <c r="R49" s="52">
        <f t="shared" si="35"/>
        <v>0.85944444444444246</v>
      </c>
      <c r="S49" s="376">
        <f>R58</f>
        <v>0.86025364098743695</v>
      </c>
      <c r="T49" s="191">
        <v>0.28819444444444398</v>
      </c>
      <c r="U49" s="191">
        <v>0.30694444444444402</v>
      </c>
      <c r="V49" s="55"/>
      <c r="W49" s="193">
        <f t="shared" si="16"/>
        <v>27.000000000000064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6"/>
        <v>-26.666666666670153</v>
      </c>
      <c r="AG49" s="52">
        <f t="shared" si="37"/>
        <v>0.98222222222221989</v>
      </c>
      <c r="AH49" s="382">
        <f>AG58</f>
        <v>0.8891837496894599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2070</v>
      </c>
      <c r="H50" s="231">
        <f>F50*G50</f>
        <v>103313.7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38"/>
        <v>104.33333333333333</v>
      </c>
      <c r="M50" s="233">
        <v>15</v>
      </c>
      <c r="N50" s="234">
        <f>G50/W50*60</f>
        <v>1293.7499999999939</v>
      </c>
      <c r="O50" s="235">
        <f>N50/M50</f>
        <v>86.249999999999588</v>
      </c>
      <c r="P50" s="74">
        <f>M50-J50</f>
        <v>0</v>
      </c>
      <c r="Q50" s="83">
        <f>O50-L50</f>
        <v>-18.083333333333741</v>
      </c>
      <c r="R50" s="72">
        <f t="shared" si="35"/>
        <v>0.82667731629392582</v>
      </c>
      <c r="S50" s="377"/>
      <c r="T50" s="21">
        <v>0.31388888888888899</v>
      </c>
      <c r="U50" s="21">
        <v>0.38055555555555598</v>
      </c>
      <c r="V50" s="30">
        <f t="shared" ref="V50:V52" si="39">(T50-U49)*24*60</f>
        <v>10.000000000000764</v>
      </c>
      <c r="W50" s="236">
        <f t="shared" si="16"/>
        <v>96.000000000000455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36"/>
        <v>-271.25000000000614</v>
      </c>
      <c r="AG50" s="72">
        <f t="shared" si="37"/>
        <v>0.82667731629392582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2286</v>
      </c>
      <c r="H51" s="231">
        <f>F51*G51</f>
        <v>114231.42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38"/>
        <v>107.125</v>
      </c>
      <c r="M51" s="233">
        <v>16</v>
      </c>
      <c r="N51" s="234">
        <f>G51/W51*60</f>
        <v>1541.123595505607</v>
      </c>
      <c r="O51" s="235">
        <f>N51/M51</f>
        <v>96.320224719100437</v>
      </c>
      <c r="P51" s="74">
        <f>M51-J51</f>
        <v>0</v>
      </c>
      <c r="Q51" s="83">
        <f>O51-L51</f>
        <v>-10.804775280899563</v>
      </c>
      <c r="R51" s="72">
        <f t="shared" si="35"/>
        <v>0.89913862048168436</v>
      </c>
      <c r="S51" s="377"/>
      <c r="T51" s="21">
        <v>0.40347222222222201</v>
      </c>
      <c r="U51" s="19">
        <v>0.46527777777777801</v>
      </c>
      <c r="V51" s="30">
        <f t="shared" si="39"/>
        <v>32.999999999999083</v>
      </c>
      <c r="W51" s="236">
        <f t="shared" si="16"/>
        <v>89.000000000000639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6"/>
        <v>-172.876404494393</v>
      </c>
      <c r="AG51" s="72">
        <f t="shared" si="37"/>
        <v>0.89913862048168436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1856</v>
      </c>
      <c r="H52" s="231">
        <f>F52*G52</f>
        <v>92744.319999999992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38"/>
        <v>107.125</v>
      </c>
      <c r="M52" s="233">
        <v>16</v>
      </c>
      <c r="N52" s="234">
        <f>G52/W52*60</f>
        <v>1465.2631578947326</v>
      </c>
      <c r="O52" s="235">
        <f>N52/M52</f>
        <v>91.578947368420785</v>
      </c>
      <c r="P52" s="74">
        <f>M52-J52</f>
        <v>0</v>
      </c>
      <c r="Q52" s="83">
        <f>O52-L52</f>
        <v>-15.546052631579215</v>
      </c>
      <c r="R52" s="72">
        <f t="shared" si="35"/>
        <v>0.85487932199225936</v>
      </c>
      <c r="S52" s="377"/>
      <c r="T52" s="21">
        <v>0.52152777777777803</v>
      </c>
      <c r="U52" s="21">
        <v>0.57430555555555596</v>
      </c>
      <c r="V52" s="30">
        <f t="shared" si="39"/>
        <v>81.000000000000028</v>
      </c>
      <c r="W52" s="236">
        <f t="shared" si="16"/>
        <v>76.000000000000213</v>
      </c>
      <c r="X52" s="22">
        <v>0.47222222222222199</v>
      </c>
      <c r="Y52" s="84">
        <v>0.51388888888888895</v>
      </c>
      <c r="Z52" s="90"/>
      <c r="AA52" s="90"/>
      <c r="AB52" s="388"/>
      <c r="AC52" s="388"/>
      <c r="AD52" s="92"/>
      <c r="AE52" s="92"/>
      <c r="AF52" s="307">
        <f t="shared" si="36"/>
        <v>-248.73684210526744</v>
      </c>
      <c r="AG52" s="72">
        <f t="shared" si="37"/>
        <v>0.85487932199225936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6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6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6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6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6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0">AVERAGE(J49:J57)</f>
        <v>15.25</v>
      </c>
      <c r="K58" s="120">
        <f t="shared" si="40"/>
        <v>1623.25</v>
      </c>
      <c r="L58" s="117">
        <f t="shared" si="40"/>
        <v>106.43154761904762</v>
      </c>
      <c r="M58" s="120">
        <f t="shared" si="40"/>
        <v>15.75</v>
      </c>
      <c r="N58" s="120">
        <f t="shared" si="40"/>
        <v>1443.3675216834158</v>
      </c>
      <c r="O58" s="117">
        <f t="shared" si="40"/>
        <v>91.558126355213489</v>
      </c>
      <c r="P58" s="121">
        <f>M58-J58</f>
        <v>0.5</v>
      </c>
      <c r="Q58" s="122">
        <f>N58-K58</f>
        <v>-179.88247831658418</v>
      </c>
      <c r="R58" s="123">
        <f t="shared" ref="R58:R60" si="41">O58/L58</f>
        <v>0.86025364098743695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2">N58-K58</f>
        <v>-179.88247831658418</v>
      </c>
      <c r="AG58" s="124">
        <f t="shared" ref="AG58:AG61" si="43">N58/K58</f>
        <v>0.8891837496894599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3597</v>
      </c>
      <c r="H59" s="243">
        <f>F59*G59</f>
        <v>97083.03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4">K59/J59</f>
        <v>120.38461538461539</v>
      </c>
      <c r="M59" s="244">
        <v>13</v>
      </c>
      <c r="N59" s="137">
        <f t="shared" ref="N59:N62" si="45">G59/W59*60</f>
        <v>1541.5714285714325</v>
      </c>
      <c r="O59" s="138">
        <f t="shared" ref="O59:O62" si="46">N59/M59</f>
        <v>118.58241758241789</v>
      </c>
      <c r="P59" s="56">
        <f t="shared" ref="P59:P62" si="47">M59-J59</f>
        <v>0</v>
      </c>
      <c r="Q59" s="230">
        <f t="shared" ref="Q59:Q62" si="48">O59-L59</f>
        <v>-1.8021978021974974</v>
      </c>
      <c r="R59" s="52">
        <f t="shared" si="41"/>
        <v>0.98502966681880677</v>
      </c>
      <c r="S59" s="376">
        <f>R69</f>
        <v>0.89707039760016027</v>
      </c>
      <c r="T59" s="191">
        <v>0.29027777777777802</v>
      </c>
      <c r="U59" s="245">
        <v>0.38750000000000001</v>
      </c>
      <c r="V59" s="55"/>
      <c r="W59" s="54">
        <f t="shared" si="16"/>
        <v>139.99999999999966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2"/>
        <v>-23.428571428567466</v>
      </c>
      <c r="AG59" s="246">
        <f t="shared" si="43"/>
        <v>0.98502966681880677</v>
      </c>
      <c r="AH59" s="382">
        <f>AG69</f>
        <v>0.90586844275281286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1740</v>
      </c>
      <c r="H60" s="78">
        <f>F60*G60</f>
        <v>49172.4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4"/>
        <v>130.41666666666666</v>
      </c>
      <c r="M60" s="82">
        <v>12</v>
      </c>
      <c r="N60" s="80">
        <f t="shared" si="45"/>
        <v>1558.2089552239067</v>
      </c>
      <c r="O60" s="81">
        <f t="shared" si="46"/>
        <v>129.8507462686589</v>
      </c>
      <c r="P60" s="74">
        <f t="shared" si="47"/>
        <v>0</v>
      </c>
      <c r="Q60" s="83">
        <f t="shared" si="48"/>
        <v>-0.56592039800776206</v>
      </c>
      <c r="R60" s="72">
        <f t="shared" si="41"/>
        <v>0.99566067426447724</v>
      </c>
      <c r="S60" s="394"/>
      <c r="T60" s="22">
        <v>0.39791666666666697</v>
      </c>
      <c r="U60" s="22">
        <v>0.44444444444444398</v>
      </c>
      <c r="V60" s="30">
        <f t="shared" ref="V60:V61" si="49">(T60-U59)*24*60</f>
        <v>15.000000000000426</v>
      </c>
      <c r="W60" s="248">
        <f t="shared" si="16"/>
        <v>66.999999999998877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2"/>
        <v>-6.7910447760932584</v>
      </c>
      <c r="AG60" s="249">
        <f t="shared" si="43"/>
        <v>0.99566067426447713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1303</v>
      </c>
      <c r="H61" s="254">
        <f>F61*G61</f>
        <v>36822.78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4"/>
        <v>130.41666666666666</v>
      </c>
      <c r="M61" s="108">
        <v>12</v>
      </c>
      <c r="N61" s="107">
        <f t="shared" si="45"/>
        <v>1302.9999999999891</v>
      </c>
      <c r="O61" s="238">
        <f t="shared" si="46"/>
        <v>108.58333333333242</v>
      </c>
      <c r="P61" s="111">
        <f t="shared" si="47"/>
        <v>0</v>
      </c>
      <c r="Q61" s="255">
        <f t="shared" si="48"/>
        <v>-21.833333333334238</v>
      </c>
      <c r="R61" s="85">
        <f>O61/L61</f>
        <v>0.8325878594249132</v>
      </c>
      <c r="S61" s="377"/>
      <c r="T61" s="22">
        <v>0.45486111111111099</v>
      </c>
      <c r="U61" s="22">
        <v>0.49652777777777801</v>
      </c>
      <c r="V61" s="30">
        <f t="shared" si="49"/>
        <v>15.000000000000506</v>
      </c>
      <c r="W61" s="256">
        <f t="shared" si="16"/>
        <v>60.000000000000504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2"/>
        <v>-262.00000000001091</v>
      </c>
      <c r="AG61" s="247">
        <f t="shared" si="43"/>
        <v>0.8325878594249132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1954</v>
      </c>
      <c r="H62" s="254">
        <f>F62*G62</f>
        <v>55220.04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4"/>
        <v>181.77777777777777</v>
      </c>
      <c r="M62" s="108">
        <v>9</v>
      </c>
      <c r="N62" s="107">
        <f t="shared" si="45"/>
        <v>1332.2727272727295</v>
      </c>
      <c r="O62" s="238">
        <f t="shared" si="46"/>
        <v>148.03030303030329</v>
      </c>
      <c r="P62" s="111">
        <f t="shared" si="47"/>
        <v>0</v>
      </c>
      <c r="Q62" s="255">
        <f t="shared" si="48"/>
        <v>-33.747474747474485</v>
      </c>
      <c r="R62" s="85">
        <f>O62/L62</f>
        <v>0.81434763280729194</v>
      </c>
      <c r="S62" s="377"/>
      <c r="T62" s="22">
        <v>0.55208333333333304</v>
      </c>
      <c r="U62" s="22">
        <v>0.61319444444444404</v>
      </c>
      <c r="V62" s="30">
        <f>(T62-U61)*24*60</f>
        <v>79.999999999999233</v>
      </c>
      <c r="W62" s="248">
        <f t="shared" si="16"/>
        <v>87.999999999999844</v>
      </c>
      <c r="X62" s="22">
        <v>0.50347222222222199</v>
      </c>
      <c r="Y62" s="84">
        <v>0.54513888888888895</v>
      </c>
      <c r="Z62" s="90"/>
      <c r="AA62" s="90"/>
      <c r="AB62" s="501"/>
      <c r="AC62" s="502"/>
      <c r="AD62" s="92"/>
      <c r="AE62" s="92"/>
      <c r="AF62" s="317">
        <f>N62-K62</f>
        <v>-303.72727272727047</v>
      </c>
      <c r="AG62" s="247">
        <f>N62/K62</f>
        <v>0.81434763280729183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6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6"/>
        <v>0</v>
      </c>
      <c r="X64" s="261"/>
      <c r="Y64" s="291"/>
      <c r="Z64" s="335"/>
      <c r="AA64" s="335"/>
      <c r="AB64" s="388"/>
      <c r="AC64" s="388"/>
      <c r="AD64" s="92"/>
      <c r="AE64" s="92"/>
      <c r="AF64" s="317"/>
      <c r="AG64" s="247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6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6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6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6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0">AVERAGE(J59:J68)</f>
        <v>11.5</v>
      </c>
      <c r="K69" s="240">
        <f t="shared" si="50"/>
        <v>1582.75</v>
      </c>
      <c r="L69" s="268">
        <f t="shared" si="50"/>
        <v>140.74893162393164</v>
      </c>
      <c r="M69" s="240">
        <f t="shared" si="50"/>
        <v>11.5</v>
      </c>
      <c r="N69" s="240">
        <f t="shared" si="50"/>
        <v>1433.7632777670146</v>
      </c>
      <c r="O69" s="268">
        <f t="shared" si="50"/>
        <v>126.26170005367813</v>
      </c>
      <c r="P69" s="269">
        <f>M69-J69</f>
        <v>0</v>
      </c>
      <c r="Q69" s="222">
        <f>N69-K69</f>
        <v>-148.98672223298536</v>
      </c>
      <c r="R69" s="123">
        <f t="shared" ref="R69:R73" si="51">O69/L69</f>
        <v>0.89707039760016027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-148.98672223298536</v>
      </c>
      <c r="AG69" s="124">
        <f>N69/K69</f>
        <v>0.90586844275281286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1454</v>
      </c>
      <c r="H70" s="243">
        <f>F70*G70</f>
        <v>73674.180000000008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1090.4999999999907</v>
      </c>
      <c r="O70" s="138">
        <f>N70/M70</f>
        <v>109.04999999999907</v>
      </c>
      <c r="P70" s="56">
        <f>M70-J70</f>
        <v>0</v>
      </c>
      <c r="Q70" s="230">
        <f>O70-L70</f>
        <v>-3.4500000000009265</v>
      </c>
      <c r="R70" s="52">
        <f t="shared" si="51"/>
        <v>0.96933333333332505</v>
      </c>
      <c r="S70" s="376">
        <f>R79</f>
        <v>0.90114004886916066</v>
      </c>
      <c r="T70" s="245">
        <v>0.33333333333333298</v>
      </c>
      <c r="U70" s="245">
        <v>0.38888888888888901</v>
      </c>
      <c r="V70" s="55"/>
      <c r="W70" s="54">
        <f t="shared" si="16"/>
        <v>80.000000000000682</v>
      </c>
      <c r="X70" s="270"/>
      <c r="Y70" s="292"/>
      <c r="Z70" s="169"/>
      <c r="AA70" s="169"/>
      <c r="AB70" s="381"/>
      <c r="AC70" s="381"/>
      <c r="AD70" s="135"/>
      <c r="AE70" s="135"/>
      <c r="AF70" s="317">
        <f t="shared" ref="AF70:AF74" si="52">N70-K70</f>
        <v>-34.500000000009322</v>
      </c>
      <c r="AG70" s="247">
        <f t="shared" ref="AG70:AG74" si="53">N70/K70</f>
        <v>0.96933333333332505</v>
      </c>
      <c r="AH70" s="382">
        <f>AG79</f>
        <v>0.88984472576909901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202">
        <v>590</v>
      </c>
      <c r="H71" s="254">
        <f>F71*G71</f>
        <v>33293.699999999997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3" si="54">K71/J71</f>
        <v>87.875</v>
      </c>
      <c r="M71" s="82">
        <v>14</v>
      </c>
      <c r="N71" s="107">
        <f t="shared" ref="N71:N73" si="55">G71/W71*60</f>
        <v>1041.176470588239</v>
      </c>
      <c r="O71" s="238">
        <f t="shared" ref="O71:O73" si="56">N71/M71</f>
        <v>74.369747899159933</v>
      </c>
      <c r="P71" s="111">
        <f t="shared" ref="P71:P73" si="57">M71-J71</f>
        <v>-2</v>
      </c>
      <c r="Q71" s="255">
        <f t="shared" ref="Q71:Q73" si="58">O71-L71</f>
        <v>-13.505252100840067</v>
      </c>
      <c r="R71" s="85">
        <f t="shared" si="51"/>
        <v>0.84631292061632923</v>
      </c>
      <c r="S71" s="377"/>
      <c r="T71" s="22">
        <v>0.39583333333333298</v>
      </c>
      <c r="U71" s="22">
        <v>0.41944444444444401</v>
      </c>
      <c r="V71" s="30">
        <f t="shared" ref="V71:V73" si="59">(T71-U70)*24*60</f>
        <v>9.999999999999325</v>
      </c>
      <c r="W71" s="73">
        <f t="shared" si="16"/>
        <v>33.999999999999879</v>
      </c>
      <c r="X71" s="271"/>
      <c r="Y71" s="293"/>
      <c r="Z71" s="90"/>
      <c r="AA71" s="90"/>
      <c r="AB71" s="501"/>
      <c r="AC71" s="502"/>
      <c r="AD71" s="200"/>
      <c r="AE71" s="200"/>
      <c r="AF71" s="317">
        <f t="shared" si="52"/>
        <v>-364.823529411761</v>
      </c>
      <c r="AG71" s="247">
        <f t="shared" si="53"/>
        <v>0.74052380553928809</v>
      </c>
      <c r="AH71" s="383"/>
    </row>
    <row r="72" spans="1:36" ht="15" customHeight="1">
      <c r="A72" s="374"/>
      <c r="B72" s="30" t="s">
        <v>128</v>
      </c>
      <c r="C72" s="151"/>
      <c r="D72" s="59" t="s">
        <v>138</v>
      </c>
      <c r="E72" s="87"/>
      <c r="F72" s="250">
        <f>VLOOKUP(D72,廠價表!$C$1:$E$41,3,0)</f>
        <v>28.26</v>
      </c>
      <c r="G72" s="30">
        <v>1734</v>
      </c>
      <c r="H72" s="361">
        <f>F72*G72</f>
        <v>49002.840000000004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4"/>
        <v>181.77777777777777</v>
      </c>
      <c r="M72" s="94">
        <v>9</v>
      </c>
      <c r="N72" s="107">
        <f t="shared" si="55"/>
        <v>1387.2000000000094</v>
      </c>
      <c r="O72" s="238">
        <f t="shared" si="56"/>
        <v>154.13333333333438</v>
      </c>
      <c r="P72" s="111">
        <f t="shared" si="57"/>
        <v>0</v>
      </c>
      <c r="Q72" s="255">
        <f t="shared" si="58"/>
        <v>-27.644444444443394</v>
      </c>
      <c r="R72" s="85">
        <f t="shared" si="51"/>
        <v>0.84792176039120382</v>
      </c>
      <c r="S72" s="377"/>
      <c r="T72" s="22">
        <v>0.43055555555555602</v>
      </c>
      <c r="U72" s="22">
        <v>0.48263888888888901</v>
      </c>
      <c r="V72" s="30">
        <f t="shared" si="59"/>
        <v>16.0000000000013</v>
      </c>
      <c r="W72" s="73">
        <f t="shared" si="16"/>
        <v>74.999999999999488</v>
      </c>
      <c r="X72" s="272">
        <v>0.49305555555555602</v>
      </c>
      <c r="Y72" s="288">
        <v>0.53472222222222199</v>
      </c>
      <c r="Z72" s="90"/>
      <c r="AA72" s="90"/>
      <c r="AB72" s="388"/>
      <c r="AC72" s="388"/>
      <c r="AD72" s="92"/>
      <c r="AE72" s="92"/>
      <c r="AF72" s="317">
        <f t="shared" si="52"/>
        <v>-248.79999999999063</v>
      </c>
      <c r="AG72" s="247">
        <f t="shared" si="53"/>
        <v>0.84792176039120382</v>
      </c>
      <c r="AH72" s="383"/>
    </row>
    <row r="73" spans="1:36" ht="15" customHeight="1">
      <c r="A73" s="374"/>
      <c r="B73" s="30" t="s">
        <v>81</v>
      </c>
      <c r="C73" s="151"/>
      <c r="D73" s="59" t="s">
        <v>132</v>
      </c>
      <c r="E73" s="87"/>
      <c r="F73" s="250">
        <f>VLOOKUP(D73,廠價表!$C$1:$E$41,3,0)</f>
        <v>50.67</v>
      </c>
      <c r="G73" s="30">
        <v>1091</v>
      </c>
      <c r="H73" s="361">
        <f>F73*G73</f>
        <v>55280.97</v>
      </c>
      <c r="I73" s="182"/>
      <c r="J73" s="106">
        <f>VLOOKUP(D73,產線配置圖!$A$3:$C$38,2,0)</f>
        <v>10</v>
      </c>
      <c r="K73" s="107">
        <f>VLOOKUP(D73,產線配置圖!$A$3:$C$38,3,0)</f>
        <v>1125</v>
      </c>
      <c r="L73" s="238">
        <f t="shared" si="54"/>
        <v>112.5</v>
      </c>
      <c r="M73" s="94">
        <v>11</v>
      </c>
      <c r="N73" s="107">
        <f t="shared" si="55"/>
        <v>1190.1818181818328</v>
      </c>
      <c r="O73" s="238">
        <f t="shared" si="56"/>
        <v>108.19834710743935</v>
      </c>
      <c r="P73" s="111">
        <f t="shared" si="57"/>
        <v>1</v>
      </c>
      <c r="Q73" s="255">
        <f t="shared" si="58"/>
        <v>-4.3016528925606536</v>
      </c>
      <c r="R73" s="85">
        <f t="shared" si="51"/>
        <v>0.96176308539946087</v>
      </c>
      <c r="S73" s="377"/>
      <c r="T73" s="22">
        <v>0.5625</v>
      </c>
      <c r="U73" s="22">
        <v>0.60069444444444398</v>
      </c>
      <c r="V73" s="30">
        <f t="shared" si="59"/>
        <v>114.99999999999983</v>
      </c>
      <c r="W73" s="73">
        <f t="shared" si="16"/>
        <v>54.999999999999325</v>
      </c>
      <c r="X73" s="22"/>
      <c r="Y73" s="84"/>
      <c r="Z73" s="90"/>
      <c r="AA73" s="90"/>
      <c r="AB73" s="388"/>
      <c r="AC73" s="388"/>
      <c r="AD73" s="92"/>
      <c r="AE73" s="92"/>
      <c r="AF73" s="317">
        <f t="shared" si="52"/>
        <v>65.181818181832796</v>
      </c>
      <c r="AG73" s="247">
        <f t="shared" si="53"/>
        <v>1.0579393939394068</v>
      </c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6"/>
        <v>0</v>
      </c>
      <c r="X74" s="22"/>
      <c r="Y74" s="84"/>
      <c r="Z74" s="90"/>
      <c r="AA74" s="90"/>
      <c r="AB74" s="388"/>
      <c r="AC74" s="388"/>
      <c r="AD74" s="92"/>
      <c r="AE74" s="92"/>
      <c r="AF74" s="317">
        <f t="shared" si="52"/>
        <v>0</v>
      </c>
      <c r="AG74" s="247" t="e">
        <f t="shared" si="53"/>
        <v>#DIV/0!</v>
      </c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6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0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6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6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6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1">AVERAGE(J70:J78)</f>
        <v>11.25</v>
      </c>
      <c r="K79" s="240">
        <f t="shared" si="61"/>
        <v>1323</v>
      </c>
      <c r="L79" s="268">
        <f t="shared" si="61"/>
        <v>123.66319444444444</v>
      </c>
      <c r="M79" s="240">
        <f t="shared" si="61"/>
        <v>11</v>
      </c>
      <c r="N79" s="240">
        <f t="shared" si="61"/>
        <v>1177.264572192518</v>
      </c>
      <c r="O79" s="268">
        <f t="shared" si="61"/>
        <v>111.43785708498318</v>
      </c>
      <c r="P79" s="269">
        <f>M79-J79</f>
        <v>-0.25</v>
      </c>
      <c r="Q79" s="222">
        <f>N79-K79</f>
        <v>-145.73542780748198</v>
      </c>
      <c r="R79" s="223">
        <f>O79/L79</f>
        <v>0.90114004886916066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-145.73542780748198</v>
      </c>
      <c r="AG79" s="124">
        <f>N79/K79</f>
        <v>0.88984472576909901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Q3:Q4"/>
    <mergeCell ref="R3:R4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F3:AF4"/>
    <mergeCell ref="AG3:AG4"/>
    <mergeCell ref="AH3:AH4"/>
    <mergeCell ref="O3:O4"/>
    <mergeCell ref="T3:U3"/>
    <mergeCell ref="V3:V4"/>
    <mergeCell ref="W3:W4"/>
    <mergeCell ref="X3:Y3"/>
    <mergeCell ref="P3:P4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41AE51-BB48-452A-B944-577D7A58C19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8788-5766-4584-9400-7661E7D763EA}">
  <dimension ref="B1:O26"/>
  <sheetViews>
    <sheetView topLeftCell="A3"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46094</v>
      </c>
      <c r="E3" s="466"/>
      <c r="F3" s="3" t="s">
        <v>72</v>
      </c>
      <c r="G3" s="467">
        <f>'0313'!E1</f>
        <v>49829</v>
      </c>
      <c r="H3" s="467"/>
      <c r="I3" s="3" t="s">
        <v>2</v>
      </c>
      <c r="J3" s="468">
        <f>'0313'!G1</f>
        <v>2326595.6000000006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128.77502286073712</v>
      </c>
      <c r="G6" s="473"/>
      <c r="H6" s="474">
        <f>AVERAGE(D13:H13,J13)</f>
        <v>126.77937140020471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113.75949163609882</v>
      </c>
      <c r="G7" s="497"/>
      <c r="H7" s="498">
        <f>AVERAGE(D14:H14,J14)</f>
        <v>111.69275508291734</v>
      </c>
      <c r="I7" s="498"/>
      <c r="J7" s="498">
        <f>AVERAGE(I14)</f>
        <v>126.15991095518768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0.88339717678888119</v>
      </c>
      <c r="G8" s="470"/>
      <c r="H8" s="470">
        <f>H7/H6</f>
        <v>0.88100101656393759</v>
      </c>
      <c r="I8" s="470"/>
      <c r="J8" s="470">
        <f>J7/J6</f>
        <v>0.89634720135763091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VALUE('0313'!L15)</f>
        <v>152.31837606837607</v>
      </c>
      <c r="E13" s="13">
        <f>VALUE('0313'!L26)</f>
        <v>183.0587121212121</v>
      </c>
      <c r="F13" s="13">
        <f>VALUE('0313'!L37)</f>
        <v>91.216176470588238</v>
      </c>
      <c r="G13" s="13">
        <f>VALUE('0313'!L48)</f>
        <v>92.058823529411768</v>
      </c>
      <c r="H13" s="13">
        <f>VALUE('0313'!L58)</f>
        <v>106.43154761904762</v>
      </c>
      <c r="I13" s="13">
        <f>VALUE('0313'!L69)</f>
        <v>140.74893162393164</v>
      </c>
      <c r="J13" s="13">
        <f>'0313'!L79</f>
        <v>135.59259259259258</v>
      </c>
    </row>
    <row r="14" spans="2:15" ht="39.950000000000003" customHeight="1">
      <c r="B14" s="491"/>
      <c r="C14" s="12" t="s">
        <v>100</v>
      </c>
      <c r="D14" s="13">
        <f>VALUE('0313'!O15)</f>
        <v>130.89138478951767</v>
      </c>
      <c r="E14" s="13">
        <f>VALUE('0313'!O26)</f>
        <v>161.26996366728747</v>
      </c>
      <c r="F14" s="13">
        <f>VALUE('0313'!O37)</f>
        <v>83.483828430336871</v>
      </c>
      <c r="G14" s="13">
        <f>VALUE('0313'!O48)</f>
        <v>77.331771170005524</v>
      </c>
      <c r="H14" s="13">
        <f>VALUE('0313'!O58)</f>
        <v>101.07621464078572</v>
      </c>
      <c r="I14" s="13">
        <f>VALUE('0313'!O69)</f>
        <v>126.15991095518768</v>
      </c>
      <c r="J14" s="13">
        <f>'0313'!O79</f>
        <v>116.10336779957076</v>
      </c>
    </row>
    <row r="15" spans="2:15" ht="39.950000000000003" customHeight="1">
      <c r="B15" s="492"/>
      <c r="C15" s="10" t="s">
        <v>26</v>
      </c>
      <c r="D15" s="14">
        <f>D14/D13</f>
        <v>0.8593276016201763</v>
      </c>
      <c r="E15" s="14">
        <f t="shared" ref="E15:I15" si="1">E14/E13</f>
        <v>0.88097398806401939</v>
      </c>
      <c r="F15" s="14">
        <f t="shared" si="1"/>
        <v>0.91523051788139154</v>
      </c>
      <c r="G15" s="14">
        <f t="shared" si="1"/>
        <v>0.84002562932274372</v>
      </c>
      <c r="H15" s="14">
        <f t="shared" si="1"/>
        <v>0.94968284218293675</v>
      </c>
      <c r="I15" s="14">
        <f t="shared" si="1"/>
        <v>0.89634720135763091</v>
      </c>
      <c r="J15" s="15">
        <f>'0313'!S70</f>
        <v>0.8562663017176757</v>
      </c>
    </row>
    <row r="16" spans="2:15" ht="17.25" customHeight="1">
      <c r="B16" s="493" t="s">
        <v>101</v>
      </c>
      <c r="C16" s="10" t="s">
        <v>34</v>
      </c>
      <c r="D16" s="16">
        <f>'0313'!T5</f>
        <v>0.29166666666666702</v>
      </c>
      <c r="E16" s="16">
        <f>'0313'!T16</f>
        <v>0.29027777777777802</v>
      </c>
      <c r="F16" s="16">
        <f>'0313'!T27</f>
        <v>0.29027777777777802</v>
      </c>
      <c r="G16" s="16">
        <f>'0313'!T38</f>
        <v>0.33194444444444399</v>
      </c>
      <c r="H16" s="16">
        <f>'0313'!T49</f>
        <v>0.29027777777777802</v>
      </c>
      <c r="I16" s="16">
        <f>'0313'!T59</f>
        <v>0.29027777777777802</v>
      </c>
      <c r="J16" s="16">
        <f>'0313'!T70</f>
        <v>0.33333333333333298</v>
      </c>
    </row>
    <row r="17" spans="2:10" ht="17.25" customHeight="1">
      <c r="B17" s="494"/>
      <c r="C17" s="10" t="s">
        <v>35</v>
      </c>
      <c r="D17" s="16">
        <v>0.48958333333333298</v>
      </c>
      <c r="E17" s="19">
        <v>0.58333333333333304</v>
      </c>
      <c r="F17" s="19">
        <v>0.60486111111111096</v>
      </c>
      <c r="G17" s="210">
        <v>0.57916666666666705</v>
      </c>
      <c r="H17" s="21">
        <v>0.56041666666666701</v>
      </c>
      <c r="I17" s="22">
        <v>0.58333333333333304</v>
      </c>
      <c r="J17" s="22">
        <v>0.58680555555555602</v>
      </c>
    </row>
    <row r="18" spans="2:10" ht="17.25" customHeight="1">
      <c r="B18" s="495" t="s">
        <v>102</v>
      </c>
      <c r="C18" s="330" t="s">
        <v>36</v>
      </c>
      <c r="D18" s="358">
        <f>'0313'!Z15</f>
        <v>0</v>
      </c>
      <c r="E18" s="359">
        <f>'0313'!Z26</f>
        <v>0</v>
      </c>
      <c r="F18" s="359">
        <f>'0313'!Z37</f>
        <v>0</v>
      </c>
      <c r="G18" s="360">
        <f>'0313'!Z48</f>
        <v>0</v>
      </c>
      <c r="H18" s="360">
        <f>'0313'!Z58</f>
        <v>0</v>
      </c>
      <c r="I18" s="359">
        <f>'0313'!Z69</f>
        <v>0</v>
      </c>
      <c r="J18" s="359">
        <f>'0313'!AA79</f>
        <v>0</v>
      </c>
    </row>
    <row r="19" spans="2:10" ht="17.25" customHeight="1">
      <c r="B19" s="496"/>
      <c r="C19" s="330" t="s">
        <v>37</v>
      </c>
      <c r="D19" s="358">
        <f>'0313'!AA15</f>
        <v>0</v>
      </c>
      <c r="E19" s="359">
        <f>'0313'!AA26</f>
        <v>0</v>
      </c>
      <c r="F19" s="359">
        <f>'0313'!AA37</f>
        <v>0</v>
      </c>
      <c r="G19" s="360">
        <f>'0313'!AA48</f>
        <v>0</v>
      </c>
      <c r="H19" s="360">
        <f>'0313'!AA58</f>
        <v>0</v>
      </c>
      <c r="I19" s="359">
        <f>'0313'!AA69</f>
        <v>0</v>
      </c>
      <c r="J19" s="359">
        <f>'0313'!AB79</f>
        <v>0</v>
      </c>
    </row>
    <row r="20" spans="2:10" ht="17.25" customHeight="1">
      <c r="B20" s="495" t="s">
        <v>103</v>
      </c>
      <c r="C20" s="330" t="s">
        <v>36</v>
      </c>
      <c r="D20" s="358">
        <f>'0313'!AD15</f>
        <v>0</v>
      </c>
      <c r="E20" s="359">
        <f>'0313'!AD26</f>
        <v>0</v>
      </c>
      <c r="F20" s="359">
        <f>'0313'!AD37</f>
        <v>0</v>
      </c>
      <c r="G20" s="360">
        <f>'0313'!AD48</f>
        <v>0</v>
      </c>
      <c r="H20" s="360">
        <f>'0313'!AD58</f>
        <v>0</v>
      </c>
      <c r="I20" s="359">
        <f>'0313'!AD69</f>
        <v>0</v>
      </c>
      <c r="J20" s="359">
        <f>'0313'!AD79</f>
        <v>0</v>
      </c>
    </row>
    <row r="21" spans="2:10" ht="17.25" customHeight="1">
      <c r="B21" s="496"/>
      <c r="C21" s="330" t="s">
        <v>85</v>
      </c>
      <c r="D21" s="358">
        <f>'0313'!AE15</f>
        <v>0</v>
      </c>
      <c r="E21" s="359">
        <f>'0313'!AE26</f>
        <v>0</v>
      </c>
      <c r="F21" s="359">
        <f>'0313'!AE37</f>
        <v>0</v>
      </c>
      <c r="G21" s="360">
        <f>'0313'!AE48</f>
        <v>0</v>
      </c>
      <c r="H21" s="360">
        <f>'0313'!AE58</f>
        <v>0</v>
      </c>
      <c r="I21" s="359">
        <f>'0313'!AE69</f>
        <v>0</v>
      </c>
      <c r="J21" s="359">
        <f>'0313'!AE79</f>
        <v>0</v>
      </c>
    </row>
    <row r="22" spans="2:10" ht="17.25" customHeight="1">
      <c r="B22" s="479" t="s">
        <v>104</v>
      </c>
      <c r="C22" s="480"/>
      <c r="D22" s="23">
        <f>VALUE('0313'!M15)</f>
        <v>13.333333333333334</v>
      </c>
      <c r="E22" s="23">
        <f>VALUE('0313'!M26)</f>
        <v>11.5</v>
      </c>
      <c r="F22" s="23">
        <f>VALUE('0313'!M37)</f>
        <v>15.2</v>
      </c>
      <c r="G22" s="23">
        <f>VALUE('0313'!M48)</f>
        <v>16.666666666666668</v>
      </c>
      <c r="H22" s="23">
        <f>VALUE('0313'!M58)</f>
        <v>17</v>
      </c>
      <c r="I22" s="23">
        <f>VALUE('0313'!M69)</f>
        <v>11.5</v>
      </c>
      <c r="J22" s="23">
        <f>'0313'!M79</f>
        <v>9.6666666666666661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97CB-42F7-403E-AAE9-5DA87656B697}">
  <sheetPr>
    <tabColor theme="9" tint="0.79998168889431442"/>
  </sheetPr>
  <dimension ref="A1:AJ92"/>
  <sheetViews>
    <sheetView zoomScale="69" zoomScaleNormal="69" workbookViewId="0">
      <pane xSplit="5" ySplit="4" topLeftCell="F8" activePane="bottomRight" state="frozen"/>
      <selection activeCell="U72" sqref="U72"/>
      <selection pane="topRight" activeCell="U72" sqref="U72"/>
      <selection pane="bottomLeft" activeCell="U72" sqref="U72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49829</v>
      </c>
      <c r="F1" s="30" t="s">
        <v>2</v>
      </c>
      <c r="G1" s="31">
        <f>SUM(H5:H79)</f>
        <v>2326595.6000000006</v>
      </c>
      <c r="H1" s="32" t="s">
        <v>3</v>
      </c>
      <c r="I1" s="33">
        <f>M15+M26+M48+M58+M69+M79+M37</f>
        <v>94.866666666666674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162</v>
      </c>
      <c r="B2" s="447"/>
      <c r="C2" s="28"/>
      <c r="D2" s="28" t="s">
        <v>14</v>
      </c>
      <c r="E2" s="35">
        <f>AVERAGE(O15,O26,O37,O48,O58,O69,O79)</f>
        <v>113.75949163609882</v>
      </c>
      <c r="F2" s="36" t="s">
        <v>15</v>
      </c>
      <c r="G2" s="37">
        <f>G1/E1</f>
        <v>46.691597262638233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1635</v>
      </c>
      <c r="H5" s="43">
        <f>F5*G5</f>
        <v>93538.35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7" si="0">K5/J5</f>
        <v>175.41666666666666</v>
      </c>
      <c r="M5" s="48">
        <v>12</v>
      </c>
      <c r="N5" s="46">
        <f t="shared" ref="N5:N7" si="1">G5/W5*60</f>
        <v>1721.0526315789632</v>
      </c>
      <c r="O5" s="47">
        <f t="shared" ref="O5:O7" si="2">N5/M5</f>
        <v>143.42105263158027</v>
      </c>
      <c r="P5" s="49">
        <f t="shared" ref="P5:P7" si="3">M5-J5</f>
        <v>0</v>
      </c>
      <c r="Q5" s="50">
        <f t="shared" ref="Q5:Q7" si="4">O5-L5</f>
        <v>-31.99561403508639</v>
      </c>
      <c r="R5" s="51">
        <f>O5/L5</f>
        <v>0.81760220027504193</v>
      </c>
      <c r="S5" s="376">
        <f>R15</f>
        <v>0.8593276016201763</v>
      </c>
      <c r="T5" s="319">
        <v>0.29166666666666702</v>
      </c>
      <c r="U5" s="320">
        <v>0.33124999999999999</v>
      </c>
      <c r="V5" s="53"/>
      <c r="W5" s="54">
        <f t="shared" ref="W5:W14" si="5">(U5-T5)*24*60</f>
        <v>56.999999999999474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7" si="6">N5-K5</f>
        <v>-383.9473684210368</v>
      </c>
      <c r="AG5" s="52">
        <f t="shared" ref="AG5:AG7" si="7">N5/K5</f>
        <v>0.81760220027504193</v>
      </c>
      <c r="AH5" s="382">
        <f>AG15</f>
        <v>0.85917451359860264</v>
      </c>
    </row>
    <row r="6" spans="1:34" ht="15" customHeight="1">
      <c r="A6" s="423"/>
      <c r="B6" s="75" t="s">
        <v>81</v>
      </c>
      <c r="C6" s="76"/>
      <c r="D6" s="59" t="s">
        <v>116</v>
      </c>
      <c r="E6" s="77"/>
      <c r="F6" s="75">
        <f>VLOOKUP(D6,廠價表!$C$1:$E$41,3,0)</f>
        <v>56.28</v>
      </c>
      <c r="G6" s="66">
        <v>891</v>
      </c>
      <c r="H6" s="78">
        <f>F6*G6</f>
        <v>50145.48</v>
      </c>
      <c r="I6" s="73"/>
      <c r="J6" s="79">
        <f>VLOOKUP(D6,產線配置圖!$A$3:$C$38,2,0)</f>
        <v>15</v>
      </c>
      <c r="K6" s="80">
        <f>VLOOKUP(D6,產線配置圖!$A$3:$C$38,3,0)</f>
        <v>1800</v>
      </c>
      <c r="L6" s="81">
        <f t="shared" si="0"/>
        <v>120</v>
      </c>
      <c r="M6" s="82">
        <v>15</v>
      </c>
      <c r="N6" s="80">
        <f t="shared" si="1"/>
        <v>1485.000000000002</v>
      </c>
      <c r="O6" s="81">
        <f t="shared" si="2"/>
        <v>99.000000000000142</v>
      </c>
      <c r="P6" s="74">
        <f t="shared" si="3"/>
        <v>0</v>
      </c>
      <c r="Q6" s="83">
        <f t="shared" si="4"/>
        <v>-20.999999999999858</v>
      </c>
      <c r="R6" s="72">
        <f>O6/L6</f>
        <v>0.82500000000000118</v>
      </c>
      <c r="S6" s="377"/>
      <c r="T6" s="18">
        <v>0.34166666666666701</v>
      </c>
      <c r="U6" s="18">
        <v>0.36666666666666697</v>
      </c>
      <c r="V6" s="30">
        <f>(T6-U5)*24*60</f>
        <v>15.000000000000506</v>
      </c>
      <c r="W6" s="73">
        <f t="shared" si="5"/>
        <v>35.99999999999995</v>
      </c>
      <c r="X6" s="22"/>
      <c r="Y6" s="84"/>
      <c r="Z6" s="90"/>
      <c r="AA6" s="90"/>
      <c r="AB6" s="501"/>
      <c r="AC6" s="502"/>
      <c r="AD6" s="149"/>
      <c r="AE6" s="149"/>
      <c r="AF6" s="307">
        <f t="shared" si="6"/>
        <v>-314.99999999999795</v>
      </c>
      <c r="AG6" s="72">
        <f t="shared" si="7"/>
        <v>0.82500000000000118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5046</v>
      </c>
      <c r="H7" s="78">
        <f>F7*G7</f>
        <v>247960.44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1953.2903225806431</v>
      </c>
      <c r="O7" s="81">
        <f t="shared" si="2"/>
        <v>150.25310173697255</v>
      </c>
      <c r="P7" s="74">
        <f t="shared" si="3"/>
        <v>0</v>
      </c>
      <c r="Q7" s="83">
        <f t="shared" si="4"/>
        <v>-11.285359801488994</v>
      </c>
      <c r="R7" s="72">
        <f>O7/L7</f>
        <v>0.93013824884792529</v>
      </c>
      <c r="S7" s="377"/>
      <c r="T7" s="16">
        <v>0.38194444444444398</v>
      </c>
      <c r="U7" s="16">
        <v>0.48958333333333298</v>
      </c>
      <c r="V7" s="30">
        <f>(T7-U6)*24*60</f>
        <v>21.999999999998884</v>
      </c>
      <c r="W7" s="73">
        <f t="shared" si="5"/>
        <v>155.00000000000017</v>
      </c>
      <c r="X7" s="22">
        <v>0.49652777777777801</v>
      </c>
      <c r="Y7" s="84">
        <v>0.53819444444444398</v>
      </c>
      <c r="Z7" s="90"/>
      <c r="AA7" s="90"/>
      <c r="AB7" s="388"/>
      <c r="AC7" s="388"/>
      <c r="AD7" s="92"/>
      <c r="AE7" s="92"/>
      <c r="AF7" s="307">
        <f t="shared" si="6"/>
        <v>-146.70967741935692</v>
      </c>
      <c r="AG7" s="72">
        <f t="shared" si="7"/>
        <v>0.93013824884792529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5"/>
        <v>0</v>
      </c>
      <c r="X8" s="22"/>
      <c r="Y8" s="84"/>
      <c r="Z8" s="90"/>
      <c r="AA8" s="90"/>
      <c r="AB8" s="501"/>
      <c r="AC8" s="502"/>
      <c r="AD8" s="149"/>
      <c r="AE8" s="149"/>
      <c r="AF8" s="307"/>
      <c r="AG8" s="72"/>
      <c r="AH8" s="384"/>
    </row>
    <row r="9" spans="1:34" ht="15" customHeight="1">
      <c r="A9" s="424"/>
      <c r="B9" s="75"/>
      <c r="C9" s="7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22"/>
      <c r="U9" s="22"/>
      <c r="V9" s="30"/>
      <c r="W9" s="73">
        <f t="shared" si="5"/>
        <v>0</v>
      </c>
      <c r="X9" s="22"/>
      <c r="Y9" s="84"/>
      <c r="Z9" s="90"/>
      <c r="AA9" s="90"/>
      <c r="AB9" s="417"/>
      <c r="AC9" s="417"/>
      <c r="AD9" s="149"/>
      <c r="AE9" s="149"/>
      <c r="AF9" s="307"/>
      <c r="AG9" s="72"/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5"/>
        <v>0</v>
      </c>
      <c r="X10" s="22"/>
      <c r="Y10" s="84"/>
      <c r="Z10" s="90"/>
      <c r="AA10" s="90"/>
      <c r="AB10" s="388"/>
      <c r="AC10" s="388"/>
      <c r="AD10" s="149"/>
      <c r="AE10" s="92"/>
      <c r="AF10" s="307"/>
      <c r="AG10" s="72"/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5"/>
        <v>0</v>
      </c>
      <c r="X11" s="22"/>
      <c r="Y11" s="84"/>
      <c r="Z11" s="90"/>
      <c r="AA11" s="90"/>
      <c r="AB11" s="417"/>
      <c r="AC11" s="417"/>
      <c r="AE11" s="149"/>
      <c r="AF11" s="307"/>
      <c r="AG11" s="72"/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5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5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5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8">AVERAGE(J5:J14)</f>
        <v>13.333333333333334</v>
      </c>
      <c r="K15" s="120">
        <f t="shared" si="8"/>
        <v>2001.6666666666667</v>
      </c>
      <c r="L15" s="117">
        <f t="shared" si="8"/>
        <v>152.31837606837607</v>
      </c>
      <c r="M15" s="120">
        <f t="shared" si="8"/>
        <v>13.333333333333334</v>
      </c>
      <c r="N15" s="120">
        <f t="shared" si="8"/>
        <v>1719.7809847198696</v>
      </c>
      <c r="O15" s="117">
        <f t="shared" si="8"/>
        <v>130.89138478951767</v>
      </c>
      <c r="P15" s="121">
        <f t="shared" ref="P15:P19" si="9">M15-J15</f>
        <v>0</v>
      </c>
      <c r="Q15" s="122">
        <f t="shared" ref="Q15:Q19" si="10">O15-L15</f>
        <v>-21.426991278858395</v>
      </c>
      <c r="R15" s="123">
        <f t="shared" ref="R15:R19" si="11">O15/L15</f>
        <v>0.8593276016201763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2">N15-K15</f>
        <v>-281.88568194679715</v>
      </c>
      <c r="AG15" s="124">
        <f t="shared" ref="AG15:AG19" si="13">N15/K15</f>
        <v>0.85917451359860264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1290</v>
      </c>
      <c r="H16" s="134">
        <f>F16*G16</f>
        <v>73800.899999999994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4">K16/J16</f>
        <v>175.41666666666666</v>
      </c>
      <c r="M16" s="139">
        <v>12</v>
      </c>
      <c r="N16" s="140">
        <f t="shared" ref="N16:N19" si="15">G16/W16*60</f>
        <v>1842.8571428571881</v>
      </c>
      <c r="O16" s="141">
        <f>N16/M16</f>
        <v>153.57142857143234</v>
      </c>
      <c r="P16" s="142">
        <f>M16-J16</f>
        <v>0</v>
      </c>
      <c r="Q16" s="143">
        <f t="shared" si="10"/>
        <v>-21.845238095234322</v>
      </c>
      <c r="R16" s="144">
        <f>O16/L16</f>
        <v>0.87546657617918677</v>
      </c>
      <c r="S16" s="413">
        <f>R26</f>
        <v>0.88097398806401939</v>
      </c>
      <c r="T16" s="145">
        <v>0.29027777777777802</v>
      </c>
      <c r="U16" s="145">
        <v>0.31944444444444398</v>
      </c>
      <c r="V16" s="135"/>
      <c r="W16" s="146">
        <f t="shared" ref="W16:W78" si="16">(U16-T16)*24*60</f>
        <v>41.99999999999897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2"/>
        <v>-262.14285714281186</v>
      </c>
      <c r="AG16" s="52">
        <f t="shared" si="13"/>
        <v>0.87546657617918677</v>
      </c>
      <c r="AH16" s="382">
        <f>AG26</f>
        <v>0.88029841323800295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3587</v>
      </c>
      <c r="H17" s="78">
        <f>F17*G17</f>
        <v>181753.29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4"/>
        <v>175</v>
      </c>
      <c r="M17" s="148">
        <v>12</v>
      </c>
      <c r="N17" s="95">
        <f>G17/W17*60</f>
        <v>1793.5000000000077</v>
      </c>
      <c r="O17" s="96">
        <f t="shared" ref="O17:O19" si="17">N17/M17</f>
        <v>149.45833333333397</v>
      </c>
      <c r="P17" s="97">
        <f t="shared" si="9"/>
        <v>0</v>
      </c>
      <c r="Q17" s="98">
        <f t="shared" si="10"/>
        <v>-25.541666666666032</v>
      </c>
      <c r="R17" s="99">
        <f t="shared" si="11"/>
        <v>0.85404761904762272</v>
      </c>
      <c r="S17" s="414"/>
      <c r="T17" s="19">
        <v>0.32638888888888901</v>
      </c>
      <c r="U17" s="19">
        <v>0.40972222222222199</v>
      </c>
      <c r="V17" s="30">
        <f>(T17-U16)*24*60</f>
        <v>10.000000000000844</v>
      </c>
      <c r="W17" s="149">
        <f t="shared" si="16"/>
        <v>119.99999999999949</v>
      </c>
      <c r="X17" s="19"/>
      <c r="Y17" s="297"/>
      <c r="Z17" s="90"/>
      <c r="AA17" s="90"/>
      <c r="AB17" s="504"/>
      <c r="AC17" s="505"/>
      <c r="AD17" s="92"/>
      <c r="AE17" s="92"/>
      <c r="AF17" s="307">
        <f t="shared" si="12"/>
        <v>-306.49999999999227</v>
      </c>
      <c r="AG17" s="72">
        <f t="shared" si="13"/>
        <v>0.85404761904762272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3175</v>
      </c>
      <c r="H18" s="78">
        <f>F18*G18</f>
        <v>159988.25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4"/>
        <v>190.90909090909091</v>
      </c>
      <c r="M18" s="148">
        <v>11</v>
      </c>
      <c r="N18" s="95">
        <f t="shared" si="15"/>
        <v>1905.000000000013</v>
      </c>
      <c r="O18" s="96">
        <f t="shared" si="17"/>
        <v>173.18181818181935</v>
      </c>
      <c r="P18" s="97">
        <f t="shared" si="9"/>
        <v>0</v>
      </c>
      <c r="Q18" s="98">
        <f t="shared" si="10"/>
        <v>-17.727272727271554</v>
      </c>
      <c r="R18" s="99">
        <f t="shared" si="11"/>
        <v>0.90714285714286325</v>
      </c>
      <c r="S18" s="414"/>
      <c r="T18" s="19">
        <v>0.41666666666666702</v>
      </c>
      <c r="U18" s="19">
        <v>0.48611111111111099</v>
      </c>
      <c r="V18" s="30">
        <f>(T18-U17)*24*60</f>
        <v>10.000000000000844</v>
      </c>
      <c r="W18" s="149">
        <f t="shared" si="16"/>
        <v>99.999999999999318</v>
      </c>
      <c r="X18" s="22">
        <v>0.49305555555555602</v>
      </c>
      <c r="Y18" s="84">
        <v>0.53472222222222199</v>
      </c>
      <c r="Z18" s="90"/>
      <c r="AA18" s="90"/>
      <c r="AB18" s="388"/>
      <c r="AC18" s="388"/>
      <c r="AD18" s="92"/>
      <c r="AE18" s="92"/>
      <c r="AF18" s="307">
        <f t="shared" si="12"/>
        <v>-194.99999999998704</v>
      </c>
      <c r="AG18" s="72">
        <f t="shared" si="13"/>
        <v>0.90714285714286336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1517</v>
      </c>
      <c r="H19" s="78">
        <f>F19*G19</f>
        <v>76441.63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4"/>
        <v>190.90909090909091</v>
      </c>
      <c r="M19" s="148">
        <v>11</v>
      </c>
      <c r="N19" s="95">
        <f t="shared" si="15"/>
        <v>1857.5510204082066</v>
      </c>
      <c r="O19" s="96">
        <f t="shared" si="17"/>
        <v>168.86827458256423</v>
      </c>
      <c r="P19" s="97">
        <f t="shared" si="9"/>
        <v>0</v>
      </c>
      <c r="Q19" s="98">
        <f t="shared" si="10"/>
        <v>-22.040816326526681</v>
      </c>
      <c r="R19" s="99">
        <f t="shared" si="11"/>
        <v>0.88454810495628877</v>
      </c>
      <c r="S19" s="414"/>
      <c r="T19" s="19">
        <v>0.54930555555555605</v>
      </c>
      <c r="U19" s="19">
        <v>0.58333333333333304</v>
      </c>
      <c r="V19" s="30">
        <f>(T19-U18)*24*60</f>
        <v>91.000000000000881</v>
      </c>
      <c r="W19" s="149">
        <f t="shared" si="16"/>
        <v>48.999999999998863</v>
      </c>
      <c r="X19" s="22"/>
      <c r="Y19" s="84"/>
      <c r="Z19" s="90"/>
      <c r="AA19" s="90"/>
      <c r="AB19" s="501"/>
      <c r="AC19" s="502"/>
      <c r="AD19" s="149"/>
      <c r="AE19" s="149"/>
      <c r="AF19" s="307">
        <f t="shared" si="12"/>
        <v>-242.44897959179343</v>
      </c>
      <c r="AG19" s="72">
        <f t="shared" si="13"/>
        <v>0.88454810495628888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6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6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149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6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8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6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8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6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19">AVERAGE(J16:J25)</f>
        <v>11.5</v>
      </c>
      <c r="K26" s="155">
        <f t="shared" si="19"/>
        <v>2101.25</v>
      </c>
      <c r="L26" s="158">
        <f t="shared" si="19"/>
        <v>183.0587121212121</v>
      </c>
      <c r="M26" s="155">
        <f t="shared" si="19"/>
        <v>11.5</v>
      </c>
      <c r="N26" s="155">
        <f t="shared" si="19"/>
        <v>1849.7270408163538</v>
      </c>
      <c r="O26" s="158">
        <f t="shared" si="19"/>
        <v>161.26996366728747</v>
      </c>
      <c r="P26" s="159">
        <f t="shared" ref="P26:P30" si="20">M26-J26</f>
        <v>0</v>
      </c>
      <c r="Q26" s="160">
        <f t="shared" ref="Q26:Q30" si="21">O26-L26</f>
        <v>-21.788748453924626</v>
      </c>
      <c r="R26" s="161">
        <f t="shared" ref="R26:R31" si="22">O26/L26</f>
        <v>0.88097398806401939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3">N26-K26</f>
        <v>-251.52295918364621</v>
      </c>
      <c r="AG26" s="124">
        <f t="shared" ref="AG26:AG29" si="24">N26/K26</f>
        <v>0.88029841323800295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2686</v>
      </c>
      <c r="H27" s="134">
        <f>F27*G27</f>
        <v>156244.62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30" si="25">K27/J27</f>
        <v>97.8125</v>
      </c>
      <c r="M27" s="170">
        <v>16</v>
      </c>
      <c r="N27" s="140">
        <f>G27/W27*60</f>
        <v>1401.3913043478281</v>
      </c>
      <c r="O27" s="141">
        <f>N27/M27</f>
        <v>87.586956521739253</v>
      </c>
      <c r="P27" s="142">
        <f t="shared" si="20"/>
        <v>0</v>
      </c>
      <c r="Q27" s="143">
        <f t="shared" si="21"/>
        <v>-10.225543478260747</v>
      </c>
      <c r="R27" s="144">
        <f t="shared" si="22"/>
        <v>0.89545770245867606</v>
      </c>
      <c r="S27" s="413">
        <f>R37</f>
        <v>0.91523051788139154</v>
      </c>
      <c r="T27" s="171">
        <v>0.29027777777777802</v>
      </c>
      <c r="U27" s="171">
        <v>0.37013888888888902</v>
      </c>
      <c r="V27" s="135"/>
      <c r="W27" s="146">
        <f t="shared" si="16"/>
        <v>114.99999999999983</v>
      </c>
      <c r="X27" s="135"/>
      <c r="Y27" s="300" t="s">
        <v>46</v>
      </c>
      <c r="Z27" s="169"/>
      <c r="AA27" s="169"/>
      <c r="AB27" s="388"/>
      <c r="AC27" s="388"/>
      <c r="AD27" s="135"/>
      <c r="AE27" s="135"/>
      <c r="AF27" s="310">
        <f t="shared" si="23"/>
        <v>-163.60869565217195</v>
      </c>
      <c r="AG27" s="172">
        <f t="shared" si="24"/>
        <v>0.89545770245867606</v>
      </c>
      <c r="AH27" s="382">
        <f>AG37</f>
        <v>0.86253447108122028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f>1980+20</f>
        <v>2000</v>
      </c>
      <c r="H28" s="91">
        <f>F28*G28</f>
        <v>99040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16</v>
      </c>
      <c r="N28" s="95">
        <f>G28/W28*60</f>
        <v>1237.1134020618581</v>
      </c>
      <c r="O28" s="96">
        <f>N28/M28</f>
        <v>77.319587628866131</v>
      </c>
      <c r="P28" s="97">
        <f t="shared" si="20"/>
        <v>-1</v>
      </c>
      <c r="Q28" s="98">
        <f t="shared" si="21"/>
        <v>-7.386294724075043</v>
      </c>
      <c r="R28" s="99">
        <f t="shared" si="22"/>
        <v>0.91280068728522523</v>
      </c>
      <c r="S28" s="414"/>
      <c r="T28" s="19">
        <v>0.37708333333333299</v>
      </c>
      <c r="U28" s="19">
        <v>0.44444444444444398</v>
      </c>
      <c r="V28" s="92">
        <f>(T28-U27)*24*60</f>
        <v>9.999999999999325</v>
      </c>
      <c r="W28" s="149">
        <f t="shared" si="16"/>
        <v>96.999999999999815</v>
      </c>
      <c r="X28" s="174"/>
      <c r="Y28" s="301"/>
      <c r="Z28" s="335"/>
      <c r="AA28" s="335"/>
      <c r="AD28" s="92"/>
      <c r="AE28" s="92"/>
      <c r="AF28" s="311">
        <f t="shared" si="23"/>
        <v>-202.8865979381419</v>
      </c>
      <c r="AG28" s="99">
        <f t="shared" si="24"/>
        <v>0.85910652920962371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618</v>
      </c>
      <c r="H29" s="91">
        <f>F29*G29</f>
        <v>34873.74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5"/>
        <v>87.875</v>
      </c>
      <c r="M29" s="94">
        <v>14</v>
      </c>
      <c r="N29" s="95">
        <f>G29/W29*60</f>
        <v>1059.428571428597</v>
      </c>
      <c r="O29" s="96">
        <f>N29/M29</f>
        <v>75.673469387756924</v>
      </c>
      <c r="P29" s="97">
        <f t="shared" si="20"/>
        <v>-2</v>
      </c>
      <c r="Q29" s="98">
        <f t="shared" si="21"/>
        <v>-12.201530612243076</v>
      </c>
      <c r="R29" s="99">
        <f t="shared" si="22"/>
        <v>0.86114901152497214</v>
      </c>
      <c r="S29" s="414"/>
      <c r="T29" s="19">
        <v>0.45138888888888901</v>
      </c>
      <c r="U29" s="19">
        <v>0.47569444444444398</v>
      </c>
      <c r="V29" s="92">
        <f>(T29-U28)*24*60</f>
        <v>10.000000000000844</v>
      </c>
      <c r="W29" s="149">
        <f t="shared" si="16"/>
        <v>34.999999999999154</v>
      </c>
      <c r="X29" s="174">
        <v>0.48611111111111099</v>
      </c>
      <c r="Y29" s="301">
        <v>0.52777777777777801</v>
      </c>
      <c r="Z29" s="90"/>
      <c r="AA29" s="90"/>
      <c r="AB29" s="388"/>
      <c r="AC29" s="388"/>
      <c r="AD29" s="92"/>
      <c r="AE29" s="92"/>
      <c r="AF29" s="312">
        <f t="shared" si="23"/>
        <v>-346.57142857140298</v>
      </c>
      <c r="AG29" s="99">
        <f t="shared" si="24"/>
        <v>0.75350538508435061</v>
      </c>
      <c r="AH29" s="383"/>
    </row>
    <row r="30" spans="1:34" ht="15" customHeight="1">
      <c r="A30" s="411"/>
      <c r="B30" s="75" t="s">
        <v>81</v>
      </c>
      <c r="C30" s="88"/>
      <c r="D30" s="59" t="s">
        <v>134</v>
      </c>
      <c r="E30" s="89"/>
      <c r="F30" s="75">
        <f>VLOOKUP(D30,廠價表!$C$1:$E$41,3,0)</f>
        <v>56.43</v>
      </c>
      <c r="G30" s="90">
        <v>411</v>
      </c>
      <c r="H30" s="91">
        <f>F30*G30</f>
        <v>23192.73</v>
      </c>
      <c r="I30" s="92"/>
      <c r="J30" s="79">
        <f>VLOOKUP(D30,產線配置圖!$A$3:$C$38,2,0)</f>
        <v>16</v>
      </c>
      <c r="K30" s="80">
        <f>VLOOKUP(D30,產線配置圖!$A$3:$C$38,3,0)</f>
        <v>1406</v>
      </c>
      <c r="L30" s="93">
        <f t="shared" si="25"/>
        <v>87.875</v>
      </c>
      <c r="M30" s="94">
        <v>14</v>
      </c>
      <c r="N30" s="95">
        <f>G30/W30*60</f>
        <v>1120.9090909090705</v>
      </c>
      <c r="O30" s="96">
        <f>N30/M30</f>
        <v>80.064935064933607</v>
      </c>
      <c r="P30" s="97">
        <f t="shared" si="20"/>
        <v>-2</v>
      </c>
      <c r="Q30" s="98">
        <f t="shared" si="21"/>
        <v>-7.8100649350663929</v>
      </c>
      <c r="R30" s="99">
        <f t="shared" si="22"/>
        <v>0.91112301638615767</v>
      </c>
      <c r="S30" s="414"/>
      <c r="T30" s="19">
        <v>0.54027777777777797</v>
      </c>
      <c r="U30" s="19">
        <v>0.55555555555555602</v>
      </c>
      <c r="V30" s="92">
        <f>(T30-U29)*24*60</f>
        <v>93.000000000000952</v>
      </c>
      <c r="W30" s="149">
        <f t="shared" si="16"/>
        <v>22.000000000000401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ref="AF30:AF31" si="26">N30-K30</f>
        <v>-285.09090909092947</v>
      </c>
      <c r="AG30" s="99">
        <f t="shared" ref="AG30:AG31" si="27">N30/K30</f>
        <v>0.79723263933788802</v>
      </c>
      <c r="AH30" s="416"/>
    </row>
    <row r="31" spans="1:34" ht="15" customHeight="1">
      <c r="A31" s="411"/>
      <c r="B31" s="75" t="s">
        <v>81</v>
      </c>
      <c r="C31" s="88"/>
      <c r="D31" s="59" t="s">
        <v>137</v>
      </c>
      <c r="E31" s="89"/>
      <c r="F31" s="75">
        <f>VLOOKUP(D31,廠價表!$C$1:$E$41,3,0)</f>
        <v>58.17</v>
      </c>
      <c r="G31" s="90">
        <v>1600</v>
      </c>
      <c r="H31" s="91">
        <f>F31*G31</f>
        <v>93072</v>
      </c>
      <c r="I31" s="92"/>
      <c r="J31" s="79">
        <f>VLOOKUP(D31,產線配置圖!$A$3:$C$38,2,0)</f>
        <v>16</v>
      </c>
      <c r="K31" s="80">
        <f>VLOOKUP(D31,產線配置圖!$A$3:$C$38,3,0)</f>
        <v>1565</v>
      </c>
      <c r="L31" s="93">
        <f>K31/J31</f>
        <v>97.8125</v>
      </c>
      <c r="M31" s="94">
        <v>16</v>
      </c>
      <c r="N31" s="95">
        <f>G31/W31*60</f>
        <v>1548.387096774215</v>
      </c>
      <c r="O31" s="96">
        <f>N31/M31</f>
        <v>96.774193548388439</v>
      </c>
      <c r="P31" s="97">
        <f>M31-J31</f>
        <v>0</v>
      </c>
      <c r="Q31" s="98">
        <f>O31-L31</f>
        <v>-1.038306451611561</v>
      </c>
      <c r="R31" s="99">
        <f t="shared" si="22"/>
        <v>0.98938472637330033</v>
      </c>
      <c r="S31" s="414"/>
      <c r="T31" s="19">
        <v>0.561805555555556</v>
      </c>
      <c r="U31" s="19">
        <v>0.60486111111111096</v>
      </c>
      <c r="V31" s="92">
        <f>(T31-U30)*24*60</f>
        <v>8.999999999999968</v>
      </c>
      <c r="W31" s="149">
        <f t="shared" si="16"/>
        <v>61.99999999999914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6"/>
        <v>-16.612903225784976</v>
      </c>
      <c r="AG31" s="99">
        <f t="shared" si="27"/>
        <v>0.98938472637330033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6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6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6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6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6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9">AVERAGE(J27:J36)</f>
        <v>16.2</v>
      </c>
      <c r="K37" s="155">
        <f t="shared" si="29"/>
        <v>1476.4</v>
      </c>
      <c r="L37" s="158">
        <f t="shared" si="29"/>
        <v>91.216176470588238</v>
      </c>
      <c r="M37" s="155">
        <f t="shared" si="29"/>
        <v>15.2</v>
      </c>
      <c r="N37" s="155">
        <f t="shared" si="29"/>
        <v>1273.4458931043137</v>
      </c>
      <c r="O37" s="158">
        <f t="shared" si="29"/>
        <v>83.483828430336871</v>
      </c>
      <c r="P37" s="159">
        <f>M37-J37</f>
        <v>-1</v>
      </c>
      <c r="Q37" s="160">
        <f>N37-K37</f>
        <v>-202.95410689568644</v>
      </c>
      <c r="R37" s="161">
        <f>O37/L37</f>
        <v>0.91523051788139154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0" si="30">N37-K37</f>
        <v>-202.95410689568644</v>
      </c>
      <c r="AG37" s="124">
        <f t="shared" ref="AG37:AG40" si="31">N37/K37</f>
        <v>0.86253447108122028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f>857+180</f>
        <v>1037</v>
      </c>
      <c r="H38" s="134">
        <f>F38*G38</f>
        <v>58974.189999999995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>K38/J38</f>
        <v>92.058823529411768</v>
      </c>
      <c r="M38" s="190">
        <v>16</v>
      </c>
      <c r="N38" s="140">
        <f>G38/W38*60</f>
        <v>1196.5384615384307</v>
      </c>
      <c r="O38" s="141">
        <f>N38/M38</f>
        <v>74.783653846151921</v>
      </c>
      <c r="P38" s="142">
        <f>M38-J38</f>
        <v>-1</v>
      </c>
      <c r="Q38" s="143">
        <f>O38-L38</f>
        <v>-17.275169683259847</v>
      </c>
      <c r="R38" s="144">
        <f>O38/L38</f>
        <v>0.81234639960676203</v>
      </c>
      <c r="S38" s="404">
        <f>R48</f>
        <v>0.84002562932274372</v>
      </c>
      <c r="T38" s="191">
        <v>0.33194444444444399</v>
      </c>
      <c r="U38" s="191">
        <v>0.36805555555555602</v>
      </c>
      <c r="V38" s="192"/>
      <c r="W38" s="193">
        <f t="shared" si="16"/>
        <v>52.000000000001336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-368.46153846156926</v>
      </c>
      <c r="AG38" s="195">
        <f t="shared" si="31"/>
        <v>0.76456131727695253</v>
      </c>
      <c r="AH38" s="398">
        <f>AG48</f>
        <v>0.8240972685461404</v>
      </c>
    </row>
    <row r="39" spans="1:34" ht="15" customHeight="1">
      <c r="A39" s="402"/>
      <c r="B39" s="75" t="s">
        <v>120</v>
      </c>
      <c r="C39" s="207"/>
      <c r="D39" s="198" t="s">
        <v>124</v>
      </c>
      <c r="E39" s="178"/>
      <c r="F39" s="75">
        <f>VLOOKUP(D39,廠價表!$C$1:$E$41,3,0)</f>
        <v>44.3</v>
      </c>
      <c r="G39" s="199">
        <v>3027</v>
      </c>
      <c r="H39" s="91">
        <f>F39*G39</f>
        <v>134096.1</v>
      </c>
      <c r="I39" s="200"/>
      <c r="J39" s="148">
        <f>VLOOKUP(D39,產線配置圖!$A$3:$C$38,2,0)</f>
        <v>17</v>
      </c>
      <c r="K39" s="95">
        <v>1565</v>
      </c>
      <c r="L39" s="96">
        <f t="shared" ref="L39:L40" si="32">K39/J39</f>
        <v>92.058823529411768</v>
      </c>
      <c r="M39" s="201">
        <v>17</v>
      </c>
      <c r="N39" s="202">
        <f>G39/W39*60</f>
        <v>1297.2857142857174</v>
      </c>
      <c r="O39" s="203">
        <f>N39/M39</f>
        <v>76.310924369748079</v>
      </c>
      <c r="P39" s="97">
        <f t="shared" ref="P39:P40" si="33">M39-J39</f>
        <v>0</v>
      </c>
      <c r="Q39" s="98">
        <f t="shared" ref="Q39:Q40" si="34">O39-L39</f>
        <v>-15.747899159663689</v>
      </c>
      <c r="R39" s="99">
        <f t="shared" ref="R39:R40" si="35">O39/L39</f>
        <v>0.82893655864902061</v>
      </c>
      <c r="S39" s="405"/>
      <c r="T39" s="20">
        <v>0.375</v>
      </c>
      <c r="U39" s="20">
        <v>0.47222222222222199</v>
      </c>
      <c r="V39" s="92">
        <f>(T39-U38)*24*60</f>
        <v>9.999999999999325</v>
      </c>
      <c r="W39" s="205">
        <f t="shared" si="16"/>
        <v>139.99999999999966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-267.7142857142826</v>
      </c>
      <c r="AG39" s="206">
        <f t="shared" si="31"/>
        <v>0.82893655864902072</v>
      </c>
      <c r="AH39" s="399"/>
    </row>
    <row r="40" spans="1:34" ht="15" customHeight="1">
      <c r="A40" s="402"/>
      <c r="B40" s="75" t="s">
        <v>120</v>
      </c>
      <c r="C40" s="86"/>
      <c r="D40" s="198" t="s">
        <v>124</v>
      </c>
      <c r="E40" s="87"/>
      <c r="F40" s="75">
        <f>VLOOKUP(D40,廠價表!$C$1:$E$41,3,0)</f>
        <v>44.3</v>
      </c>
      <c r="G40" s="199">
        <f>1287+180</f>
        <v>1467</v>
      </c>
      <c r="H40" s="91">
        <f>F40*G40</f>
        <v>64988.1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17</v>
      </c>
      <c r="N40" s="202">
        <f>G40/W40*60</f>
        <v>1375.3124999999809</v>
      </c>
      <c r="O40" s="203">
        <f>N40/M40</f>
        <v>80.900735294116529</v>
      </c>
      <c r="P40" s="97">
        <f t="shared" si="33"/>
        <v>0</v>
      </c>
      <c r="Q40" s="98">
        <f t="shared" si="34"/>
        <v>-11.158088235295239</v>
      </c>
      <c r="R40" s="99">
        <f t="shared" si="35"/>
        <v>0.87879392971244785</v>
      </c>
      <c r="S40" s="377"/>
      <c r="T40" s="210">
        <v>0.53472222222222199</v>
      </c>
      <c r="U40" s="210">
        <v>0.57916666666666705</v>
      </c>
      <c r="V40" s="92">
        <f>(T40-U39)*24*60</f>
        <v>90</v>
      </c>
      <c r="W40" s="205">
        <f t="shared" si="16"/>
        <v>64.000000000000895</v>
      </c>
      <c r="X40" s="22">
        <v>0.47916666666666702</v>
      </c>
      <c r="Y40" s="84">
        <v>0.52083333333333304</v>
      </c>
      <c r="Z40" s="337"/>
      <c r="AA40" s="337"/>
      <c r="AB40" s="388"/>
      <c r="AC40" s="388"/>
      <c r="AD40" s="92"/>
      <c r="AE40" s="92"/>
      <c r="AF40" s="314">
        <f t="shared" si="30"/>
        <v>-189.6875000000191</v>
      </c>
      <c r="AG40" s="206">
        <f t="shared" si="31"/>
        <v>0.87879392971244785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6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6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1565</v>
      </c>
      <c r="L48" s="158">
        <f t="shared" si="37"/>
        <v>92.058823529411768</v>
      </c>
      <c r="M48" s="155">
        <f t="shared" si="37"/>
        <v>16.666666666666668</v>
      </c>
      <c r="N48" s="155">
        <f t="shared" si="37"/>
        <v>1289.7122252747097</v>
      </c>
      <c r="O48" s="158">
        <f t="shared" si="37"/>
        <v>77.331771170005524</v>
      </c>
      <c r="P48" s="221">
        <f>M48-J48</f>
        <v>-0.33333333333333215</v>
      </c>
      <c r="Q48" s="222">
        <f>N48-K48</f>
        <v>-275.28777472529032</v>
      </c>
      <c r="R48" s="223">
        <f t="shared" ref="R48:R52" si="38">O48/L48</f>
        <v>0.84002562932274372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2" si="39">N48-K48</f>
        <v>-275.28777472529032</v>
      </c>
      <c r="AG48" s="162">
        <f t="shared" ref="AG48:AG52" si="40">N48/K48</f>
        <v>0.8240972685461404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618</v>
      </c>
      <c r="H49" s="134">
        <f>F49*G49</f>
        <v>35411.4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1">K49/J49</f>
        <v>107.14285714285714</v>
      </c>
      <c r="M49" s="170">
        <v>17</v>
      </c>
      <c r="N49" s="140">
        <f>G49/W49*60</f>
        <v>1765.7142857143258</v>
      </c>
      <c r="O49" s="141">
        <f>N49/M49</f>
        <v>103.86554621848975</v>
      </c>
      <c r="P49" s="229">
        <f>M49-J49</f>
        <v>3</v>
      </c>
      <c r="Q49" s="230">
        <f>O49-L49</f>
        <v>-3.2773109243673844</v>
      </c>
      <c r="R49" s="52">
        <f t="shared" si="38"/>
        <v>0.9694117647059044</v>
      </c>
      <c r="S49" s="376">
        <f>R58</f>
        <v>0.94968284218293675</v>
      </c>
      <c r="T49" s="191">
        <v>0.29027777777777802</v>
      </c>
      <c r="U49" s="191">
        <v>0.30486111111111103</v>
      </c>
      <c r="V49" s="55"/>
      <c r="W49" s="193">
        <f t="shared" si="16"/>
        <v>20.999999999999524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9"/>
        <v>265.7142857143258</v>
      </c>
      <c r="AG49" s="52">
        <f t="shared" si="40"/>
        <v>1.1771428571428839</v>
      </c>
      <c r="AH49" s="382">
        <f>AG58</f>
        <v>1.0585526868278805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2207</v>
      </c>
      <c r="H50" s="231">
        <f>F50*G50</f>
        <v>110151.37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1"/>
        <v>104.33333333333333</v>
      </c>
      <c r="M50" s="233">
        <v>17</v>
      </c>
      <c r="N50" s="234">
        <f>G50/W50*60</f>
        <v>1655.2499999999875</v>
      </c>
      <c r="O50" s="235">
        <f>N50/M50</f>
        <v>97.367647058822797</v>
      </c>
      <c r="P50" s="74">
        <f>M50-J50</f>
        <v>2</v>
      </c>
      <c r="Q50" s="83">
        <f>O50-L50</f>
        <v>-6.9656862745105315</v>
      </c>
      <c r="R50" s="72">
        <f t="shared" si="38"/>
        <v>0.93323623379063392</v>
      </c>
      <c r="S50" s="377"/>
      <c r="T50" s="21">
        <v>0.31111111111111101</v>
      </c>
      <c r="U50" s="21">
        <v>0.36666666666666697</v>
      </c>
      <c r="V50" s="30">
        <f t="shared" ref="V50:V52" si="42">(T50-U49)*24*60</f>
        <v>8.999999999999968</v>
      </c>
      <c r="W50" s="236">
        <f t="shared" si="16"/>
        <v>80.000000000000597</v>
      </c>
      <c r="X50" s="22"/>
      <c r="Y50" s="84"/>
      <c r="Z50" s="90"/>
      <c r="AA50" s="90"/>
      <c r="AB50" s="501"/>
      <c r="AC50" s="502"/>
      <c r="AD50" s="92"/>
      <c r="AE50" s="92"/>
      <c r="AF50" s="307">
        <f t="shared" si="39"/>
        <v>90.249999999987494</v>
      </c>
      <c r="AG50" s="72">
        <f t="shared" si="40"/>
        <v>1.057667731629385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3999</v>
      </c>
      <c r="H51" s="231">
        <f>F51*G51</f>
        <v>199830.03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1"/>
        <v>107.125</v>
      </c>
      <c r="M51" s="233">
        <v>17</v>
      </c>
      <c r="N51" s="234">
        <f>G51/W51*60</f>
        <v>1689.7183098591563</v>
      </c>
      <c r="O51" s="235">
        <f>N51/M51</f>
        <v>99.395194697597432</v>
      </c>
      <c r="P51" s="74">
        <f>M51-J51</f>
        <v>1</v>
      </c>
      <c r="Q51" s="83">
        <f>O51-L51</f>
        <v>-7.7298053024025677</v>
      </c>
      <c r="R51" s="72">
        <f t="shared" si="38"/>
        <v>0.92784312436497018</v>
      </c>
      <c r="S51" s="377"/>
      <c r="T51" s="21">
        <v>0.37847222222222199</v>
      </c>
      <c r="U51" s="19">
        <v>0.47708333333333303</v>
      </c>
      <c r="V51" s="30">
        <f t="shared" si="42"/>
        <v>16.999999999999218</v>
      </c>
      <c r="W51" s="236">
        <f t="shared" si="16"/>
        <v>141.99999999999989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9"/>
        <v>-24.281690140843693</v>
      </c>
      <c r="AG51" s="72">
        <f t="shared" si="40"/>
        <v>0.98583331963778076</v>
      </c>
      <c r="AH51" s="384"/>
    </row>
    <row r="52" spans="1:34" ht="15" customHeight="1">
      <c r="A52" s="396"/>
      <c r="B52" s="101" t="s">
        <v>81</v>
      </c>
      <c r="C52" s="102"/>
      <c r="D52" s="103" t="s">
        <v>127</v>
      </c>
      <c r="E52" s="104"/>
      <c r="F52" s="75">
        <f>VLOOKUP(D52,廠價表!$C$1:$E$41,3,0)</f>
        <v>49.97</v>
      </c>
      <c r="G52" s="202">
        <v>705</v>
      </c>
      <c r="H52" s="231">
        <f>F52*G52</f>
        <v>35228.85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1"/>
        <v>107.125</v>
      </c>
      <c r="M52" s="233">
        <v>17</v>
      </c>
      <c r="N52" s="234">
        <f>G52/W52*60</f>
        <v>1762.4999999999593</v>
      </c>
      <c r="O52" s="235">
        <f>N52/M52</f>
        <v>103.6764705882329</v>
      </c>
      <c r="P52" s="74">
        <f>M52-J52</f>
        <v>1</v>
      </c>
      <c r="Q52" s="83">
        <f>O52-L52</f>
        <v>-3.4485294117670975</v>
      </c>
      <c r="R52" s="72">
        <f t="shared" si="38"/>
        <v>0.96780836021687655</v>
      </c>
      <c r="S52" s="377"/>
      <c r="T52" s="21">
        <v>0.54374999999999996</v>
      </c>
      <c r="U52" s="21">
        <v>0.56041666666666701</v>
      </c>
      <c r="V52" s="30">
        <f t="shared" si="42"/>
        <v>96.000000000000384</v>
      </c>
      <c r="W52" s="236">
        <f t="shared" si="16"/>
        <v>24.000000000000554</v>
      </c>
      <c r="X52" s="22">
        <v>0.48611111111111099</v>
      </c>
      <c r="Y52" s="84">
        <v>0.52777777777777801</v>
      </c>
      <c r="Z52" s="90"/>
      <c r="AA52" s="90"/>
      <c r="AB52" s="388"/>
      <c r="AC52" s="388"/>
      <c r="AD52" s="92"/>
      <c r="AE52" s="92"/>
      <c r="AF52" s="307">
        <f t="shared" si="39"/>
        <v>48.4999999999593</v>
      </c>
      <c r="AG52" s="72">
        <f t="shared" si="40"/>
        <v>1.0282963827304312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6"/>
        <v>0</v>
      </c>
      <c r="X53" s="30"/>
      <c r="Y53" s="151"/>
      <c r="Z53" s="90"/>
      <c r="AA53" s="90"/>
      <c r="AB53" s="388"/>
      <c r="AC53" s="388"/>
      <c r="AD53" s="92"/>
      <c r="AE53" s="92"/>
      <c r="AF53" s="307"/>
      <c r="AG53" s="72"/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6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6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6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6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3">AVERAGE(J49:J57)</f>
        <v>15.25</v>
      </c>
      <c r="K58" s="120">
        <f t="shared" si="43"/>
        <v>1623.25</v>
      </c>
      <c r="L58" s="117">
        <f t="shared" si="43"/>
        <v>106.43154761904762</v>
      </c>
      <c r="M58" s="120">
        <f t="shared" si="43"/>
        <v>17</v>
      </c>
      <c r="N58" s="120">
        <f t="shared" si="43"/>
        <v>1718.2956488933571</v>
      </c>
      <c r="O58" s="117">
        <f t="shared" si="43"/>
        <v>101.07621464078572</v>
      </c>
      <c r="P58" s="121">
        <f>M58-J58</f>
        <v>1.75</v>
      </c>
      <c r="Q58" s="122">
        <f>N58-K58</f>
        <v>95.045648893357111</v>
      </c>
      <c r="R58" s="123">
        <f t="shared" ref="R58:R60" si="44">O58/L58</f>
        <v>0.94968284218293675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5">N58-K58</f>
        <v>95.045648893357111</v>
      </c>
      <c r="AG58" s="124">
        <f t="shared" ref="AG58:AG61" si="46">N58/K58</f>
        <v>1.0585526868278805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3271</v>
      </c>
      <c r="H59" s="243">
        <f>F59*G59</f>
        <v>88284.29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7">K59/J59</f>
        <v>120.38461538461539</v>
      </c>
      <c r="M59" s="244">
        <v>13</v>
      </c>
      <c r="N59" s="137">
        <f t="shared" ref="N59:N62" si="48">G59/W59*60</f>
        <v>1545.3543307086697</v>
      </c>
      <c r="O59" s="138">
        <f t="shared" ref="O59:O62" si="49">N59/M59</f>
        <v>118.87341005451306</v>
      </c>
      <c r="P59" s="56">
        <f t="shared" ref="P59:P62" si="50">M59-J59</f>
        <v>0</v>
      </c>
      <c r="Q59" s="230">
        <f t="shared" ref="Q59:Q62" si="51">O59-L59</f>
        <v>-1.511205330102328</v>
      </c>
      <c r="R59" s="52">
        <f t="shared" si="44"/>
        <v>0.98744685668285603</v>
      </c>
      <c r="S59" s="376">
        <f>R69</f>
        <v>0.89634720135763091</v>
      </c>
      <c r="T59" s="191">
        <v>0.29027777777777802</v>
      </c>
      <c r="U59" s="245">
        <v>0.37847222222222199</v>
      </c>
      <c r="V59" s="55"/>
      <c r="W59" s="54">
        <f t="shared" si="16"/>
        <v>126.9999999999993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5"/>
        <v>-19.64566929133025</v>
      </c>
      <c r="AG59" s="246">
        <f t="shared" si="46"/>
        <v>0.98744685668285603</v>
      </c>
      <c r="AH59" s="382">
        <f>AG69</f>
        <v>0.90041843877799954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1678</v>
      </c>
      <c r="H60" s="78">
        <f>F60*G60</f>
        <v>47420.280000000006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7"/>
        <v>130.41666666666666</v>
      </c>
      <c r="M60" s="82">
        <v>12</v>
      </c>
      <c r="N60" s="80">
        <f t="shared" si="48"/>
        <v>1438.2857142857176</v>
      </c>
      <c r="O60" s="81">
        <f t="shared" si="49"/>
        <v>119.85714285714313</v>
      </c>
      <c r="P60" s="74">
        <f t="shared" si="50"/>
        <v>0</v>
      </c>
      <c r="Q60" s="83">
        <f t="shared" si="51"/>
        <v>-10.559523809523526</v>
      </c>
      <c r="R60" s="72">
        <f t="shared" si="44"/>
        <v>0.91903240529438834</v>
      </c>
      <c r="S60" s="394"/>
      <c r="T60" s="22">
        <v>0.38888888888888901</v>
      </c>
      <c r="U60" s="22">
        <v>0.4375</v>
      </c>
      <c r="V60" s="30">
        <f t="shared" ref="V60:V61" si="52">(T60-U59)*24*60</f>
        <v>15.000000000000506</v>
      </c>
      <c r="W60" s="248">
        <f t="shared" si="16"/>
        <v>69.999999999999829</v>
      </c>
      <c r="X60" s="232"/>
      <c r="Y60" s="177"/>
      <c r="Z60" s="90"/>
      <c r="AA60" s="90"/>
      <c r="AB60" s="501"/>
      <c r="AC60" s="502"/>
      <c r="AD60" s="92"/>
      <c r="AE60" s="92"/>
      <c r="AF60" s="316">
        <f t="shared" si="45"/>
        <v>-126.71428571428237</v>
      </c>
      <c r="AG60" s="249">
        <f t="shared" si="46"/>
        <v>0.91903240529438823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1187</v>
      </c>
      <c r="H61" s="254">
        <f>F61*G61</f>
        <v>33544.620000000003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7"/>
        <v>130.41666666666666</v>
      </c>
      <c r="M61" s="108">
        <v>12</v>
      </c>
      <c r="N61" s="107">
        <f t="shared" si="48"/>
        <v>1294.9090909091069</v>
      </c>
      <c r="O61" s="238">
        <f t="shared" si="49"/>
        <v>107.90909090909224</v>
      </c>
      <c r="P61" s="111">
        <f t="shared" si="50"/>
        <v>0</v>
      </c>
      <c r="Q61" s="255">
        <f t="shared" si="51"/>
        <v>-22.507575757574415</v>
      </c>
      <c r="R61" s="85">
        <f>O61/L61</f>
        <v>0.82741794946268821</v>
      </c>
      <c r="S61" s="377"/>
      <c r="T61" s="22">
        <v>0.44791666666666702</v>
      </c>
      <c r="U61" s="22">
        <v>0.48611111111111099</v>
      </c>
      <c r="V61" s="30">
        <f t="shared" si="52"/>
        <v>15.000000000000506</v>
      </c>
      <c r="W61" s="256">
        <f t="shared" si="16"/>
        <v>54.999999999999325</v>
      </c>
      <c r="X61" s="22"/>
      <c r="Y61" s="84"/>
      <c r="Z61" s="90"/>
      <c r="AA61" s="90"/>
      <c r="AB61" s="503"/>
      <c r="AC61" s="502"/>
      <c r="AD61" s="92"/>
      <c r="AE61" s="92"/>
      <c r="AF61" s="317">
        <f t="shared" si="45"/>
        <v>-270.09090909089309</v>
      </c>
      <c r="AG61" s="247">
        <f t="shared" si="46"/>
        <v>0.8274179494626881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1422</v>
      </c>
      <c r="H62" s="254">
        <f>F62*G62</f>
        <v>40185.72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7"/>
        <v>181.77777777777777</v>
      </c>
      <c r="M62" s="108">
        <v>9</v>
      </c>
      <c r="N62" s="107">
        <f t="shared" si="48"/>
        <v>1422.0000000000202</v>
      </c>
      <c r="O62" s="238">
        <f t="shared" si="49"/>
        <v>158.00000000000225</v>
      </c>
      <c r="P62" s="111">
        <f t="shared" si="50"/>
        <v>0</v>
      </c>
      <c r="Q62" s="255">
        <f t="shared" si="51"/>
        <v>-23.777777777775526</v>
      </c>
      <c r="R62" s="85">
        <f>O62/L62</f>
        <v>0.86919315403424224</v>
      </c>
      <c r="S62" s="377"/>
      <c r="T62" s="22">
        <v>0.54166666666666696</v>
      </c>
      <c r="U62" s="22">
        <v>0.58333333333333304</v>
      </c>
      <c r="V62" s="30">
        <f>(T62-U61)*24*60</f>
        <v>80.000000000000597</v>
      </c>
      <c r="W62" s="248">
        <f t="shared" si="16"/>
        <v>59.999999999999147</v>
      </c>
      <c r="X62" s="22">
        <v>0.49305555555555602</v>
      </c>
      <c r="Y62" s="84">
        <v>0.53472222222222199</v>
      </c>
      <c r="Z62" s="90"/>
      <c r="AA62" s="90"/>
      <c r="AB62" s="501"/>
      <c r="AC62" s="502"/>
      <c r="AD62" s="92"/>
      <c r="AE62" s="92"/>
      <c r="AF62" s="317">
        <f>N62-K62</f>
        <v>-213.99999999997976</v>
      </c>
      <c r="AG62" s="247">
        <f>N62/K62</f>
        <v>0.86919315403424224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6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6"/>
        <v>0</v>
      </c>
      <c r="X64" s="261"/>
      <c r="Y64" s="291"/>
      <c r="Z64" s="335"/>
      <c r="AA64" s="335"/>
      <c r="AB64" s="388"/>
      <c r="AC64" s="388"/>
      <c r="AD64" s="92"/>
      <c r="AE64" s="92"/>
      <c r="AF64" s="317"/>
      <c r="AG64" s="247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6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6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6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6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11.5</v>
      </c>
      <c r="K69" s="240">
        <f t="shared" si="53"/>
        <v>1582.75</v>
      </c>
      <c r="L69" s="268">
        <f t="shared" si="53"/>
        <v>140.74893162393164</v>
      </c>
      <c r="M69" s="240">
        <f t="shared" si="53"/>
        <v>11.5</v>
      </c>
      <c r="N69" s="240">
        <f t="shared" si="53"/>
        <v>1425.1372839758787</v>
      </c>
      <c r="O69" s="268">
        <f t="shared" si="53"/>
        <v>126.15991095518768</v>
      </c>
      <c r="P69" s="269">
        <f>M69-J69</f>
        <v>0</v>
      </c>
      <c r="Q69" s="222">
        <f>N69-K69</f>
        <v>-157.61271602412126</v>
      </c>
      <c r="R69" s="123">
        <f t="shared" ref="R69:R72" si="54">O69/L69</f>
        <v>0.89634720135763091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-157.61271602412126</v>
      </c>
      <c r="AG69" s="124">
        <f>N69/K69</f>
        <v>0.90041843877799954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1412</v>
      </c>
      <c r="H70" s="243">
        <f>F70*G70</f>
        <v>71546.040000000008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1072.4050632911408</v>
      </c>
      <c r="O70" s="138">
        <f>N70/M70</f>
        <v>107.24050632911408</v>
      </c>
      <c r="P70" s="56">
        <f>M70-J70</f>
        <v>0</v>
      </c>
      <c r="Q70" s="230">
        <f>O70-L70</f>
        <v>-5.2594936708859166</v>
      </c>
      <c r="R70" s="52">
        <f t="shared" si="54"/>
        <v>0.95324894514768077</v>
      </c>
      <c r="S70" s="376">
        <f>R79</f>
        <v>0.8562663017176757</v>
      </c>
      <c r="T70" s="245">
        <v>0.33333333333333298</v>
      </c>
      <c r="U70" s="245">
        <v>0.38819444444444401</v>
      </c>
      <c r="V70" s="55"/>
      <c r="W70" s="54">
        <f t="shared" si="16"/>
        <v>78.999999999999886</v>
      </c>
      <c r="X70" s="270"/>
      <c r="Y70" s="292"/>
      <c r="Z70" s="169"/>
      <c r="AA70" s="169"/>
      <c r="AB70" s="381"/>
      <c r="AC70" s="381"/>
      <c r="AD70" s="135"/>
      <c r="AE70" s="135"/>
      <c r="AF70" s="317">
        <f t="shared" ref="AF70:AF72" si="55">N70-K70</f>
        <v>-52.594936708859223</v>
      </c>
      <c r="AG70" s="247">
        <f t="shared" ref="AG70:AG72" si="56">N70/K70</f>
        <v>0.95324894514768066</v>
      </c>
      <c r="AH70" s="382">
        <f>AG79</f>
        <v>0.85803889069099759</v>
      </c>
    </row>
    <row r="71" spans="1:36" ht="15" customHeight="1">
      <c r="A71" s="374"/>
      <c r="B71" s="75" t="s">
        <v>128</v>
      </c>
      <c r="C71" s="76"/>
      <c r="D71" s="59" t="s">
        <v>138</v>
      </c>
      <c r="E71" s="77"/>
      <c r="F71" s="250">
        <f>VLOOKUP(D71,廠價表!$C$1:$E$41,3,0)</f>
        <v>28.26</v>
      </c>
      <c r="G71" s="202">
        <v>2343</v>
      </c>
      <c r="H71" s="254">
        <f>F71*G71</f>
        <v>66213.180000000008</v>
      </c>
      <c r="I71" s="182"/>
      <c r="J71" s="106">
        <f>VLOOKUP(D71,產線配置圖!$A$3:$C$38,2,0)</f>
        <v>9</v>
      </c>
      <c r="K71" s="107">
        <f>VLOOKUP(D71,產線配置圖!$A$3:$C$38,3,0)</f>
        <v>1636</v>
      </c>
      <c r="L71" s="238">
        <f t="shared" ref="L71:L72" si="57">K71/J71</f>
        <v>181.77777777777777</v>
      </c>
      <c r="M71" s="82">
        <v>9</v>
      </c>
      <c r="N71" s="107">
        <f t="shared" ref="N71:N72" si="58">G71/W71*60</f>
        <v>1338.8571428571558</v>
      </c>
      <c r="O71" s="238">
        <f t="shared" ref="O71:O72" si="59">N71/M71</f>
        <v>148.76190476190621</v>
      </c>
      <c r="P71" s="111">
        <f t="shared" ref="P71:P72" si="60">M71-J71</f>
        <v>0</v>
      </c>
      <c r="Q71" s="255">
        <f t="shared" ref="Q71:Q72" si="61">O71-L71</f>
        <v>-33.015873015871563</v>
      </c>
      <c r="R71" s="85">
        <f t="shared" si="54"/>
        <v>0.81837233670975296</v>
      </c>
      <c r="S71" s="377"/>
      <c r="T71" s="22">
        <v>0.39930555555555602</v>
      </c>
      <c r="U71" s="22">
        <v>0.47222222222222199</v>
      </c>
      <c r="V71" s="30">
        <f t="shared" ref="V71:V72" si="62">(T71-U70)*24*60</f>
        <v>16.0000000000013</v>
      </c>
      <c r="W71" s="73">
        <f t="shared" si="16"/>
        <v>104.99999999999899</v>
      </c>
      <c r="X71" s="271"/>
      <c r="Y71" s="293"/>
      <c r="Z71" s="90"/>
      <c r="AA71" s="90"/>
      <c r="AB71" s="501"/>
      <c r="AC71" s="502"/>
      <c r="AD71" s="200"/>
      <c r="AE71" s="200"/>
      <c r="AF71" s="317">
        <f t="shared" si="55"/>
        <v>-297.14285714284415</v>
      </c>
      <c r="AG71" s="247">
        <f t="shared" si="56"/>
        <v>0.81837233670975296</v>
      </c>
      <c r="AH71" s="383"/>
    </row>
    <row r="72" spans="1:36" ht="15" customHeight="1">
      <c r="A72" s="374"/>
      <c r="B72" s="30" t="s">
        <v>81</v>
      </c>
      <c r="C72" s="151"/>
      <c r="D72" s="59" t="s">
        <v>132</v>
      </c>
      <c r="E72" s="87"/>
      <c r="F72" s="250">
        <f>VLOOKUP(D72,廠價表!$C$1:$E$41,3,0)</f>
        <v>50.67</v>
      </c>
      <c r="G72" s="30">
        <v>1000</v>
      </c>
      <c r="H72" s="361">
        <f>F72*G72</f>
        <v>50670</v>
      </c>
      <c r="I72" s="182"/>
      <c r="J72" s="106">
        <f>VLOOKUP(D72,產線配置圖!$A$3:$C$38,2,0)</f>
        <v>10</v>
      </c>
      <c r="K72" s="107">
        <f>VLOOKUP(D72,產線配置圖!$A$3:$C$38,3,0)</f>
        <v>1125</v>
      </c>
      <c r="L72" s="238">
        <f t="shared" si="57"/>
        <v>112.5</v>
      </c>
      <c r="M72" s="94">
        <v>10</v>
      </c>
      <c r="N72" s="107">
        <f t="shared" si="58"/>
        <v>923.07692307691946</v>
      </c>
      <c r="O72" s="238">
        <f t="shared" si="59"/>
        <v>92.307692307691951</v>
      </c>
      <c r="P72" s="111">
        <f t="shared" si="60"/>
        <v>0</v>
      </c>
      <c r="Q72" s="255">
        <f t="shared" si="61"/>
        <v>-20.192307692308049</v>
      </c>
      <c r="R72" s="85">
        <f t="shared" si="54"/>
        <v>0.82051282051281738</v>
      </c>
      <c r="S72" s="377"/>
      <c r="T72" s="22">
        <v>0.54166666666666696</v>
      </c>
      <c r="U72" s="22">
        <v>0.58680555555555602</v>
      </c>
      <c r="V72" s="30">
        <f t="shared" si="62"/>
        <v>100.00000000000077</v>
      </c>
      <c r="W72" s="73">
        <f t="shared" si="16"/>
        <v>65.000000000000256</v>
      </c>
      <c r="X72" s="272">
        <v>0.49305555555555602</v>
      </c>
      <c r="Y72" s="288">
        <v>0.53472222222222199</v>
      </c>
      <c r="Z72" s="90"/>
      <c r="AA72" s="90"/>
      <c r="AB72" s="388"/>
      <c r="AC72" s="388"/>
      <c r="AD72" s="92"/>
      <c r="AE72" s="92"/>
      <c r="AF72" s="317">
        <f t="shared" si="55"/>
        <v>-201.92307692308054</v>
      </c>
      <c r="AG72" s="247">
        <f t="shared" si="56"/>
        <v>0.82051282051281726</v>
      </c>
      <c r="AH72" s="383"/>
    </row>
    <row r="73" spans="1:36" ht="15" customHeight="1">
      <c r="A73" s="374"/>
      <c r="B73" s="30"/>
      <c r="C73" s="151"/>
      <c r="D73" s="59"/>
      <c r="E73" s="87"/>
      <c r="F73" s="250"/>
      <c r="G73" s="30"/>
      <c r="H73" s="361"/>
      <c r="I73" s="182"/>
      <c r="J73" s="106"/>
      <c r="K73" s="107"/>
      <c r="L73" s="238"/>
      <c r="M73" s="94"/>
      <c r="N73" s="107"/>
      <c r="O73" s="238"/>
      <c r="P73" s="111"/>
      <c r="Q73" s="255"/>
      <c r="R73" s="85"/>
      <c r="S73" s="377"/>
      <c r="T73" s="22"/>
      <c r="U73" s="22"/>
      <c r="V73" s="30"/>
      <c r="W73" s="73">
        <f t="shared" si="16"/>
        <v>0</v>
      </c>
      <c r="X73" s="22"/>
      <c r="Y73" s="84"/>
      <c r="Z73" s="90"/>
      <c r="AA73" s="90"/>
      <c r="AB73" s="388"/>
      <c r="AC73" s="388"/>
      <c r="AD73" s="92"/>
      <c r="AE73" s="92"/>
      <c r="AF73" s="317"/>
      <c r="AG73" s="247"/>
      <c r="AH73" s="383"/>
    </row>
    <row r="74" spans="1:36" ht="15" customHeight="1">
      <c r="A74" s="374"/>
      <c r="B74" s="30"/>
      <c r="C74" s="151"/>
      <c r="D74" s="59"/>
      <c r="E74" s="87"/>
      <c r="F74" s="250"/>
      <c r="G74" s="30"/>
      <c r="H74" s="361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377"/>
      <c r="T74" s="22"/>
      <c r="U74" s="22"/>
      <c r="V74" s="30"/>
      <c r="W74" s="73">
        <f t="shared" si="16"/>
        <v>0</v>
      </c>
      <c r="X74" s="22"/>
      <c r="Y74" s="84"/>
      <c r="Z74" s="90"/>
      <c r="AA74" s="90"/>
      <c r="AB74" s="388"/>
      <c r="AC74" s="388"/>
      <c r="AD74" s="92"/>
      <c r="AE74" s="92"/>
      <c r="AF74" s="317"/>
      <c r="AG74" s="247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6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3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6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6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6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4">AVERAGE(J70:J78)</f>
        <v>9.6666666666666661</v>
      </c>
      <c r="K79" s="240">
        <f t="shared" si="64"/>
        <v>1295.3333333333333</v>
      </c>
      <c r="L79" s="268">
        <f t="shared" si="64"/>
        <v>135.59259259259258</v>
      </c>
      <c r="M79" s="240">
        <f t="shared" si="64"/>
        <v>9.6666666666666661</v>
      </c>
      <c r="N79" s="240">
        <f t="shared" si="64"/>
        <v>1111.4463764084055</v>
      </c>
      <c r="O79" s="268">
        <f t="shared" si="64"/>
        <v>116.10336779957076</v>
      </c>
      <c r="P79" s="269">
        <f>M79-J79</f>
        <v>0</v>
      </c>
      <c r="Q79" s="222">
        <f>N79-K79</f>
        <v>-183.88695692492774</v>
      </c>
      <c r="R79" s="223">
        <f>O79/L79</f>
        <v>0.8562663017176757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-183.88695692492774</v>
      </c>
      <c r="AG79" s="124">
        <f>N79/K79</f>
        <v>0.85803889069099759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P3:P4"/>
    <mergeCell ref="Q3:Q4"/>
    <mergeCell ref="R3:R4"/>
    <mergeCell ref="AB25:AC25"/>
    <mergeCell ref="AB15:AC15"/>
    <mergeCell ref="AH5:AH15"/>
    <mergeCell ref="AB3:AC4"/>
    <mergeCell ref="AD3:AE3"/>
    <mergeCell ref="AF3:AF4"/>
    <mergeCell ref="AG3:AG4"/>
    <mergeCell ref="AH3:AH4"/>
    <mergeCell ref="T3:U3"/>
    <mergeCell ref="A5:A15"/>
    <mergeCell ref="S5:S15"/>
    <mergeCell ref="AB13:AC13"/>
    <mergeCell ref="AB5:AC5"/>
    <mergeCell ref="AB20:AC20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D15:E15"/>
    <mergeCell ref="A16:A26"/>
    <mergeCell ref="S16:S26"/>
    <mergeCell ref="AB16:AC16"/>
    <mergeCell ref="D26:E26"/>
    <mergeCell ref="AB26:AC26"/>
    <mergeCell ref="AB21:AC21"/>
    <mergeCell ref="AB22:AC22"/>
    <mergeCell ref="AB23:AC23"/>
    <mergeCell ref="AB24:AC2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A2:B2"/>
    <mergeCell ref="A3:A4"/>
    <mergeCell ref="B3:B4"/>
    <mergeCell ref="D3:E4"/>
    <mergeCell ref="F3:F4"/>
    <mergeCell ref="AB1:AC2"/>
    <mergeCell ref="W3:W4"/>
    <mergeCell ref="X3:Y3"/>
    <mergeCell ref="Z3:AA3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3E0171-FDF7-45C8-81B9-A5078A7C9BC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B3D7-6343-485B-9263-F3EB9D536DE3}">
  <dimension ref="B1:O26"/>
  <sheetViews>
    <sheetView zoomScale="70" zoomScaleNormal="70" workbookViewId="0">
      <selection activeCell="P80" sqref="P8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46095</v>
      </c>
      <c r="E3" s="466"/>
      <c r="F3" s="3" t="s">
        <v>72</v>
      </c>
      <c r="G3" s="467">
        <f>'0314'!E1</f>
        <v>51404</v>
      </c>
      <c r="H3" s="467"/>
      <c r="I3" s="3" t="s">
        <v>2</v>
      </c>
      <c r="J3" s="468">
        <f>'0314'!G1</f>
        <v>2399308.1100000003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128.74371742189496</v>
      </c>
      <c r="G6" s="473"/>
      <c r="H6" s="474">
        <f>AVERAGE(D13:H13,J13)</f>
        <v>126.74284838822217</v>
      </c>
      <c r="I6" s="474"/>
      <c r="J6" s="474">
        <f>AVERAGE(I13)</f>
        <v>140.74893162393164</v>
      </c>
      <c r="K6" s="474"/>
      <c r="L6" s="499">
        <f>SUM(D18:J18)</f>
        <v>1</v>
      </c>
      <c r="M6" s="477">
        <f>SUM(D19:J19)</f>
        <v>15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118.58342170808278</v>
      </c>
      <c r="G7" s="497"/>
      <c r="H7" s="498">
        <f>AVERAGE(D14:H14,J14)</f>
        <v>116.35875852242765</v>
      </c>
      <c r="I7" s="498"/>
      <c r="J7" s="498">
        <f>AVERAGE(I14)</f>
        <v>131.93140082201359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0.92108123085713967</v>
      </c>
      <c r="G8" s="470"/>
      <c r="H8" s="470">
        <f>H7/H6</f>
        <v>0.91806961893433758</v>
      </c>
      <c r="I8" s="470"/>
      <c r="J8" s="470">
        <f>J7/J6</f>
        <v>0.93735276921690824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VALUE('0314'!L15)</f>
        <v>154.5405982905983</v>
      </c>
      <c r="E13" s="13">
        <f>VALUE('0314'!L26)</f>
        <v>183.0587121212121</v>
      </c>
      <c r="F13" s="13">
        <f>VALUE('0314'!L37)</f>
        <v>88.77481617647058</v>
      </c>
      <c r="G13" s="13">
        <f>VALUE('0314'!L48)</f>
        <v>92.058823529411768</v>
      </c>
      <c r="H13" s="13">
        <f>VALUE('0314'!L58)</f>
        <v>106.43154761904762</v>
      </c>
      <c r="I13" s="13">
        <f>VALUE('0314'!L69)</f>
        <v>140.74893162393164</v>
      </c>
      <c r="J13" s="13">
        <f>'0314'!L79</f>
        <v>135.59259259259258</v>
      </c>
    </row>
    <row r="14" spans="2:15" ht="39.950000000000003" customHeight="1">
      <c r="B14" s="491"/>
      <c r="C14" s="12" t="s">
        <v>100</v>
      </c>
      <c r="D14" s="13">
        <f>VALUE('0314'!O15)</f>
        <v>133.8958818958827</v>
      </c>
      <c r="E14" s="13">
        <f>VALUE('0314'!O26)</f>
        <v>174.40271659384987</v>
      </c>
      <c r="F14" s="13">
        <f>VALUE('0314'!O37)</f>
        <v>83.951813665596674</v>
      </c>
      <c r="G14" s="13">
        <f>VALUE('0314'!O48)</f>
        <v>83.271160380091473</v>
      </c>
      <c r="H14" s="13">
        <f>VALUE('0314'!O58)</f>
        <v>100.17888189666662</v>
      </c>
      <c r="I14" s="13">
        <f>VALUE('0314'!O69)</f>
        <v>131.93140082201359</v>
      </c>
      <c r="J14" s="13">
        <f>'0314'!O79</f>
        <v>122.45209670247861</v>
      </c>
    </row>
    <row r="15" spans="2:15" ht="39.950000000000003" customHeight="1">
      <c r="B15" s="492"/>
      <c r="C15" s="10" t="s">
        <v>26</v>
      </c>
      <c r="D15" s="14">
        <f>D14/D13</f>
        <v>0.86641234327373795</v>
      </c>
      <c r="E15" s="14">
        <f t="shared" ref="E15:I15" si="1">E14/E13</f>
        <v>0.95271464861158495</v>
      </c>
      <c r="F15" s="14">
        <f t="shared" si="1"/>
        <v>0.94567150101120434</v>
      </c>
      <c r="G15" s="14">
        <f t="shared" si="1"/>
        <v>0.90454295620546643</v>
      </c>
      <c r="H15" s="14">
        <f t="shared" si="1"/>
        <v>0.94125176357708074</v>
      </c>
      <c r="I15" s="14">
        <f t="shared" si="1"/>
        <v>0.93735276921690824</v>
      </c>
      <c r="J15" s="15">
        <f>'0314'!S70</f>
        <v>0.90308839414556752</v>
      </c>
    </row>
    <row r="16" spans="2:15" ht="17.25" customHeight="1">
      <c r="B16" s="493" t="s">
        <v>101</v>
      </c>
      <c r="C16" s="10" t="s">
        <v>34</v>
      </c>
      <c r="D16" s="16">
        <f>'0314'!T5</f>
        <v>0.29166666666666702</v>
      </c>
      <c r="E16" s="16">
        <f>'0314'!T16</f>
        <v>0.29027777777777802</v>
      </c>
      <c r="F16" s="16">
        <f>'0314'!T27</f>
        <v>0.29027777777777802</v>
      </c>
      <c r="G16" s="16">
        <f>'0314'!T38</f>
        <v>0.33194444444444399</v>
      </c>
      <c r="H16" s="16">
        <f>'0314'!T49</f>
        <v>0.29027777777777802</v>
      </c>
      <c r="I16" s="16">
        <f>'0314'!T59</f>
        <v>0.29027777777777802</v>
      </c>
      <c r="J16" s="16">
        <f>'0314'!T70</f>
        <v>0.33333333333333298</v>
      </c>
    </row>
    <row r="17" spans="2:10" ht="17.25" customHeight="1">
      <c r="B17" s="494"/>
      <c r="C17" s="10" t="s">
        <v>35</v>
      </c>
      <c r="D17" s="16">
        <v>0.48958333333333298</v>
      </c>
      <c r="E17" s="19">
        <v>0.57152777777777797</v>
      </c>
      <c r="F17" s="19">
        <v>0.56805555555555598</v>
      </c>
      <c r="G17" s="20">
        <v>0.58541666666666703</v>
      </c>
      <c r="H17" s="21">
        <v>0.58680555555555602</v>
      </c>
      <c r="I17" s="22">
        <v>0.52083333333333304</v>
      </c>
      <c r="J17" s="22">
        <v>0.57152777777777797</v>
      </c>
    </row>
    <row r="18" spans="2:10" ht="17.25" customHeight="1">
      <c r="B18" s="495" t="s">
        <v>102</v>
      </c>
      <c r="C18" s="330" t="s">
        <v>36</v>
      </c>
      <c r="D18" s="358">
        <f>'0314'!Z15</f>
        <v>0</v>
      </c>
      <c r="E18" s="359">
        <f>'0314'!Z26</f>
        <v>0</v>
      </c>
      <c r="F18" s="359">
        <f>'0314'!Z37</f>
        <v>1</v>
      </c>
      <c r="G18" s="360">
        <f>'0314'!Z48</f>
        <v>0</v>
      </c>
      <c r="H18" s="360">
        <f>'0314'!Z58</f>
        <v>0</v>
      </c>
      <c r="I18" s="359">
        <f>'0314'!Z69</f>
        <v>0</v>
      </c>
      <c r="J18" s="359">
        <f>'0314'!AA79</f>
        <v>0</v>
      </c>
    </row>
    <row r="19" spans="2:10" ht="17.25" customHeight="1">
      <c r="B19" s="496"/>
      <c r="C19" s="330" t="s">
        <v>37</v>
      </c>
      <c r="D19" s="358">
        <f>'0314'!AA15</f>
        <v>0</v>
      </c>
      <c r="E19" s="359">
        <f>'0314'!AA26</f>
        <v>0</v>
      </c>
      <c r="F19" s="359">
        <f>'0314'!AA37</f>
        <v>15</v>
      </c>
      <c r="G19" s="360">
        <f>'0314'!AA48</f>
        <v>0</v>
      </c>
      <c r="H19" s="360">
        <f>'0314'!AA58</f>
        <v>0</v>
      </c>
      <c r="I19" s="359">
        <f>'0314'!AA69</f>
        <v>0</v>
      </c>
      <c r="J19" s="359">
        <f>'0314'!AB79</f>
        <v>0</v>
      </c>
    </row>
    <row r="20" spans="2:10" ht="17.25" customHeight="1">
      <c r="B20" s="495" t="s">
        <v>103</v>
      </c>
      <c r="C20" s="330" t="s">
        <v>36</v>
      </c>
      <c r="D20" s="358">
        <f>'0314'!AD15</f>
        <v>0</v>
      </c>
      <c r="E20" s="359">
        <f>'0314'!AD26</f>
        <v>0</v>
      </c>
      <c r="F20" s="359">
        <f>'0314'!AD37</f>
        <v>0</v>
      </c>
      <c r="G20" s="360">
        <f>'0314'!AD48</f>
        <v>0</v>
      </c>
      <c r="H20" s="360">
        <f>'0314'!AD58</f>
        <v>0</v>
      </c>
      <c r="I20" s="359">
        <f>'0314'!AD69</f>
        <v>0</v>
      </c>
      <c r="J20" s="359">
        <f>'0314'!AD79</f>
        <v>0</v>
      </c>
    </row>
    <row r="21" spans="2:10" ht="17.25" customHeight="1">
      <c r="B21" s="496"/>
      <c r="C21" s="330" t="s">
        <v>85</v>
      </c>
      <c r="D21" s="358">
        <f>'0314'!AE15</f>
        <v>0</v>
      </c>
      <c r="E21" s="359">
        <f>'0314'!AE26</f>
        <v>0</v>
      </c>
      <c r="F21" s="359">
        <f>'0314'!AE37</f>
        <v>0</v>
      </c>
      <c r="G21" s="360">
        <f>'0314'!AE48</f>
        <v>0</v>
      </c>
      <c r="H21" s="360">
        <f>'0314'!AE58</f>
        <v>0</v>
      </c>
      <c r="I21" s="359">
        <f>'0314'!AE69</f>
        <v>0</v>
      </c>
      <c r="J21" s="359">
        <f>'0314'!AE79</f>
        <v>0</v>
      </c>
    </row>
    <row r="22" spans="2:10" ht="17.25" customHeight="1">
      <c r="B22" s="479" t="s">
        <v>104</v>
      </c>
      <c r="C22" s="480"/>
      <c r="D22" s="23">
        <f>VALUE('0314'!M15)</f>
        <v>13.333333333333334</v>
      </c>
      <c r="E22" s="23">
        <f>VALUE('0314'!M26)</f>
        <v>11.5</v>
      </c>
      <c r="F22" s="23">
        <f>VALUE('0314'!M37)</f>
        <v>16</v>
      </c>
      <c r="G22" s="23">
        <f>VALUE('0314'!M48)</f>
        <v>16.333333333333332</v>
      </c>
      <c r="H22" s="23">
        <f>VALUE('0314'!M58)</f>
        <v>15.25</v>
      </c>
      <c r="I22" s="23">
        <f>VALUE('0314'!M69)</f>
        <v>11.5</v>
      </c>
      <c r="J22" s="23">
        <f>'0314'!M79</f>
        <v>9.6666666666666661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94EF-835A-4DBF-9FC2-D41EF3192E8E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activeCell="P80" sqref="P80"/>
      <selection pane="topRight" activeCell="P80" sqref="P80"/>
      <selection pane="bottomLeft" activeCell="P80" sqref="P80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51404</v>
      </c>
      <c r="F1" s="30" t="s">
        <v>2</v>
      </c>
      <c r="G1" s="31">
        <f>SUM(H5:H79)</f>
        <v>2399308.1100000003</v>
      </c>
      <c r="H1" s="32" t="s">
        <v>3</v>
      </c>
      <c r="I1" s="33">
        <f>M15+M26+M48+M58+M69+M79+M37</f>
        <v>93.583333333333343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163</v>
      </c>
      <c r="B2" s="447"/>
      <c r="C2" s="28"/>
      <c r="D2" s="28" t="s">
        <v>14</v>
      </c>
      <c r="E2" s="35">
        <f>AVERAGE(O15,O26,O37,O48,O58,O69,O79)</f>
        <v>118.58342170808278</v>
      </c>
      <c r="F2" s="36" t="s">
        <v>15</v>
      </c>
      <c r="G2" s="37">
        <f>G1/E1</f>
        <v>46.675513773247225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15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1672</v>
      </c>
      <c r="H5" s="43">
        <f>F5*G5</f>
        <v>95655.12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7" si="0">K5/J5</f>
        <v>175.41666666666666</v>
      </c>
      <c r="M5" s="48">
        <v>12</v>
      </c>
      <c r="N5" s="46">
        <f t="shared" ref="N5:N7" si="1">G5/W5*60</f>
        <v>1760.0000000000161</v>
      </c>
      <c r="O5" s="47">
        <f t="shared" ref="O5:O7" si="2">N5/M5</f>
        <v>146.66666666666802</v>
      </c>
      <c r="P5" s="49">
        <f t="shared" ref="P5:P7" si="3">M5-J5</f>
        <v>0</v>
      </c>
      <c r="Q5" s="50">
        <f t="shared" ref="Q5:Q7" si="4">O5-L5</f>
        <v>-28.749999999998636</v>
      </c>
      <c r="R5" s="51">
        <f t="shared" ref="R5:R7" si="5">O5/L5</f>
        <v>0.8361045130641408</v>
      </c>
      <c r="S5" s="376">
        <f>R15</f>
        <v>0.86641234327373795</v>
      </c>
      <c r="T5" s="319">
        <v>0.29166666666666702</v>
      </c>
      <c r="U5" s="320">
        <v>0.33124999999999999</v>
      </c>
      <c r="V5" s="53"/>
      <c r="W5" s="54">
        <f t="shared" ref="W5:W14" si="6">(U5-T5)*24*60</f>
        <v>56.999999999999474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-344.99999999998386</v>
      </c>
      <c r="AG5" s="52">
        <f t="shared" ref="AG5:AG11" si="8">N5/K5</f>
        <v>0.83610451306414069</v>
      </c>
      <c r="AH5" s="382">
        <f>AG15</f>
        <v>0.86540093812821584</v>
      </c>
    </row>
    <row r="6" spans="1:34" ht="15" customHeight="1">
      <c r="A6" s="423"/>
      <c r="B6" s="57" t="s">
        <v>81</v>
      </c>
      <c r="C6" s="58"/>
      <c r="D6" s="59" t="s">
        <v>116</v>
      </c>
      <c r="E6" s="60"/>
      <c r="F6" s="61">
        <f>VLOOKUP(D6,廠價表!$C$1:$E$41,3,0)</f>
        <v>56.28</v>
      </c>
      <c r="G6" s="62">
        <v>1118</v>
      </c>
      <c r="H6" s="63">
        <f>F6*G6</f>
        <v>62921.04</v>
      </c>
      <c r="I6" s="64"/>
      <c r="J6" s="65">
        <f>VLOOKUP(D6,產線配置圖!$A$3:$C$38,2,0)</f>
        <v>15</v>
      </c>
      <c r="K6" s="66">
        <v>1900</v>
      </c>
      <c r="L6" s="67">
        <f t="shared" si="0"/>
        <v>126.66666666666667</v>
      </c>
      <c r="M6" s="82">
        <v>15</v>
      </c>
      <c r="N6" s="80">
        <f t="shared" si="1"/>
        <v>1560.0000000000086</v>
      </c>
      <c r="O6" s="81">
        <f t="shared" si="2"/>
        <v>104.00000000000058</v>
      </c>
      <c r="P6" s="74">
        <f t="shared" si="3"/>
        <v>0</v>
      </c>
      <c r="Q6" s="83">
        <f t="shared" si="4"/>
        <v>-22.666666666666089</v>
      </c>
      <c r="R6" s="72">
        <f t="shared" si="5"/>
        <v>0.82105263157895192</v>
      </c>
      <c r="S6" s="377"/>
      <c r="T6" s="18">
        <v>0.33680555555555602</v>
      </c>
      <c r="U6" s="18">
        <v>0.36666666666666697</v>
      </c>
      <c r="V6" s="30">
        <f>(T6-U5)*24*60</f>
        <v>8.000000000000691</v>
      </c>
      <c r="W6" s="73">
        <f t="shared" si="6"/>
        <v>42.999999999999766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-339.99999999999136</v>
      </c>
      <c r="AG6" s="72">
        <f t="shared" si="8"/>
        <v>0.82105263157895192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61">
        <f>VLOOKUP(D7,廠價表!$C$1:$E$41,3,0)</f>
        <v>49.14</v>
      </c>
      <c r="G7" s="66">
        <v>5399</v>
      </c>
      <c r="H7" s="63">
        <f>F7*G7</f>
        <v>265306.86</v>
      </c>
      <c r="I7" s="64"/>
      <c r="J7" s="65">
        <f>VLOOKUP(D7,產線配置圖!$A$3:$C$38,2,0)</f>
        <v>13</v>
      </c>
      <c r="K7" s="66">
        <f>VLOOKUP(D7,產線配置圖!$A$3:$C$38,3,0)</f>
        <v>2100</v>
      </c>
      <c r="L7" s="67">
        <f t="shared" si="0"/>
        <v>161.53846153846155</v>
      </c>
      <c r="M7" s="82">
        <v>13</v>
      </c>
      <c r="N7" s="80">
        <f t="shared" si="1"/>
        <v>1963.2727272727336</v>
      </c>
      <c r="O7" s="81">
        <f t="shared" si="2"/>
        <v>151.0209790209795</v>
      </c>
      <c r="P7" s="74">
        <f t="shared" si="3"/>
        <v>0</v>
      </c>
      <c r="Q7" s="83">
        <f t="shared" si="4"/>
        <v>-10.517482517482051</v>
      </c>
      <c r="R7" s="72">
        <f t="shared" si="5"/>
        <v>0.93489177489177777</v>
      </c>
      <c r="S7" s="377"/>
      <c r="T7" s="16">
        <v>0.375</v>
      </c>
      <c r="U7" s="16">
        <v>0.48958333333333298</v>
      </c>
      <c r="V7" s="30">
        <f>(T7-U6)*24*60</f>
        <v>11.999999999999558</v>
      </c>
      <c r="W7" s="73">
        <f t="shared" si="6"/>
        <v>164.99999999999949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-136.72727272726638</v>
      </c>
      <c r="AG7" s="72">
        <f t="shared" si="8"/>
        <v>0.93489177489177788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2035</v>
      </c>
      <c r="L15" s="117">
        <f t="shared" si="9"/>
        <v>154.5405982905983</v>
      </c>
      <c r="M15" s="120">
        <f t="shared" si="9"/>
        <v>13.333333333333334</v>
      </c>
      <c r="N15" s="120">
        <f t="shared" si="9"/>
        <v>1761.0909090909192</v>
      </c>
      <c r="O15" s="117">
        <f t="shared" si="9"/>
        <v>133.8958818958827</v>
      </c>
      <c r="P15" s="121">
        <f t="shared" ref="P15:P19" si="10">M15-J15</f>
        <v>0</v>
      </c>
      <c r="Q15" s="122">
        <f t="shared" ref="Q15:Q19" si="11">O15-L15</f>
        <v>-20.644716394715601</v>
      </c>
      <c r="R15" s="123">
        <f t="shared" ref="R15:R19" si="12">O15/L15</f>
        <v>0.86641234327373795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-273.90909090908076</v>
      </c>
      <c r="AG15" s="124">
        <f t="shared" ref="AG15:AG19" si="14">N15/K15</f>
        <v>0.86540093812821584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1375</v>
      </c>
      <c r="H16" s="134">
        <f>F16*G16</f>
        <v>78663.75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2062.4999999999868</v>
      </c>
      <c r="O16" s="141">
        <f>N16/M16</f>
        <v>171.87499999999889</v>
      </c>
      <c r="P16" s="142">
        <f>M16-J16</f>
        <v>0</v>
      </c>
      <c r="Q16" s="143">
        <f t="shared" si="11"/>
        <v>-3.5416666666677656</v>
      </c>
      <c r="R16" s="144">
        <f>O16/L16</f>
        <v>0.97980997624702459</v>
      </c>
      <c r="S16" s="413">
        <f>R26</f>
        <v>0.95271464861158495</v>
      </c>
      <c r="T16" s="145">
        <v>0.29027777777777802</v>
      </c>
      <c r="U16" s="145">
        <v>0.31805555555555598</v>
      </c>
      <c r="V16" s="135"/>
      <c r="W16" s="146">
        <f t="shared" ref="W16:W78" si="17">(U16-T16)*24*60</f>
        <v>40.000000000000256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-42.500000000013188</v>
      </c>
      <c r="AG16" s="52">
        <f t="shared" si="14"/>
        <v>0.97980997624702459</v>
      </c>
      <c r="AH16" s="382">
        <f>AG26</f>
        <v>0.95297307248941554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3644</v>
      </c>
      <c r="H17" s="78">
        <f>F17*G17</f>
        <v>184641.48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12</v>
      </c>
      <c r="N17" s="95">
        <f>G17/W17*60</f>
        <v>1969.729729729738</v>
      </c>
      <c r="O17" s="96">
        <f t="shared" ref="O17:O19" si="18">N17/M17</f>
        <v>164.14414414414483</v>
      </c>
      <c r="P17" s="97">
        <f t="shared" si="10"/>
        <v>0</v>
      </c>
      <c r="Q17" s="98">
        <f t="shared" si="11"/>
        <v>-10.855855855855168</v>
      </c>
      <c r="R17" s="99">
        <f t="shared" si="12"/>
        <v>0.93796653796654195</v>
      </c>
      <c r="S17" s="414"/>
      <c r="T17" s="19">
        <v>0.32500000000000001</v>
      </c>
      <c r="U17" s="19">
        <v>0.40208333333333302</v>
      </c>
      <c r="V17" s="30">
        <f>(T17-U16)*24*60</f>
        <v>9.9999999999994049</v>
      </c>
      <c r="W17" s="149">
        <f t="shared" si="17"/>
        <v>110.99999999999953</v>
      </c>
      <c r="X17" s="19"/>
      <c r="Y17" s="297"/>
      <c r="Z17" s="90"/>
      <c r="AA17" s="90"/>
      <c r="AB17" s="388" t="s">
        <v>164</v>
      </c>
      <c r="AC17" s="388"/>
      <c r="AD17" s="92"/>
      <c r="AE17" s="92"/>
      <c r="AF17" s="307">
        <f t="shared" si="13"/>
        <v>-130.27027027026202</v>
      </c>
      <c r="AG17" s="72">
        <f t="shared" si="14"/>
        <v>0.93796653796654195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3443</v>
      </c>
      <c r="H18" s="78">
        <f>F18*G18</f>
        <v>173492.77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11</v>
      </c>
      <c r="N18" s="95">
        <f t="shared" si="16"/>
        <v>1986.3461538461318</v>
      </c>
      <c r="O18" s="96">
        <f t="shared" si="18"/>
        <v>180.57692307692108</v>
      </c>
      <c r="P18" s="97">
        <f t="shared" si="10"/>
        <v>0</v>
      </c>
      <c r="Q18" s="98">
        <f t="shared" si="11"/>
        <v>-10.33216783216983</v>
      </c>
      <c r="R18" s="99">
        <f t="shared" si="12"/>
        <v>0.94587912087911041</v>
      </c>
      <c r="S18" s="414"/>
      <c r="T18" s="19">
        <v>0.40833333333333299</v>
      </c>
      <c r="U18" s="19">
        <v>0.48055555555555601</v>
      </c>
      <c r="V18" s="30">
        <f>(T18-U17)*24*60</f>
        <v>8.999999999999968</v>
      </c>
      <c r="W18" s="149">
        <f t="shared" si="17"/>
        <v>104.00000000000115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-113.65384615386824</v>
      </c>
      <c r="AG18" s="72">
        <f t="shared" si="14"/>
        <v>0.94587912087911041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1427</v>
      </c>
      <c r="H19" s="78">
        <f>F19*G19</f>
        <v>71906.53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5"/>
        <v>190.90909090909091</v>
      </c>
      <c r="M19" s="148">
        <v>11</v>
      </c>
      <c r="N19" s="95">
        <f t="shared" si="16"/>
        <v>1991.1627906976817</v>
      </c>
      <c r="O19" s="96">
        <f t="shared" si="18"/>
        <v>181.0147991543347</v>
      </c>
      <c r="P19" s="97">
        <f t="shared" si="10"/>
        <v>0</v>
      </c>
      <c r="Q19" s="98">
        <f t="shared" si="11"/>
        <v>-9.8942917547562104</v>
      </c>
      <c r="R19" s="99">
        <f t="shared" si="12"/>
        <v>0.94817275747508656</v>
      </c>
      <c r="S19" s="414"/>
      <c r="T19" s="19">
        <v>0.54166666666666696</v>
      </c>
      <c r="U19" s="19">
        <v>0.57152777777777797</v>
      </c>
      <c r="V19" s="30">
        <f>(T19-U18)*24*60</f>
        <v>87.999999999999773</v>
      </c>
      <c r="W19" s="149">
        <f t="shared" si="17"/>
        <v>42.999999999999844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-108.83720930231834</v>
      </c>
      <c r="AG19" s="72">
        <f t="shared" si="14"/>
        <v>0.94817275747508656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2101.25</v>
      </c>
      <c r="L26" s="158">
        <f t="shared" si="20"/>
        <v>183.0587121212121</v>
      </c>
      <c r="M26" s="155">
        <f t="shared" si="20"/>
        <v>11.5</v>
      </c>
      <c r="N26" s="155">
        <f t="shared" si="20"/>
        <v>2002.4346685683845</v>
      </c>
      <c r="O26" s="158">
        <f t="shared" si="20"/>
        <v>174.40271659384987</v>
      </c>
      <c r="P26" s="159">
        <f t="shared" ref="P26:P30" si="21">M26-J26</f>
        <v>0</v>
      </c>
      <c r="Q26" s="160">
        <f t="shared" ref="Q26:Q30" si="22">O26-L26</f>
        <v>-8.6559955273622222</v>
      </c>
      <c r="R26" s="161">
        <f>O26/L26</f>
        <v>0.95271464861158495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-98.815331431615505</v>
      </c>
      <c r="AG26" s="124">
        <f t="shared" ref="AG26:AG31" si="24">N26/K26</f>
        <v>0.95297307248941554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3156</v>
      </c>
      <c r="H27" s="134">
        <f>F27*G27</f>
        <v>183584.52000000002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30" si="25">K27/J27</f>
        <v>97.8125</v>
      </c>
      <c r="M27" s="170">
        <v>16</v>
      </c>
      <c r="N27" s="140">
        <f>G27/W27*60</f>
        <v>1564.9586776859467</v>
      </c>
      <c r="O27" s="141">
        <f>N27/M27</f>
        <v>97.809917355371667</v>
      </c>
      <c r="P27" s="142">
        <f t="shared" si="21"/>
        <v>0</v>
      </c>
      <c r="Q27" s="143">
        <f t="shared" si="22"/>
        <v>-2.5826446283332416E-3</v>
      </c>
      <c r="R27" s="144">
        <f>O27/L27</f>
        <v>0.99997359596546109</v>
      </c>
      <c r="S27" s="413">
        <f>R37</f>
        <v>0.94567150101120434</v>
      </c>
      <c r="T27" s="171">
        <v>0.29027777777777802</v>
      </c>
      <c r="U27" s="171">
        <v>0.374305555555556</v>
      </c>
      <c r="V27" s="135"/>
      <c r="W27" s="146">
        <f t="shared" si="17"/>
        <v>121.00000000000028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-4.1322314053331866E-2</v>
      </c>
      <c r="AG27" s="172">
        <f t="shared" si="24"/>
        <v>0.99997359596546109</v>
      </c>
      <c r="AH27" s="382">
        <f>AG37</f>
        <v>0.92152791667691469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978</v>
      </c>
      <c r="H28" s="91">
        <f>F28*G28</f>
        <v>48430.560000000005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17</v>
      </c>
      <c r="N28" s="95">
        <f>G28/W28*60</f>
        <v>1364.6511627907028</v>
      </c>
      <c r="O28" s="96">
        <f>N28/M28</f>
        <v>80.273597811217812</v>
      </c>
      <c r="P28" s="97">
        <f t="shared" si="21"/>
        <v>0</v>
      </c>
      <c r="Q28" s="98">
        <f t="shared" si="22"/>
        <v>-4.4322845417233623</v>
      </c>
      <c r="R28" s="99">
        <f t="shared" ref="R28:R30" si="26">O28/L28</f>
        <v>0.94767441860465473</v>
      </c>
      <c r="S28" s="414"/>
      <c r="T28" s="19">
        <v>0.37847222222222199</v>
      </c>
      <c r="U28" s="19">
        <v>0.40833333333333299</v>
      </c>
      <c r="V28" s="92">
        <f>(T28-U27)*24*60</f>
        <v>5.9999999999990195</v>
      </c>
      <c r="W28" s="149">
        <f t="shared" si="17"/>
        <v>42.999999999999844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-75.348837209297244</v>
      </c>
      <c r="AG28" s="99">
        <f t="shared" si="24"/>
        <v>0.94767441860465473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1363</v>
      </c>
      <c r="H29" s="91">
        <f>F29*G29</f>
        <v>76914.09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5"/>
        <v>87.875</v>
      </c>
      <c r="M29" s="94">
        <v>14</v>
      </c>
      <c r="N29" s="95">
        <f>G29/W29*60</f>
        <v>1022.2500000000107</v>
      </c>
      <c r="O29" s="96">
        <f>N29/M29</f>
        <v>73.017857142857906</v>
      </c>
      <c r="P29" s="97">
        <f t="shared" si="21"/>
        <v>-2</v>
      </c>
      <c r="Q29" s="98">
        <f t="shared" si="22"/>
        <v>-14.857142857142094</v>
      </c>
      <c r="R29" s="99">
        <f t="shared" si="26"/>
        <v>0.83092867303394491</v>
      </c>
      <c r="S29" s="414"/>
      <c r="T29" s="19">
        <v>0.41527777777777802</v>
      </c>
      <c r="U29" s="19">
        <v>0.47083333333333299</v>
      </c>
      <c r="V29" s="92">
        <f>(T29-U28)*24*60</f>
        <v>10.000000000000844</v>
      </c>
      <c r="W29" s="149">
        <f t="shared" si="17"/>
        <v>79.999999999999162</v>
      </c>
      <c r="X29" s="22"/>
      <c r="Y29" s="84"/>
      <c r="Z29" s="90">
        <v>1</v>
      </c>
      <c r="AA29" s="90">
        <v>15</v>
      </c>
      <c r="AB29" s="388" t="s">
        <v>165</v>
      </c>
      <c r="AC29" s="388"/>
      <c r="AD29" s="92"/>
      <c r="AE29" s="92"/>
      <c r="AF29" s="312">
        <f t="shared" si="23"/>
        <v>-383.74999999998931</v>
      </c>
      <c r="AG29" s="99">
        <f t="shared" si="24"/>
        <v>0.72706258890470177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1200</v>
      </c>
      <c r="H30" s="91">
        <f>F30*G30</f>
        <v>59424.000000000007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 t="shared" si="25"/>
        <v>84.705882352941174</v>
      </c>
      <c r="M30" s="94">
        <v>17</v>
      </c>
      <c r="N30" s="95">
        <f>G30/W30*60</f>
        <v>1439.9999999999682</v>
      </c>
      <c r="O30" s="96">
        <f>N30/M30</f>
        <v>84.705882352939298</v>
      </c>
      <c r="P30" s="97">
        <f t="shared" si="21"/>
        <v>0</v>
      </c>
      <c r="Q30" s="98">
        <f t="shared" si="22"/>
        <v>-1.8758328224066645E-12</v>
      </c>
      <c r="R30" s="99">
        <f t="shared" si="26"/>
        <v>0.99999999999997791</v>
      </c>
      <c r="S30" s="414"/>
      <c r="T30" s="19">
        <v>0.53333333333333299</v>
      </c>
      <c r="U30" s="19">
        <v>0.56805555555555598</v>
      </c>
      <c r="V30" s="92">
        <f>(T30-U29)*24*60</f>
        <v>90</v>
      </c>
      <c r="W30" s="149">
        <f t="shared" si="17"/>
        <v>50.000000000001101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-3.1832314562052488E-11</v>
      </c>
      <c r="AG30" s="99">
        <f t="shared" si="24"/>
        <v>0.99999999999997791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16.5</v>
      </c>
      <c r="K37" s="155">
        <f t="shared" si="28"/>
        <v>1462.75</v>
      </c>
      <c r="L37" s="158">
        <f t="shared" si="28"/>
        <v>88.77481617647058</v>
      </c>
      <c r="M37" s="155">
        <f t="shared" si="28"/>
        <v>16</v>
      </c>
      <c r="N37" s="155">
        <f t="shared" si="28"/>
        <v>1347.964960119157</v>
      </c>
      <c r="O37" s="158">
        <f t="shared" si="28"/>
        <v>83.951813665596674</v>
      </c>
      <c r="P37" s="159">
        <f>M37-J37</f>
        <v>-0.5</v>
      </c>
      <c r="Q37" s="160">
        <f>N37-K37</f>
        <v>-114.78503988084299</v>
      </c>
      <c r="R37" s="161">
        <f t="shared" ref="R37:R40" si="29">O37/L37</f>
        <v>0.94567150101120434</v>
      </c>
      <c r="S37" s="415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15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-114.78503988084299</v>
      </c>
      <c r="AG37" s="124">
        <f t="shared" ref="AG37:AG41" si="31">N37/K37</f>
        <v>0.92152791667691469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1259</v>
      </c>
      <c r="H38" s="134">
        <f>F38*G38</f>
        <v>71599.33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2">K38/J38</f>
        <v>92.058823529411768</v>
      </c>
      <c r="M38" s="190">
        <v>15</v>
      </c>
      <c r="N38" s="140">
        <f>G38/W38*60</f>
        <v>1218.3870967741807</v>
      </c>
      <c r="O38" s="141">
        <f>N38/M38</f>
        <v>81.225806451612044</v>
      </c>
      <c r="P38" s="142">
        <f t="shared" ref="P38:P40" si="33">M38-J38</f>
        <v>-2</v>
      </c>
      <c r="Q38" s="143">
        <f t="shared" ref="Q38:Q40" si="34">O38-L38</f>
        <v>-10.833017077799724</v>
      </c>
      <c r="R38" s="144">
        <f>O38/L38</f>
        <v>0.88232505410696782</v>
      </c>
      <c r="S38" s="404">
        <f>R48</f>
        <v>0.90454295620546643</v>
      </c>
      <c r="T38" s="191">
        <v>0.33194444444444399</v>
      </c>
      <c r="U38" s="191">
        <v>0.375</v>
      </c>
      <c r="V38" s="192"/>
      <c r="W38" s="193">
        <f t="shared" si="17"/>
        <v>62.000000000000661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-346.61290322581931</v>
      </c>
      <c r="AG38" s="195">
        <f t="shared" si="31"/>
        <v>0.77852210656497167</v>
      </c>
      <c r="AH38" s="398">
        <f>AG48</f>
        <v>0.86994197369146775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2703</v>
      </c>
      <c r="H39" s="91">
        <f>F39*G39</f>
        <v>119742.9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1435.2212389380388</v>
      </c>
      <c r="O39" s="203">
        <f t="shared" ref="O39:O40" si="35">N39/M39</f>
        <v>84.424778761061106</v>
      </c>
      <c r="P39" s="97">
        <f t="shared" si="33"/>
        <v>0</v>
      </c>
      <c r="Q39" s="98">
        <f t="shared" si="34"/>
        <v>-7.6340447683506625</v>
      </c>
      <c r="R39" s="99">
        <f t="shared" si="29"/>
        <v>0.91707427408181386</v>
      </c>
      <c r="S39" s="405"/>
      <c r="T39" s="20">
        <v>0.38333333333333303</v>
      </c>
      <c r="U39" s="20">
        <v>0.46180555555555602</v>
      </c>
      <c r="V39" s="92">
        <f>(T39-U38)*24*60</f>
        <v>11.999999999999558</v>
      </c>
      <c r="W39" s="205">
        <f t="shared" si="17"/>
        <v>113.00000000000112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-129.77876106196118</v>
      </c>
      <c r="AG39" s="206">
        <f t="shared" si="31"/>
        <v>0.91707427408181397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1860</v>
      </c>
      <c r="H40" s="91">
        <f>F40*G40</f>
        <v>82398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17</v>
      </c>
      <c r="N40" s="202">
        <f>G40/W40*60</f>
        <v>1430.7692307692212</v>
      </c>
      <c r="O40" s="203">
        <f t="shared" si="35"/>
        <v>84.162895927601241</v>
      </c>
      <c r="P40" s="97">
        <f t="shared" si="33"/>
        <v>0</v>
      </c>
      <c r="Q40" s="98">
        <f t="shared" si="34"/>
        <v>-7.8959276018105271</v>
      </c>
      <c r="R40" s="99">
        <f t="shared" si="29"/>
        <v>0.91422954042761728</v>
      </c>
      <c r="S40" s="377"/>
      <c r="T40" s="20">
        <v>0.53125</v>
      </c>
      <c r="U40" s="20">
        <v>0.58541666666666703</v>
      </c>
      <c r="V40" s="92">
        <f>(T40-U39)*24*60</f>
        <v>99.999999999999318</v>
      </c>
      <c r="W40" s="205">
        <f t="shared" si="17"/>
        <v>78.000000000000526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0"/>
        <v>-134.23076923077883</v>
      </c>
      <c r="AG40" s="206">
        <f t="shared" si="31"/>
        <v>0.91422954042761739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0</v>
      </c>
      <c r="AG41" s="206" t="e">
        <f t="shared" si="31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1565</v>
      </c>
      <c r="L48" s="158">
        <f t="shared" si="37"/>
        <v>92.058823529411768</v>
      </c>
      <c r="M48" s="155">
        <f t="shared" si="37"/>
        <v>16.333333333333332</v>
      </c>
      <c r="N48" s="155">
        <f t="shared" si="37"/>
        <v>1361.459188827147</v>
      </c>
      <c r="O48" s="158">
        <f t="shared" si="37"/>
        <v>83.271160380091473</v>
      </c>
      <c r="P48" s="221">
        <f>M48-J48</f>
        <v>-0.66666666666666785</v>
      </c>
      <c r="Q48" s="222">
        <f>N48-K48</f>
        <v>-203.54081117285295</v>
      </c>
      <c r="R48" s="223">
        <f>O48/L48</f>
        <v>0.90454295620546643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-203.54081117285295</v>
      </c>
      <c r="AG48" s="162">
        <f t="shared" ref="AG48:AG53" si="39">N48/K48</f>
        <v>0.86994197369146775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789</v>
      </c>
      <c r="H49" s="134">
        <f>F49*G49</f>
        <v>45209.7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0">K49/J49</f>
        <v>107.14285714285714</v>
      </c>
      <c r="M49" s="170">
        <v>14</v>
      </c>
      <c r="N49" s="140">
        <f>G49/W49*60</f>
        <v>1392.3529411764787</v>
      </c>
      <c r="O49" s="141">
        <f>N49/M49</f>
        <v>99.453781512605616</v>
      </c>
      <c r="P49" s="229">
        <f>M49-J49</f>
        <v>0</v>
      </c>
      <c r="Q49" s="230">
        <f>O49-L49</f>
        <v>-7.6890756302515229</v>
      </c>
      <c r="R49" s="52">
        <f>O49/L49</f>
        <v>0.92823529411765249</v>
      </c>
      <c r="S49" s="376">
        <f>R58</f>
        <v>0.94125176357708074</v>
      </c>
      <c r="T49" s="191">
        <v>0.29027777777777802</v>
      </c>
      <c r="U49" s="191">
        <v>0.31388888888888899</v>
      </c>
      <c r="V49" s="55"/>
      <c r="W49" s="193">
        <f t="shared" si="17"/>
        <v>33.999999999999801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-107.64705882352132</v>
      </c>
      <c r="AG49" s="52">
        <f t="shared" si="39"/>
        <v>0.92823529411765249</v>
      </c>
      <c r="AH49" s="382">
        <f>AG58</f>
        <v>0.94085491851044745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2408</v>
      </c>
      <c r="H50" s="231">
        <f>F50*G50</f>
        <v>120183.28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15</v>
      </c>
      <c r="N50" s="234">
        <f>G50/W50*60</f>
        <v>1553.5483870967582</v>
      </c>
      <c r="O50" s="235">
        <f>N50/M50</f>
        <v>103.56989247311722</v>
      </c>
      <c r="P50" s="74">
        <f>M50-J50</f>
        <v>0</v>
      </c>
      <c r="Q50" s="83">
        <f>O50-L50</f>
        <v>-0.76344086021610735</v>
      </c>
      <c r="R50" s="72">
        <f>O50/L50</f>
        <v>0.99268267546118749</v>
      </c>
      <c r="S50" s="377"/>
      <c r="T50" s="21">
        <v>0.32083333333333303</v>
      </c>
      <c r="U50" s="21">
        <v>0.38541666666666702</v>
      </c>
      <c r="V50" s="30">
        <f t="shared" ref="V50:V52" si="41">(T50-U49)*24*60</f>
        <v>9.9999999999994049</v>
      </c>
      <c r="W50" s="236">
        <f t="shared" si="17"/>
        <v>93.000000000000952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8"/>
        <v>-11.451612903241767</v>
      </c>
      <c r="AG50" s="72">
        <f t="shared" si="39"/>
        <v>0.99268267546118738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3302</v>
      </c>
      <c r="H51" s="231">
        <f>F51*G51</f>
        <v>165000.94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1637.3553719008421</v>
      </c>
      <c r="O51" s="235">
        <f>N51/M51</f>
        <v>102.33471074380263</v>
      </c>
      <c r="P51" s="74">
        <f>M51-J51</f>
        <v>0</v>
      </c>
      <c r="Q51" s="83">
        <f>O51-L51</f>
        <v>-4.7902892561973687</v>
      </c>
      <c r="R51" s="72">
        <f>O51/L51</f>
        <v>0.95528318080562546</v>
      </c>
      <c r="S51" s="377"/>
      <c r="T51" s="21">
        <v>0.391666666666667</v>
      </c>
      <c r="U51" s="19">
        <v>0.47569444444444398</v>
      </c>
      <c r="V51" s="30">
        <f t="shared" si="41"/>
        <v>8.999999999999968</v>
      </c>
      <c r="W51" s="236">
        <f t="shared" si="17"/>
        <v>120.99999999999885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-76.644628099157899</v>
      </c>
      <c r="AG51" s="72">
        <f t="shared" si="39"/>
        <v>0.95528318080562546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1780</v>
      </c>
      <c r="H52" s="231">
        <f>F52*G52</f>
        <v>88946.599999999991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1525.7142857142562</v>
      </c>
      <c r="O52" s="235">
        <f>N52/M52</f>
        <v>95.357142857141014</v>
      </c>
      <c r="P52" s="74">
        <f>M52-J52</f>
        <v>0</v>
      </c>
      <c r="Q52" s="83">
        <f>O52-L52</f>
        <v>-11.767857142858986</v>
      </c>
      <c r="R52" s="72">
        <f>O52/L52</f>
        <v>0.89014835805965942</v>
      </c>
      <c r="S52" s="377"/>
      <c r="T52" s="21">
        <v>0.53819444444444398</v>
      </c>
      <c r="U52" s="21">
        <v>0.58680555555555602</v>
      </c>
      <c r="V52" s="30">
        <f t="shared" si="41"/>
        <v>90</v>
      </c>
      <c r="W52" s="236">
        <f t="shared" si="17"/>
        <v>70.00000000000135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-188.28571428574378</v>
      </c>
      <c r="AG52" s="72">
        <f t="shared" si="39"/>
        <v>0.89014835805965942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1623.25</v>
      </c>
      <c r="L58" s="117">
        <f t="shared" si="42"/>
        <v>106.43154761904762</v>
      </c>
      <c r="M58" s="120">
        <f t="shared" si="42"/>
        <v>15.25</v>
      </c>
      <c r="N58" s="120">
        <f t="shared" si="42"/>
        <v>1527.2427464720838</v>
      </c>
      <c r="O58" s="117">
        <f t="shared" si="42"/>
        <v>100.17888189666662</v>
      </c>
      <c r="P58" s="121">
        <f>M58-J58</f>
        <v>0</v>
      </c>
      <c r="Q58" s="122">
        <f>N58-K58</f>
        <v>-96.007253527916191</v>
      </c>
      <c r="R58" s="123">
        <f t="shared" ref="R58:R60" si="43">O58/L58</f>
        <v>0.94125176357708074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-96.007253527916191</v>
      </c>
      <c r="AG58" s="124">
        <f t="shared" ref="AG58:AG61" si="45">N58/K58</f>
        <v>0.94085491851044745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3340</v>
      </c>
      <c r="H59" s="243">
        <f>F59*G59</f>
        <v>90146.599999999991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6">K59/J59</f>
        <v>120.38461538461539</v>
      </c>
      <c r="M59" s="244">
        <v>13</v>
      </c>
      <c r="N59" s="137">
        <f t="shared" ref="N59:N62" si="47">G59/W59*60</f>
        <v>1553.4883720930297</v>
      </c>
      <c r="O59" s="138">
        <f t="shared" ref="O59:O62" si="48">N59/M59</f>
        <v>119.49910554561767</v>
      </c>
      <c r="P59" s="56">
        <f t="shared" ref="P59:P62" si="49">M59-J59</f>
        <v>0</v>
      </c>
      <c r="Q59" s="230">
        <f t="shared" ref="Q59:Q62" si="50">O59-L59</f>
        <v>-0.88550983899772007</v>
      </c>
      <c r="R59" s="52">
        <f t="shared" si="43"/>
        <v>0.99264432721599338</v>
      </c>
      <c r="S59" s="376">
        <f>R69</f>
        <v>0.93735276921690824</v>
      </c>
      <c r="T59" s="245">
        <v>0.29027777777777802</v>
      </c>
      <c r="U59" s="245">
        <v>0.37986111111111098</v>
      </c>
      <c r="V59" s="55"/>
      <c r="W59" s="54">
        <f t="shared" si="17"/>
        <v>128.99999999999946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-11.511627906970261</v>
      </c>
      <c r="AG59" s="246">
        <f t="shared" si="45"/>
        <v>0.99264432721599349</v>
      </c>
      <c r="AH59" s="382">
        <f>AG69</f>
        <v>0.93936430831011752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1717</v>
      </c>
      <c r="H60" s="78">
        <f>F60*G60</f>
        <v>48522.420000000006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1450.9859154929743</v>
      </c>
      <c r="O60" s="81">
        <f t="shared" si="48"/>
        <v>120.91549295774786</v>
      </c>
      <c r="P60" s="74">
        <f t="shared" si="49"/>
        <v>0</v>
      </c>
      <c r="Q60" s="83">
        <f t="shared" si="50"/>
        <v>-9.5011737089187989</v>
      </c>
      <c r="R60" s="72">
        <f t="shared" si="43"/>
        <v>0.92714754983576642</v>
      </c>
      <c r="S60" s="394"/>
      <c r="T60" s="22">
        <v>0.38541666666666702</v>
      </c>
      <c r="U60" s="22">
        <v>0.43472222222222201</v>
      </c>
      <c r="V60" s="30">
        <f t="shared" ref="V60:V62" si="51">(T60-U59)*24*60</f>
        <v>8.000000000000691</v>
      </c>
      <c r="W60" s="248">
        <f t="shared" si="17"/>
        <v>70.99999999999919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4"/>
        <v>-114.0140845070257</v>
      </c>
      <c r="AG60" s="249">
        <f t="shared" si="45"/>
        <v>0.9271475498357663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1356</v>
      </c>
      <c r="H61" s="254">
        <f>F61*G61</f>
        <v>38320.560000000005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1427.3684210526067</v>
      </c>
      <c r="O61" s="238">
        <f t="shared" si="48"/>
        <v>118.94736842105056</v>
      </c>
      <c r="P61" s="111">
        <f t="shared" si="49"/>
        <v>0</v>
      </c>
      <c r="Q61" s="255">
        <f t="shared" si="50"/>
        <v>-11.469298245616102</v>
      </c>
      <c r="R61" s="85">
        <f>O61/L61</f>
        <v>0.91205649907514807</v>
      </c>
      <c r="S61" s="377"/>
      <c r="T61" s="22">
        <v>0.43958333333333299</v>
      </c>
      <c r="U61" s="22">
        <v>0.47916666666666702</v>
      </c>
      <c r="V61" s="30">
        <f t="shared" si="51"/>
        <v>6.9999999999998153</v>
      </c>
      <c r="W61" s="256">
        <f t="shared" si="17"/>
        <v>57.000000000000995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44"/>
        <v>-137.63157894739334</v>
      </c>
      <c r="AG61" s="247">
        <f t="shared" si="45"/>
        <v>0.91205649907514807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1389</v>
      </c>
      <c r="H62" s="254">
        <f>F62*G62</f>
        <v>39253.14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9</v>
      </c>
      <c r="N62" s="107">
        <f t="shared" si="47"/>
        <v>1515.2727272727436</v>
      </c>
      <c r="O62" s="238">
        <f t="shared" si="48"/>
        <v>168.36363636363819</v>
      </c>
      <c r="P62" s="111">
        <f t="shared" si="49"/>
        <v>0</v>
      </c>
      <c r="Q62" s="255">
        <f t="shared" si="50"/>
        <v>-13.414141414139579</v>
      </c>
      <c r="R62" s="85">
        <f>O62/L62</f>
        <v>0.92620582351634706</v>
      </c>
      <c r="S62" s="377"/>
      <c r="T62" s="22">
        <v>0.48263888888888901</v>
      </c>
      <c r="U62" s="22">
        <v>0.52083333333333304</v>
      </c>
      <c r="V62" s="30">
        <f t="shared" si="51"/>
        <v>4.9999999999996625</v>
      </c>
      <c r="W62" s="248">
        <f t="shared" si="17"/>
        <v>54.999999999999403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-120.72727272725638</v>
      </c>
      <c r="AG62" s="247">
        <f>N62/K62</f>
        <v>0.92620582351634695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11.5</v>
      </c>
      <c r="N69" s="240">
        <f t="shared" si="52"/>
        <v>1486.7788589778386</v>
      </c>
      <c r="O69" s="268">
        <f t="shared" si="52"/>
        <v>131.93140082201359</v>
      </c>
      <c r="P69" s="269">
        <f>M69-J69</f>
        <v>0</v>
      </c>
      <c r="Q69" s="222">
        <f>N69-K69</f>
        <v>-95.971141022161419</v>
      </c>
      <c r="R69" s="123">
        <f>O69/L69</f>
        <v>0.93735276921690824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-95.971141022161419</v>
      </c>
      <c r="AG69" s="124">
        <f>N69/K69</f>
        <v>0.93936430831011752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1423</v>
      </c>
      <c r="H70" s="243">
        <f>F70*G70</f>
        <v>72103.41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1108.8311688311521</v>
      </c>
      <c r="O70" s="138">
        <f>N70/M70</f>
        <v>110.88311688311521</v>
      </c>
      <c r="P70" s="56">
        <f>M70-J70</f>
        <v>0</v>
      </c>
      <c r="Q70" s="230">
        <f>O70-L70</f>
        <v>-1.616883116884793</v>
      </c>
      <c r="R70" s="52">
        <f>O70/L70</f>
        <v>0.98562770562769075</v>
      </c>
      <c r="S70" s="376">
        <f>R79</f>
        <v>0.90308839414556752</v>
      </c>
      <c r="T70" s="245">
        <v>0.33333333333333298</v>
      </c>
      <c r="U70" s="245">
        <v>0.38680555555555601</v>
      </c>
      <c r="V70" s="55"/>
      <c r="W70" s="54">
        <f t="shared" si="17"/>
        <v>77.000000000001165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-16.168831168847873</v>
      </c>
      <c r="AG70" s="246">
        <f>N70/K70</f>
        <v>0.98562770562769075</v>
      </c>
      <c r="AH70" s="382">
        <f>AG79</f>
        <v>0.90785687933947368</v>
      </c>
    </row>
    <row r="71" spans="1:36" ht="15" customHeight="1">
      <c r="A71" s="374"/>
      <c r="B71" s="75" t="s">
        <v>128</v>
      </c>
      <c r="C71" s="76"/>
      <c r="D71" s="59" t="s">
        <v>138</v>
      </c>
      <c r="E71" s="77"/>
      <c r="F71" s="250">
        <f>VLOOKUP(D71,廠價表!$C$1:$E$41,3,0)</f>
        <v>28.26</v>
      </c>
      <c r="G71" s="30">
        <v>2250</v>
      </c>
      <c r="H71" s="254">
        <f>F71*G71</f>
        <v>63585</v>
      </c>
      <c r="I71" s="182"/>
      <c r="J71" s="106">
        <f>VLOOKUP(D71,產線配置圖!$A$3:$C$38,2,0)</f>
        <v>9</v>
      </c>
      <c r="K71" s="107">
        <f>VLOOKUP(D71,產線配置圖!$A$3:$C$38,3,0)</f>
        <v>1636</v>
      </c>
      <c r="L71" s="238">
        <f t="shared" ref="L71:L72" si="53">K71/J71</f>
        <v>181.77777777777777</v>
      </c>
      <c r="M71" s="82">
        <v>9</v>
      </c>
      <c r="N71" s="107">
        <f t="shared" ref="N71:N72" si="54">G71/W71*60</f>
        <v>1310.6796116504809</v>
      </c>
      <c r="O71" s="238">
        <f t="shared" ref="O71:O72" si="55">N71/M71</f>
        <v>145.63106796116455</v>
      </c>
      <c r="P71" s="111">
        <f t="shared" ref="P71:P72" si="56">M71-J71</f>
        <v>0</v>
      </c>
      <c r="Q71" s="255">
        <f t="shared" ref="Q71:Q72" si="57">O71-L71</f>
        <v>-36.146709816613225</v>
      </c>
      <c r="R71" s="85">
        <f>O71/L71</f>
        <v>0.80114890687682205</v>
      </c>
      <c r="S71" s="377"/>
      <c r="T71" s="22">
        <v>0.39583333333333298</v>
      </c>
      <c r="U71" s="22">
        <v>0.46736111111111101</v>
      </c>
      <c r="V71" s="30">
        <f t="shared" ref="V71:V72" si="58">(T71-U70)*24*60</f>
        <v>12.999999999998835</v>
      </c>
      <c r="W71" s="73">
        <f t="shared" si="17"/>
        <v>103.00000000000036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81</v>
      </c>
      <c r="C72" s="76"/>
      <c r="D72" s="59" t="s">
        <v>132</v>
      </c>
      <c r="E72" s="77"/>
      <c r="F72" s="250">
        <f>VLOOKUP(D72,廠價表!$C$1:$E$41,3,0)</f>
        <v>50.67</v>
      </c>
      <c r="G72" s="202">
        <v>1053</v>
      </c>
      <c r="H72" s="254">
        <f>F72*G72</f>
        <v>53355.51</v>
      </c>
      <c r="I72" s="182"/>
      <c r="J72" s="106">
        <f>VLOOKUP(D72,產線配置圖!$A$3:$C$38,2,0)</f>
        <v>10</v>
      </c>
      <c r="K72" s="107">
        <f>VLOOKUP(D72,產線配置圖!$A$3:$C$38,3,0)</f>
        <v>1125</v>
      </c>
      <c r="L72" s="238">
        <f t="shared" si="53"/>
        <v>112.5</v>
      </c>
      <c r="M72" s="82">
        <v>10</v>
      </c>
      <c r="N72" s="107">
        <f t="shared" si="54"/>
        <v>1108.4210526315612</v>
      </c>
      <c r="O72" s="238">
        <f t="shared" si="55"/>
        <v>110.84210526315613</v>
      </c>
      <c r="P72" s="111">
        <f t="shared" si="56"/>
        <v>0</v>
      </c>
      <c r="Q72" s="255">
        <f t="shared" si="57"/>
        <v>-1.6578947368438719</v>
      </c>
      <c r="R72" s="85">
        <f>O72/L72</f>
        <v>0.98526315789472119</v>
      </c>
      <c r="S72" s="377"/>
      <c r="T72" s="22">
        <v>0.531944444444444</v>
      </c>
      <c r="U72" s="22">
        <v>0.57152777777777797</v>
      </c>
      <c r="V72" s="30">
        <f t="shared" si="58"/>
        <v>92.999999999999517</v>
      </c>
      <c r="W72" s="73">
        <f t="shared" si="17"/>
        <v>57.000000000000917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0">AVERAGE(J70:J78)</f>
        <v>9.6666666666666661</v>
      </c>
      <c r="K79" s="240">
        <f t="shared" si="60"/>
        <v>1295.3333333333333</v>
      </c>
      <c r="L79" s="268">
        <f t="shared" si="60"/>
        <v>135.59259259259258</v>
      </c>
      <c r="M79" s="240">
        <f t="shared" si="60"/>
        <v>9.6666666666666661</v>
      </c>
      <c r="N79" s="240">
        <f t="shared" si="60"/>
        <v>1175.9772777043981</v>
      </c>
      <c r="O79" s="268">
        <f t="shared" si="60"/>
        <v>122.45209670247861</v>
      </c>
      <c r="P79" s="269">
        <f>M79-J79</f>
        <v>0</v>
      </c>
      <c r="Q79" s="222">
        <f>N79-K79</f>
        <v>-119.35605562893511</v>
      </c>
      <c r="R79" s="223">
        <f>O79/L79</f>
        <v>0.90308839414556752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-119.35605562893511</v>
      </c>
      <c r="AG79" s="124">
        <f>N79/K79</f>
        <v>0.90785687933947368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49:A58"/>
    <mergeCell ref="S49:S58"/>
    <mergeCell ref="AB49:AC49"/>
    <mergeCell ref="D58:E58"/>
    <mergeCell ref="A59:A69"/>
    <mergeCell ref="S59:S69"/>
    <mergeCell ref="AB59:AC59"/>
    <mergeCell ref="D69:E69"/>
    <mergeCell ref="AB69:AC69"/>
    <mergeCell ref="AB68:AC6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38:A48"/>
    <mergeCell ref="S38:S48"/>
    <mergeCell ref="AB38:AC38"/>
    <mergeCell ref="D48:E48"/>
    <mergeCell ref="AB48:AC48"/>
    <mergeCell ref="AB47:AC47"/>
    <mergeCell ref="A27:A37"/>
    <mergeCell ref="S27:S37"/>
    <mergeCell ref="AB27:AC27"/>
    <mergeCell ref="D37:E37"/>
    <mergeCell ref="AH27:AH37"/>
    <mergeCell ref="AB29:AC29"/>
    <mergeCell ref="AB30:AC30"/>
    <mergeCell ref="AB31:AC31"/>
    <mergeCell ref="AB32:AC32"/>
    <mergeCell ref="AB33:AC33"/>
    <mergeCell ref="AB34:AC34"/>
    <mergeCell ref="AB28:AC28"/>
    <mergeCell ref="AB35:AC35"/>
    <mergeCell ref="AB36:AC36"/>
    <mergeCell ref="AB37:AC37"/>
    <mergeCell ref="V3:V4"/>
    <mergeCell ref="W3:W4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G3:AG4"/>
    <mergeCell ref="AH3:AH4"/>
    <mergeCell ref="AF3:AF4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16:A26"/>
    <mergeCell ref="D15:E15"/>
    <mergeCell ref="AB15:AC15"/>
    <mergeCell ref="S16:S26"/>
    <mergeCell ref="AB16:AC16"/>
    <mergeCell ref="D26:E26"/>
    <mergeCell ref="AB26:AC26"/>
    <mergeCell ref="AB25:AC25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X3:Y3"/>
    <mergeCell ref="Z3:AA3"/>
    <mergeCell ref="T3:U3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FF9EFA-BBA6-4ED4-BB70-B82716D3AF1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C5B5-5902-40F4-97AD-C153AC23ECA1}">
  <dimension ref="B1:O26"/>
  <sheetViews>
    <sheetView zoomScale="70" zoomScaleNormal="70" workbookViewId="0">
      <selection activeCell="M39" sqref="M3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46096</v>
      </c>
      <c r="E3" s="466"/>
      <c r="F3" s="3" t="s">
        <v>72</v>
      </c>
      <c r="G3" s="467">
        <f>'0315'!E1</f>
        <v>63491</v>
      </c>
      <c r="H3" s="467"/>
      <c r="I3" s="3" t="s">
        <v>2</v>
      </c>
      <c r="J3" s="468">
        <f>'0315'!G1</f>
        <v>2970565.4800000009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130.85798260252039</v>
      </c>
      <c r="G6" s="473"/>
      <c r="H6" s="474">
        <f>AVERAGE(D13:H13,J13)</f>
        <v>131.76753953200031</v>
      </c>
      <c r="I6" s="474"/>
      <c r="J6" s="474">
        <f>AVERAGE(I13)</f>
        <v>125.40064102564102</v>
      </c>
      <c r="K6" s="474"/>
      <c r="L6" s="499">
        <f>SUM(D18:J18)</f>
        <v>2</v>
      </c>
      <c r="M6" s="477">
        <f>SUM(D19:J19)</f>
        <v>8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118.80247376433431</v>
      </c>
      <c r="G7" s="497"/>
      <c r="H7" s="498">
        <f>AVERAGE(D14:H14,J14)</f>
        <v>119.37772580197982</v>
      </c>
      <c r="I7" s="498"/>
      <c r="J7" s="498">
        <f>AVERAGE(I14)</f>
        <v>115.35096153846129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0.90787334025464417</v>
      </c>
      <c r="G8" s="470"/>
      <c r="H8" s="470">
        <f>H7/H6</f>
        <v>0.90597218575966831</v>
      </c>
      <c r="I8" s="470"/>
      <c r="J8" s="470">
        <f>J7/J6</f>
        <v>0.91985942492012585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VALUE('0315'!L15)</f>
        <v>156.29006410256409</v>
      </c>
      <c r="E13" s="13">
        <f>VALUE('0315'!L26)</f>
        <v>181.44696969696969</v>
      </c>
      <c r="F13" s="13">
        <f>VALUE('0315'!L37)</f>
        <v>90.582352941176467</v>
      </c>
      <c r="G13" s="13">
        <f>VALUE('0315'!L48)</f>
        <v>97.169117647058826</v>
      </c>
      <c r="H13" s="13">
        <f>VALUE('0315'!L58)</f>
        <v>106.43154761904762</v>
      </c>
      <c r="I13" s="13">
        <f>VALUE('0315'!L69)</f>
        <v>125.40064102564102</v>
      </c>
      <c r="J13" s="13">
        <f>'0315'!L79</f>
        <v>158.68518518518519</v>
      </c>
    </row>
    <row r="14" spans="2:15" ht="39.950000000000003" customHeight="1">
      <c r="B14" s="491"/>
      <c r="C14" s="12" t="s">
        <v>100</v>
      </c>
      <c r="D14" s="13">
        <f>VALUE('0315'!O15)</f>
        <v>148.13773397655007</v>
      </c>
      <c r="E14" s="13">
        <f>VALUE('0315'!O26)</f>
        <v>165.84558431652383</v>
      </c>
      <c r="F14" s="13">
        <f>VALUE('0315'!O37)</f>
        <v>81.989615250057824</v>
      </c>
      <c r="G14" s="13">
        <f>VALUE('0315'!O48)</f>
        <v>89.813999822136907</v>
      </c>
      <c r="H14" s="13">
        <f>VALUE('0315'!O58)</f>
        <v>99.725886093074365</v>
      </c>
      <c r="I14" s="13">
        <f>VALUE('0315'!O69)</f>
        <v>115.35096153846129</v>
      </c>
      <c r="J14" s="13">
        <f>'0315'!O79</f>
        <v>130.75353535353594</v>
      </c>
    </row>
    <row r="15" spans="2:15" ht="39.950000000000003" customHeight="1">
      <c r="B15" s="492"/>
      <c r="C15" s="10" t="s">
        <v>26</v>
      </c>
      <c r="D15" s="14">
        <f>D14/D13</f>
        <v>0.94783846194685717</v>
      </c>
      <c r="E15" s="14">
        <f t="shared" ref="E15:I15" si="1">E14/E13</f>
        <v>0.91401683143840118</v>
      </c>
      <c r="F15" s="14">
        <f t="shared" si="1"/>
        <v>0.90513894360087221</v>
      </c>
      <c r="G15" s="14">
        <f t="shared" si="1"/>
        <v>0.9243060140605841</v>
      </c>
      <c r="H15" s="14">
        <f t="shared" si="1"/>
        <v>0.93699554618922809</v>
      </c>
      <c r="I15" s="14">
        <f t="shared" si="1"/>
        <v>0.91985942492012585</v>
      </c>
      <c r="J15" s="15">
        <f>'0315'!S70</f>
        <v>0.82398073393522464</v>
      </c>
    </row>
    <row r="16" spans="2:15" ht="17.25" customHeight="1">
      <c r="B16" s="493" t="s">
        <v>101</v>
      </c>
      <c r="C16" s="10" t="s">
        <v>34</v>
      </c>
      <c r="D16" s="16">
        <f>'0315'!T5</f>
        <v>0.29027777777777802</v>
      </c>
      <c r="E16" s="16">
        <f>'0315'!T16</f>
        <v>0.29027777777777802</v>
      </c>
      <c r="F16" s="16">
        <f>'0315'!T27</f>
        <v>0.29166666666666702</v>
      </c>
      <c r="G16" s="16">
        <f>'0315'!T38</f>
        <v>0.33194444444444399</v>
      </c>
      <c r="H16" s="16">
        <f>'0315'!T49</f>
        <v>0.28888888888888897</v>
      </c>
      <c r="I16" s="16">
        <f>'0315'!T59</f>
        <v>0.31944444444444398</v>
      </c>
      <c r="J16" s="16">
        <f>'0315'!T70</f>
        <v>0.34027777777777801</v>
      </c>
    </row>
    <row r="17" spans="2:10" ht="17.25" customHeight="1">
      <c r="B17" s="494"/>
      <c r="C17" s="10" t="s">
        <v>35</v>
      </c>
      <c r="D17" s="16">
        <v>0.57986111111111105</v>
      </c>
      <c r="E17" s="19">
        <v>0.64583333333333304</v>
      </c>
      <c r="F17" s="19">
        <v>0.63194444444444398</v>
      </c>
      <c r="G17" s="210">
        <v>0.67708333333333304</v>
      </c>
      <c r="H17" s="21">
        <v>0.63611111111111096</v>
      </c>
      <c r="I17" s="22">
        <v>0.60763888888888895</v>
      </c>
      <c r="J17" s="22">
        <v>0.63888888888888895</v>
      </c>
    </row>
    <row r="18" spans="2:10" ht="17.25" customHeight="1">
      <c r="B18" s="495" t="s">
        <v>102</v>
      </c>
      <c r="C18" s="330" t="s">
        <v>36</v>
      </c>
      <c r="D18" s="358">
        <f>'0315'!Z15</f>
        <v>0</v>
      </c>
      <c r="E18" s="359">
        <f>'0315'!Z26</f>
        <v>0</v>
      </c>
      <c r="F18" s="359">
        <f>'0315'!Z37</f>
        <v>2</v>
      </c>
      <c r="G18" s="360">
        <f>'0315'!Z48</f>
        <v>0</v>
      </c>
      <c r="H18" s="360">
        <f>'0315'!Z58</f>
        <v>0</v>
      </c>
      <c r="I18" s="359">
        <f>'0315'!Z69</f>
        <v>0</v>
      </c>
      <c r="J18" s="359">
        <f>'0315'!AA79</f>
        <v>0</v>
      </c>
    </row>
    <row r="19" spans="2:10" ht="17.25" customHeight="1">
      <c r="B19" s="496"/>
      <c r="C19" s="330" t="s">
        <v>37</v>
      </c>
      <c r="D19" s="358">
        <f>'0315'!AA15</f>
        <v>0</v>
      </c>
      <c r="E19" s="359">
        <f>'0315'!AA26</f>
        <v>0</v>
      </c>
      <c r="F19" s="359">
        <f>'0315'!AA37</f>
        <v>8</v>
      </c>
      <c r="G19" s="360">
        <f>'0315'!AA48</f>
        <v>0</v>
      </c>
      <c r="H19" s="360">
        <f>'0315'!AA58</f>
        <v>0</v>
      </c>
      <c r="I19" s="359">
        <f>'0315'!AA69</f>
        <v>0</v>
      </c>
      <c r="J19" s="359">
        <f>'0315'!AB79</f>
        <v>0</v>
      </c>
    </row>
    <row r="20" spans="2:10" ht="17.25" customHeight="1">
      <c r="B20" s="495" t="s">
        <v>103</v>
      </c>
      <c r="C20" s="330" t="s">
        <v>36</v>
      </c>
      <c r="D20" s="358">
        <f>'0315'!AD15</f>
        <v>0</v>
      </c>
      <c r="E20" s="359">
        <f>'0315'!AD26</f>
        <v>0</v>
      </c>
      <c r="F20" s="359">
        <f>'0315'!AD37</f>
        <v>0</v>
      </c>
      <c r="G20" s="360">
        <f>'0315'!AD48</f>
        <v>0</v>
      </c>
      <c r="H20" s="360">
        <f>'0315'!AD58</f>
        <v>0</v>
      </c>
      <c r="I20" s="359">
        <f>'0315'!AD69</f>
        <v>0</v>
      </c>
      <c r="J20" s="359">
        <f>'0315'!AD79</f>
        <v>0</v>
      </c>
    </row>
    <row r="21" spans="2:10" ht="17.25" customHeight="1">
      <c r="B21" s="496"/>
      <c r="C21" s="330" t="s">
        <v>85</v>
      </c>
      <c r="D21" s="358">
        <f>'0315'!AE15</f>
        <v>0</v>
      </c>
      <c r="E21" s="359">
        <f>'0315'!AE26</f>
        <v>0</v>
      </c>
      <c r="F21" s="359">
        <f>'0315'!AE37</f>
        <v>0</v>
      </c>
      <c r="G21" s="360">
        <f>'0315'!AE48</f>
        <v>0</v>
      </c>
      <c r="H21" s="360">
        <f>'0315'!AE58</f>
        <v>0</v>
      </c>
      <c r="I21" s="359">
        <f>'0315'!AE69</f>
        <v>0</v>
      </c>
      <c r="J21" s="359">
        <f>'0315'!AE79</f>
        <v>0</v>
      </c>
    </row>
    <row r="22" spans="2:10" ht="17.25" customHeight="1">
      <c r="B22" s="479" t="s">
        <v>104</v>
      </c>
      <c r="C22" s="480"/>
      <c r="D22" s="23">
        <f>VALUE('0315'!M15)</f>
        <v>13.25</v>
      </c>
      <c r="E22" s="23">
        <f>VALUE('0315'!M26)</f>
        <v>11.6</v>
      </c>
      <c r="F22" s="23">
        <f>VALUE('0315'!M37)</f>
        <v>14.2</v>
      </c>
      <c r="G22" s="23">
        <f>VALUE('0315'!M48)</f>
        <v>14.75</v>
      </c>
      <c r="H22" s="23">
        <f>VALUE('0315'!M58)</f>
        <v>15.25</v>
      </c>
      <c r="I22" s="23">
        <f>VALUE('0315'!M69)</f>
        <v>12.5</v>
      </c>
      <c r="J22" s="23">
        <f>'0315'!M79</f>
        <v>9.3333333333333339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9C82-BE5A-49D4-AEF8-0226E7934A70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M39" sqref="M39"/>
      <selection pane="topRight" activeCell="M39" sqref="M39"/>
      <selection pane="bottomLeft" activeCell="M39" sqref="M39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63491</v>
      </c>
      <c r="F1" s="30" t="s">
        <v>2</v>
      </c>
      <c r="G1" s="31">
        <f>SUM(H5:H79)</f>
        <v>2970565.4800000009</v>
      </c>
      <c r="H1" s="32" t="s">
        <v>3</v>
      </c>
      <c r="I1" s="33">
        <f>M15+M26+M48+M58+M69+M79+M37</f>
        <v>90.883333333333326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166</v>
      </c>
      <c r="B2" s="447"/>
      <c r="C2" s="28"/>
      <c r="D2" s="28" t="s">
        <v>14</v>
      </c>
      <c r="E2" s="35">
        <f>AVERAGE(O15,O26,O37,O48,O58,O69,O79)</f>
        <v>118.80247376433431</v>
      </c>
      <c r="F2" s="36" t="s">
        <v>15</v>
      </c>
      <c r="G2" s="37">
        <f>G1/E1</f>
        <v>46.787189995432435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2</v>
      </c>
      <c r="AA2" s="339">
        <f>AA15+AA26+AA37+AA48+AA58+AA69+AA79</f>
        <v>8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2169</v>
      </c>
      <c r="H5" s="43">
        <f>F5*G5</f>
        <v>124088.49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2065.7142857142881</v>
      </c>
      <c r="O5" s="47">
        <f t="shared" ref="O5:O8" si="2">N5/M5</f>
        <v>172.14285714285734</v>
      </c>
      <c r="P5" s="49">
        <f t="shared" ref="P5:P8" si="3">M5-J5</f>
        <v>0</v>
      </c>
      <c r="Q5" s="50">
        <f t="shared" ref="Q5:Q8" si="4">O5-L5</f>
        <v>-3.2738095238093194</v>
      </c>
      <c r="R5" s="51">
        <f t="shared" ref="R5:R8" si="5">O5/L5</f>
        <v>0.98133695283339106</v>
      </c>
      <c r="S5" s="376">
        <f>R15</f>
        <v>0.94783846194685717</v>
      </c>
      <c r="T5" s="319">
        <v>0.29027777777777802</v>
      </c>
      <c r="U5" s="320">
        <v>0.33402777777777798</v>
      </c>
      <c r="V5" s="53"/>
      <c r="W5" s="54">
        <f t="shared" ref="W5:W14" si="6">(U5-T5)*24*60</f>
        <v>62.999999999999936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-39.285714285711947</v>
      </c>
      <c r="AG5" s="52">
        <f t="shared" ref="AG5:AG11" si="8">N5/K5</f>
        <v>0.98133695283339095</v>
      </c>
      <c r="AH5" s="382">
        <f>AG15</f>
        <v>0.94667158589510325</v>
      </c>
    </row>
    <row r="6" spans="1:34" ht="15" customHeight="1">
      <c r="A6" s="423"/>
      <c r="B6" s="57" t="s">
        <v>81</v>
      </c>
      <c r="C6" s="58"/>
      <c r="D6" s="59" t="s">
        <v>116</v>
      </c>
      <c r="E6" s="60"/>
      <c r="F6" s="61">
        <f>VLOOKUP(D6,廠價表!$C$1:$E$41,3,0)</f>
        <v>56.28</v>
      </c>
      <c r="G6" s="62">
        <v>1123</v>
      </c>
      <c r="H6" s="63">
        <f>F6*G6</f>
        <v>63202.44</v>
      </c>
      <c r="I6" s="64"/>
      <c r="J6" s="65">
        <f>VLOOKUP(D6,產線配置圖!$A$3:$C$38,2,0)</f>
        <v>15</v>
      </c>
      <c r="K6" s="66">
        <v>1900</v>
      </c>
      <c r="L6" s="67">
        <f t="shared" si="0"/>
        <v>126.66666666666667</v>
      </c>
      <c r="M6" s="68">
        <v>15</v>
      </c>
      <c r="N6" s="66">
        <f t="shared" si="1"/>
        <v>1773.1578947368334</v>
      </c>
      <c r="O6" s="67">
        <f t="shared" si="2"/>
        <v>118.2105263157889</v>
      </c>
      <c r="P6" s="69">
        <f t="shared" si="3"/>
        <v>0</v>
      </c>
      <c r="Q6" s="70">
        <f t="shared" si="4"/>
        <v>-8.4561403508777744</v>
      </c>
      <c r="R6" s="71">
        <f t="shared" si="5"/>
        <v>0.93324099722991227</v>
      </c>
      <c r="S6" s="377"/>
      <c r="T6" s="16">
        <v>0.34166666666666701</v>
      </c>
      <c r="U6" s="16">
        <v>0.36805555555555602</v>
      </c>
      <c r="V6" s="30">
        <f>(T6-U5)*24*60</f>
        <v>11.000000000000201</v>
      </c>
      <c r="W6" s="73">
        <f t="shared" si="6"/>
        <v>38.000000000000185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-126.84210526316656</v>
      </c>
      <c r="AG6" s="72">
        <f t="shared" si="8"/>
        <v>0.93324099722991238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5330</v>
      </c>
      <c r="H7" s="78">
        <f>F7*G7</f>
        <v>261916.2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1998.750000000002</v>
      </c>
      <c r="O7" s="81">
        <f t="shared" si="2"/>
        <v>153.75000000000017</v>
      </c>
      <c r="P7" s="74">
        <f t="shared" si="3"/>
        <v>0</v>
      </c>
      <c r="Q7" s="83">
        <f t="shared" si="4"/>
        <v>-7.7884615384613767</v>
      </c>
      <c r="R7" s="72">
        <f t="shared" si="5"/>
        <v>0.95178571428571535</v>
      </c>
      <c r="S7" s="377"/>
      <c r="T7" s="18">
        <v>0.37361111111111101</v>
      </c>
      <c r="U7" s="18">
        <v>0.484722222222222</v>
      </c>
      <c r="V7" s="30">
        <f>(T7-U6)*24*60</f>
        <v>7.9999999999991722</v>
      </c>
      <c r="W7" s="73">
        <f t="shared" si="6"/>
        <v>159.99999999999983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-101.24999999999795</v>
      </c>
      <c r="AG7" s="72">
        <f t="shared" si="8"/>
        <v>0.95178571428571523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1769</v>
      </c>
      <c r="H8" s="78">
        <f>F8*G8</f>
        <v>86928.66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1929.8181818181997</v>
      </c>
      <c r="O8" s="81">
        <f t="shared" si="2"/>
        <v>148.44755244755382</v>
      </c>
      <c r="P8" s="74">
        <f t="shared" si="3"/>
        <v>0</v>
      </c>
      <c r="Q8" s="83">
        <f t="shared" si="4"/>
        <v>-13.090909090907729</v>
      </c>
      <c r="R8" s="72">
        <f t="shared" si="5"/>
        <v>0.91896103896104742</v>
      </c>
      <c r="S8" s="377"/>
      <c r="T8" s="16">
        <v>0.54166666666666696</v>
      </c>
      <c r="U8" s="16">
        <v>0.57986111111111105</v>
      </c>
      <c r="V8" s="30">
        <f>(T8-U7)*24*60</f>
        <v>82.000000000000753</v>
      </c>
      <c r="W8" s="73">
        <f t="shared" si="6"/>
        <v>54.999999999999488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-170.18181818180028</v>
      </c>
      <c r="AG8" s="72">
        <f t="shared" si="8"/>
        <v>0.91896103896104753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2051.25</v>
      </c>
      <c r="L15" s="117">
        <f t="shared" si="9"/>
        <v>156.29006410256409</v>
      </c>
      <c r="M15" s="120">
        <f t="shared" si="9"/>
        <v>13.25</v>
      </c>
      <c r="N15" s="120">
        <f t="shared" si="9"/>
        <v>1941.8600905673306</v>
      </c>
      <c r="O15" s="117">
        <f t="shared" si="9"/>
        <v>148.13773397655007</v>
      </c>
      <c r="P15" s="121">
        <f t="shared" ref="P15:P20" si="10">M15-J15</f>
        <v>0</v>
      </c>
      <c r="Q15" s="122">
        <f t="shared" ref="Q15:Q20" si="11">O15-L15</f>
        <v>-8.1523301260140215</v>
      </c>
      <c r="R15" s="123">
        <f t="shared" ref="R15:R20" si="12">O15/L15</f>
        <v>0.94783846194685717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-109.38990943266936</v>
      </c>
      <c r="AG15" s="124">
        <f t="shared" ref="AG15:AG19" si="14">N15/K15</f>
        <v>0.94667158589510325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1880</v>
      </c>
      <c r="H16" s="134">
        <f>F16*G16</f>
        <v>107554.8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20" si="15">K16/J16</f>
        <v>175.41666666666666</v>
      </c>
      <c r="M16" s="139">
        <v>12</v>
      </c>
      <c r="N16" s="140">
        <f t="shared" ref="N16:N20" si="16">G16/W16*60</f>
        <v>1978.9473684210709</v>
      </c>
      <c r="O16" s="141">
        <f>N16/M16</f>
        <v>164.91228070175592</v>
      </c>
      <c r="P16" s="142">
        <f>M16-J16</f>
        <v>0</v>
      </c>
      <c r="Q16" s="143">
        <f t="shared" si="11"/>
        <v>-10.504385964910739</v>
      </c>
      <c r="R16" s="144">
        <f>O16/L16</f>
        <v>0.9401175146893449</v>
      </c>
      <c r="S16" s="413">
        <f>R26</f>
        <v>0.91401683143840118</v>
      </c>
      <c r="T16" s="145">
        <v>0.29027777777777802</v>
      </c>
      <c r="U16" s="145">
        <v>0.32986111111111099</v>
      </c>
      <c r="V16" s="135"/>
      <c r="W16" s="146">
        <f t="shared" ref="W16:W78" si="17">(U16-T16)*24*60</f>
        <v>56.999999999999474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-126.05263157892909</v>
      </c>
      <c r="AG16" s="52">
        <f t="shared" si="14"/>
        <v>0.9401175146893449</v>
      </c>
      <c r="AH16" s="382">
        <f>AG26</f>
        <v>0.9132158459389651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3793</v>
      </c>
      <c r="H17" s="78">
        <f>F17*G17</f>
        <v>192191.31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12</v>
      </c>
      <c r="N17" s="95">
        <f>G17/W17*60</f>
        <v>1978.9565217391334</v>
      </c>
      <c r="O17" s="96">
        <f t="shared" ref="O17:O20" si="18">N17/M17</f>
        <v>164.91304347826113</v>
      </c>
      <c r="P17" s="97">
        <f t="shared" si="10"/>
        <v>0</v>
      </c>
      <c r="Q17" s="98">
        <f t="shared" si="11"/>
        <v>-10.08695652173887</v>
      </c>
      <c r="R17" s="99">
        <f t="shared" si="12"/>
        <v>0.94236024844720645</v>
      </c>
      <c r="S17" s="414"/>
      <c r="T17" s="19">
        <v>0.33680555555555602</v>
      </c>
      <c r="U17" s="19">
        <v>0.41666666666666702</v>
      </c>
      <c r="V17" s="30">
        <f>(T17-U16)*24*60</f>
        <v>10.000000000000844</v>
      </c>
      <c r="W17" s="149">
        <f t="shared" si="17"/>
        <v>114.99999999999983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-121.04347826086655</v>
      </c>
      <c r="AG17" s="72">
        <f t="shared" si="14"/>
        <v>0.94236024844720645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2735</v>
      </c>
      <c r="H18" s="78">
        <f>F18*G18</f>
        <v>137816.65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11</v>
      </c>
      <c r="N18" s="95">
        <f t="shared" si="16"/>
        <v>1953.5714285714394</v>
      </c>
      <c r="O18" s="96">
        <f t="shared" si="18"/>
        <v>177.59740259740357</v>
      </c>
      <c r="P18" s="97">
        <f t="shared" si="10"/>
        <v>0</v>
      </c>
      <c r="Q18" s="98">
        <f t="shared" si="11"/>
        <v>-13.311688311687334</v>
      </c>
      <c r="R18" s="99">
        <f t="shared" si="12"/>
        <v>0.9302721088435425</v>
      </c>
      <c r="S18" s="414"/>
      <c r="T18" s="19">
        <v>0.42361111111111099</v>
      </c>
      <c r="U18" s="19">
        <v>0.48194444444444401</v>
      </c>
      <c r="V18" s="30">
        <f>(T18-U17)*24*60</f>
        <v>9.999999999999325</v>
      </c>
      <c r="W18" s="149">
        <f t="shared" si="17"/>
        <v>83.999999999999545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-146.42857142856064</v>
      </c>
      <c r="AG18" s="72">
        <f t="shared" si="14"/>
        <v>0.9302721088435425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3692</v>
      </c>
      <c r="H19" s="78">
        <f t="shared" ref="H19:H20" si="19">F19*G19</f>
        <v>186039.88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5"/>
        <v>190.90909090909091</v>
      </c>
      <c r="M19" s="148">
        <v>11</v>
      </c>
      <c r="N19" s="95">
        <f t="shared" si="16"/>
        <v>1977.8571428571613</v>
      </c>
      <c r="O19" s="96">
        <f t="shared" si="18"/>
        <v>179.80519480519649</v>
      </c>
      <c r="P19" s="97">
        <f t="shared" si="10"/>
        <v>0</v>
      </c>
      <c r="Q19" s="98">
        <f t="shared" si="11"/>
        <v>-11.103896103894414</v>
      </c>
      <c r="R19" s="99">
        <f t="shared" si="12"/>
        <v>0.9418367346938864</v>
      </c>
      <c r="S19" s="414"/>
      <c r="T19" s="19">
        <v>0.54166666666666696</v>
      </c>
      <c r="U19" s="19">
        <v>0.61944444444444402</v>
      </c>
      <c r="V19" s="30">
        <f>(T19-U18)*24*60</f>
        <v>86.000000000001052</v>
      </c>
      <c r="W19" s="149">
        <f t="shared" si="17"/>
        <v>111.99999999999896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-122.14285714283869</v>
      </c>
      <c r="AG19" s="72">
        <f t="shared" si="14"/>
        <v>0.94183673469388629</v>
      </c>
      <c r="AH19" s="385"/>
    </row>
    <row r="20" spans="1:34" ht="15" customHeight="1">
      <c r="A20" s="419"/>
      <c r="B20" s="75" t="s">
        <v>81</v>
      </c>
      <c r="C20" s="76"/>
      <c r="D20" s="59" t="s">
        <v>115</v>
      </c>
      <c r="E20" s="77"/>
      <c r="F20" s="75">
        <f>VLOOKUP(D20,廠價表!$C$1:$E$41,3,0)</f>
        <v>50.67</v>
      </c>
      <c r="G20" s="147">
        <v>852</v>
      </c>
      <c r="H20" s="78">
        <f t="shared" si="19"/>
        <v>43170.840000000004</v>
      </c>
      <c r="I20" s="30"/>
      <c r="J20" s="79">
        <f>VLOOKUP(D20,產線配置圖!$A$3:$C$38,2,0)</f>
        <v>12</v>
      </c>
      <c r="K20" s="80">
        <f>VLOOKUP(D20,產線配置圖!$A$3:$C$38,3,0)</f>
        <v>2100</v>
      </c>
      <c r="L20" s="81">
        <f t="shared" si="15"/>
        <v>175</v>
      </c>
      <c r="M20" s="148">
        <v>12</v>
      </c>
      <c r="N20" s="95">
        <f t="shared" si="16"/>
        <v>1704.0000000000241</v>
      </c>
      <c r="O20" s="96">
        <f t="shared" si="18"/>
        <v>142.00000000000202</v>
      </c>
      <c r="P20" s="97">
        <f t="shared" si="10"/>
        <v>0</v>
      </c>
      <c r="Q20" s="98">
        <f t="shared" si="11"/>
        <v>-32.999999999997982</v>
      </c>
      <c r="R20" s="99">
        <f t="shared" si="12"/>
        <v>0.81142857142858293</v>
      </c>
      <c r="S20" s="414"/>
      <c r="T20" s="19">
        <v>0.625</v>
      </c>
      <c r="U20" s="19">
        <v>0.64583333333333304</v>
      </c>
      <c r="V20" s="30">
        <f>(T20-U19)*24*60</f>
        <v>8.0000000000006111</v>
      </c>
      <c r="W20" s="149">
        <f t="shared" si="17"/>
        <v>29.999999999999574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2101</v>
      </c>
      <c r="L26" s="158">
        <f t="shared" si="21"/>
        <v>181.44696969696969</v>
      </c>
      <c r="M26" s="155">
        <f t="shared" si="21"/>
        <v>11.6</v>
      </c>
      <c r="N26" s="155">
        <f t="shared" si="21"/>
        <v>1918.6664923177657</v>
      </c>
      <c r="O26" s="158">
        <f t="shared" si="21"/>
        <v>165.84558431652383</v>
      </c>
      <c r="P26" s="159">
        <f t="shared" ref="P26:P31" si="22">M26-J26</f>
        <v>0</v>
      </c>
      <c r="Q26" s="160">
        <f t="shared" ref="Q26:Q31" si="23">O26-L26</f>
        <v>-15.601385380445862</v>
      </c>
      <c r="R26" s="161">
        <f>O26/L26</f>
        <v>0.91401683143840118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4">N26-K26</f>
        <v>-182.33350768223431</v>
      </c>
      <c r="AG26" s="124">
        <f t="shared" ref="AG26:AG31" si="25">N26/K26</f>
        <v>0.9132158459389651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2630</v>
      </c>
      <c r="H27" s="134">
        <f>F27*G27</f>
        <v>152987.1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31" si="26">K27/J27</f>
        <v>97.8125</v>
      </c>
      <c r="M27" s="170">
        <v>16</v>
      </c>
      <c r="N27" s="140">
        <f>G27/W27*60</f>
        <v>1502.8571428571574</v>
      </c>
      <c r="O27" s="141">
        <f>N27/M27</f>
        <v>93.92857142857234</v>
      </c>
      <c r="P27" s="142">
        <f t="shared" si="22"/>
        <v>0</v>
      </c>
      <c r="Q27" s="143">
        <f t="shared" si="23"/>
        <v>-3.8839285714276599</v>
      </c>
      <c r="R27" s="144">
        <f>O27/L27</f>
        <v>0.96029210406208143</v>
      </c>
      <c r="S27" s="413">
        <f>R37</f>
        <v>0.90513894360087221</v>
      </c>
      <c r="T27" s="171">
        <v>0.29166666666666702</v>
      </c>
      <c r="U27" s="171">
        <v>0.36458333333333298</v>
      </c>
      <c r="V27" s="135"/>
      <c r="W27" s="146">
        <f t="shared" si="17"/>
        <v>104.99999999999899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-62.142857142842558</v>
      </c>
      <c r="AG27" s="172">
        <f t="shared" si="25"/>
        <v>0.96029210406208143</v>
      </c>
      <c r="AH27" s="382">
        <f>AG37</f>
        <v>0.78945426758314707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1515</v>
      </c>
      <c r="H28" s="91">
        <f>F28*G28</f>
        <v>75022.8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16</v>
      </c>
      <c r="N28" s="95">
        <f>G28/W28*60</f>
        <v>1298.5714285714316</v>
      </c>
      <c r="O28" s="96">
        <f>N28/M28</f>
        <v>81.160714285714477</v>
      </c>
      <c r="P28" s="97">
        <f t="shared" si="22"/>
        <v>-1</v>
      </c>
      <c r="Q28" s="98">
        <f t="shared" si="23"/>
        <v>-3.5451680672266974</v>
      </c>
      <c r="R28" s="99">
        <f t="shared" ref="R28:R31" si="27">O28/L28</f>
        <v>0.95814732142857373</v>
      </c>
      <c r="S28" s="414"/>
      <c r="T28" s="19">
        <v>0.37152777777777801</v>
      </c>
      <c r="U28" s="19">
        <v>0.42013888888888901</v>
      </c>
      <c r="V28" s="92">
        <f>(T28-U27)*24*60</f>
        <v>10.000000000000844</v>
      </c>
      <c r="W28" s="149">
        <f t="shared" si="17"/>
        <v>69.999999999999829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4"/>
        <v>-141.42857142856838</v>
      </c>
      <c r="AG28" s="99">
        <f t="shared" si="25"/>
        <v>0.90178571428571641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1272</v>
      </c>
      <c r="H29" s="91">
        <f>F29*G29</f>
        <v>71778.960000000006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6"/>
        <v>87.875</v>
      </c>
      <c r="M29" s="94">
        <v>13</v>
      </c>
      <c r="N29" s="95">
        <f>G29/W29*60</f>
        <v>786.80412371132945</v>
      </c>
      <c r="O29" s="96">
        <f>N29/M29</f>
        <v>60.523394131640728</v>
      </c>
      <c r="P29" s="97">
        <f t="shared" si="22"/>
        <v>-3</v>
      </c>
      <c r="Q29" s="98">
        <f t="shared" si="23"/>
        <v>-27.351605868359272</v>
      </c>
      <c r="R29" s="99">
        <f t="shared" si="27"/>
        <v>0.68874417219505812</v>
      </c>
      <c r="S29" s="414"/>
      <c r="T29" s="19">
        <v>0.42569444444444399</v>
      </c>
      <c r="U29" s="19">
        <v>0.49305555555555602</v>
      </c>
      <c r="V29" s="92">
        <f>(T29-U28)*24*60</f>
        <v>7.9999999999991722</v>
      </c>
      <c r="W29" s="149">
        <f t="shared" si="17"/>
        <v>97.000000000001336</v>
      </c>
      <c r="X29" s="22"/>
      <c r="Y29" s="84"/>
      <c r="Z29" s="90">
        <v>2</v>
      </c>
      <c r="AA29" s="90">
        <v>8</v>
      </c>
      <c r="AB29" s="388" t="s">
        <v>167</v>
      </c>
      <c r="AC29" s="388"/>
      <c r="AD29" s="92"/>
      <c r="AE29" s="92"/>
      <c r="AF29" s="312">
        <f t="shared" si="24"/>
        <v>-619.19587628867055</v>
      </c>
      <c r="AG29" s="99">
        <f t="shared" si="25"/>
        <v>0.55960463990848464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990</v>
      </c>
      <c r="H30" s="91">
        <f t="shared" ref="H30:H31" si="28">F30*G30</f>
        <v>49024.800000000003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 t="shared" si="26"/>
        <v>84.705882352941174</v>
      </c>
      <c r="M30" s="94">
        <v>13</v>
      </c>
      <c r="N30" s="95">
        <f t="shared" ref="N30:N31" si="29">G30/W30*60</f>
        <v>1024.137931034478</v>
      </c>
      <c r="O30" s="96">
        <f t="shared" ref="O30:O31" si="30">N30/M30</f>
        <v>78.779840848806003</v>
      </c>
      <c r="P30" s="97">
        <f t="shared" si="22"/>
        <v>-4</v>
      </c>
      <c r="Q30" s="98">
        <f t="shared" si="23"/>
        <v>-5.9260415041351706</v>
      </c>
      <c r="R30" s="99">
        <f t="shared" si="27"/>
        <v>0.93003978779840424</v>
      </c>
      <c r="S30" s="414"/>
      <c r="T30" s="19">
        <v>0.54861111111111105</v>
      </c>
      <c r="U30" s="19">
        <v>0.58888888888888902</v>
      </c>
      <c r="V30" s="92">
        <f>(T30-U29)*24*60</f>
        <v>79.999999999999233</v>
      </c>
      <c r="W30" s="149">
        <f t="shared" si="17"/>
        <v>58.00000000000027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4"/>
        <v>-415.86206896552198</v>
      </c>
      <c r="AG30" s="99">
        <f t="shared" si="25"/>
        <v>0.71120689655172087</v>
      </c>
      <c r="AH30" s="416"/>
    </row>
    <row r="31" spans="1:34" ht="15" customHeight="1">
      <c r="A31" s="411"/>
      <c r="B31" s="75" t="s">
        <v>81</v>
      </c>
      <c r="C31" s="88"/>
      <c r="D31" s="59" t="s">
        <v>137</v>
      </c>
      <c r="E31" s="89"/>
      <c r="F31" s="75">
        <f>VLOOKUP(D31,廠價表!$C$1:$E$41,3,0)</f>
        <v>58.17</v>
      </c>
      <c r="G31" s="90">
        <v>1118</v>
      </c>
      <c r="H31" s="91">
        <f t="shared" si="28"/>
        <v>65034.060000000005</v>
      </c>
      <c r="I31" s="92"/>
      <c r="J31" s="79">
        <f>VLOOKUP(D31,產線配置圖!$A$3:$C$38,2,0)</f>
        <v>16</v>
      </c>
      <c r="K31" s="80">
        <f>VLOOKUP(D31,產線配置圖!$A$3:$C$38,3,0)</f>
        <v>1565</v>
      </c>
      <c r="L31" s="93">
        <f t="shared" si="26"/>
        <v>97.8125</v>
      </c>
      <c r="M31" s="94">
        <v>13</v>
      </c>
      <c r="N31" s="95">
        <f t="shared" si="29"/>
        <v>1242.2222222222229</v>
      </c>
      <c r="O31" s="96">
        <f t="shared" si="30"/>
        <v>95.5555555555556</v>
      </c>
      <c r="P31" s="97">
        <f t="shared" si="22"/>
        <v>-3</v>
      </c>
      <c r="Q31" s="98">
        <f t="shared" si="23"/>
        <v>-2.2569444444444002</v>
      </c>
      <c r="R31" s="99">
        <f t="shared" si="27"/>
        <v>0.97692580759673453</v>
      </c>
      <c r="S31" s="414"/>
      <c r="T31" s="19">
        <v>0.594444444444444</v>
      </c>
      <c r="U31" s="19">
        <v>0.63194444444444398</v>
      </c>
      <c r="V31" s="92">
        <f>(T31-U30)*24*60</f>
        <v>7.9999999999991722</v>
      </c>
      <c r="W31" s="149">
        <f t="shared" si="17"/>
        <v>53.999999999999972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-322.77777777777715</v>
      </c>
      <c r="AG31" s="99">
        <f t="shared" si="25"/>
        <v>0.79375221867234691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3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32">AVERAGE(J27:J36)</f>
        <v>16.399999999999999</v>
      </c>
      <c r="K37" s="155">
        <f t="shared" si="32"/>
        <v>1483.2</v>
      </c>
      <c r="L37" s="158">
        <f t="shared" si="32"/>
        <v>90.582352941176467</v>
      </c>
      <c r="M37" s="155">
        <f t="shared" si="32"/>
        <v>14.2</v>
      </c>
      <c r="N37" s="155">
        <f t="shared" si="32"/>
        <v>1170.9185696793238</v>
      </c>
      <c r="O37" s="158">
        <f t="shared" si="32"/>
        <v>81.989615250057824</v>
      </c>
      <c r="P37" s="159">
        <f>M37-J37</f>
        <v>-2.1999999999999993</v>
      </c>
      <c r="Q37" s="160">
        <f>N37-K37</f>
        <v>-312.28143032067624</v>
      </c>
      <c r="R37" s="161">
        <f t="shared" ref="R37:R41" si="33">O37/L37</f>
        <v>0.90513894360087221</v>
      </c>
      <c r="S37" s="415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8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4">N37-K37</f>
        <v>-312.28143032067624</v>
      </c>
      <c r="AG37" s="124">
        <f t="shared" ref="AG37:AG41" si="35">N37/K37</f>
        <v>0.78945426758314707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1471</v>
      </c>
      <c r="H38" s="134">
        <f>F38*G38</f>
        <v>83655.76999999999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1" si="36">K38/J38</f>
        <v>92.058823529411768</v>
      </c>
      <c r="M38" s="190">
        <v>17</v>
      </c>
      <c r="N38" s="140">
        <f>G38/W38*60</f>
        <v>1379.0624999999825</v>
      </c>
      <c r="O38" s="141">
        <f>N38/M38</f>
        <v>81.121323529410731</v>
      </c>
      <c r="P38" s="142">
        <f t="shared" ref="P38:P41" si="37">M38-J38</f>
        <v>0</v>
      </c>
      <c r="Q38" s="143">
        <f t="shared" ref="Q38:Q41" si="38">O38-L38</f>
        <v>-10.937500000001037</v>
      </c>
      <c r="R38" s="144">
        <f>O38/L38</f>
        <v>0.8811900958466341</v>
      </c>
      <c r="S38" s="404">
        <f>R48</f>
        <v>0.9243060140605841</v>
      </c>
      <c r="T38" s="191">
        <v>0.33194444444444399</v>
      </c>
      <c r="U38" s="191">
        <v>0.37638888888888899</v>
      </c>
      <c r="V38" s="192"/>
      <c r="W38" s="193">
        <f t="shared" si="17"/>
        <v>64.00000000000081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4"/>
        <v>-185.93750000001751</v>
      </c>
      <c r="AG38" s="195">
        <f t="shared" si="35"/>
        <v>0.88119009584663421</v>
      </c>
      <c r="AH38" s="398">
        <f>AG48</f>
        <v>0.88601672030002809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3009</v>
      </c>
      <c r="H39" s="91">
        <f>F39*G39</f>
        <v>133298.69999999998</v>
      </c>
      <c r="I39" s="200"/>
      <c r="J39" s="148">
        <f>VLOOKUP(D39,產線配置圖!$A$3:$C$38,2,0)</f>
        <v>17</v>
      </c>
      <c r="K39" s="95">
        <v>1565</v>
      </c>
      <c r="L39" s="96">
        <f t="shared" si="36"/>
        <v>92.058823529411768</v>
      </c>
      <c r="M39" s="201">
        <v>16</v>
      </c>
      <c r="N39" s="202">
        <f>G39/W39*60</f>
        <v>1347.3134328358142</v>
      </c>
      <c r="O39" s="203">
        <f t="shared" ref="O39:O41" si="39">N39/M39</f>
        <v>84.207089552238386</v>
      </c>
      <c r="P39" s="97">
        <f t="shared" si="37"/>
        <v>-1</v>
      </c>
      <c r="Q39" s="98">
        <f t="shared" si="38"/>
        <v>-7.8517339771733816</v>
      </c>
      <c r="R39" s="99">
        <f t="shared" si="33"/>
        <v>0.91470959897000159</v>
      </c>
      <c r="S39" s="405"/>
      <c r="T39" s="20">
        <v>0.38194444444444398</v>
      </c>
      <c r="U39" s="20">
        <v>0.47499999999999998</v>
      </c>
      <c r="V39" s="92">
        <f>(T39-U38)*24*60</f>
        <v>7.9999999999991722</v>
      </c>
      <c r="W39" s="205">
        <f t="shared" si="17"/>
        <v>134.00000000000065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4"/>
        <v>-217.68656716418582</v>
      </c>
      <c r="AG39" s="206">
        <f t="shared" si="35"/>
        <v>0.86090315197176626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3164</v>
      </c>
      <c r="H40" s="91">
        <f t="shared" ref="H40:H41" si="40">F40*G40</f>
        <v>140165.19999999998</v>
      </c>
      <c r="I40" s="200"/>
      <c r="J40" s="148">
        <f>VLOOKUP(D40,產線配置圖!$A$3:$C$38,2,0)</f>
        <v>17</v>
      </c>
      <c r="K40" s="95">
        <v>1565</v>
      </c>
      <c r="L40" s="96">
        <f t="shared" si="36"/>
        <v>92.058823529411768</v>
      </c>
      <c r="M40" s="201">
        <v>16</v>
      </c>
      <c r="N40" s="202">
        <f t="shared" ref="N40:N41" si="41">G40/W40*60</f>
        <v>1309.241379310351</v>
      </c>
      <c r="O40" s="203">
        <f t="shared" si="39"/>
        <v>81.827586206896939</v>
      </c>
      <c r="P40" s="97">
        <f t="shared" si="37"/>
        <v>-1</v>
      </c>
      <c r="Q40" s="98">
        <f t="shared" si="38"/>
        <v>-10.231237322514829</v>
      </c>
      <c r="R40" s="99">
        <f t="shared" si="33"/>
        <v>0.8888619587969635</v>
      </c>
      <c r="S40" s="377"/>
      <c r="T40" s="20">
        <v>0.52777777777777801</v>
      </c>
      <c r="U40" s="210">
        <v>0.62847222222222199</v>
      </c>
      <c r="V40" s="92">
        <f>(T40-U39)*24*60</f>
        <v>76.000000000000369</v>
      </c>
      <c r="W40" s="205">
        <f t="shared" si="17"/>
        <v>144.99999999999932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4"/>
        <v>-255.75862068964898</v>
      </c>
      <c r="AG40" s="206">
        <f t="shared" si="35"/>
        <v>0.83657596122067157</v>
      </c>
      <c r="AH40" s="399"/>
    </row>
    <row r="41" spans="1:34" ht="15" customHeight="1">
      <c r="A41" s="402"/>
      <c r="B41" s="75" t="s">
        <v>81</v>
      </c>
      <c r="C41" s="102"/>
      <c r="D41" s="198" t="s">
        <v>132</v>
      </c>
      <c r="E41" s="104"/>
      <c r="F41" s="75">
        <f>VLOOKUP(D41,廠價表!$C$1:$E$41,3,0)</f>
        <v>50.67</v>
      </c>
      <c r="G41" s="202">
        <v>1121</v>
      </c>
      <c r="H41" s="91">
        <f t="shared" si="40"/>
        <v>56801.07</v>
      </c>
      <c r="I41" s="200"/>
      <c r="J41" s="148">
        <f>VLOOKUP(D41,產線配置圖!$A$3:$C$38,2,0)</f>
        <v>10</v>
      </c>
      <c r="K41" s="95">
        <f>VLOOKUP(D41,產線配置圖!$A$3:$C$38,3,0)</f>
        <v>1125</v>
      </c>
      <c r="L41" s="96">
        <f t="shared" si="36"/>
        <v>112.5</v>
      </c>
      <c r="M41" s="201">
        <v>10</v>
      </c>
      <c r="N41" s="202">
        <f t="shared" si="41"/>
        <v>1121.0000000000159</v>
      </c>
      <c r="O41" s="203">
        <f t="shared" si="39"/>
        <v>112.10000000000159</v>
      </c>
      <c r="P41" s="97">
        <f t="shared" si="37"/>
        <v>0</v>
      </c>
      <c r="Q41" s="98">
        <f t="shared" si="38"/>
        <v>-0.39999999999841407</v>
      </c>
      <c r="R41" s="99">
        <f t="shared" si="33"/>
        <v>0.99644444444445857</v>
      </c>
      <c r="S41" s="377"/>
      <c r="T41" s="210">
        <v>0.63541666666666696</v>
      </c>
      <c r="U41" s="210">
        <v>0.67708333333333304</v>
      </c>
      <c r="V41" s="92">
        <f>(T41-U40)*24*60</f>
        <v>10.000000000000764</v>
      </c>
      <c r="W41" s="205">
        <f t="shared" si="17"/>
        <v>59.999999999999147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4"/>
        <v>-3.9999999999840838</v>
      </c>
      <c r="AG41" s="206">
        <f t="shared" si="35"/>
        <v>0.99644444444445857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42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42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42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3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42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43">AVERAGE(J38:J47)</f>
        <v>15.25</v>
      </c>
      <c r="K48" s="155">
        <f t="shared" si="43"/>
        <v>1455</v>
      </c>
      <c r="L48" s="158">
        <f t="shared" si="43"/>
        <v>97.169117647058826</v>
      </c>
      <c r="M48" s="155">
        <f t="shared" si="43"/>
        <v>14.75</v>
      </c>
      <c r="N48" s="155">
        <f t="shared" si="43"/>
        <v>1289.1543280365408</v>
      </c>
      <c r="O48" s="158">
        <f t="shared" si="43"/>
        <v>89.813999822136907</v>
      </c>
      <c r="P48" s="221">
        <f>M48-J48</f>
        <v>-0.5</v>
      </c>
      <c r="Q48" s="222">
        <f>N48-K48</f>
        <v>-165.84567196345915</v>
      </c>
      <c r="R48" s="223">
        <f>O48/L48</f>
        <v>0.9243060140605841</v>
      </c>
      <c r="S48" s="380"/>
      <c r="T48" s="224"/>
      <c r="U48" s="224"/>
      <c r="V48" s="225"/>
      <c r="W48" s="226">
        <f t="shared" si="42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44">N48-K48</f>
        <v>-165.84567196345915</v>
      </c>
      <c r="AG48" s="162">
        <f t="shared" ref="AG48:AG53" si="45">N48/K48</f>
        <v>0.88601672030002809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672</v>
      </c>
      <c r="H49" s="134">
        <f>F49*G49</f>
        <v>38505.599999999999</v>
      </c>
      <c r="I49" s="135"/>
      <c r="J49" s="136">
        <f>VLOOKUP(D49,產線配置圖!$A$3:$C$38,2,0)</f>
        <v>14</v>
      </c>
      <c r="K49" s="137">
        <f>VLOOKUP(D49,產線配置圖!$A$3:$C$38,3,0)</f>
        <v>1500</v>
      </c>
      <c r="L49" s="138">
        <f t="shared" ref="L49:L52" si="46">K49/J49</f>
        <v>107.14285714285714</v>
      </c>
      <c r="M49" s="170">
        <v>14</v>
      </c>
      <c r="N49" s="140">
        <f>G49/W49*60</f>
        <v>1440.0000000000298</v>
      </c>
      <c r="O49" s="141">
        <f>N49/M49</f>
        <v>102.85714285714498</v>
      </c>
      <c r="P49" s="229">
        <f>M49-J49</f>
        <v>0</v>
      </c>
      <c r="Q49" s="230">
        <f>O49-L49</f>
        <v>-4.2857142857121602</v>
      </c>
      <c r="R49" s="52">
        <f>O49/L49</f>
        <v>0.96000000000001984</v>
      </c>
      <c r="S49" s="376">
        <f>R58</f>
        <v>0.93699554618922809</v>
      </c>
      <c r="T49" s="191">
        <v>0.28888888888888897</v>
      </c>
      <c r="U49" s="191">
        <v>0.30833333333333302</v>
      </c>
      <c r="V49" s="55"/>
      <c r="W49" s="193">
        <f t="shared" si="17"/>
        <v>27.999999999999421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4"/>
        <v>-59.999999999970214</v>
      </c>
      <c r="AG49" s="52">
        <f t="shared" si="45"/>
        <v>0.96000000000001984</v>
      </c>
      <c r="AH49" s="382">
        <f>AG58</f>
        <v>0.93535426532500998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3027</v>
      </c>
      <c r="H50" s="231">
        <f>F50*G50</f>
        <v>151077.56999999998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6"/>
        <v>104.33333333333333</v>
      </c>
      <c r="M50" s="233">
        <v>15</v>
      </c>
      <c r="N50" s="234">
        <f>G50/W50*60</f>
        <v>1552.3076923076926</v>
      </c>
      <c r="O50" s="235">
        <f>N50/M50</f>
        <v>103.4871794871795</v>
      </c>
      <c r="P50" s="74">
        <f>M50-J50</f>
        <v>0</v>
      </c>
      <c r="Q50" s="83">
        <f>O50-L50</f>
        <v>-0.84615384615382538</v>
      </c>
      <c r="R50" s="72">
        <f>O50/L50</f>
        <v>0.9918898992381423</v>
      </c>
      <c r="S50" s="377"/>
      <c r="T50" s="21">
        <v>0.31388888888888899</v>
      </c>
      <c r="U50" s="21">
        <v>0.39513888888888898</v>
      </c>
      <c r="V50" s="30">
        <f t="shared" ref="V50:V52" si="47">(T50-U49)*24*60</f>
        <v>8.0000000000006111</v>
      </c>
      <c r="W50" s="236">
        <f t="shared" si="17"/>
        <v>116.99999999999999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44"/>
        <v>-12.692307692307395</v>
      </c>
      <c r="AG50" s="72">
        <f t="shared" si="45"/>
        <v>0.99188989923814219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3417</v>
      </c>
      <c r="H51" s="231">
        <f>F51*G51</f>
        <v>170747.49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6"/>
        <v>107.125</v>
      </c>
      <c r="M51" s="233">
        <v>16</v>
      </c>
      <c r="N51" s="234">
        <f>G51/W51*60</f>
        <v>1708.5000000000073</v>
      </c>
      <c r="O51" s="235">
        <f>N51/M51</f>
        <v>106.78125000000045</v>
      </c>
      <c r="P51" s="74">
        <f>M51-J51</f>
        <v>0</v>
      </c>
      <c r="Q51" s="83">
        <f>O51-L51</f>
        <v>-0.34374999999954525</v>
      </c>
      <c r="R51" s="72">
        <f>O51/L51</f>
        <v>0.99679113185531343</v>
      </c>
      <c r="S51" s="377"/>
      <c r="T51" s="21">
        <v>0.4</v>
      </c>
      <c r="U51" s="19">
        <v>0.483333333333333</v>
      </c>
      <c r="V51" s="30">
        <f t="shared" si="47"/>
        <v>6.9999999999998952</v>
      </c>
      <c r="W51" s="236">
        <f t="shared" si="17"/>
        <v>119.99999999999949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4"/>
        <v>-5.499999999992724</v>
      </c>
      <c r="AG51" s="72">
        <f t="shared" si="45"/>
        <v>0.99679113185531343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3271</v>
      </c>
      <c r="H52" s="231">
        <f>F52*G52</f>
        <v>163451.87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6"/>
        <v>107.125</v>
      </c>
      <c r="M52" s="233">
        <v>16</v>
      </c>
      <c r="N52" s="234">
        <f>G52/W52*60</f>
        <v>1372.4475524475604</v>
      </c>
      <c r="O52" s="235">
        <f>N52/M52</f>
        <v>85.777972027972524</v>
      </c>
      <c r="P52" s="74">
        <f>M52-J52</f>
        <v>0</v>
      </c>
      <c r="Q52" s="83">
        <f>O52-L52</f>
        <v>-21.347027972027476</v>
      </c>
      <c r="R52" s="72">
        <f>O52/L52</f>
        <v>0.8007278602377832</v>
      </c>
      <c r="S52" s="377"/>
      <c r="T52" s="21">
        <v>0.53680555555555598</v>
      </c>
      <c r="U52" s="21">
        <v>0.63611111111111096</v>
      </c>
      <c r="V52" s="30">
        <f t="shared" si="47"/>
        <v>77.00000000000108</v>
      </c>
      <c r="W52" s="236">
        <f t="shared" si="17"/>
        <v>142.99999999999918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44"/>
        <v>-341.55244755243962</v>
      </c>
      <c r="AG52" s="72">
        <f t="shared" si="45"/>
        <v>0.8007278602377832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44"/>
        <v>0</v>
      </c>
      <c r="AG53" s="72" t="e">
        <f t="shared" si="45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8">AVERAGE(J49:J57)</f>
        <v>15.25</v>
      </c>
      <c r="K58" s="120">
        <f t="shared" si="48"/>
        <v>1623.25</v>
      </c>
      <c r="L58" s="117">
        <f t="shared" si="48"/>
        <v>106.43154761904762</v>
      </c>
      <c r="M58" s="120">
        <f t="shared" si="48"/>
        <v>15.25</v>
      </c>
      <c r="N58" s="120">
        <f t="shared" si="48"/>
        <v>1518.3138111888225</v>
      </c>
      <c r="O58" s="117">
        <f t="shared" si="48"/>
        <v>99.725886093074365</v>
      </c>
      <c r="P58" s="121">
        <f>M58-J58</f>
        <v>0</v>
      </c>
      <c r="Q58" s="122">
        <f>N58-K58</f>
        <v>-104.93618881117754</v>
      </c>
      <c r="R58" s="123">
        <f t="shared" ref="R58:R60" si="49">O58/L58</f>
        <v>0.93699554618922809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50">N58-K58</f>
        <v>-104.93618881117754</v>
      </c>
      <c r="AG58" s="124">
        <f t="shared" ref="AG58:AG61" si="51">N58/K58</f>
        <v>0.93535426532500998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130</v>
      </c>
      <c r="E59" s="132"/>
      <c r="F59" s="129">
        <f>VLOOKUP(D59,廠價表!$C$1:$E$41,3,0)</f>
        <v>28.26</v>
      </c>
      <c r="G59" s="55">
        <v>1792</v>
      </c>
      <c r="H59" s="243">
        <f>F59*G59</f>
        <v>50641.920000000006</v>
      </c>
      <c r="I59" s="55"/>
      <c r="J59" s="136">
        <f>VLOOKUP(D59,產線配置圖!$A$3:$C$38,2,0)</f>
        <v>12</v>
      </c>
      <c r="K59" s="137">
        <f>VLOOKUP(D59,產線配置圖!$A$3:$C$38,3,0)</f>
        <v>1565</v>
      </c>
      <c r="L59" s="138">
        <f t="shared" ref="L59:L62" si="52">K59/J59</f>
        <v>130.41666666666666</v>
      </c>
      <c r="M59" s="244">
        <v>12</v>
      </c>
      <c r="N59" s="137">
        <f t="shared" ref="N59:N62" si="53">G59/W59*60</f>
        <v>1535.9999999999704</v>
      </c>
      <c r="O59" s="138">
        <f t="shared" ref="O59:O62" si="54">N59/M59</f>
        <v>127.99999999999754</v>
      </c>
      <c r="P59" s="56">
        <f t="shared" ref="P59:P62" si="55">M59-J59</f>
        <v>0</v>
      </c>
      <c r="Q59" s="230">
        <f t="shared" ref="Q59:Q62" si="56">O59-L59</f>
        <v>-2.4166666666691157</v>
      </c>
      <c r="R59" s="52">
        <f t="shared" si="49"/>
        <v>0.98146964856228158</v>
      </c>
      <c r="S59" s="376">
        <f>R69</f>
        <v>0.91985942492012585</v>
      </c>
      <c r="T59" s="245">
        <v>0.31944444444444398</v>
      </c>
      <c r="U59" s="245">
        <v>0.36805555555555602</v>
      </c>
      <c r="V59" s="55"/>
      <c r="W59" s="54">
        <f t="shared" si="17"/>
        <v>70.00000000000135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50"/>
        <v>-29.000000000029559</v>
      </c>
      <c r="AG59" s="246">
        <f t="shared" si="51"/>
        <v>0.98146964856228147</v>
      </c>
      <c r="AH59" s="382">
        <f>AG69</f>
        <v>0.92000798722044541</v>
      </c>
    </row>
    <row r="60" spans="1:34" ht="15" customHeight="1">
      <c r="A60" s="391"/>
      <c r="B60" s="75" t="s">
        <v>128</v>
      </c>
      <c r="C60" s="86"/>
      <c r="D60" s="175" t="s">
        <v>129</v>
      </c>
      <c r="E60" s="87"/>
      <c r="F60" s="75">
        <f>VLOOKUP(D60,廠價表!$C$1:$E$41,3,0)</f>
        <v>26.99</v>
      </c>
      <c r="G60" s="30">
        <v>2490</v>
      </c>
      <c r="H60" s="78">
        <f>F60*G60</f>
        <v>67205.099999999991</v>
      </c>
      <c r="I60" s="30"/>
      <c r="J60" s="79">
        <f>VLOOKUP(D60,產線配置圖!$A$3:$C$38,2,0)</f>
        <v>13</v>
      </c>
      <c r="K60" s="80">
        <f>VLOOKUP(D60,產線配置圖!$A$3:$C$38,3,0)</f>
        <v>1565</v>
      </c>
      <c r="L60" s="81">
        <f t="shared" si="52"/>
        <v>120.38461538461539</v>
      </c>
      <c r="M60" s="82">
        <v>13</v>
      </c>
      <c r="N60" s="80">
        <f t="shared" si="53"/>
        <v>1494.0000000000102</v>
      </c>
      <c r="O60" s="81">
        <f t="shared" si="54"/>
        <v>114.92307692307772</v>
      </c>
      <c r="P60" s="74">
        <f t="shared" si="55"/>
        <v>0</v>
      </c>
      <c r="Q60" s="83">
        <f t="shared" si="56"/>
        <v>-5.4615384615376712</v>
      </c>
      <c r="R60" s="72">
        <f t="shared" si="49"/>
        <v>0.9546325878594315</v>
      </c>
      <c r="S60" s="394"/>
      <c r="T60" s="22">
        <v>0.375</v>
      </c>
      <c r="U60" s="22">
        <v>0.44444444444444398</v>
      </c>
      <c r="V60" s="30">
        <f t="shared" ref="V60:V62" si="57">(T60-U59)*24*60</f>
        <v>9.999999999999325</v>
      </c>
      <c r="W60" s="248">
        <f t="shared" si="17"/>
        <v>99.999999999999318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50"/>
        <v>-70.999999999989768</v>
      </c>
      <c r="AG60" s="249">
        <f t="shared" si="51"/>
        <v>0.9546325878594315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1221</v>
      </c>
      <c r="H61" s="254">
        <f>F61*G61</f>
        <v>34505.46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2"/>
        <v>130.41666666666666</v>
      </c>
      <c r="M61" s="108">
        <v>12</v>
      </c>
      <c r="N61" s="107">
        <f t="shared" si="53"/>
        <v>1332.0000000000164</v>
      </c>
      <c r="O61" s="238">
        <f t="shared" si="54"/>
        <v>111.00000000000136</v>
      </c>
      <c r="P61" s="111">
        <f t="shared" si="55"/>
        <v>0</v>
      </c>
      <c r="Q61" s="255">
        <f t="shared" si="56"/>
        <v>-19.416666666665293</v>
      </c>
      <c r="R61" s="85">
        <f>O61/L61</f>
        <v>0.85111821086263029</v>
      </c>
      <c r="S61" s="377"/>
      <c r="T61" s="22">
        <v>0.45138888888888901</v>
      </c>
      <c r="U61" s="22">
        <v>0.48958333333333298</v>
      </c>
      <c r="V61" s="30">
        <f t="shared" si="57"/>
        <v>10.000000000000844</v>
      </c>
      <c r="W61" s="256">
        <f t="shared" si="17"/>
        <v>54.999999999999325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50"/>
        <v>-232.99999999998363</v>
      </c>
      <c r="AG61" s="247">
        <f t="shared" si="51"/>
        <v>0.85111821086263029</v>
      </c>
      <c r="AH61" s="384"/>
    </row>
    <row r="62" spans="1:34" ht="15" customHeight="1">
      <c r="A62" s="392"/>
      <c r="B62" s="250" t="s">
        <v>128</v>
      </c>
      <c r="C62" s="251"/>
      <c r="D62" s="257" t="s">
        <v>129</v>
      </c>
      <c r="E62" s="253"/>
      <c r="F62" s="250">
        <f>VLOOKUP(D62,廠價表!$C$1:$E$41,3,0)</f>
        <v>26.99</v>
      </c>
      <c r="G62" s="38">
        <v>1863</v>
      </c>
      <c r="H62" s="254">
        <f>F62*G62</f>
        <v>50282.369999999995</v>
      </c>
      <c r="I62" s="182"/>
      <c r="J62" s="106">
        <f>VLOOKUP(D62,產線配置圖!$A$3:$C$38,2,0)</f>
        <v>13</v>
      </c>
      <c r="K62" s="107">
        <f>VLOOKUP(D62,產線配置圖!$A$3:$C$38,3,0)</f>
        <v>1565</v>
      </c>
      <c r="L62" s="238">
        <f t="shared" si="52"/>
        <v>120.38461538461539</v>
      </c>
      <c r="M62" s="108">
        <v>13</v>
      </c>
      <c r="N62" s="107">
        <f t="shared" si="53"/>
        <v>1397.2499999999911</v>
      </c>
      <c r="O62" s="238">
        <f t="shared" si="54"/>
        <v>107.48076923076854</v>
      </c>
      <c r="P62" s="111">
        <f t="shared" si="55"/>
        <v>0</v>
      </c>
      <c r="Q62" s="255">
        <f t="shared" si="56"/>
        <v>-12.903846153846843</v>
      </c>
      <c r="R62" s="85">
        <f>O62/L62</f>
        <v>0.89281150159743838</v>
      </c>
      <c r="S62" s="377"/>
      <c r="T62" s="22">
        <v>0.55208333333333304</v>
      </c>
      <c r="U62" s="22">
        <v>0.60763888888888895</v>
      </c>
      <c r="V62" s="30">
        <f t="shared" si="57"/>
        <v>90.000000000000085</v>
      </c>
      <c r="W62" s="248">
        <f t="shared" si="17"/>
        <v>80.000000000000512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-167.75000000000887</v>
      </c>
      <c r="AG62" s="247">
        <f>N62/K62</f>
        <v>0.89281150159743838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8">AVERAGE(J59:J68)</f>
        <v>12.5</v>
      </c>
      <c r="K69" s="240">
        <f t="shared" si="58"/>
        <v>1565</v>
      </c>
      <c r="L69" s="268">
        <f t="shared" si="58"/>
        <v>125.40064102564102</v>
      </c>
      <c r="M69" s="240">
        <f t="shared" si="58"/>
        <v>12.5</v>
      </c>
      <c r="N69" s="240">
        <f t="shared" si="58"/>
        <v>1439.812499999997</v>
      </c>
      <c r="O69" s="268">
        <f t="shared" si="58"/>
        <v>115.35096153846129</v>
      </c>
      <c r="P69" s="269">
        <f>M69-J69</f>
        <v>0</v>
      </c>
      <c r="Q69" s="222">
        <f>N69-K69</f>
        <v>-125.18750000000296</v>
      </c>
      <c r="R69" s="123">
        <f>O69/L69</f>
        <v>0.91985942492012585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-125.18750000000296</v>
      </c>
      <c r="AG69" s="124">
        <f>N69/K69</f>
        <v>0.92000798722044541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1827</v>
      </c>
      <c r="H70" s="243">
        <f>F70*G70</f>
        <v>92574.09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996.54545454545303</v>
      </c>
      <c r="O70" s="138">
        <f>N70/M70</f>
        <v>99.6545454545453</v>
      </c>
      <c r="P70" s="56">
        <f>M70-J70</f>
        <v>0</v>
      </c>
      <c r="Q70" s="230">
        <f>O70-L70</f>
        <v>-12.8454545454547</v>
      </c>
      <c r="R70" s="52">
        <f>O70/L70</f>
        <v>0.88581818181818039</v>
      </c>
      <c r="S70" s="376">
        <f>R79</f>
        <v>0.82398073393522464</v>
      </c>
      <c r="T70" s="245">
        <v>0.34027777777777801</v>
      </c>
      <c r="U70" s="245">
        <v>0.41666666666666702</v>
      </c>
      <c r="V70" s="55"/>
      <c r="W70" s="54">
        <f t="shared" si="17"/>
        <v>110.00000000000017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-128.45454545454697</v>
      </c>
      <c r="AG70" s="246">
        <f>N70/K70</f>
        <v>0.88581818181818051</v>
      </c>
      <c r="AH70" s="382">
        <f>AG79</f>
        <v>0.82556288378440201</v>
      </c>
    </row>
    <row r="71" spans="1:36" ht="15" customHeight="1">
      <c r="A71" s="374"/>
      <c r="B71" s="75" t="s">
        <v>128</v>
      </c>
      <c r="C71" s="76"/>
      <c r="D71" s="59" t="s">
        <v>138</v>
      </c>
      <c r="E71" s="77"/>
      <c r="F71" s="75">
        <f>VLOOKUP(D71,廠價表!$C$1:$E$41,3,0)</f>
        <v>28.26</v>
      </c>
      <c r="G71" s="30">
        <v>1870</v>
      </c>
      <c r="H71" s="78">
        <f>F71*G71</f>
        <v>52846.200000000004</v>
      </c>
      <c r="I71" s="232"/>
      <c r="J71" s="79">
        <f>VLOOKUP(D71,產線配置圖!$A$3:$C$38,2,0)</f>
        <v>9</v>
      </c>
      <c r="K71" s="80">
        <f>VLOOKUP(D71,產線配置圖!$A$3:$C$38,3,0)</f>
        <v>1636</v>
      </c>
      <c r="L71" s="81">
        <f t="shared" ref="L71:L72" si="59">K71/J71</f>
        <v>181.77777777777777</v>
      </c>
      <c r="M71" s="82">
        <v>9</v>
      </c>
      <c r="N71" s="80">
        <f t="shared" ref="N71:N72" si="60">G71/W71*60</f>
        <v>1320.0000000000184</v>
      </c>
      <c r="O71" s="81">
        <f t="shared" ref="O71:O72" si="61">N71/M71</f>
        <v>146.6666666666687</v>
      </c>
      <c r="P71" s="74">
        <f t="shared" ref="P71:P72" si="62">M71-J71</f>
        <v>0</v>
      </c>
      <c r="Q71" s="83">
        <f t="shared" ref="Q71:Q72" si="63">O71-L71</f>
        <v>-35.111111111109068</v>
      </c>
      <c r="R71" s="72">
        <f>O71/L71</f>
        <v>0.80684596577018242</v>
      </c>
      <c r="S71" s="377"/>
      <c r="T71" s="22">
        <v>0.43055555555555602</v>
      </c>
      <c r="U71" s="22">
        <v>0.48958333333333298</v>
      </c>
      <c r="V71" s="30">
        <f t="shared" ref="V71:V72" si="64">(T71-U70)*24*60</f>
        <v>20.000000000000171</v>
      </c>
      <c r="W71" s="73">
        <f t="shared" si="17"/>
        <v>84.99999999999882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2408</v>
      </c>
      <c r="H72" s="254">
        <f>F72*G72</f>
        <v>68050.080000000002</v>
      </c>
      <c r="I72" s="23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9"/>
        <v>181.77777777777777</v>
      </c>
      <c r="M72" s="82">
        <v>9</v>
      </c>
      <c r="N72" s="107">
        <f t="shared" si="60"/>
        <v>1313.4545454545444</v>
      </c>
      <c r="O72" s="238">
        <f t="shared" si="61"/>
        <v>145.93939393939382</v>
      </c>
      <c r="P72" s="111">
        <f t="shared" si="62"/>
        <v>0</v>
      </c>
      <c r="Q72" s="255">
        <f t="shared" si="63"/>
        <v>-35.838383838383947</v>
      </c>
      <c r="R72" s="85">
        <f>O72/L72</f>
        <v>0.80284507668370686</v>
      </c>
      <c r="S72" s="377"/>
      <c r="T72" s="22">
        <v>0.5625</v>
      </c>
      <c r="U72" s="22">
        <v>0.63888888888888895</v>
      </c>
      <c r="V72" s="30">
        <f t="shared" si="64"/>
        <v>105.00000000000051</v>
      </c>
      <c r="W72" s="73">
        <f t="shared" si="17"/>
        <v>110.00000000000009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250"/>
      <c r="G73" s="202"/>
      <c r="H73" s="254"/>
      <c r="I73" s="232"/>
      <c r="J73" s="106"/>
      <c r="K73" s="107"/>
      <c r="L73" s="238"/>
      <c r="M73" s="82"/>
      <c r="N73" s="107"/>
      <c r="O73" s="238"/>
      <c r="P73" s="111"/>
      <c r="Q73" s="255"/>
      <c r="R73" s="85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6">AVERAGE(J70:J78)</f>
        <v>9.3333333333333339</v>
      </c>
      <c r="K79" s="240">
        <f t="shared" si="66"/>
        <v>1465.6666666666667</v>
      </c>
      <c r="L79" s="268">
        <f t="shared" si="66"/>
        <v>158.68518518518519</v>
      </c>
      <c r="M79" s="240">
        <f t="shared" si="66"/>
        <v>9.3333333333333339</v>
      </c>
      <c r="N79" s="240">
        <f t="shared" si="66"/>
        <v>1210.0000000000052</v>
      </c>
      <c r="O79" s="268">
        <f t="shared" si="66"/>
        <v>130.75353535353594</v>
      </c>
      <c r="P79" s="269">
        <f>M79-J79</f>
        <v>0</v>
      </c>
      <c r="Q79" s="222">
        <f>N79-K79</f>
        <v>-255.66666666666151</v>
      </c>
      <c r="R79" s="223">
        <f>O79/L79</f>
        <v>0.82398073393522464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-255.66666666666151</v>
      </c>
      <c r="AG79" s="124">
        <f>N79/K79</f>
        <v>0.82556288378440201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D37:E3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F3:AF4"/>
    <mergeCell ref="V3:V4"/>
    <mergeCell ref="W3:W4"/>
    <mergeCell ref="X3:Y3"/>
    <mergeCell ref="AB11:AC11"/>
    <mergeCell ref="AB12:AC12"/>
    <mergeCell ref="AB14:AC14"/>
    <mergeCell ref="AB13:AC13"/>
    <mergeCell ref="AD3:AE3"/>
    <mergeCell ref="Z3:AA3"/>
    <mergeCell ref="T3:U3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D15:E15"/>
    <mergeCell ref="AB15:AC15"/>
    <mergeCell ref="S16:S26"/>
    <mergeCell ref="AB16:AC16"/>
    <mergeCell ref="D26:E26"/>
    <mergeCell ref="AB26:AC26"/>
    <mergeCell ref="AB25:AC25"/>
    <mergeCell ref="A16:A26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AG3:AG4"/>
    <mergeCell ref="AH3:AH4"/>
    <mergeCell ref="P3:P4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11447E-824D-43CD-9B2F-598E25127EA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367F-2B7A-4E0A-9301-B5D56E7D3DAF}">
  <dimension ref="B1:O26"/>
  <sheetViews>
    <sheetView zoomScale="70" zoomScaleNormal="70" workbookViewId="0">
      <selection activeCell="AB29" sqref="AB29:AC2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46097</v>
      </c>
      <c r="E3" s="466"/>
      <c r="F3" s="3" t="s">
        <v>72</v>
      </c>
      <c r="G3" s="467">
        <f>'0316'!E1</f>
        <v>62550</v>
      </c>
      <c r="H3" s="467"/>
      <c r="I3" s="3" t="s">
        <v>2</v>
      </c>
      <c r="J3" s="468">
        <f>'0316'!G1</f>
        <v>2905915.1900000004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126.42941317455499</v>
      </c>
      <c r="G6" s="473"/>
      <c r="H6" s="474">
        <f>AVERAGE(D13:H13,J13)</f>
        <v>123.46881204647751</v>
      </c>
      <c r="I6" s="474"/>
      <c r="J6" s="474">
        <f>AVERAGE(I13)</f>
        <v>144.19301994301995</v>
      </c>
      <c r="K6" s="474"/>
      <c r="L6" s="499">
        <f>SUM(D18:J18)</f>
        <v>1</v>
      </c>
      <c r="M6" s="477">
        <f>SUM(D19:J19)</f>
        <v>20</v>
      </c>
      <c r="N6" s="500">
        <f>SUM(D20:J20)</f>
        <v>1</v>
      </c>
      <c r="O6" s="477">
        <f>SUM(D20:J20)</f>
        <v>1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116.71832321869286</v>
      </c>
      <c r="G7" s="497"/>
      <c r="H7" s="498">
        <f>AVERAGE(D14:H14,J14)</f>
        <v>113.77747677176784</v>
      </c>
      <c r="I7" s="498"/>
      <c r="J7" s="498">
        <f>AVERAGE(I14)</f>
        <v>134.36340190024305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0.92318963038723822</v>
      </c>
      <c r="G8" s="470"/>
      <c r="H8" s="470">
        <f>H7/H6</f>
        <v>0.92150782765236661</v>
      </c>
      <c r="I8" s="470"/>
      <c r="J8" s="470">
        <f>J7/J6</f>
        <v>0.9318301395819214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VALUE('0316'!L15)</f>
        <v>156.29006410256409</v>
      </c>
      <c r="E13" s="13">
        <f>VALUE('0316'!L26)</f>
        <v>183.0587121212121</v>
      </c>
      <c r="F13" s="13">
        <f>VALUE('0316'!L37)</f>
        <v>88.77481617647058</v>
      </c>
      <c r="G13" s="13">
        <f>VALUE('0316'!L48)</f>
        <v>92.058823529411768</v>
      </c>
      <c r="H13" s="13">
        <f>VALUE('0316'!L58)</f>
        <v>108.2172619047619</v>
      </c>
      <c r="I13" s="13">
        <f>VALUE('0316'!L69)</f>
        <v>144.19301994301995</v>
      </c>
      <c r="J13" s="13">
        <f>'0316'!L79</f>
        <v>112.41319444444444</v>
      </c>
    </row>
    <row r="14" spans="2:15" ht="39.950000000000003" customHeight="1">
      <c r="B14" s="491"/>
      <c r="C14" s="12" t="s">
        <v>100</v>
      </c>
      <c r="D14" s="13">
        <f>VALUE('0316'!O15)</f>
        <v>147.65998002869244</v>
      </c>
      <c r="E14" s="13">
        <f>VALUE('0316'!O26)</f>
        <v>178.43575923627654</v>
      </c>
      <c r="F14" s="13">
        <f>VALUE('0316'!O37)</f>
        <v>76.276809172285738</v>
      </c>
      <c r="G14" s="13">
        <f>VALUE('0316'!O48)</f>
        <v>83.736905288431061</v>
      </c>
      <c r="H14" s="13">
        <f>VALUE('0316'!O58)</f>
        <v>106.64325056736631</v>
      </c>
      <c r="I14" s="13">
        <f>VALUE('0316'!O69)</f>
        <v>134.36340190024305</v>
      </c>
      <c r="J14" s="13">
        <f>'0316'!O79</f>
        <v>89.912156337554848</v>
      </c>
    </row>
    <row r="15" spans="2:15" ht="39.950000000000003" customHeight="1">
      <c r="B15" s="492"/>
      <c r="C15" s="10" t="s">
        <v>26</v>
      </c>
      <c r="D15" s="14">
        <f>D14/D13</f>
        <v>0.94478162048607117</v>
      </c>
      <c r="E15" s="14">
        <f t="shared" ref="E15:I15" si="1">E14/E13</f>
        <v>0.9747460646293935</v>
      </c>
      <c r="F15" s="14">
        <f t="shared" si="1"/>
        <v>0.85921675152398247</v>
      </c>
      <c r="G15" s="14">
        <f t="shared" si="1"/>
        <v>0.90960216607241406</v>
      </c>
      <c r="H15" s="14">
        <f t="shared" si="1"/>
        <v>0.98545508073581811</v>
      </c>
      <c r="I15" s="14">
        <f t="shared" si="1"/>
        <v>0.9318301395819214</v>
      </c>
      <c r="J15" s="15">
        <f>'0316'!S70</f>
        <v>0.79983632510319058</v>
      </c>
    </row>
    <row r="16" spans="2:15" ht="17.25" customHeight="1">
      <c r="B16" s="493" t="s">
        <v>101</v>
      </c>
      <c r="C16" s="10" t="s">
        <v>34</v>
      </c>
      <c r="D16" s="16">
        <f>'0316'!T5</f>
        <v>0.29166666666666702</v>
      </c>
      <c r="E16" s="16">
        <f>'0316'!T16</f>
        <v>0.29097222222222202</v>
      </c>
      <c r="F16" s="16">
        <f>'0316'!T27</f>
        <v>0.29027777777777802</v>
      </c>
      <c r="G16" s="16">
        <f>'0316'!T38</f>
        <v>0.33333333333333298</v>
      </c>
      <c r="H16" s="16">
        <f>'0316'!T49</f>
        <v>0.28819444444444398</v>
      </c>
      <c r="I16" s="16">
        <f>'0316'!T59</f>
        <v>0.29166666666666702</v>
      </c>
      <c r="J16" s="16">
        <f>'0316'!T70</f>
        <v>0.33680555555555602</v>
      </c>
    </row>
    <row r="17" spans="2:10" ht="17.25" customHeight="1">
      <c r="B17" s="494"/>
      <c r="C17" s="10" t="s">
        <v>35</v>
      </c>
      <c r="D17" s="16">
        <v>0.57152777777777797</v>
      </c>
      <c r="E17" s="19">
        <v>0.62152777777777801</v>
      </c>
      <c r="F17" s="19">
        <v>0.60069444444444398</v>
      </c>
      <c r="G17" s="210">
        <v>0.61111111111111105</v>
      </c>
      <c r="H17" s="21">
        <v>0.62152777777777801</v>
      </c>
      <c r="I17" s="22">
        <v>0.69097222222222199</v>
      </c>
      <c r="J17" s="22">
        <v>0.63402777777777797</v>
      </c>
    </row>
    <row r="18" spans="2:10" ht="17.25" customHeight="1">
      <c r="B18" s="495" t="s">
        <v>102</v>
      </c>
      <c r="C18" s="330" t="s">
        <v>36</v>
      </c>
      <c r="D18" s="358">
        <f>'0316'!Z15</f>
        <v>0</v>
      </c>
      <c r="E18" s="359">
        <f>'0316'!Z26</f>
        <v>0</v>
      </c>
      <c r="F18" s="359">
        <f>'0316'!Z37</f>
        <v>0</v>
      </c>
      <c r="G18" s="360">
        <f>'0316'!Z48</f>
        <v>0</v>
      </c>
      <c r="H18" s="360">
        <f>'0316'!Z58</f>
        <v>0</v>
      </c>
      <c r="I18" s="359">
        <f>'0316'!Z69</f>
        <v>1</v>
      </c>
      <c r="J18" s="359">
        <f>'0316'!AA79</f>
        <v>0</v>
      </c>
    </row>
    <row r="19" spans="2:10" ht="17.25" customHeight="1">
      <c r="B19" s="496"/>
      <c r="C19" s="330" t="s">
        <v>37</v>
      </c>
      <c r="D19" s="358">
        <f>'0316'!AA15</f>
        <v>0</v>
      </c>
      <c r="E19" s="359">
        <f>'0316'!AA26</f>
        <v>0</v>
      </c>
      <c r="F19" s="359">
        <f>'0316'!AA37</f>
        <v>0</v>
      </c>
      <c r="G19" s="360">
        <f>'0316'!AA48</f>
        <v>0</v>
      </c>
      <c r="H19" s="360">
        <f>'0316'!AA58</f>
        <v>0</v>
      </c>
      <c r="I19" s="359">
        <f>'0316'!AA69</f>
        <v>20</v>
      </c>
      <c r="J19" s="359">
        <f>'0316'!AB79</f>
        <v>0</v>
      </c>
    </row>
    <row r="20" spans="2:10" ht="17.25" customHeight="1">
      <c r="B20" s="495" t="s">
        <v>103</v>
      </c>
      <c r="C20" s="330" t="s">
        <v>36</v>
      </c>
      <c r="D20" s="358">
        <f>'0316'!AD15</f>
        <v>0</v>
      </c>
      <c r="E20" s="359">
        <f>'0316'!AD26</f>
        <v>0</v>
      </c>
      <c r="F20" s="359">
        <f>'0316'!AD37</f>
        <v>0</v>
      </c>
      <c r="G20" s="360">
        <f>'0316'!AD48</f>
        <v>0</v>
      </c>
      <c r="H20" s="360">
        <f>'0316'!AD58</f>
        <v>0</v>
      </c>
      <c r="I20" s="359">
        <f>'0316'!AD69</f>
        <v>1</v>
      </c>
      <c r="J20" s="359">
        <f>'0316'!AD79</f>
        <v>0</v>
      </c>
    </row>
    <row r="21" spans="2:10" ht="17.25" customHeight="1">
      <c r="B21" s="496"/>
      <c r="C21" s="330" t="s">
        <v>85</v>
      </c>
      <c r="D21" s="358">
        <f>'0316'!AE15</f>
        <v>0</v>
      </c>
      <c r="E21" s="359">
        <f>'0316'!AE26</f>
        <v>0</v>
      </c>
      <c r="F21" s="359">
        <f>'0316'!AE37</f>
        <v>0</v>
      </c>
      <c r="G21" s="360">
        <f>'0316'!AE48</f>
        <v>0</v>
      </c>
      <c r="H21" s="360">
        <f>'0316'!AE58</f>
        <v>0</v>
      </c>
      <c r="I21" s="359">
        <f>'0316'!AE69</f>
        <v>1</v>
      </c>
      <c r="J21" s="359">
        <f>'0316'!AE79</f>
        <v>0</v>
      </c>
    </row>
    <row r="22" spans="2:10" ht="17.25" customHeight="1">
      <c r="B22" s="479" t="s">
        <v>104</v>
      </c>
      <c r="C22" s="480"/>
      <c r="D22" s="23">
        <f>VALUE('0316'!M15)</f>
        <v>13.25</v>
      </c>
      <c r="E22" s="23">
        <f>VALUE('0316'!M26)</f>
        <v>11.5</v>
      </c>
      <c r="F22" s="23">
        <f>VALUE('0316'!M37)</f>
        <v>16.25</v>
      </c>
      <c r="G22" s="23">
        <f>VALUE('0316'!M48)</f>
        <v>17</v>
      </c>
      <c r="H22" s="23">
        <f>VALUE('0316'!M58)</f>
        <v>15.25</v>
      </c>
      <c r="I22" s="23">
        <f>VALUE('0316'!M69)</f>
        <v>11.333333333333334</v>
      </c>
      <c r="J22" s="23">
        <f>'0316'!M79</f>
        <v>12.25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4420-1B5A-4E1A-BE17-EBFF09EDBB75}">
  <sheetPr>
    <tabColor theme="9" tint="0.79998168889431442"/>
  </sheetPr>
  <dimension ref="A1:AJ92"/>
  <sheetViews>
    <sheetView zoomScale="69" zoomScaleNormal="69" workbookViewId="0">
      <pane xSplit="5" ySplit="4" topLeftCell="F8" activePane="bottomRight" state="frozen"/>
      <selection activeCell="AB29" sqref="AB29:AC29"/>
      <selection pane="topRight" activeCell="AB29" sqref="AB29:AC29"/>
      <selection pane="bottomLeft" activeCell="AB29" sqref="AB29:AC29"/>
      <selection pane="bottomRight" activeCell="K41" sqref="K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62550</v>
      </c>
      <c r="F1" s="30" t="s">
        <v>2</v>
      </c>
      <c r="G1" s="31">
        <f>SUM(H5:H79)</f>
        <v>2905915.1900000004</v>
      </c>
      <c r="H1" s="32" t="s">
        <v>3</v>
      </c>
      <c r="I1" s="33">
        <f>M15+M26+M48+M58+M69+M79+M37</f>
        <v>96.833333333333329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168</v>
      </c>
      <c r="B2" s="447"/>
      <c r="C2" s="28"/>
      <c r="D2" s="28" t="s">
        <v>14</v>
      </c>
      <c r="E2" s="35">
        <f>AVERAGE(O15,O26,O37,O48,O58,O69,O79)</f>
        <v>116.71832321869286</v>
      </c>
      <c r="F2" s="36" t="s">
        <v>15</v>
      </c>
      <c r="G2" s="37">
        <f>G1/E1</f>
        <v>46.457477058353327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20</v>
      </c>
      <c r="AB2" s="445"/>
      <c r="AC2" s="445"/>
      <c r="AD2" s="340">
        <f>AD15+AD26+AD37+AD48+AD58+AD69+AD79</f>
        <v>1</v>
      </c>
      <c r="AE2" s="340">
        <f>AE15+AE26+AE37+AE48+AE58+AE69+AE79</f>
        <v>1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2154</v>
      </c>
      <c r="H5" s="43">
        <f>F5*G5</f>
        <v>123230.34</v>
      </c>
      <c r="I5" s="44"/>
      <c r="J5" s="45">
        <f>VLOOKUP(D5,產線配置圖!$A$3:$C$38,2,0)</f>
        <v>12</v>
      </c>
      <c r="K5" s="46">
        <f>VLOOKUP(D5,產線配置圖!$A$3:$C$38,3,0)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2019.3750000000196</v>
      </c>
      <c r="O5" s="47">
        <f t="shared" ref="O5:O8" si="2">N5/M5</f>
        <v>168.28125000000162</v>
      </c>
      <c r="P5" s="49">
        <f t="shared" ref="P5:P8" si="3">M5-J5</f>
        <v>0</v>
      </c>
      <c r="Q5" s="50">
        <f t="shared" ref="Q5:Q8" si="4">O5-L5</f>
        <v>-7.1354166666650372</v>
      </c>
      <c r="R5" s="51">
        <f t="shared" ref="R5:R8" si="5">O5/L5</f>
        <v>0.95932304038005678</v>
      </c>
      <c r="S5" s="376">
        <f>R15</f>
        <v>0.94478162048607117</v>
      </c>
      <c r="T5" s="319">
        <v>0.29166666666666702</v>
      </c>
      <c r="U5" s="320">
        <v>0.33611111111111103</v>
      </c>
      <c r="V5" s="53"/>
      <c r="W5" s="54">
        <f t="shared" ref="W5:W14" si="6">(U5-T5)*24*60</f>
        <v>63.999999999999375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-85.624999999980446</v>
      </c>
      <c r="AG5" s="52">
        <f t="shared" ref="AG5:AG11" si="8">N5/K5</f>
        <v>0.95932304038005678</v>
      </c>
      <c r="AH5" s="382">
        <f>AG15</f>
        <v>0.94362315117543527</v>
      </c>
    </row>
    <row r="6" spans="1:34" ht="15" customHeight="1">
      <c r="A6" s="423"/>
      <c r="B6" s="57" t="s">
        <v>81</v>
      </c>
      <c r="C6" s="58"/>
      <c r="D6" s="59" t="s">
        <v>116</v>
      </c>
      <c r="E6" s="60"/>
      <c r="F6" s="61">
        <f>VLOOKUP(D6,廠價表!$C$1:$E$41,3,0)</f>
        <v>56.28</v>
      </c>
      <c r="G6" s="62">
        <v>1191</v>
      </c>
      <c r="H6" s="63">
        <f>F6*G6</f>
        <v>67029.48</v>
      </c>
      <c r="I6" s="64"/>
      <c r="J6" s="65">
        <f>VLOOKUP(D6,產線配置圖!$A$3:$C$38,2,0)</f>
        <v>15</v>
      </c>
      <c r="K6" s="66">
        <v>1900</v>
      </c>
      <c r="L6" s="67">
        <f t="shared" si="0"/>
        <v>126.66666666666667</v>
      </c>
      <c r="M6" s="68">
        <v>15</v>
      </c>
      <c r="N6" s="66">
        <f t="shared" si="1"/>
        <v>1742.9268292683055</v>
      </c>
      <c r="O6" s="67">
        <f t="shared" si="2"/>
        <v>116.19512195122037</v>
      </c>
      <c r="P6" s="69">
        <f t="shared" si="3"/>
        <v>0</v>
      </c>
      <c r="Q6" s="70">
        <f t="shared" si="4"/>
        <v>-10.471544715446299</v>
      </c>
      <c r="R6" s="71">
        <f t="shared" si="5"/>
        <v>0.91732991014121346</v>
      </c>
      <c r="S6" s="377"/>
      <c r="T6" s="16">
        <v>0.34166666666666701</v>
      </c>
      <c r="U6" s="16">
        <v>0.37013888888888902</v>
      </c>
      <c r="V6" s="30">
        <f>(T6-U5)*24*60</f>
        <v>8.0000000000006111</v>
      </c>
      <c r="W6" s="73">
        <f t="shared" si="6"/>
        <v>40.999999999999694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-157.07317073169452</v>
      </c>
      <c r="AG6" s="72">
        <f t="shared" si="8"/>
        <v>0.91732991014121346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5154</v>
      </c>
      <c r="H7" s="78">
        <f>F7*G7</f>
        <v>253267.56</v>
      </c>
      <c r="I7" s="73"/>
      <c r="J7" s="79">
        <f>VLOOKUP(D7,產線配置圖!$A$3:$C$38,2,0)</f>
        <v>13</v>
      </c>
      <c r="K7" s="80">
        <f>VLOOKUP(D7,產線配置圖!$A$3:$C$38,3,0)</f>
        <v>2100</v>
      </c>
      <c r="L7" s="81">
        <f t="shared" si="0"/>
        <v>161.53846153846155</v>
      </c>
      <c r="M7" s="82">
        <v>13</v>
      </c>
      <c r="N7" s="80">
        <f t="shared" si="1"/>
        <v>2089.4594594594546</v>
      </c>
      <c r="O7" s="81">
        <f t="shared" si="2"/>
        <v>160.72765072765034</v>
      </c>
      <c r="P7" s="74">
        <f t="shared" si="3"/>
        <v>0</v>
      </c>
      <c r="Q7" s="83">
        <f t="shared" si="4"/>
        <v>-0.81081081081120487</v>
      </c>
      <c r="R7" s="72">
        <f t="shared" si="5"/>
        <v>0.99498069498069253</v>
      </c>
      <c r="S7" s="377"/>
      <c r="T7" s="18">
        <v>0.375</v>
      </c>
      <c r="U7" s="18">
        <v>0.47777777777777802</v>
      </c>
      <c r="V7" s="30">
        <f>(T7-U6)*24*60</f>
        <v>6.9999999999998153</v>
      </c>
      <c r="W7" s="73">
        <f t="shared" si="6"/>
        <v>148.00000000000034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-10.540540540545408</v>
      </c>
      <c r="AG7" s="72">
        <f t="shared" si="8"/>
        <v>0.99498069498069264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1418</v>
      </c>
      <c r="H8" s="78">
        <f>F8*G8</f>
        <v>69680.52</v>
      </c>
      <c r="I8" s="73"/>
      <c r="J8" s="79">
        <f>VLOOKUP(D8,產線配置圖!$A$3:$C$38,2,0)</f>
        <v>13</v>
      </c>
      <c r="K8" s="80">
        <f>VLOOKUP(D8,產線配置圖!$A$3:$C$38,3,0)</f>
        <v>2100</v>
      </c>
      <c r="L8" s="81">
        <f t="shared" si="0"/>
        <v>161.53846153846155</v>
      </c>
      <c r="M8" s="82">
        <v>13</v>
      </c>
      <c r="N8" s="80">
        <f t="shared" si="1"/>
        <v>1890.6666666666667</v>
      </c>
      <c r="O8" s="81">
        <f t="shared" si="2"/>
        <v>145.43589743589743</v>
      </c>
      <c r="P8" s="74">
        <f t="shared" si="3"/>
        <v>0</v>
      </c>
      <c r="Q8" s="83">
        <f t="shared" si="4"/>
        <v>-16.102564102564116</v>
      </c>
      <c r="R8" s="72">
        <f t="shared" si="5"/>
        <v>0.90031746031746018</v>
      </c>
      <c r="S8" s="377"/>
      <c r="T8" s="16">
        <v>0.54027777777777797</v>
      </c>
      <c r="U8" s="16">
        <v>0.57152777777777797</v>
      </c>
      <c r="V8" s="30">
        <f>(T8-U7)*24*60</f>
        <v>89.999999999999915</v>
      </c>
      <c r="W8" s="73">
        <f t="shared" si="6"/>
        <v>45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-209.33333333333326</v>
      </c>
      <c r="AG8" s="72">
        <f t="shared" si="8"/>
        <v>0.90031746031746041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2051.25</v>
      </c>
      <c r="L15" s="117">
        <f t="shared" si="9"/>
        <v>156.29006410256409</v>
      </c>
      <c r="M15" s="120">
        <f t="shared" si="9"/>
        <v>13.25</v>
      </c>
      <c r="N15" s="120">
        <f t="shared" si="9"/>
        <v>1935.6069888486115</v>
      </c>
      <c r="O15" s="117">
        <f t="shared" si="9"/>
        <v>147.65998002869244</v>
      </c>
      <c r="P15" s="121">
        <f t="shared" ref="P15:P19" si="10">M15-J15</f>
        <v>0</v>
      </c>
      <c r="Q15" s="122">
        <f t="shared" ref="Q15:Q19" si="11">O15-L15</f>
        <v>-8.6300840738716431</v>
      </c>
      <c r="R15" s="123">
        <f t="shared" ref="R15:R19" si="12">O15/L15</f>
        <v>0.94478162048607117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-115.64301115138846</v>
      </c>
      <c r="AG15" s="124">
        <f t="shared" ref="AG15:AG19" si="14">N15/K15</f>
        <v>0.94362315117543527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VLOOKUP(D16,廠價表!$C$1:$E$41,3,0)</f>
        <v>57.21</v>
      </c>
      <c r="G16" s="133">
        <v>1783</v>
      </c>
      <c r="H16" s="134">
        <f>F16*G16</f>
        <v>102005.43000000001</v>
      </c>
      <c r="I16" s="135"/>
      <c r="J16" s="136">
        <f>VLOOKUP(D16,產線配置圖!$A$3:$C$38,2,0)</f>
        <v>12</v>
      </c>
      <c r="K16" s="137">
        <f>VLOOKUP(D16,產線配置圖!$A$3:$C$38,3,0)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1981.111111111112</v>
      </c>
      <c r="O16" s="141">
        <f>N16/M16</f>
        <v>165.09259259259267</v>
      </c>
      <c r="P16" s="142">
        <f>M16-J16</f>
        <v>0</v>
      </c>
      <c r="Q16" s="143">
        <f t="shared" si="11"/>
        <v>-10.324074074073991</v>
      </c>
      <c r="R16" s="144">
        <f>O16/L16</f>
        <v>0.94114542095539766</v>
      </c>
      <c r="S16" s="413">
        <f>R26</f>
        <v>0.9747460646293935</v>
      </c>
      <c r="T16" s="145">
        <v>0.29097222222222202</v>
      </c>
      <c r="U16" s="145">
        <v>0.328472222222222</v>
      </c>
      <c r="V16" s="135"/>
      <c r="W16" s="146">
        <f t="shared" ref="W16:W78" si="17">(U16-T16)*24*60</f>
        <v>53.999999999999972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-123.888888888888</v>
      </c>
      <c r="AG16" s="52">
        <f t="shared" si="14"/>
        <v>0.94114542095539766</v>
      </c>
      <c r="AH16" s="382">
        <f>AG26</f>
        <v>0.97423198633463504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4476</v>
      </c>
      <c r="H17" s="78">
        <f>F17*G17</f>
        <v>226798.92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12</v>
      </c>
      <c r="N17" s="95">
        <f>G17/W17*60</f>
        <v>2065.8461538461729</v>
      </c>
      <c r="O17" s="96">
        <f t="shared" ref="O17:O19" si="18">N17/M17</f>
        <v>172.15384615384775</v>
      </c>
      <c r="P17" s="97">
        <f t="shared" si="10"/>
        <v>0</v>
      </c>
      <c r="Q17" s="98">
        <f t="shared" si="11"/>
        <v>-2.846153846152248</v>
      </c>
      <c r="R17" s="99">
        <f t="shared" si="12"/>
        <v>0.98373626373627288</v>
      </c>
      <c r="S17" s="414"/>
      <c r="T17" s="19">
        <v>0.33680555555555602</v>
      </c>
      <c r="U17" s="19">
        <v>0.42708333333333298</v>
      </c>
      <c r="V17" s="30">
        <f>(T17-U16)*24*60</f>
        <v>12.000000000000997</v>
      </c>
      <c r="W17" s="149">
        <f t="shared" si="17"/>
        <v>129.99999999999881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-34.153846153827089</v>
      </c>
      <c r="AG17" s="72">
        <f t="shared" si="14"/>
        <v>0.98373626373627276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2128</v>
      </c>
      <c r="H18" s="78">
        <f>F18*G18</f>
        <v>107229.92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11</v>
      </c>
      <c r="N18" s="95">
        <f t="shared" si="16"/>
        <v>2093.1147540983652</v>
      </c>
      <c r="O18" s="96">
        <f t="shared" si="18"/>
        <v>190.28315946348775</v>
      </c>
      <c r="P18" s="97">
        <f t="shared" si="10"/>
        <v>0</v>
      </c>
      <c r="Q18" s="98">
        <f t="shared" si="11"/>
        <v>-0.6259314456031575</v>
      </c>
      <c r="R18" s="99">
        <f t="shared" si="12"/>
        <v>0.99672131147541199</v>
      </c>
      <c r="S18" s="414"/>
      <c r="T18" s="19">
        <v>0.43541666666666701</v>
      </c>
      <c r="U18" s="19">
        <v>0.47777777777777802</v>
      </c>
      <c r="V18" s="30">
        <f>(T18-U17)*24*60</f>
        <v>12.000000000000997</v>
      </c>
      <c r="W18" s="149">
        <f t="shared" si="17"/>
        <v>60.999999999999865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-6.8852459016347893</v>
      </c>
      <c r="AG18" s="72">
        <f t="shared" si="14"/>
        <v>0.99672131147541199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3926</v>
      </c>
      <c r="H19" s="78">
        <f>F19*G19</f>
        <v>197831.14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5"/>
        <v>190.90909090909091</v>
      </c>
      <c r="M19" s="148">
        <v>11</v>
      </c>
      <c r="N19" s="95">
        <f t="shared" si="16"/>
        <v>2048.3478260869583</v>
      </c>
      <c r="O19" s="96">
        <f t="shared" si="18"/>
        <v>186.21343873517802</v>
      </c>
      <c r="P19" s="97">
        <f t="shared" si="10"/>
        <v>0</v>
      </c>
      <c r="Q19" s="98">
        <f t="shared" si="11"/>
        <v>-4.6956521739128902</v>
      </c>
      <c r="R19" s="99">
        <f t="shared" si="12"/>
        <v>0.97540372670807529</v>
      </c>
      <c r="S19" s="414"/>
      <c r="T19" s="19">
        <v>0.54166666666666696</v>
      </c>
      <c r="U19" s="19">
        <v>0.62152777777777801</v>
      </c>
      <c r="V19" s="30">
        <f>(T19-U18)*24*60</f>
        <v>92.000000000000071</v>
      </c>
      <c r="W19" s="149">
        <f t="shared" si="17"/>
        <v>114.99999999999991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-51.652173913041679</v>
      </c>
      <c r="AG19" s="72">
        <f t="shared" si="14"/>
        <v>0.9754037267080754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2101.25</v>
      </c>
      <c r="L26" s="158">
        <f t="shared" si="20"/>
        <v>183.0587121212121</v>
      </c>
      <c r="M26" s="155">
        <f t="shared" si="20"/>
        <v>11.5</v>
      </c>
      <c r="N26" s="155">
        <f t="shared" si="20"/>
        <v>2047.1049612856518</v>
      </c>
      <c r="O26" s="158">
        <f t="shared" si="20"/>
        <v>178.43575923627654</v>
      </c>
      <c r="P26" s="159">
        <f t="shared" ref="P26:P30" si="21">M26-J26</f>
        <v>0</v>
      </c>
      <c r="Q26" s="160">
        <f t="shared" ref="Q26:Q30" si="22">O26-L26</f>
        <v>-4.6229528849355574</v>
      </c>
      <c r="R26" s="161">
        <f>O26/L26</f>
        <v>0.9747460646293935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-54.145038714348175</v>
      </c>
      <c r="AG26" s="124">
        <f t="shared" ref="AG26:AG31" si="24">N26/K26</f>
        <v>0.97423198633463504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3577</v>
      </c>
      <c r="H27" s="134">
        <f>F27*G27</f>
        <v>208074.09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30" si="25">K27/J27</f>
        <v>97.8125</v>
      </c>
      <c r="M27" s="170">
        <v>16</v>
      </c>
      <c r="N27" s="140">
        <f>G27/W27*60</f>
        <v>1555.2173913043532</v>
      </c>
      <c r="O27" s="141">
        <f>N27/M27</f>
        <v>97.201086956522076</v>
      </c>
      <c r="P27" s="142">
        <f t="shared" si="21"/>
        <v>0</v>
      </c>
      <c r="Q27" s="143">
        <f t="shared" si="22"/>
        <v>-0.61141304347792413</v>
      </c>
      <c r="R27" s="144">
        <f>O27/L27</f>
        <v>0.99374913182386782</v>
      </c>
      <c r="S27" s="413">
        <f>R37</f>
        <v>0.85921675152398247</v>
      </c>
      <c r="T27" s="171">
        <v>0.29027777777777802</v>
      </c>
      <c r="U27" s="171">
        <v>0.38611111111111102</v>
      </c>
      <c r="V27" s="135"/>
      <c r="W27" s="146">
        <f t="shared" si="17"/>
        <v>137.99999999999952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-9.7826086956467861</v>
      </c>
      <c r="AG27" s="172">
        <f t="shared" si="24"/>
        <v>0.99374913182386782</v>
      </c>
      <c r="AH27" s="382">
        <f>AG37</f>
        <v>0.85192339000867001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1869</v>
      </c>
      <c r="H28" s="91">
        <f>F28*G28</f>
        <v>92552.88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17</v>
      </c>
      <c r="N28" s="95">
        <f>G28/W28*60</f>
        <v>1401.7499999999882</v>
      </c>
      <c r="O28" s="96">
        <f>N28/M28</f>
        <v>82.455882352940478</v>
      </c>
      <c r="P28" s="97">
        <f t="shared" si="21"/>
        <v>0</v>
      </c>
      <c r="Q28" s="98">
        <f t="shared" si="22"/>
        <v>-2.2500000000006963</v>
      </c>
      <c r="R28" s="99">
        <f t="shared" ref="R28:R30" si="26">O28/L28</f>
        <v>0.97343749999999174</v>
      </c>
      <c r="S28" s="414"/>
      <c r="T28" s="19">
        <v>0.39236111111111099</v>
      </c>
      <c r="U28" s="19">
        <v>0.44791666666666702</v>
      </c>
      <c r="V28" s="92">
        <f>(T28-U27)*24*60</f>
        <v>8.999999999999968</v>
      </c>
      <c r="W28" s="149">
        <f t="shared" si="17"/>
        <v>80.000000000000682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-38.250000000011823</v>
      </c>
      <c r="AG28" s="99">
        <f t="shared" si="24"/>
        <v>0.97343749999999174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722</v>
      </c>
      <c r="H29" s="91">
        <f>F29*G29</f>
        <v>40742.46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5"/>
        <v>87.875</v>
      </c>
      <c r="M29" s="94">
        <v>15</v>
      </c>
      <c r="N29" s="95">
        <f>G29/W29*60</f>
        <v>787.6363636363526</v>
      </c>
      <c r="O29" s="96">
        <f>N29/M29</f>
        <v>52.509090909090176</v>
      </c>
      <c r="P29" s="97">
        <f t="shared" si="21"/>
        <v>-1</v>
      </c>
      <c r="Q29" s="98">
        <f t="shared" si="22"/>
        <v>-35.365909090909824</v>
      </c>
      <c r="R29" s="99">
        <f t="shared" si="26"/>
        <v>0.59754299754298923</v>
      </c>
      <c r="S29" s="414"/>
      <c r="T29" s="19">
        <v>0.53472222222222199</v>
      </c>
      <c r="U29" s="19">
        <v>0.57291666666666696</v>
      </c>
      <c r="V29" s="92">
        <f>(T29-U28)*24*60</f>
        <v>124.99999999999916</v>
      </c>
      <c r="W29" s="149">
        <f t="shared" si="17"/>
        <v>55.000000000000767</v>
      </c>
      <c r="X29" s="22"/>
      <c r="Y29" s="84"/>
      <c r="Z29" s="90"/>
      <c r="AA29" s="90"/>
      <c r="AB29" s="387" t="s">
        <v>169</v>
      </c>
      <c r="AC29" s="387"/>
      <c r="AD29" s="92"/>
      <c r="AE29" s="92"/>
      <c r="AF29" s="312">
        <f t="shared" si="23"/>
        <v>-618.3636363636474</v>
      </c>
      <c r="AG29" s="99">
        <f t="shared" si="24"/>
        <v>0.5601965601965524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682</v>
      </c>
      <c r="H30" s="91">
        <f>F30*G30</f>
        <v>33772.639999999999</v>
      </c>
      <c r="I30" s="92"/>
      <c r="J30" s="79">
        <f>VLOOKUP(D30,產線配置圖!$A$3:$C$38,2,0)</f>
        <v>17</v>
      </c>
      <c r="K30" s="80">
        <f>VLOOKUP(D30,產線配置圖!$A$3:$C$38,3,0)</f>
        <v>1440</v>
      </c>
      <c r="L30" s="93">
        <f t="shared" si="25"/>
        <v>84.705882352941174</v>
      </c>
      <c r="M30" s="94">
        <v>17</v>
      </c>
      <c r="N30" s="95">
        <f>G30/W30*60</f>
        <v>1240.0000000000343</v>
      </c>
      <c r="O30" s="96">
        <f>N30/M30</f>
        <v>72.94117647059025</v>
      </c>
      <c r="P30" s="97">
        <f t="shared" si="21"/>
        <v>0</v>
      </c>
      <c r="Q30" s="98">
        <f t="shared" si="22"/>
        <v>-11.764705882350924</v>
      </c>
      <c r="R30" s="99">
        <f t="shared" si="26"/>
        <v>0.86111111111113492</v>
      </c>
      <c r="S30" s="414"/>
      <c r="T30" s="19">
        <v>0.57777777777777795</v>
      </c>
      <c r="U30" s="19">
        <v>0.60069444444444398</v>
      </c>
      <c r="V30" s="92">
        <f>(T30-U29)*24*60</f>
        <v>6.9999999999998153</v>
      </c>
      <c r="W30" s="149">
        <f t="shared" si="17"/>
        <v>32.999999999999083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-199.99999999996567</v>
      </c>
      <c r="AG30" s="99">
        <f t="shared" si="24"/>
        <v>0.86111111111113492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16.5</v>
      </c>
      <c r="K37" s="155">
        <f t="shared" si="28"/>
        <v>1462.75</v>
      </c>
      <c r="L37" s="158">
        <f t="shared" si="28"/>
        <v>88.77481617647058</v>
      </c>
      <c r="M37" s="155">
        <f t="shared" si="28"/>
        <v>16.25</v>
      </c>
      <c r="N37" s="155">
        <f t="shared" si="28"/>
        <v>1246.1509387351821</v>
      </c>
      <c r="O37" s="158">
        <f t="shared" si="28"/>
        <v>76.276809172285738</v>
      </c>
      <c r="P37" s="159">
        <f>M37-J37</f>
        <v>-0.25</v>
      </c>
      <c r="Q37" s="160">
        <f>N37-K37</f>
        <v>-216.59906126481792</v>
      </c>
      <c r="R37" s="161">
        <f t="shared" ref="R37:R40" si="29">O37/L37</f>
        <v>0.85921675152398247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-216.59906126481792</v>
      </c>
      <c r="AG37" s="124">
        <f t="shared" ref="AG37:AG41" si="31">N37/K37</f>
        <v>0.85192339000867001</v>
      </c>
      <c r="AH37" s="386"/>
    </row>
    <row r="38" spans="1:34" ht="15" customHeight="1">
      <c r="A38" s="401" t="s">
        <v>48</v>
      </c>
      <c r="B38" s="167" t="s">
        <v>81</v>
      </c>
      <c r="C38" s="129"/>
      <c r="D38" s="184" t="s">
        <v>123</v>
      </c>
      <c r="E38" s="185"/>
      <c r="F38" s="39">
        <f>VLOOKUP(D38,廠價表!$C$1:$E$41,3,0)</f>
        <v>56.87</v>
      </c>
      <c r="G38" s="186">
        <v>1472</v>
      </c>
      <c r="H38" s="134">
        <f>F38*G38</f>
        <v>83712.639999999999</v>
      </c>
      <c r="I38" s="135"/>
      <c r="J38" s="187">
        <f>VLOOKUP(D38,產線配置圖!$A$3:$C$38,2,0)</f>
        <v>17</v>
      </c>
      <c r="K38" s="188">
        <f>VLOOKUP(D38,產線配置圖!$A$3:$C$38,3,0)</f>
        <v>1565</v>
      </c>
      <c r="L38" s="189">
        <f t="shared" ref="L38:L40" si="32">K38/J38</f>
        <v>92.058823529411768</v>
      </c>
      <c r="M38" s="190">
        <v>17</v>
      </c>
      <c r="N38" s="140">
        <f>G38/W38*60</f>
        <v>1471.9999999999875</v>
      </c>
      <c r="O38" s="141">
        <f>N38/M38</f>
        <v>86.588235294116913</v>
      </c>
      <c r="P38" s="142">
        <f t="shared" ref="P38:P40" si="33">M38-J38</f>
        <v>0</v>
      </c>
      <c r="Q38" s="143">
        <f t="shared" ref="Q38:Q40" si="34">O38-L38</f>
        <v>-5.4705882352948549</v>
      </c>
      <c r="R38" s="144">
        <f>O38/L38</f>
        <v>0.94057507987219646</v>
      </c>
      <c r="S38" s="404">
        <f>R48</f>
        <v>0.90960216607241406</v>
      </c>
      <c r="T38" s="191">
        <v>0.33333333333333298</v>
      </c>
      <c r="U38" s="191">
        <v>0.375</v>
      </c>
      <c r="V38" s="192"/>
      <c r="W38" s="193">
        <f t="shared" si="17"/>
        <v>60.000000000000504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-93.000000000012506</v>
      </c>
      <c r="AG38" s="195">
        <f t="shared" si="31"/>
        <v>0.94057507987219646</v>
      </c>
      <c r="AH38" s="398">
        <f>AG48</f>
        <v>0.90960216607241406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3491</v>
      </c>
      <c r="H39" s="91">
        <f>F39*G39</f>
        <v>154651.29999999999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1424.8979591836785</v>
      </c>
      <c r="O39" s="203">
        <f t="shared" ref="O39:O40" si="35">N39/M39</f>
        <v>83.817527010804611</v>
      </c>
      <c r="P39" s="97">
        <f t="shared" si="33"/>
        <v>0</v>
      </c>
      <c r="Q39" s="98">
        <f t="shared" si="34"/>
        <v>-8.2412965186071574</v>
      </c>
      <c r="R39" s="99">
        <f t="shared" si="29"/>
        <v>0.9104779291908488</v>
      </c>
      <c r="S39" s="405"/>
      <c r="T39" s="20">
        <v>0.38541666666666702</v>
      </c>
      <c r="U39" s="20">
        <v>0.48749999999999999</v>
      </c>
      <c r="V39" s="92">
        <f>(T39-U38)*24*60</f>
        <v>15.000000000000506</v>
      </c>
      <c r="W39" s="205">
        <f t="shared" si="17"/>
        <v>146.99999999999949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-140.10204081632151</v>
      </c>
      <c r="AG39" s="206">
        <f t="shared" si="31"/>
        <v>0.91047792919084891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2175</v>
      </c>
      <c r="H40" s="91">
        <f>F40*G40</f>
        <v>96352.5</v>
      </c>
      <c r="I40" s="200"/>
      <c r="J40" s="148">
        <f>VLOOKUP(D40,產線配置圖!$A$3:$C$38,2,0)</f>
        <v>17</v>
      </c>
      <c r="K40" s="95">
        <v>1565</v>
      </c>
      <c r="L40" s="96">
        <f t="shared" si="32"/>
        <v>92.058823529411768</v>
      </c>
      <c r="M40" s="201">
        <v>17</v>
      </c>
      <c r="N40" s="202">
        <f>G40/W40*60</f>
        <v>1373.6842105263181</v>
      </c>
      <c r="O40" s="203">
        <f t="shared" si="35"/>
        <v>80.804953560371658</v>
      </c>
      <c r="P40" s="97">
        <f t="shared" si="33"/>
        <v>0</v>
      </c>
      <c r="Q40" s="98">
        <f t="shared" si="34"/>
        <v>-11.25386996904011</v>
      </c>
      <c r="R40" s="99">
        <f t="shared" si="29"/>
        <v>0.87775348915419693</v>
      </c>
      <c r="S40" s="377"/>
      <c r="T40" s="20">
        <v>0.54513888888888895</v>
      </c>
      <c r="U40" s="210">
        <v>0.61111111111111105</v>
      </c>
      <c r="V40" s="92">
        <f>(T40-U39)*24*60</f>
        <v>83.000000000000099</v>
      </c>
      <c r="W40" s="205">
        <f t="shared" si="17"/>
        <v>94.999999999999829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0"/>
        <v>-191.31578947368189</v>
      </c>
      <c r="AG40" s="206">
        <f t="shared" si="31"/>
        <v>0.87775348915419693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0</v>
      </c>
      <c r="AG41" s="206" t="e">
        <f t="shared" si="31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1565</v>
      </c>
      <c r="L48" s="158">
        <f t="shared" si="37"/>
        <v>92.058823529411768</v>
      </c>
      <c r="M48" s="155">
        <f t="shared" si="37"/>
        <v>17</v>
      </c>
      <c r="N48" s="155">
        <f t="shared" si="37"/>
        <v>1423.527389903328</v>
      </c>
      <c r="O48" s="158">
        <f t="shared" si="37"/>
        <v>83.736905288431061</v>
      </c>
      <c r="P48" s="221">
        <f>M48-J48</f>
        <v>0</v>
      </c>
      <c r="Q48" s="222">
        <f>N48-K48</f>
        <v>-141.47261009667204</v>
      </c>
      <c r="R48" s="223">
        <f>O48/L48</f>
        <v>0.90960216607241406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-141.47261009667204</v>
      </c>
      <c r="AG48" s="162">
        <f t="shared" ref="AG48:AG53" si="39">N48/K48</f>
        <v>0.90960216607241406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119</v>
      </c>
      <c r="E49" s="132"/>
      <c r="F49" s="129">
        <f>VLOOKUP(D49,廠價表!$C$1:$E$41,3,0)</f>
        <v>57.3</v>
      </c>
      <c r="G49" s="228">
        <v>843</v>
      </c>
      <c r="H49" s="134">
        <f>F49*G49</f>
        <v>48303.899999999994</v>
      </c>
      <c r="I49" s="135"/>
      <c r="J49" s="136">
        <f>VLOOKUP(D49,產線配置圖!$A$3:$C$38,2,0)</f>
        <v>14</v>
      </c>
      <c r="K49" s="137">
        <v>1600</v>
      </c>
      <c r="L49" s="138">
        <f t="shared" ref="L49:L52" si="40">K49/J49</f>
        <v>114.28571428571429</v>
      </c>
      <c r="M49" s="170">
        <v>14</v>
      </c>
      <c r="N49" s="140">
        <f>G49/W49*60</f>
        <v>1580.6249999999425</v>
      </c>
      <c r="O49" s="141">
        <f>N49/M49</f>
        <v>112.9017857142816</v>
      </c>
      <c r="P49" s="229">
        <f>M49-J49</f>
        <v>0</v>
      </c>
      <c r="Q49" s="230">
        <f>O49-L49</f>
        <v>-1.3839285714326905</v>
      </c>
      <c r="R49" s="52">
        <f>O49/L49</f>
        <v>0.98789062499996394</v>
      </c>
      <c r="S49" s="376">
        <f>R58</f>
        <v>0.98545508073581811</v>
      </c>
      <c r="T49" s="191">
        <v>0.28819444444444398</v>
      </c>
      <c r="U49" s="191">
        <v>0.31041666666666701</v>
      </c>
      <c r="V49" s="55"/>
      <c r="W49" s="193">
        <f t="shared" si="17"/>
        <v>32.000000000001165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-19.375000000057526</v>
      </c>
      <c r="AG49" s="52">
        <f t="shared" si="39"/>
        <v>0.98789062499996405</v>
      </c>
      <c r="AH49" s="382">
        <f>AG58</f>
        <v>0.98514354943191551</v>
      </c>
    </row>
    <row r="50" spans="1:34" ht="15" customHeight="1">
      <c r="A50" s="396"/>
      <c r="B50" s="75" t="s">
        <v>120</v>
      </c>
      <c r="C50" s="76"/>
      <c r="D50" s="59" t="s">
        <v>121</v>
      </c>
      <c r="E50" s="77"/>
      <c r="F50" s="75">
        <f>VLOOKUP(D50,廠價表!$C$1:$E$41,3,0)</f>
        <v>49.91</v>
      </c>
      <c r="G50" s="202">
        <v>2999</v>
      </c>
      <c r="H50" s="231">
        <f>F50*G50</f>
        <v>149680.09</v>
      </c>
      <c r="I50" s="232"/>
      <c r="J50" s="79">
        <f>VLOOKUP(D50,產線配置圖!$A$3:$C$38,2,0)</f>
        <v>15</v>
      </c>
      <c r="K50" s="80">
        <f>VLOOKUP(D50,產線配置圖!$A$3:$C$38,3,0)</f>
        <v>1565</v>
      </c>
      <c r="L50" s="81">
        <f t="shared" si="40"/>
        <v>104.33333333333333</v>
      </c>
      <c r="M50" s="233">
        <v>15</v>
      </c>
      <c r="N50" s="234">
        <f>G50/W50*60</f>
        <v>1564.6956521739153</v>
      </c>
      <c r="O50" s="235">
        <f>N50/M50</f>
        <v>104.31304347826102</v>
      </c>
      <c r="P50" s="74">
        <f>M50-J50</f>
        <v>0</v>
      </c>
      <c r="Q50" s="83">
        <f>O50-L50</f>
        <v>-2.0289855072306295E-2</v>
      </c>
      <c r="R50" s="72">
        <f>O50/L50</f>
        <v>0.99980552854563287</v>
      </c>
      <c r="S50" s="377"/>
      <c r="T50" s="21">
        <v>0.31527777777777799</v>
      </c>
      <c r="U50" s="21">
        <v>0.39513888888888898</v>
      </c>
      <c r="V50" s="30">
        <f t="shared" ref="V50:V52" si="41">(T50-U49)*24*60</f>
        <v>6.9999999999998153</v>
      </c>
      <c r="W50" s="236">
        <f t="shared" si="17"/>
        <v>114.99999999999983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8"/>
        <v>-0.30434782608472233</v>
      </c>
      <c r="AG50" s="72">
        <f t="shared" si="39"/>
        <v>0.99980552854563276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2941</v>
      </c>
      <c r="H51" s="231">
        <f>F51*G51</f>
        <v>146961.76999999999</v>
      </c>
      <c r="I51" s="232"/>
      <c r="J51" s="79">
        <f>VLOOKUP(D51,產線配置圖!$A$3:$C$38,2,0)</f>
        <v>16</v>
      </c>
      <c r="K51" s="80">
        <f>VLOOKUP(D51,產線配置圖!$A$3:$C$38,3,0)</f>
        <v>1714</v>
      </c>
      <c r="L51" s="81">
        <f t="shared" si="40"/>
        <v>107.125</v>
      </c>
      <c r="M51" s="233">
        <v>16</v>
      </c>
      <c r="N51" s="234">
        <f>G51/W51*60</f>
        <v>1696.7307692307752</v>
      </c>
      <c r="O51" s="235">
        <f>N51/M51</f>
        <v>106.04567307692345</v>
      </c>
      <c r="P51" s="74">
        <f>M51-J51</f>
        <v>0</v>
      </c>
      <c r="Q51" s="83">
        <f>O51-L51</f>
        <v>-1.0793269230765503</v>
      </c>
      <c r="R51" s="72">
        <f>O51/L51</f>
        <v>0.98992460281842198</v>
      </c>
      <c r="S51" s="377"/>
      <c r="T51" s="21">
        <v>0.40347222222222201</v>
      </c>
      <c r="U51" s="19">
        <v>0.47569444444444398</v>
      </c>
      <c r="V51" s="30">
        <f t="shared" si="41"/>
        <v>11.999999999999558</v>
      </c>
      <c r="W51" s="236">
        <f t="shared" si="17"/>
        <v>103.99999999999963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-17.269230769224805</v>
      </c>
      <c r="AG51" s="72">
        <f t="shared" si="39"/>
        <v>0.98992460281842198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3306</v>
      </c>
      <c r="H52" s="231">
        <f>F52*G52</f>
        <v>165200.82</v>
      </c>
      <c r="I52" s="232"/>
      <c r="J52" s="79">
        <f>VLOOKUP(D52,產線配置圖!$A$3:$C$38,2,0)</f>
        <v>16</v>
      </c>
      <c r="K52" s="80">
        <f>VLOOKUP(D52,產線配置圖!$A$3:$C$38,3,0)</f>
        <v>1714</v>
      </c>
      <c r="L52" s="81">
        <f t="shared" si="40"/>
        <v>107.125</v>
      </c>
      <c r="M52" s="233">
        <v>16</v>
      </c>
      <c r="N52" s="234">
        <f>G52/W52*60</f>
        <v>1652.9999999999861</v>
      </c>
      <c r="O52" s="235">
        <f>N52/M52</f>
        <v>103.31249999999913</v>
      </c>
      <c r="P52" s="74">
        <f>M52-J52</f>
        <v>0</v>
      </c>
      <c r="Q52" s="83">
        <f>O52-L52</f>
        <v>-3.8125000000008669</v>
      </c>
      <c r="R52" s="72">
        <f>O52/L52</f>
        <v>0.9644107351225123</v>
      </c>
      <c r="S52" s="377"/>
      <c r="T52" s="21">
        <v>0.53819444444444398</v>
      </c>
      <c r="U52" s="21">
        <v>0.62152777777777801</v>
      </c>
      <c r="V52" s="30">
        <f t="shared" si="41"/>
        <v>90</v>
      </c>
      <c r="W52" s="236">
        <f t="shared" si="17"/>
        <v>120.00000000000101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-61.00000000001387</v>
      </c>
      <c r="AG52" s="72">
        <f t="shared" si="39"/>
        <v>0.9644107351225123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15.25</v>
      </c>
      <c r="K58" s="120">
        <f t="shared" si="42"/>
        <v>1648.25</v>
      </c>
      <c r="L58" s="117">
        <f t="shared" si="42"/>
        <v>108.2172619047619</v>
      </c>
      <c r="M58" s="120">
        <f t="shared" si="42"/>
        <v>15.25</v>
      </c>
      <c r="N58" s="120">
        <f t="shared" si="42"/>
        <v>1623.7628553511547</v>
      </c>
      <c r="O58" s="117">
        <f t="shared" si="42"/>
        <v>106.64325056736631</v>
      </c>
      <c r="P58" s="121">
        <f>M58-J58</f>
        <v>0</v>
      </c>
      <c r="Q58" s="122">
        <f>N58-K58</f>
        <v>-24.487144648845288</v>
      </c>
      <c r="R58" s="123">
        <f t="shared" ref="R58:R59" si="43">O58/L58</f>
        <v>0.98545508073581811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-24.487144648845288</v>
      </c>
      <c r="AG58" s="124">
        <f t="shared" ref="AG58:AG61" si="45">N58/K58</f>
        <v>0.98514354943191551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2234</v>
      </c>
      <c r="H59" s="243">
        <f>F59*G59</f>
        <v>60295.659999999996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46">K59/J59</f>
        <v>120.38461538461539</v>
      </c>
      <c r="M59" s="244">
        <v>13</v>
      </c>
      <c r="N59" s="137">
        <f t="shared" ref="N59:N64" si="47">G59/W59*60</f>
        <v>1410.9473684210575</v>
      </c>
      <c r="O59" s="138">
        <f t="shared" ref="O59:O64" si="48">N59/M59</f>
        <v>108.53441295546597</v>
      </c>
      <c r="P59" s="56">
        <f t="shared" ref="P59:P64" si="49">M59-J59</f>
        <v>0</v>
      </c>
      <c r="Q59" s="230">
        <f t="shared" ref="Q59:Q64" si="50">O59-L59</f>
        <v>-11.850202429149419</v>
      </c>
      <c r="R59" s="52">
        <f t="shared" si="43"/>
        <v>0.90156381368757665</v>
      </c>
      <c r="S59" s="376">
        <f>R69</f>
        <v>0.9318301395819214</v>
      </c>
      <c r="T59" s="245">
        <v>0.29166666666666702</v>
      </c>
      <c r="U59" s="245">
        <v>0.35763888888888901</v>
      </c>
      <c r="V59" s="55"/>
      <c r="W59" s="54">
        <f t="shared" si="17"/>
        <v>94.999999999999659</v>
      </c>
      <c r="X59" s="55"/>
      <c r="Y59" s="290"/>
      <c r="Z59" s="169"/>
      <c r="AA59" s="169"/>
      <c r="AB59" s="381" t="s">
        <v>170</v>
      </c>
      <c r="AC59" s="381"/>
      <c r="AD59" s="135">
        <v>1</v>
      </c>
      <c r="AE59" s="135">
        <v>1</v>
      </c>
      <c r="AF59" s="310">
        <f t="shared" si="44"/>
        <v>-154.05263157894251</v>
      </c>
      <c r="AG59" s="246">
        <f t="shared" si="45"/>
        <v>0.90156381368757665</v>
      </c>
      <c r="AH59" s="382">
        <f>AG69</f>
        <v>0.92478150424789363</v>
      </c>
    </row>
    <row r="60" spans="1:34" ht="15" customHeight="1">
      <c r="A60" s="391"/>
      <c r="B60" s="250" t="s">
        <v>128</v>
      </c>
      <c r="C60" s="251"/>
      <c r="D60" s="252" t="s">
        <v>130</v>
      </c>
      <c r="E60" s="253"/>
      <c r="F60" s="250">
        <f>VLOOKUP(D60,廠價表!$C$1:$E$41,3,0)</f>
        <v>28.26</v>
      </c>
      <c r="G60" s="38">
        <v>1856</v>
      </c>
      <c r="H60" s="254">
        <f>F60*G60</f>
        <v>52450.560000000005</v>
      </c>
      <c r="I60" s="182"/>
      <c r="J60" s="106">
        <f>VLOOKUP(D60,產線配置圖!$A$3:$C$38,2,0)</f>
        <v>12</v>
      </c>
      <c r="K60" s="107">
        <f>VLOOKUP(D60,產線配置圖!$A$3:$C$38,3,0)</f>
        <v>1565</v>
      </c>
      <c r="L60" s="238">
        <f t="shared" si="46"/>
        <v>130.41666666666666</v>
      </c>
      <c r="M60" s="108">
        <v>12</v>
      </c>
      <c r="N60" s="107">
        <f t="shared" si="47"/>
        <v>1484.7999999999799</v>
      </c>
      <c r="O60" s="238">
        <f t="shared" si="48"/>
        <v>123.73333333333166</v>
      </c>
      <c r="P60" s="111">
        <f t="shared" si="49"/>
        <v>0</v>
      </c>
      <c r="Q60" s="255">
        <f t="shared" si="50"/>
        <v>-6.6833333333349998</v>
      </c>
      <c r="R60" s="85">
        <f>O60/L60</f>
        <v>0.94875399361021084</v>
      </c>
      <c r="S60" s="394"/>
      <c r="T60" s="22">
        <v>0.36458333333333298</v>
      </c>
      <c r="U60" s="22">
        <v>0.41666666666666702</v>
      </c>
      <c r="V60" s="30">
        <f t="shared" ref="V60:V64" si="51">(T60-U59)*24*60</f>
        <v>9.999999999999325</v>
      </c>
      <c r="W60" s="248">
        <f t="shared" si="17"/>
        <v>75.000000000001009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4"/>
        <v>-80.200000000020054</v>
      </c>
      <c r="AG60" s="249">
        <f t="shared" si="45"/>
        <v>0.94875399361021084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250">
        <f>VLOOKUP(D61,廠價表!$C$1:$E$41,3,0)</f>
        <v>28.26</v>
      </c>
      <c r="G61" s="38">
        <v>1314</v>
      </c>
      <c r="H61" s="254">
        <f t="shared" ref="H61:H64" si="52">F61*G61</f>
        <v>37133.64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1433.4545454545234</v>
      </c>
      <c r="O61" s="238">
        <f t="shared" si="48"/>
        <v>119.45454545454362</v>
      </c>
      <c r="P61" s="111">
        <f t="shared" si="49"/>
        <v>0</v>
      </c>
      <c r="Q61" s="255">
        <f t="shared" si="50"/>
        <v>-10.962121212123037</v>
      </c>
      <c r="R61" s="85">
        <f t="shared" ref="R61:R64" si="53">O61/L61</f>
        <v>0.91594539645656459</v>
      </c>
      <c r="S61" s="377"/>
      <c r="T61" s="22">
        <v>0.42708333333333298</v>
      </c>
      <c r="U61" s="22">
        <v>0.46527777777777801</v>
      </c>
      <c r="V61" s="30">
        <f t="shared" si="51"/>
        <v>14.999999999998987</v>
      </c>
      <c r="W61" s="256">
        <f t="shared" si="17"/>
        <v>55.000000000000846</v>
      </c>
      <c r="X61" s="22"/>
      <c r="Y61" s="84"/>
      <c r="Z61" s="90">
        <v>1</v>
      </c>
      <c r="AA61" s="90">
        <v>20</v>
      </c>
      <c r="AB61" s="388" t="s">
        <v>170</v>
      </c>
      <c r="AC61" s="388"/>
      <c r="AD61" s="92"/>
      <c r="AE61" s="92"/>
      <c r="AF61" s="317">
        <f t="shared" si="44"/>
        <v>-131.54545454547656</v>
      </c>
      <c r="AG61" s="247">
        <f t="shared" si="45"/>
        <v>0.91594539645656448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1999</v>
      </c>
      <c r="H62" s="254">
        <f t="shared" si="52"/>
        <v>56491.740000000005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68">
        <v>9</v>
      </c>
      <c r="N62" s="107">
        <f t="shared" si="47"/>
        <v>1599.1999999999784</v>
      </c>
      <c r="O62" s="238">
        <f t="shared" si="48"/>
        <v>177.68888888888648</v>
      </c>
      <c r="P62" s="111">
        <f t="shared" si="49"/>
        <v>0</v>
      </c>
      <c r="Q62" s="255">
        <f t="shared" si="50"/>
        <v>-4.0888888888912902</v>
      </c>
      <c r="R62" s="85">
        <f t="shared" si="53"/>
        <v>0.97750611246942443</v>
      </c>
      <c r="S62" s="377"/>
      <c r="T62" s="22">
        <v>0.47222222222222199</v>
      </c>
      <c r="U62" s="22">
        <v>0.52430555555555602</v>
      </c>
      <c r="V62" s="30">
        <f t="shared" si="51"/>
        <v>9.999999999999325</v>
      </c>
      <c r="W62" s="248">
        <f t="shared" si="17"/>
        <v>75.000000000001009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-36.800000000021555</v>
      </c>
      <c r="AG62" s="247">
        <f>N62/K62</f>
        <v>0.97750611246942443</v>
      </c>
      <c r="AH62" s="384"/>
    </row>
    <row r="63" spans="1:34" ht="15" customHeight="1">
      <c r="A63" s="392"/>
      <c r="B63" s="75" t="s">
        <v>128</v>
      </c>
      <c r="C63" s="76"/>
      <c r="D63" s="175" t="s">
        <v>129</v>
      </c>
      <c r="E63" s="77"/>
      <c r="F63" s="250">
        <f>VLOOKUP(D63,廠價表!$C$1:$E$41,3,0)</f>
        <v>26.99</v>
      </c>
      <c r="G63" s="30">
        <v>1929</v>
      </c>
      <c r="H63" s="254">
        <f t="shared" si="52"/>
        <v>52063.71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46"/>
        <v>120.38461538461539</v>
      </c>
      <c r="M63" s="82">
        <v>13</v>
      </c>
      <c r="N63" s="107">
        <f t="shared" si="47"/>
        <v>1286</v>
      </c>
      <c r="O63" s="238">
        <f t="shared" si="48"/>
        <v>98.92307692307692</v>
      </c>
      <c r="P63" s="111">
        <f t="shared" si="49"/>
        <v>0</v>
      </c>
      <c r="Q63" s="255">
        <f t="shared" si="50"/>
        <v>-21.461538461538467</v>
      </c>
      <c r="R63" s="85">
        <f t="shared" si="53"/>
        <v>0.82172523961661337</v>
      </c>
      <c r="S63" s="377"/>
      <c r="T63" s="22">
        <v>0.57638888888888895</v>
      </c>
      <c r="U63" s="22">
        <v>0.63888888888888895</v>
      </c>
      <c r="V63" s="30">
        <f t="shared" si="51"/>
        <v>74.999999999999417</v>
      </c>
      <c r="W63" s="248">
        <f t="shared" si="17"/>
        <v>90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 t="s">
        <v>128</v>
      </c>
      <c r="C64" s="86"/>
      <c r="D64" s="175" t="s">
        <v>138</v>
      </c>
      <c r="E64" s="87"/>
      <c r="F64" s="250">
        <f>VLOOKUP(D64,廠價表!$C$1:$E$41,3,0)</f>
        <v>28.26</v>
      </c>
      <c r="G64" s="30">
        <v>1734</v>
      </c>
      <c r="H64" s="254">
        <f t="shared" si="52"/>
        <v>49002.840000000004</v>
      </c>
      <c r="I64" s="182"/>
      <c r="J64" s="106">
        <f>VLOOKUP(D64,產線配置圖!$A$3:$C$38,2,0)</f>
        <v>9</v>
      </c>
      <c r="K64" s="107">
        <f>VLOOKUP(D64,產線配置圖!$A$3:$C$38,3,0)</f>
        <v>1636</v>
      </c>
      <c r="L64" s="238">
        <f t="shared" si="46"/>
        <v>181.77777777777777</v>
      </c>
      <c r="M64" s="82">
        <v>9</v>
      </c>
      <c r="N64" s="107">
        <f t="shared" si="47"/>
        <v>1600.6153846153825</v>
      </c>
      <c r="O64" s="238">
        <f t="shared" si="48"/>
        <v>177.84615384615361</v>
      </c>
      <c r="P64" s="111">
        <f t="shared" si="49"/>
        <v>0</v>
      </c>
      <c r="Q64" s="255">
        <f t="shared" si="50"/>
        <v>-3.9316239316241592</v>
      </c>
      <c r="R64" s="85">
        <f t="shared" si="53"/>
        <v>0.97837126198984259</v>
      </c>
      <c r="S64" s="377"/>
      <c r="T64" s="22">
        <v>0.64583333333333304</v>
      </c>
      <c r="U64" s="22">
        <v>0.69097222222222199</v>
      </c>
      <c r="V64" s="30">
        <f t="shared" si="51"/>
        <v>9.9999999999994849</v>
      </c>
      <c r="W64" s="73">
        <f t="shared" si="17"/>
        <v>65.000000000000085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250"/>
      <c r="G65" s="30"/>
      <c r="H65" s="254"/>
      <c r="I65" s="182"/>
      <c r="J65" s="106"/>
      <c r="K65" s="107"/>
      <c r="L65" s="238"/>
      <c r="M65" s="82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2"/>
      <c r="U66" s="22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4">AVERAGE(J59:J68)</f>
        <v>11.333333333333334</v>
      </c>
      <c r="K69" s="240">
        <f t="shared" si="54"/>
        <v>1588.6666666666667</v>
      </c>
      <c r="L69" s="268">
        <f t="shared" si="54"/>
        <v>144.19301994301995</v>
      </c>
      <c r="M69" s="240">
        <f t="shared" si="54"/>
        <v>11.333333333333334</v>
      </c>
      <c r="N69" s="240">
        <f t="shared" si="54"/>
        <v>1469.169549748487</v>
      </c>
      <c r="O69" s="268">
        <f t="shared" si="54"/>
        <v>134.36340190024305</v>
      </c>
      <c r="P69" s="269">
        <f>M69-J69</f>
        <v>0</v>
      </c>
      <c r="Q69" s="222">
        <f>N69-K69</f>
        <v>-119.4971169181797</v>
      </c>
      <c r="R69" s="123">
        <f>O69/L69</f>
        <v>0.9318301395819214</v>
      </c>
      <c r="S69" s="380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20</v>
      </c>
      <c r="AB69" s="372"/>
      <c r="AC69" s="372"/>
      <c r="AD69" s="323">
        <f>SUM(AD59:AD68)</f>
        <v>1</v>
      </c>
      <c r="AE69" s="323">
        <f>SUM(AE59:AE68)</f>
        <v>1</v>
      </c>
      <c r="AF69" s="309">
        <f>N69-K69</f>
        <v>-119.4971169181797</v>
      </c>
      <c r="AG69" s="124">
        <f>N69/K69</f>
        <v>0.92478150424789363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1679</v>
      </c>
      <c r="H70" s="243">
        <f>F70*G70</f>
        <v>85074.930000000008</v>
      </c>
      <c r="I70" s="55"/>
      <c r="J70" s="136">
        <v>16</v>
      </c>
      <c r="K70" s="137">
        <v>1440</v>
      </c>
      <c r="L70" s="138">
        <f>K70/J70</f>
        <v>90</v>
      </c>
      <c r="M70" s="244">
        <v>11</v>
      </c>
      <c r="N70" s="137">
        <f>G70/W70*60</f>
        <v>978.05825242719561</v>
      </c>
      <c r="O70" s="138">
        <f>N70/M70</f>
        <v>88.914386584290511</v>
      </c>
      <c r="P70" s="56">
        <f>M70-J70</f>
        <v>-5</v>
      </c>
      <c r="Q70" s="230">
        <f>O70-L70</f>
        <v>-1.0856134157094885</v>
      </c>
      <c r="R70" s="52">
        <f>O70/L70</f>
        <v>0.98793762871433899</v>
      </c>
      <c r="S70" s="376">
        <f>R79</f>
        <v>0.79983632510319058</v>
      </c>
      <c r="T70" s="245">
        <v>0.33680555555555602</v>
      </c>
      <c r="U70" s="245">
        <v>0.40833333333333299</v>
      </c>
      <c r="V70" s="55"/>
      <c r="W70" s="54">
        <f t="shared" si="17"/>
        <v>102.99999999999883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-461.94174757280439</v>
      </c>
      <c r="AG70" s="246">
        <f>N70/K70</f>
        <v>0.67920711974110803</v>
      </c>
      <c r="AH70" s="382">
        <f>AG79</f>
        <v>0.68042826976141946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713</v>
      </c>
      <c r="H71" s="254">
        <f t="shared" ref="H71:H73" si="55">F71*G71</f>
        <v>40234.589999999997</v>
      </c>
      <c r="I71" s="23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3" si="56">K71/J71</f>
        <v>87.875</v>
      </c>
      <c r="M71" s="82">
        <v>16</v>
      </c>
      <c r="N71" s="107">
        <f t="shared" ref="N71:N73" si="57">G71/W71*60</f>
        <v>679.04761904761972</v>
      </c>
      <c r="O71" s="238">
        <f t="shared" ref="O71:O73" si="58">N71/M71</f>
        <v>42.440476190476232</v>
      </c>
      <c r="P71" s="111">
        <f t="shared" ref="P71:P73" si="59">M71-J71</f>
        <v>0</v>
      </c>
      <c r="Q71" s="255">
        <f t="shared" ref="Q71:Q73" si="60">O71-L71</f>
        <v>-45.434523809523768</v>
      </c>
      <c r="R71" s="85">
        <f t="shared" ref="R71:R73" si="61">O71/L71</f>
        <v>0.48296416717469398</v>
      </c>
      <c r="S71" s="377"/>
      <c r="T71" s="22">
        <v>0.41666666666666702</v>
      </c>
      <c r="U71" s="22">
        <v>0.46041666666666697</v>
      </c>
      <c r="V71" s="30">
        <f t="shared" ref="V71:V73" si="62">(T71-U70)*24*60</f>
        <v>12.000000000000997</v>
      </c>
      <c r="W71" s="73">
        <f t="shared" si="17"/>
        <v>62.999999999999936</v>
      </c>
      <c r="X71" s="271"/>
      <c r="Y71" s="293"/>
      <c r="Z71" s="90"/>
      <c r="AA71" s="90"/>
      <c r="AB71" s="387" t="s">
        <v>169</v>
      </c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1563</v>
      </c>
      <c r="H72" s="254">
        <f t="shared" si="55"/>
        <v>44170.380000000005</v>
      </c>
      <c r="I72" s="23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6"/>
        <v>181.77777777777777</v>
      </c>
      <c r="M72" s="82">
        <v>9</v>
      </c>
      <c r="N72" s="107">
        <f t="shared" si="57"/>
        <v>1339.7142857142906</v>
      </c>
      <c r="O72" s="238">
        <f t="shared" si="58"/>
        <v>148.8571428571434</v>
      </c>
      <c r="P72" s="111">
        <f t="shared" si="59"/>
        <v>0</v>
      </c>
      <c r="Q72" s="255">
        <f t="shared" si="60"/>
        <v>-32.92063492063437</v>
      </c>
      <c r="R72" s="85">
        <f t="shared" si="61"/>
        <v>0.8188962626615468</v>
      </c>
      <c r="S72" s="377"/>
      <c r="T72" s="22">
        <v>0.46527777777777801</v>
      </c>
      <c r="U72" s="22">
        <v>0.51388888888888895</v>
      </c>
      <c r="V72" s="30">
        <f t="shared" si="62"/>
        <v>6.9999999999998952</v>
      </c>
      <c r="W72" s="73">
        <f t="shared" si="17"/>
        <v>69.999999999999744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86"/>
      <c r="D73" s="59" t="s">
        <v>132</v>
      </c>
      <c r="E73" s="87"/>
      <c r="F73" s="250">
        <f>VLOOKUP(D73,廠價表!$C$1:$E$41,3,0)</f>
        <v>50.67</v>
      </c>
      <c r="G73" s="202">
        <v>1222</v>
      </c>
      <c r="H73" s="254">
        <f t="shared" si="55"/>
        <v>61918.740000000005</v>
      </c>
      <c r="I73" s="232"/>
      <c r="J73" s="106">
        <v>16</v>
      </c>
      <c r="K73" s="107">
        <v>1440</v>
      </c>
      <c r="L73" s="238">
        <f t="shared" si="56"/>
        <v>90</v>
      </c>
      <c r="M73" s="82">
        <v>13</v>
      </c>
      <c r="N73" s="107">
        <f t="shared" si="57"/>
        <v>1032.6760563380203</v>
      </c>
      <c r="O73" s="238">
        <f t="shared" si="58"/>
        <v>79.436619718309259</v>
      </c>
      <c r="P73" s="111">
        <f t="shared" si="59"/>
        <v>-3</v>
      </c>
      <c r="Q73" s="255">
        <f t="shared" si="60"/>
        <v>-10.563380281690741</v>
      </c>
      <c r="R73" s="85">
        <f t="shared" si="61"/>
        <v>0.88262910798121397</v>
      </c>
      <c r="S73" s="377"/>
      <c r="T73" s="22">
        <v>0.58472222222222203</v>
      </c>
      <c r="U73" s="22">
        <v>0.63402777777777797</v>
      </c>
      <c r="V73" s="30">
        <f t="shared" si="62"/>
        <v>101.99999999999963</v>
      </c>
      <c r="W73" s="73">
        <f t="shared" si="17"/>
        <v>71.00000000000054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3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4">AVERAGE(J70:J78)</f>
        <v>14.25</v>
      </c>
      <c r="K79" s="240">
        <f t="shared" si="64"/>
        <v>1480.5</v>
      </c>
      <c r="L79" s="268">
        <f t="shared" si="64"/>
        <v>112.41319444444444</v>
      </c>
      <c r="M79" s="240">
        <f t="shared" si="64"/>
        <v>12.25</v>
      </c>
      <c r="N79" s="240">
        <f t="shared" si="64"/>
        <v>1007.3740533817816</v>
      </c>
      <c r="O79" s="268">
        <f t="shared" si="64"/>
        <v>89.912156337554848</v>
      </c>
      <c r="P79" s="269">
        <f>M79-J79</f>
        <v>-2</v>
      </c>
      <c r="Q79" s="222">
        <f>N79-K79</f>
        <v>-473.12594661821845</v>
      </c>
      <c r="R79" s="223">
        <f>O79/L79</f>
        <v>0.79983632510319058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-473.12594661821845</v>
      </c>
      <c r="AG79" s="124">
        <f>N79/K79</f>
        <v>0.68042826976141946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R3:R4"/>
    <mergeCell ref="A2:B2"/>
    <mergeCell ref="A3:A4"/>
    <mergeCell ref="B3:B4"/>
    <mergeCell ref="D3:E4"/>
    <mergeCell ref="F3:F4"/>
    <mergeCell ref="P1:S2"/>
    <mergeCell ref="T1:Y2"/>
    <mergeCell ref="AB1:AC2"/>
    <mergeCell ref="A5:A15"/>
    <mergeCell ref="D15:E15"/>
    <mergeCell ref="AB13:AC13"/>
    <mergeCell ref="S5:S15"/>
    <mergeCell ref="AB5:AC5"/>
    <mergeCell ref="AB15:AC15"/>
    <mergeCell ref="AB8:AC8"/>
    <mergeCell ref="AB9:AC9"/>
    <mergeCell ref="AB10:AC10"/>
    <mergeCell ref="AB11:AC11"/>
    <mergeCell ref="AB12:AC12"/>
    <mergeCell ref="H3:H4"/>
    <mergeCell ref="I3:I4"/>
    <mergeCell ref="AB14:AC14"/>
    <mergeCell ref="J3:J4"/>
    <mergeCell ref="K3:K4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AF1:AH2"/>
    <mergeCell ref="L3:L4"/>
    <mergeCell ref="M3:M4"/>
    <mergeCell ref="AG3:AG4"/>
    <mergeCell ref="AH3:AH4"/>
    <mergeCell ref="S3:S4"/>
    <mergeCell ref="P3:P4"/>
    <mergeCell ref="Q3:Q4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9738F6-364D-4783-8B08-18A453135A3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9040-FCAA-4BE9-BBA9-75085DC16707}">
  <dimension ref="B1:O26"/>
  <sheetViews>
    <sheetView zoomScale="70" zoomScaleNormal="70" workbookViewId="0">
      <selection activeCell="Q71" sqref="Q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46098</v>
      </c>
      <c r="E3" s="466"/>
      <c r="F3" s="3" t="s">
        <v>72</v>
      </c>
      <c r="G3" s="467">
        <f>'0317'!E1</f>
        <v>64275</v>
      </c>
      <c r="H3" s="467"/>
      <c r="I3" s="3" t="s">
        <v>2</v>
      </c>
      <c r="J3" s="468">
        <f>'0317'!G1</f>
        <v>3093937.9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125.23579982575779</v>
      </c>
      <c r="G6" s="473"/>
      <c r="H6" s="474">
        <f>AVERAGE(D13:H13,J13)</f>
        <v>123.32908840070604</v>
      </c>
      <c r="I6" s="474"/>
      <c r="J6" s="474">
        <f>AVERAGE(I13)</f>
        <v>136.67606837606837</v>
      </c>
      <c r="K6" s="474"/>
      <c r="L6" s="499">
        <f>SUM(D18:J18)</f>
        <v>1</v>
      </c>
      <c r="M6" s="477">
        <f>SUM(D19:J19)</f>
        <v>10</v>
      </c>
      <c r="N6" s="500">
        <f>SUM(D20:J20)</f>
        <v>2</v>
      </c>
      <c r="O6" s="477">
        <f>SUM(D20:J20)</f>
        <v>2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108.08612946694326</v>
      </c>
      <c r="G7" s="497"/>
      <c r="H7" s="498">
        <f>AVERAGE(D14:H14,J14)</f>
        <v>107.32238074841247</v>
      </c>
      <c r="I7" s="498"/>
      <c r="J7" s="498">
        <f>AVERAGE(I14)</f>
        <v>112.66862177812803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0.86306095874602073</v>
      </c>
      <c r="G8" s="470"/>
      <c r="H8" s="470">
        <f>H7/H6</f>
        <v>0.87021141678849923</v>
      </c>
      <c r="I8" s="470"/>
      <c r="J8" s="470">
        <f>J7/J6</f>
        <v>0.82434784023869401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VALUE('0317'!L15)</f>
        <v>148.12820512820514</v>
      </c>
      <c r="E13" s="13">
        <f>VALUE('0317'!L26)</f>
        <v>170.39772727272725</v>
      </c>
      <c r="F13" s="13">
        <f>VALUE('0317'!L37)</f>
        <v>100.92887955182073</v>
      </c>
      <c r="G13" s="13">
        <f>VALUE('0317'!L48)</f>
        <v>98.196078431372541</v>
      </c>
      <c r="H13" s="13">
        <f>VALUE('0317'!L58)</f>
        <v>106.51039215686274</v>
      </c>
      <c r="I13" s="13">
        <f>VALUE('0317'!L69)</f>
        <v>136.67606837606837</v>
      </c>
      <c r="J13" s="13">
        <f>'0317'!L79</f>
        <v>115.81324786324785</v>
      </c>
    </row>
    <row r="14" spans="2:15" ht="39.950000000000003" customHeight="1">
      <c r="B14" s="491"/>
      <c r="C14" s="12" t="s">
        <v>100</v>
      </c>
      <c r="D14" s="13">
        <f>VALUE('0317'!O15)</f>
        <v>126.55757733035122</v>
      </c>
      <c r="E14" s="13">
        <f>VALUE('0317'!O26)</f>
        <v>150.36908414701037</v>
      </c>
      <c r="F14" s="13">
        <f>VALUE('0317'!O37)</f>
        <v>88.492847716009607</v>
      </c>
      <c r="G14" s="13">
        <f>VALUE('0317'!O48)</f>
        <v>86.481820685380853</v>
      </c>
      <c r="H14" s="13">
        <f>VALUE('0317'!O58)</f>
        <v>97.238828514926439</v>
      </c>
      <c r="I14" s="13">
        <f>VALUE('0317'!O69)</f>
        <v>112.66862177812803</v>
      </c>
      <c r="J14" s="13">
        <f>'0317'!O79</f>
        <v>94.794126096796418</v>
      </c>
    </row>
    <row r="15" spans="2:15" ht="39.950000000000003" customHeight="1">
      <c r="B15" s="492"/>
      <c r="C15" s="10" t="s">
        <v>26</v>
      </c>
      <c r="D15" s="14">
        <f>D14/D13</f>
        <v>0.85437865949172531</v>
      </c>
      <c r="E15" s="14">
        <f t="shared" ref="E15:I15" si="1">E14/E13</f>
        <v>0.8824594468113981</v>
      </c>
      <c r="F15" s="14">
        <f t="shared" si="1"/>
        <v>0.87678420793895773</v>
      </c>
      <c r="G15" s="14">
        <f t="shared" si="1"/>
        <v>0.88070544228323155</v>
      </c>
      <c r="H15" s="14">
        <f t="shared" si="1"/>
        <v>0.91295155848941345</v>
      </c>
      <c r="I15" s="14">
        <f t="shared" si="1"/>
        <v>0.82434784023869401</v>
      </c>
      <c r="J15" s="15">
        <f>'0317'!S70</f>
        <v>0.81850848539131904</v>
      </c>
    </row>
    <row r="16" spans="2:15" ht="17.25" customHeight="1">
      <c r="B16" s="493" t="s">
        <v>101</v>
      </c>
      <c r="C16" s="10" t="s">
        <v>34</v>
      </c>
      <c r="D16" s="16">
        <f>'0317'!T5</f>
        <v>0.29166666666666702</v>
      </c>
      <c r="E16" s="16">
        <f>'0317'!T16</f>
        <v>0.29097222222222202</v>
      </c>
      <c r="F16" s="16">
        <f>'0317'!T27</f>
        <v>0.29166666666666702</v>
      </c>
      <c r="G16" s="16">
        <f>'0317'!T38</f>
        <v>0.33333333333333298</v>
      </c>
      <c r="H16" s="16">
        <f>'0317'!T49</f>
        <v>0.29166666666666702</v>
      </c>
      <c r="I16" s="16">
        <f>'0317'!T59</f>
        <v>0.29166666666666702</v>
      </c>
      <c r="J16" s="16">
        <f>'0317'!T70</f>
        <v>0.34375</v>
      </c>
    </row>
    <row r="17" spans="2:10" ht="17.25" customHeight="1">
      <c r="B17" s="494"/>
      <c r="C17" s="10" t="s">
        <v>35</v>
      </c>
      <c r="D17" s="16">
        <v>0.67291666666666705</v>
      </c>
      <c r="E17" s="19">
        <v>0.60486111111111096</v>
      </c>
      <c r="F17" s="19">
        <v>0.63888888888888895</v>
      </c>
      <c r="G17" s="210">
        <v>0.66666666666666696</v>
      </c>
      <c r="H17" s="21">
        <v>0.65972222222222199</v>
      </c>
      <c r="I17" s="22">
        <v>0.66319444444444398</v>
      </c>
      <c r="J17" s="22">
        <v>0.63888888888888895</v>
      </c>
    </row>
    <row r="18" spans="2:10" ht="17.25" customHeight="1">
      <c r="B18" s="495" t="s">
        <v>102</v>
      </c>
      <c r="C18" s="330" t="s">
        <v>36</v>
      </c>
      <c r="D18" s="358">
        <f>'0317'!Z15</f>
        <v>0</v>
      </c>
      <c r="E18" s="359">
        <f>'0317'!Z26</f>
        <v>0</v>
      </c>
      <c r="F18" s="359">
        <f>'0317'!Z37</f>
        <v>1</v>
      </c>
      <c r="G18" s="360">
        <f>'0317'!Z48</f>
        <v>0</v>
      </c>
      <c r="H18" s="360">
        <f>'0317'!Z58</f>
        <v>0</v>
      </c>
      <c r="I18" s="359">
        <f>'0317'!Z69</f>
        <v>0</v>
      </c>
      <c r="J18" s="359">
        <f>'0317'!AA79</f>
        <v>0</v>
      </c>
    </row>
    <row r="19" spans="2:10" ht="17.25" customHeight="1">
      <c r="B19" s="496"/>
      <c r="C19" s="330" t="s">
        <v>37</v>
      </c>
      <c r="D19" s="358">
        <f>'0317'!AA15</f>
        <v>0</v>
      </c>
      <c r="E19" s="359">
        <f>'0317'!AA26</f>
        <v>0</v>
      </c>
      <c r="F19" s="359">
        <f>'0317'!AA37</f>
        <v>10</v>
      </c>
      <c r="G19" s="360">
        <f>'0317'!AA48</f>
        <v>0</v>
      </c>
      <c r="H19" s="360">
        <f>'0317'!AA58</f>
        <v>0</v>
      </c>
      <c r="I19" s="359">
        <f>'0317'!AA69</f>
        <v>0</v>
      </c>
      <c r="J19" s="359">
        <f>'0317'!AB79</f>
        <v>0</v>
      </c>
    </row>
    <row r="20" spans="2:10" ht="17.25" customHeight="1">
      <c r="B20" s="495" t="s">
        <v>103</v>
      </c>
      <c r="C20" s="330" t="s">
        <v>36</v>
      </c>
      <c r="D20" s="358">
        <f>'0317'!AD15</f>
        <v>1</v>
      </c>
      <c r="E20" s="359">
        <f>'0317'!AD26</f>
        <v>1</v>
      </c>
      <c r="F20" s="359">
        <f>'0317'!AD37</f>
        <v>0</v>
      </c>
      <c r="G20" s="360">
        <f>'0317'!AD48</f>
        <v>0</v>
      </c>
      <c r="H20" s="360">
        <f>'0317'!AD58</f>
        <v>0</v>
      </c>
      <c r="I20" s="359">
        <f>'0317'!AD69</f>
        <v>0</v>
      </c>
      <c r="J20" s="359">
        <f>'0317'!AD79</f>
        <v>0</v>
      </c>
    </row>
    <row r="21" spans="2:10" ht="17.25" customHeight="1">
      <c r="B21" s="496"/>
      <c r="C21" s="330" t="s">
        <v>85</v>
      </c>
      <c r="D21" s="358">
        <f>'0317'!AE15</f>
        <v>1</v>
      </c>
      <c r="E21" s="359">
        <f>'0317'!AE26</f>
        <v>1</v>
      </c>
      <c r="F21" s="359">
        <f>'0317'!AE37</f>
        <v>0</v>
      </c>
      <c r="G21" s="360">
        <f>'0317'!AE48</f>
        <v>0</v>
      </c>
      <c r="H21" s="360">
        <f>'0317'!AE58</f>
        <v>0</v>
      </c>
      <c r="I21" s="359">
        <f>'0317'!AE69</f>
        <v>0</v>
      </c>
      <c r="J21" s="359">
        <f>'0317'!AE79</f>
        <v>0</v>
      </c>
    </row>
    <row r="22" spans="2:10" ht="17.25" customHeight="1">
      <c r="B22" s="479" t="s">
        <v>104</v>
      </c>
      <c r="C22" s="480"/>
      <c r="D22" s="23">
        <f>VALUE('0317'!M15)</f>
        <v>14.5</v>
      </c>
      <c r="E22" s="23">
        <f>VALUE('0317'!M26)</f>
        <v>12.25</v>
      </c>
      <c r="F22" s="23">
        <f>VALUE('0317'!M37)</f>
        <v>15.8</v>
      </c>
      <c r="G22" s="23">
        <f>VALUE('0317'!M48)</f>
        <v>16</v>
      </c>
      <c r="H22" s="23">
        <f>VALUE('0317'!M58)</f>
        <v>15.4</v>
      </c>
      <c r="I22" s="23">
        <f>VALUE('0317'!M69)</f>
        <v>12</v>
      </c>
      <c r="J22" s="23">
        <f>'0317'!M79</f>
        <v>11.8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FD00-6A0A-44E8-A498-879553CFC330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Q71" sqref="Q71"/>
      <selection pane="topRight" activeCell="Q71" sqref="Q71"/>
      <selection pane="bottomLeft" activeCell="Q71" sqref="Q71"/>
      <selection pane="bottomRight" activeCell="K40" sqref="K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64275</v>
      </c>
      <c r="F1" s="30" t="s">
        <v>2</v>
      </c>
      <c r="G1" s="31">
        <f>SUM(H5:H79)</f>
        <v>3093937.9</v>
      </c>
      <c r="H1" s="32" t="s">
        <v>3</v>
      </c>
      <c r="I1" s="33">
        <f>M15+M26+M48+M58+M69+M79+M37</f>
        <v>97.75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171</v>
      </c>
      <c r="B2" s="447"/>
      <c r="C2" s="28"/>
      <c r="D2" s="28" t="s">
        <v>14</v>
      </c>
      <c r="E2" s="35">
        <f>AVERAGE(O15,O26,O37,O48,O58,O69,O79)</f>
        <v>108.08612946694326</v>
      </c>
      <c r="F2" s="36" t="s">
        <v>15</v>
      </c>
      <c r="G2" s="37">
        <f>G1/E1</f>
        <v>48.135945546479967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10</v>
      </c>
      <c r="AB2" s="445"/>
      <c r="AC2" s="445"/>
      <c r="AD2" s="340">
        <f>AD15+AD26+AD37+AD48+AD58+AD69+AD79</f>
        <v>2</v>
      </c>
      <c r="AE2" s="340">
        <f>AE15+AE26+AE37+AE48+AE58+AE69+AE79</f>
        <v>2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3392</v>
      </c>
      <c r="H5" s="43">
        <f>F5*G5</f>
        <v>194056.32000000001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8" si="0">K5/J5</f>
        <v>133.33333333333334</v>
      </c>
      <c r="M5" s="48">
        <v>16</v>
      </c>
      <c r="N5" s="46">
        <f t="shared" ref="N5:N8" si="1">G5/W5*60</f>
        <v>1739.4871794871797</v>
      </c>
      <c r="O5" s="47">
        <f t="shared" ref="O5:O8" si="2">N5/M5</f>
        <v>108.71794871794873</v>
      </c>
      <c r="P5" s="49">
        <f t="shared" ref="P5:P8" si="3">M5-J5</f>
        <v>1</v>
      </c>
      <c r="Q5" s="50">
        <f t="shared" ref="Q5:Q8" si="4">O5-L5</f>
        <v>-24.615384615384613</v>
      </c>
      <c r="R5" s="51">
        <f t="shared" ref="R5:R8" si="5">O5/L5</f>
        <v>0.81538461538461537</v>
      </c>
      <c r="S5" s="376">
        <f>R15</f>
        <v>0.85437865949172531</v>
      </c>
      <c r="T5" s="319">
        <v>0.29166666666666702</v>
      </c>
      <c r="U5" s="320">
        <v>0.37291666666666701</v>
      </c>
      <c r="V5" s="53"/>
      <c r="W5" s="54">
        <f>(U5-T5)*24*60</f>
        <v>116.99999999999999</v>
      </c>
      <c r="X5" s="55"/>
      <c r="Y5" s="290"/>
      <c r="Z5" s="169"/>
      <c r="AA5" s="169"/>
      <c r="AB5" s="381" t="s">
        <v>173</v>
      </c>
      <c r="AC5" s="381"/>
      <c r="AD5" s="135"/>
      <c r="AE5" s="135"/>
      <c r="AF5" s="229">
        <f t="shared" ref="AF5:AF11" si="6">N5-K5</f>
        <v>-260.51282051282033</v>
      </c>
      <c r="AG5" s="52">
        <f t="shared" ref="AG5:AG11" si="7">N5/K5</f>
        <v>0.86974358974358978</v>
      </c>
      <c r="AH5" s="382">
        <f>AG15</f>
        <v>0.88056926366772781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3710</v>
      </c>
      <c r="H6" s="63">
        <f>F6*G6</f>
        <v>182309.4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1935.6521739130446</v>
      </c>
      <c r="O6" s="67">
        <f t="shared" si="2"/>
        <v>148.89632107023419</v>
      </c>
      <c r="P6" s="69">
        <f t="shared" si="3"/>
        <v>0</v>
      </c>
      <c r="Q6" s="70">
        <f t="shared" si="4"/>
        <v>-14.02675585284274</v>
      </c>
      <c r="R6" s="71">
        <f t="shared" si="5"/>
        <v>0.91390565340559227</v>
      </c>
      <c r="S6" s="377"/>
      <c r="T6" s="16">
        <v>0.39791666666666697</v>
      </c>
      <c r="U6" s="16">
        <v>0.47777777777777802</v>
      </c>
      <c r="V6" s="30">
        <f>(T6-U5)*24*60</f>
        <v>35.99999999999995</v>
      </c>
      <c r="W6" s="73">
        <f>(U6-T6)*24*60</f>
        <v>114.99999999999991</v>
      </c>
      <c r="X6" s="22"/>
      <c r="Y6" s="84"/>
      <c r="Z6" s="90"/>
      <c r="AA6" s="90"/>
      <c r="AB6" s="388" t="s">
        <v>148</v>
      </c>
      <c r="AC6" s="388"/>
      <c r="AD6" s="149">
        <v>1</v>
      </c>
      <c r="AE6" s="149">
        <v>1</v>
      </c>
      <c r="AF6" s="307">
        <f t="shared" si="6"/>
        <v>-182.34782608695537</v>
      </c>
      <c r="AG6" s="72">
        <f t="shared" si="7"/>
        <v>0.91390565340559238</v>
      </c>
      <c r="AH6" s="384"/>
    </row>
    <row r="7" spans="1:34" ht="15" customHeight="1">
      <c r="A7" s="423"/>
      <c r="B7" s="75" t="s">
        <v>81</v>
      </c>
      <c r="C7" s="76"/>
      <c r="D7" s="59" t="s">
        <v>172</v>
      </c>
      <c r="E7" s="77"/>
      <c r="F7" s="75">
        <f>VLOOKUP(D7,廠價表!$C$1:$E$41,3,0)</f>
        <v>57.21</v>
      </c>
      <c r="G7" s="66">
        <v>3130</v>
      </c>
      <c r="H7" s="78">
        <f>F7*G7</f>
        <v>179067.3</v>
      </c>
      <c r="I7" s="73"/>
      <c r="J7" s="79">
        <f>VLOOKUP(D7,產線配置圖!$A$3:$C$38,2,0)</f>
        <v>15</v>
      </c>
      <c r="K7" s="80">
        <f>VLOOKUP(D7,產線配置圖!$A$3:$C$38,3,0)</f>
        <v>2000</v>
      </c>
      <c r="L7" s="81">
        <f t="shared" si="0"/>
        <v>133.33333333333334</v>
      </c>
      <c r="M7" s="82">
        <v>16</v>
      </c>
      <c r="N7" s="80">
        <f t="shared" si="1"/>
        <v>1841.176470588242</v>
      </c>
      <c r="O7" s="81">
        <f t="shared" si="2"/>
        <v>115.07352941176512</v>
      </c>
      <c r="P7" s="74">
        <f t="shared" si="3"/>
        <v>1</v>
      </c>
      <c r="Q7" s="83">
        <f t="shared" si="4"/>
        <v>-18.259803921568221</v>
      </c>
      <c r="R7" s="72">
        <f t="shared" si="5"/>
        <v>0.86305147058823839</v>
      </c>
      <c r="S7" s="377"/>
      <c r="T7" s="18">
        <v>0.54166666666666696</v>
      </c>
      <c r="U7" s="18">
        <v>0.61250000000000004</v>
      </c>
      <c r="V7" s="30">
        <f>(T7-U6)*24*60</f>
        <v>92.000000000000071</v>
      </c>
      <c r="W7" s="73">
        <f>(U7-T7)*24*60</f>
        <v>101.99999999999963</v>
      </c>
      <c r="X7" s="22"/>
      <c r="Y7" s="84"/>
      <c r="Z7" s="90"/>
      <c r="AA7" s="90"/>
      <c r="AB7" s="388" t="s">
        <v>173</v>
      </c>
      <c r="AC7" s="388"/>
      <c r="AD7" s="92"/>
      <c r="AE7" s="92"/>
      <c r="AF7" s="307">
        <f t="shared" si="6"/>
        <v>-158.82352941175805</v>
      </c>
      <c r="AG7" s="72">
        <f t="shared" si="7"/>
        <v>0.92058823529412093</v>
      </c>
      <c r="AH7" s="384"/>
    </row>
    <row r="8" spans="1:34" ht="15" customHeight="1">
      <c r="A8" s="423"/>
      <c r="B8" s="75" t="s">
        <v>81</v>
      </c>
      <c r="C8" s="76"/>
      <c r="D8" s="59" t="s">
        <v>117</v>
      </c>
      <c r="E8" s="77"/>
      <c r="F8" s="75">
        <f>VLOOKUP(D8,廠價表!$C$1:$E$41,3,0)</f>
        <v>49.14</v>
      </c>
      <c r="G8" s="66">
        <v>2199</v>
      </c>
      <c r="H8" s="78">
        <f>F8*G8</f>
        <v>108058.86</v>
      </c>
      <c r="I8" s="73"/>
      <c r="J8" s="79">
        <f>VLOOKUP(D8,產線配置圖!$A$3:$C$38,2,0)</f>
        <v>13</v>
      </c>
      <c r="K8" s="80">
        <v>2118</v>
      </c>
      <c r="L8" s="81">
        <f t="shared" si="0"/>
        <v>162.92307692307693</v>
      </c>
      <c r="M8" s="82">
        <v>13</v>
      </c>
      <c r="N8" s="80">
        <f t="shared" si="1"/>
        <v>1736.0526315789389</v>
      </c>
      <c r="O8" s="81">
        <f t="shared" si="2"/>
        <v>133.54251012145684</v>
      </c>
      <c r="P8" s="74">
        <f t="shared" si="3"/>
        <v>0</v>
      </c>
      <c r="Q8" s="83">
        <f t="shared" si="4"/>
        <v>-29.380566801620091</v>
      </c>
      <c r="R8" s="72">
        <f t="shared" si="5"/>
        <v>0.81966602057551408</v>
      </c>
      <c r="S8" s="377"/>
      <c r="T8" s="16">
        <v>0.62013888888888902</v>
      </c>
      <c r="U8" s="16">
        <v>0.67291666666666705</v>
      </c>
      <c r="V8" s="30">
        <f>(T8-U7)*24*60</f>
        <v>11.000000000000121</v>
      </c>
      <c r="W8" s="73">
        <f>('0317總'!D17-T8)*24*60</f>
        <v>76.000000000000369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6"/>
        <v>-381.94736842106113</v>
      </c>
      <c r="AG8" s="72">
        <f t="shared" si="7"/>
        <v>0.81966602057551408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ref="W9:W14" si="8">(U9-T9)*24*60</f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6"/>
        <v>0</v>
      </c>
      <c r="AG9" s="72" t="e">
        <f t="shared" si="7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8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6"/>
        <v>0</v>
      </c>
      <c r="AG10" s="72" t="e">
        <f t="shared" si="7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8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6"/>
        <v>0</v>
      </c>
      <c r="AG11" s="72" t="e">
        <f t="shared" si="7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8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8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8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14</v>
      </c>
      <c r="K15" s="120">
        <f t="shared" si="9"/>
        <v>2059</v>
      </c>
      <c r="L15" s="117">
        <f t="shared" si="9"/>
        <v>148.12820512820514</v>
      </c>
      <c r="M15" s="120">
        <f t="shared" si="9"/>
        <v>14.5</v>
      </c>
      <c r="N15" s="120">
        <f t="shared" si="9"/>
        <v>1813.0921138918516</v>
      </c>
      <c r="O15" s="117">
        <f t="shared" si="9"/>
        <v>126.55757733035122</v>
      </c>
      <c r="P15" s="121">
        <f t="shared" ref="P15:P19" si="10">M15-J15</f>
        <v>0.5</v>
      </c>
      <c r="Q15" s="122">
        <f t="shared" ref="Q15:Q19" si="11">O15-L15</f>
        <v>-21.570627797853916</v>
      </c>
      <c r="R15" s="123">
        <f t="shared" ref="R15:R19" si="12">O15/L15</f>
        <v>0.85437865949172531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1</v>
      </c>
      <c r="AE15" s="323">
        <f>SUM(AE5:AE14)</f>
        <v>1</v>
      </c>
      <c r="AF15" s="309">
        <f t="shared" ref="AF15:AF19" si="13">N15-K15</f>
        <v>-245.90788610814843</v>
      </c>
      <c r="AG15" s="124">
        <f t="shared" ref="AG15:AG19" si="14">N15/K15</f>
        <v>0.88056926366772781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1002</v>
      </c>
      <c r="H16" s="134">
        <f>F16*G16</f>
        <v>56392.56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1398.1395348837259</v>
      </c>
      <c r="O16" s="141">
        <f>N16/M16</f>
        <v>93.209302325581731</v>
      </c>
      <c r="P16" s="142">
        <f>M16-J16</f>
        <v>0</v>
      </c>
      <c r="Q16" s="143">
        <f t="shared" si="11"/>
        <v>-26.790697674418269</v>
      </c>
      <c r="R16" s="144">
        <f>O16/L16</f>
        <v>0.77674418604651441</v>
      </c>
      <c r="S16" s="413">
        <f>R26</f>
        <v>0.8824594468113981</v>
      </c>
      <c r="T16" s="145">
        <v>0.29097222222222202</v>
      </c>
      <c r="U16" s="145">
        <v>0.32083333333333303</v>
      </c>
      <c r="V16" s="135"/>
      <c r="W16" s="146">
        <f t="shared" ref="W16:W78" si="17">(U16-T16)*24*60</f>
        <v>42.999999999999844</v>
      </c>
      <c r="X16" s="141"/>
      <c r="Y16" s="296"/>
      <c r="Z16" s="169"/>
      <c r="AA16" s="169"/>
      <c r="AB16" s="381" t="s">
        <v>174</v>
      </c>
      <c r="AC16" s="381"/>
      <c r="AD16" s="135"/>
      <c r="AE16" s="135"/>
      <c r="AF16" s="229">
        <f t="shared" si="13"/>
        <v>-401.8604651162741</v>
      </c>
      <c r="AG16" s="52">
        <f t="shared" si="14"/>
        <v>0.77674418604651441</v>
      </c>
      <c r="AH16" s="382">
        <f>AG26</f>
        <v>0.87867193363484231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4004</v>
      </c>
      <c r="H17" s="78">
        <f>F17*G17</f>
        <v>202882.68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2107.3684210526494</v>
      </c>
      <c r="O17" s="96">
        <f t="shared" ref="O17:O19" si="18">N17/M17</f>
        <v>175.61403508772079</v>
      </c>
      <c r="P17" s="97">
        <f t="shared" si="10"/>
        <v>0</v>
      </c>
      <c r="Q17" s="98">
        <f t="shared" si="11"/>
        <v>-0.88596491227920637</v>
      </c>
      <c r="R17" s="99">
        <f t="shared" si="12"/>
        <v>0.99498036876895635</v>
      </c>
      <c r="S17" s="414"/>
      <c r="T17" s="19">
        <v>0.327777777777778</v>
      </c>
      <c r="U17" s="19">
        <v>0.406944444444444</v>
      </c>
      <c r="V17" s="30">
        <f>(T17-U16)*24*60</f>
        <v>10.000000000000764</v>
      </c>
      <c r="W17" s="149">
        <f t="shared" si="17"/>
        <v>113.99999999999903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-10.63157894735059</v>
      </c>
      <c r="AG17" s="72">
        <f t="shared" si="14"/>
        <v>0.99498036876895624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2966</v>
      </c>
      <c r="H18" s="78">
        <f>F18*G18</f>
        <v>149456.74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1934.347826086952</v>
      </c>
      <c r="O18" s="96">
        <f t="shared" si="18"/>
        <v>175.84980237154107</v>
      </c>
      <c r="P18" s="97">
        <f t="shared" si="10"/>
        <v>0</v>
      </c>
      <c r="Q18" s="98">
        <f t="shared" si="11"/>
        <v>-16.695652173913459</v>
      </c>
      <c r="R18" s="99">
        <f t="shared" si="12"/>
        <v>0.91328981401650233</v>
      </c>
      <c r="S18" s="414"/>
      <c r="T18" s="19">
        <v>0.41388888888888897</v>
      </c>
      <c r="U18" s="19">
        <v>0.47777777777777802</v>
      </c>
      <c r="V18" s="30">
        <f>(T18-U17)*24*60</f>
        <v>10.000000000000764</v>
      </c>
      <c r="W18" s="149">
        <f t="shared" si="17"/>
        <v>92.000000000000227</v>
      </c>
      <c r="X18" s="22">
        <v>0.48611111111111099</v>
      </c>
      <c r="Y18" s="84">
        <v>0.52777777777777801</v>
      </c>
      <c r="Z18" s="90"/>
      <c r="AA18" s="90"/>
      <c r="AB18" s="388" t="s">
        <v>148</v>
      </c>
      <c r="AC18" s="388"/>
      <c r="AD18" s="92">
        <v>1</v>
      </c>
      <c r="AE18" s="92">
        <v>1</v>
      </c>
      <c r="AF18" s="307">
        <f t="shared" si="13"/>
        <v>-183.65217391304805</v>
      </c>
      <c r="AG18" s="72">
        <f t="shared" si="14"/>
        <v>0.91328981401650233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2616</v>
      </c>
      <c r="H19" s="78">
        <f>F19*G19</f>
        <v>131820.24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1724.835164835177</v>
      </c>
      <c r="O19" s="96">
        <f t="shared" si="18"/>
        <v>156.80319680319792</v>
      </c>
      <c r="P19" s="97">
        <f t="shared" si="10"/>
        <v>0</v>
      </c>
      <c r="Q19" s="98">
        <f t="shared" si="11"/>
        <v>-35.742257742256612</v>
      </c>
      <c r="R19" s="99">
        <f t="shared" si="12"/>
        <v>0.81436976621113188</v>
      </c>
      <c r="S19" s="414"/>
      <c r="T19" s="19">
        <v>0.54166666666666696</v>
      </c>
      <c r="U19" s="19">
        <v>0.60486111111111096</v>
      </c>
      <c r="V19" s="30">
        <f>(T19-U18)*24*60</f>
        <v>92.000000000000071</v>
      </c>
      <c r="W19" s="149">
        <f t="shared" si="17"/>
        <v>90.999999999999361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-393.16483516482299</v>
      </c>
      <c r="AG19" s="72">
        <f t="shared" si="14"/>
        <v>0.81436976621113177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1791.1727367146261</v>
      </c>
      <c r="O26" s="158">
        <f t="shared" si="20"/>
        <v>150.36908414701037</v>
      </c>
      <c r="P26" s="159">
        <f t="shared" ref="P26:P31" si="21">M26-J26</f>
        <v>0</v>
      </c>
      <c r="Q26" s="160">
        <f t="shared" ref="Q26:Q31" si="22">O26-L26</f>
        <v>-20.028643125716883</v>
      </c>
      <c r="R26" s="161">
        <f>O26/L26</f>
        <v>0.8824594468113981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1</v>
      </c>
      <c r="AE26" s="323">
        <f>SUM(AE16:AE25)</f>
        <v>1</v>
      </c>
      <c r="AF26" s="309">
        <f t="shared" ref="AF26:AF31" si="23">N26-K26</f>
        <v>-247.32726328537387</v>
      </c>
      <c r="AG26" s="124">
        <f t="shared" ref="AG26:AG31" si="24">N26/K26</f>
        <v>0.87867193363484231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2665</v>
      </c>
      <c r="H27" s="134">
        <f>F27*G27</f>
        <v>155023.05000000002</v>
      </c>
      <c r="I27" s="135"/>
      <c r="J27" s="136">
        <v>14</v>
      </c>
      <c r="K27" s="137">
        <v>1636</v>
      </c>
      <c r="L27" s="138">
        <f t="shared" ref="L27:L31" si="25">K27/J27</f>
        <v>116.85714285714286</v>
      </c>
      <c r="M27" s="170">
        <v>14</v>
      </c>
      <c r="N27" s="140">
        <f>G27/W27*60</f>
        <v>1599.0000000000109</v>
      </c>
      <c r="O27" s="141">
        <f>N27/M27</f>
        <v>114.21428571428649</v>
      </c>
      <c r="P27" s="142">
        <f t="shared" si="21"/>
        <v>0</v>
      </c>
      <c r="Q27" s="143">
        <f t="shared" si="22"/>
        <v>-2.6428571428563714</v>
      </c>
      <c r="R27" s="144">
        <f>O27/L27</f>
        <v>0.97738386308069125</v>
      </c>
      <c r="S27" s="413">
        <f>R37</f>
        <v>0.87678420793895773</v>
      </c>
      <c r="T27" s="171">
        <v>0.29166666666666702</v>
      </c>
      <c r="U27" s="171">
        <v>0.36111111111111099</v>
      </c>
      <c r="V27" s="135"/>
      <c r="W27" s="146">
        <f t="shared" si="17"/>
        <v>99.999999999999318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-36.999999999989086</v>
      </c>
      <c r="AG27" s="172">
        <f t="shared" si="24"/>
        <v>0.97738386308069125</v>
      </c>
      <c r="AH27" s="382">
        <f>AG37</f>
        <v>0.87550703280028108</v>
      </c>
    </row>
    <row r="28" spans="1:34" ht="15" customHeight="1">
      <c r="A28" s="411"/>
      <c r="B28" s="75" t="s">
        <v>81</v>
      </c>
      <c r="C28" s="173"/>
      <c r="D28" s="59" t="s">
        <v>113</v>
      </c>
      <c r="E28" s="104"/>
      <c r="F28" s="75">
        <f>VLOOKUP(D28,廠價表!$C$1:$E$41,3,0)</f>
        <v>57.21</v>
      </c>
      <c r="G28" s="90">
        <v>1945</v>
      </c>
      <c r="H28" s="91">
        <f>F28*G28</f>
        <v>111273.45</v>
      </c>
      <c r="I28" s="92"/>
      <c r="J28" s="79">
        <v>15</v>
      </c>
      <c r="K28" s="80">
        <v>1636</v>
      </c>
      <c r="L28" s="93">
        <f t="shared" si="25"/>
        <v>109.06666666666666</v>
      </c>
      <c r="M28" s="94">
        <v>15</v>
      </c>
      <c r="N28" s="95">
        <f>G28/W28*60</f>
        <v>1215.6250000000125</v>
      </c>
      <c r="O28" s="96">
        <f>N28/M28</f>
        <v>81.041666666667496</v>
      </c>
      <c r="P28" s="97">
        <f t="shared" si="21"/>
        <v>0</v>
      </c>
      <c r="Q28" s="98">
        <f t="shared" si="22"/>
        <v>-28.024999999999167</v>
      </c>
      <c r="R28" s="99">
        <f t="shared" ref="R28:R31" si="26">O28/L28</f>
        <v>0.74304706601467752</v>
      </c>
      <c r="S28" s="414"/>
      <c r="T28" s="19">
        <v>0.36805555555555602</v>
      </c>
      <c r="U28" s="19">
        <v>0.43472222222222201</v>
      </c>
      <c r="V28" s="92">
        <f>(T28-U27)*24*60</f>
        <v>10.000000000000844</v>
      </c>
      <c r="W28" s="149">
        <f t="shared" si="17"/>
        <v>95.999999999999019</v>
      </c>
      <c r="X28" s="174"/>
      <c r="Y28" s="301"/>
      <c r="Z28" s="335"/>
      <c r="AA28" s="335"/>
      <c r="AB28" s="388" t="s">
        <v>175</v>
      </c>
      <c r="AC28" s="388"/>
      <c r="AD28" s="92"/>
      <c r="AE28" s="92"/>
      <c r="AF28" s="311">
        <f t="shared" si="23"/>
        <v>-420.37499999998749</v>
      </c>
      <c r="AG28" s="99">
        <f t="shared" si="24"/>
        <v>0.74304706601467752</v>
      </c>
      <c r="AH28" s="383"/>
    </row>
    <row r="29" spans="1:34" ht="15" customHeight="1">
      <c r="A29" s="411"/>
      <c r="B29" s="75" t="s">
        <v>120</v>
      </c>
      <c r="C29" s="173"/>
      <c r="D29" s="59" t="s">
        <v>122</v>
      </c>
      <c r="E29" s="104"/>
      <c r="F29" s="75">
        <f>VLOOKUP(D29,廠價表!$C$1:$E$41,3,0)</f>
        <v>49.52</v>
      </c>
      <c r="G29" s="90">
        <v>1049</v>
      </c>
      <c r="H29" s="91">
        <f>F29*G29</f>
        <v>51946.48</v>
      </c>
      <c r="I29" s="92"/>
      <c r="J29" s="79">
        <f>VLOOKUP(D29,產線配置圖!$A$3:$C$38,2,0)</f>
        <v>17</v>
      </c>
      <c r="K29" s="80">
        <v>1500</v>
      </c>
      <c r="L29" s="93">
        <f t="shared" si="25"/>
        <v>88.235294117647058</v>
      </c>
      <c r="M29" s="94">
        <v>17</v>
      </c>
      <c r="N29" s="95">
        <f>G29/W29*60</f>
        <v>1210.384615384618</v>
      </c>
      <c r="O29" s="96">
        <f>N29/M29</f>
        <v>71.19909502262459</v>
      </c>
      <c r="P29" s="97">
        <f t="shared" si="21"/>
        <v>0</v>
      </c>
      <c r="Q29" s="98">
        <f t="shared" si="22"/>
        <v>-17.036199095022468</v>
      </c>
      <c r="R29" s="99">
        <f t="shared" si="26"/>
        <v>0.80692307692307874</v>
      </c>
      <c r="S29" s="414"/>
      <c r="T29" s="19">
        <v>0.44166666666666698</v>
      </c>
      <c r="U29" s="19">
        <v>0.47777777777777802</v>
      </c>
      <c r="V29" s="92">
        <f>(T29-U28)*24*60</f>
        <v>10.000000000000764</v>
      </c>
      <c r="W29" s="149">
        <f t="shared" si="17"/>
        <v>51.999999999999893</v>
      </c>
      <c r="X29" s="22"/>
      <c r="Y29" s="84"/>
      <c r="Z29" s="90">
        <v>1</v>
      </c>
      <c r="AA29" s="90">
        <v>10</v>
      </c>
      <c r="AB29" s="388" t="s">
        <v>176</v>
      </c>
      <c r="AC29" s="388"/>
      <c r="AD29" s="92"/>
      <c r="AE29" s="92"/>
      <c r="AF29" s="312">
        <f t="shared" si="23"/>
        <v>-289.61538461538203</v>
      </c>
      <c r="AG29" s="99">
        <f t="shared" si="24"/>
        <v>0.80692307692307863</v>
      </c>
      <c r="AH29" s="383"/>
    </row>
    <row r="30" spans="1:34" ht="15" customHeight="1">
      <c r="A30" s="411"/>
      <c r="B30" s="75" t="s">
        <v>120</v>
      </c>
      <c r="C30" s="88"/>
      <c r="D30" s="59" t="s">
        <v>122</v>
      </c>
      <c r="E30" s="89"/>
      <c r="F30" s="75">
        <f>VLOOKUP(D30,廠價表!$C$1:$E$41,3,0)</f>
        <v>49.52</v>
      </c>
      <c r="G30" s="90">
        <v>1400</v>
      </c>
      <c r="H30" s="91">
        <f t="shared" ref="H30:H31" si="27">F30*G30</f>
        <v>69328</v>
      </c>
      <c r="I30" s="92"/>
      <c r="J30" s="79">
        <f>VLOOKUP(D30,產線配置圖!$A$3:$C$38,2,0)</f>
        <v>17</v>
      </c>
      <c r="K30" s="80">
        <v>1500</v>
      </c>
      <c r="L30" s="93">
        <f t="shared" si="25"/>
        <v>88.235294117647058</v>
      </c>
      <c r="M30" s="94">
        <v>17</v>
      </c>
      <c r="N30" s="95">
        <f t="shared" ref="N30:N31" si="28">G30/W30*60</f>
        <v>1399.9999999999902</v>
      </c>
      <c r="O30" s="96">
        <f t="shared" ref="O30:O31" si="29">N30/M30</f>
        <v>82.352941176470011</v>
      </c>
      <c r="P30" s="97">
        <f t="shared" si="21"/>
        <v>0</v>
      </c>
      <c r="Q30" s="98">
        <f t="shared" si="22"/>
        <v>-5.8823529411770465</v>
      </c>
      <c r="R30" s="99">
        <f t="shared" si="26"/>
        <v>0.9333333333333268</v>
      </c>
      <c r="S30" s="414"/>
      <c r="T30" s="19">
        <v>0.53472222222222199</v>
      </c>
      <c r="U30" s="19">
        <v>0.57638888888888895</v>
      </c>
      <c r="V30" s="92">
        <f>(T30-U29)*24*60</f>
        <v>81.999999999999304</v>
      </c>
      <c r="W30" s="149">
        <f t="shared" si="17"/>
        <v>60.000000000000426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-100.00000000000978</v>
      </c>
      <c r="AG30" s="99">
        <f t="shared" si="24"/>
        <v>0.9333333333333268</v>
      </c>
      <c r="AH30" s="416"/>
    </row>
    <row r="31" spans="1:34" ht="15" customHeight="1">
      <c r="A31" s="411"/>
      <c r="B31" s="75" t="s">
        <v>81</v>
      </c>
      <c r="C31" s="88"/>
      <c r="D31" s="59" t="s">
        <v>172</v>
      </c>
      <c r="E31" s="89"/>
      <c r="F31" s="75">
        <f>VLOOKUP(D31,廠價表!$C$1:$E$41,3,0)</f>
        <v>57.21</v>
      </c>
      <c r="G31" s="90">
        <v>1998</v>
      </c>
      <c r="H31" s="91">
        <f t="shared" si="27"/>
        <v>114305.58</v>
      </c>
      <c r="I31" s="92"/>
      <c r="J31" s="79">
        <v>16</v>
      </c>
      <c r="K31" s="80">
        <v>1636</v>
      </c>
      <c r="L31" s="93">
        <f t="shared" si="25"/>
        <v>102.25</v>
      </c>
      <c r="M31" s="94">
        <v>16</v>
      </c>
      <c r="N31" s="95">
        <f t="shared" si="28"/>
        <v>1498.4999999999905</v>
      </c>
      <c r="O31" s="96">
        <f t="shared" si="29"/>
        <v>93.656249999999403</v>
      </c>
      <c r="P31" s="97">
        <f t="shared" si="21"/>
        <v>0</v>
      </c>
      <c r="Q31" s="98">
        <f t="shared" si="22"/>
        <v>-8.5937500000005969</v>
      </c>
      <c r="R31" s="99">
        <f t="shared" si="26"/>
        <v>0.91595354523226802</v>
      </c>
      <c r="S31" s="414"/>
      <c r="T31" s="19">
        <v>0.58333333333333304</v>
      </c>
      <c r="U31" s="19">
        <v>0.63888888888888895</v>
      </c>
      <c r="V31" s="92">
        <f>(T31-U30)*24*60</f>
        <v>9.9999999999994849</v>
      </c>
      <c r="W31" s="149">
        <f t="shared" si="17"/>
        <v>80.000000000000512</v>
      </c>
      <c r="X31" s="174"/>
      <c r="Y31" s="301"/>
      <c r="Z31" s="335"/>
      <c r="AA31" s="335"/>
      <c r="AB31" s="388" t="s">
        <v>177</v>
      </c>
      <c r="AC31" s="388"/>
      <c r="AD31" s="92"/>
      <c r="AE31" s="92"/>
      <c r="AF31" s="312">
        <f t="shared" si="23"/>
        <v>-137.50000000000955</v>
      </c>
      <c r="AG31" s="99">
        <f t="shared" si="24"/>
        <v>0.91595354523226802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31">AVERAGE(J27:J36)</f>
        <v>15.8</v>
      </c>
      <c r="K37" s="155">
        <f t="shared" si="31"/>
        <v>1581.6</v>
      </c>
      <c r="L37" s="158">
        <f t="shared" si="31"/>
        <v>100.92887955182073</v>
      </c>
      <c r="M37" s="155">
        <f t="shared" si="31"/>
        <v>15.8</v>
      </c>
      <c r="N37" s="155">
        <f t="shared" si="31"/>
        <v>1384.7019230769245</v>
      </c>
      <c r="O37" s="158">
        <f t="shared" si="31"/>
        <v>88.492847716009607</v>
      </c>
      <c r="P37" s="159">
        <f>M37-J37</f>
        <v>0</v>
      </c>
      <c r="Q37" s="160">
        <f>N37-K37</f>
        <v>-196.89807692307545</v>
      </c>
      <c r="R37" s="161">
        <f t="shared" ref="R37:R41" si="32">O37/L37</f>
        <v>0.87678420793895773</v>
      </c>
      <c r="S37" s="415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3">N37-K37</f>
        <v>-196.89807692307545</v>
      </c>
      <c r="AG37" s="124">
        <f t="shared" ref="AG37:AG41" si="34">N37/K37</f>
        <v>0.87550703280028108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1129</v>
      </c>
      <c r="H38" s="134">
        <f>F38*G38</f>
        <v>56348.39</v>
      </c>
      <c r="I38" s="135"/>
      <c r="J38" s="187">
        <f>VLOOKUP(D38,產線配置圖!$A$3:$C$38,2,0)</f>
        <v>15</v>
      </c>
      <c r="K38" s="188">
        <f>VLOOKUP(D38,產線配置圖!$A$3:$C$38,3,0)</f>
        <v>1565</v>
      </c>
      <c r="L38" s="189">
        <f t="shared" ref="L38:L41" si="35">K38/J38</f>
        <v>104.33333333333333</v>
      </c>
      <c r="M38" s="190">
        <v>15</v>
      </c>
      <c r="N38" s="140">
        <f>G38/W38*60</f>
        <v>1302.6923076923104</v>
      </c>
      <c r="O38" s="141">
        <f>N38/M38</f>
        <v>86.846153846154024</v>
      </c>
      <c r="P38" s="142">
        <f t="shared" ref="P38:P41" si="36">M38-J38</f>
        <v>0</v>
      </c>
      <c r="Q38" s="143">
        <f t="shared" ref="Q38:Q41" si="37">O38-L38</f>
        <v>-17.487179487179304</v>
      </c>
      <c r="R38" s="144">
        <f>O38/L38</f>
        <v>0.83239125092160415</v>
      </c>
      <c r="S38" s="404">
        <f>R48</f>
        <v>0.88070544228323155</v>
      </c>
      <c r="T38" s="191">
        <v>0.33333333333333298</v>
      </c>
      <c r="U38" s="191">
        <v>0.36944444444444402</v>
      </c>
      <c r="V38" s="192"/>
      <c r="W38" s="193">
        <f t="shared" si="17"/>
        <v>51.999999999999893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3"/>
        <v>-262.30769230768965</v>
      </c>
      <c r="AG38" s="195">
        <f t="shared" si="34"/>
        <v>0.83239125092160404</v>
      </c>
      <c r="AH38" s="398">
        <f>AG48</f>
        <v>0.87963259909619185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3448</v>
      </c>
      <c r="H39" s="91">
        <f>F39*G39</f>
        <v>152746.4</v>
      </c>
      <c r="I39" s="200"/>
      <c r="J39" s="148">
        <f>VLOOKUP(D39,產線配置圖!$A$3:$C$38,2,0)</f>
        <v>17</v>
      </c>
      <c r="K39" s="95">
        <v>1565</v>
      </c>
      <c r="L39" s="96">
        <f t="shared" si="35"/>
        <v>92.058823529411768</v>
      </c>
      <c r="M39" s="201">
        <v>17</v>
      </c>
      <c r="N39" s="202">
        <f>G39/W39*60</f>
        <v>1397.8378378378347</v>
      </c>
      <c r="O39" s="203">
        <f t="shared" ref="O39:O41" si="38">N39/M39</f>
        <v>82.225755166931449</v>
      </c>
      <c r="P39" s="97">
        <f t="shared" si="36"/>
        <v>0</v>
      </c>
      <c r="Q39" s="98">
        <f t="shared" si="37"/>
        <v>-9.8330683624803186</v>
      </c>
      <c r="R39" s="99">
        <f t="shared" si="32"/>
        <v>0.89318711682928731</v>
      </c>
      <c r="S39" s="405"/>
      <c r="T39" s="20">
        <v>0.38194444444444398</v>
      </c>
      <c r="U39" s="20">
        <v>0.484722222222222</v>
      </c>
      <c r="V39" s="92">
        <f>(T39-U38)*24*60</f>
        <v>17.999999999999936</v>
      </c>
      <c r="W39" s="205">
        <f t="shared" si="17"/>
        <v>148.00000000000034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3"/>
        <v>-167.16216216216526</v>
      </c>
      <c r="AG39" s="206">
        <f t="shared" si="34"/>
        <v>0.89318711682928742</v>
      </c>
      <c r="AH39" s="399"/>
    </row>
    <row r="40" spans="1:34" ht="15" customHeight="1">
      <c r="A40" s="402"/>
      <c r="B40" s="75" t="s">
        <v>120</v>
      </c>
      <c r="C40" s="207"/>
      <c r="D40" s="198" t="s">
        <v>121</v>
      </c>
      <c r="E40" s="178"/>
      <c r="F40" s="75">
        <f>VLOOKUP(D40,廠價表!$C$1:$E$41,3,0)</f>
        <v>49.91</v>
      </c>
      <c r="G40" s="199">
        <v>1755</v>
      </c>
      <c r="H40" s="91">
        <f t="shared" ref="H40:H41" si="39">F40*G40</f>
        <v>87592.049999999988</v>
      </c>
      <c r="I40" s="200"/>
      <c r="J40" s="148">
        <f>VLOOKUP(D40,產線配置圖!$A$3:$C$38,2,0)</f>
        <v>15</v>
      </c>
      <c r="K40" s="95">
        <f>VLOOKUP(D40,產線配置圖!$A$3:$C$38,3,0)</f>
        <v>1565</v>
      </c>
      <c r="L40" s="96">
        <f t="shared" si="35"/>
        <v>104.33333333333333</v>
      </c>
      <c r="M40" s="201">
        <v>15</v>
      </c>
      <c r="N40" s="202">
        <f t="shared" ref="N40:N41" si="40">G40/W40*60</f>
        <v>1504.285714285716</v>
      </c>
      <c r="O40" s="203">
        <f t="shared" si="38"/>
        <v>100.28571428571441</v>
      </c>
      <c r="P40" s="97">
        <f t="shared" si="36"/>
        <v>0</v>
      </c>
      <c r="Q40" s="98">
        <f t="shared" si="37"/>
        <v>-4.0476190476189231</v>
      </c>
      <c r="R40" s="99">
        <f t="shared" si="32"/>
        <v>0.96120492925604861</v>
      </c>
      <c r="S40" s="377"/>
      <c r="T40" s="20">
        <v>0.54513888888888895</v>
      </c>
      <c r="U40" s="210">
        <v>0.59375</v>
      </c>
      <c r="V40" s="92">
        <f>(T40-U39)*24*60</f>
        <v>87.000000000000412</v>
      </c>
      <c r="W40" s="205">
        <f t="shared" si="17"/>
        <v>69.999999999999915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3"/>
        <v>-60.71428571428396</v>
      </c>
      <c r="AG40" s="206">
        <f t="shared" si="34"/>
        <v>0.96120492925604861</v>
      </c>
      <c r="AH40" s="399"/>
    </row>
    <row r="41" spans="1:34" ht="15" customHeight="1">
      <c r="A41" s="402"/>
      <c r="B41" s="75" t="s">
        <v>120</v>
      </c>
      <c r="C41" s="86"/>
      <c r="D41" s="198" t="s">
        <v>124</v>
      </c>
      <c r="E41" s="87"/>
      <c r="F41" s="75">
        <f>VLOOKUP(D41,廠價表!$C$1:$E$41,3,0)</f>
        <v>44.3</v>
      </c>
      <c r="G41" s="199">
        <v>2061</v>
      </c>
      <c r="H41" s="91">
        <f t="shared" si="39"/>
        <v>91302.299999999988</v>
      </c>
      <c r="I41" s="200"/>
      <c r="J41" s="148">
        <f>VLOOKUP(D41,產線配置圖!$A$3:$C$38,2,0)</f>
        <v>17</v>
      </c>
      <c r="K41" s="95">
        <v>1565</v>
      </c>
      <c r="L41" s="96">
        <f t="shared" si="35"/>
        <v>92.058823529411768</v>
      </c>
      <c r="M41" s="201">
        <v>17</v>
      </c>
      <c r="N41" s="202">
        <f t="shared" si="40"/>
        <v>1301.6842105263006</v>
      </c>
      <c r="O41" s="203">
        <f t="shared" si="38"/>
        <v>76.569659442723562</v>
      </c>
      <c r="P41" s="97">
        <f t="shared" si="36"/>
        <v>0</v>
      </c>
      <c r="Q41" s="98">
        <f t="shared" si="37"/>
        <v>-15.489164086688206</v>
      </c>
      <c r="R41" s="99">
        <f t="shared" si="32"/>
        <v>0.83174709937782776</v>
      </c>
      <c r="S41" s="377"/>
      <c r="T41" s="210">
        <v>0.60069444444444398</v>
      </c>
      <c r="U41" s="210">
        <v>0.66666666666666696</v>
      </c>
      <c r="V41" s="92"/>
      <c r="W41" s="205">
        <f t="shared" si="17"/>
        <v>95.000000000001108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3"/>
        <v>-263.3157894736994</v>
      </c>
      <c r="AG41" s="206">
        <f t="shared" si="34"/>
        <v>0.83174709937782787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41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41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41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41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42">AVERAGE(J38:J47)</f>
        <v>16</v>
      </c>
      <c r="K48" s="155">
        <f t="shared" si="42"/>
        <v>1565</v>
      </c>
      <c r="L48" s="158">
        <f t="shared" si="42"/>
        <v>98.196078431372541</v>
      </c>
      <c r="M48" s="155">
        <f t="shared" si="42"/>
        <v>16</v>
      </c>
      <c r="N48" s="155">
        <f t="shared" si="42"/>
        <v>1376.6250175855403</v>
      </c>
      <c r="O48" s="158">
        <f t="shared" si="42"/>
        <v>86.481820685380853</v>
      </c>
      <c r="P48" s="221">
        <f>M48-J48</f>
        <v>0</v>
      </c>
      <c r="Q48" s="222">
        <f>N48-K48</f>
        <v>-188.37498241445974</v>
      </c>
      <c r="R48" s="223">
        <f>O48/L48</f>
        <v>0.88070544228323155</v>
      </c>
      <c r="S48" s="380"/>
      <c r="T48" s="224"/>
      <c r="U48" s="224"/>
      <c r="V48" s="225"/>
      <c r="W48" s="226">
        <f t="shared" si="41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43">N48-K48</f>
        <v>-188.37498241445974</v>
      </c>
      <c r="AG48" s="162">
        <f t="shared" ref="AG48:AG53" si="44">N48/K48</f>
        <v>0.87963259909619185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1445</v>
      </c>
      <c r="H49" s="134">
        <f>F49*G49</f>
        <v>82177.149999999994</v>
      </c>
      <c r="I49" s="135"/>
      <c r="J49" s="136">
        <f>VLOOKUP(D49,產線配置圖!$A$3:$C$38,2,0)</f>
        <v>17</v>
      </c>
      <c r="K49" s="137">
        <v>1636</v>
      </c>
      <c r="L49" s="138">
        <f t="shared" ref="L49:L53" si="45">K49/J49</f>
        <v>96.235294117647058</v>
      </c>
      <c r="M49" s="170">
        <v>17</v>
      </c>
      <c r="N49" s="140">
        <f>G49/W49*60</f>
        <v>1605.5555555555563</v>
      </c>
      <c r="O49" s="141">
        <f>N49/M49</f>
        <v>94.444444444444485</v>
      </c>
      <c r="P49" s="229">
        <f>M49-J49</f>
        <v>0</v>
      </c>
      <c r="Q49" s="230">
        <f>O49-L49</f>
        <v>-1.7908496732025725</v>
      </c>
      <c r="R49" s="52">
        <f>O49/L49</f>
        <v>0.98139092637870184</v>
      </c>
      <c r="S49" s="376">
        <f>R58</f>
        <v>0.91295155848941345</v>
      </c>
      <c r="T49" s="191">
        <v>0.29166666666666702</v>
      </c>
      <c r="U49" s="191">
        <v>0.329166666666667</v>
      </c>
      <c r="V49" s="55"/>
      <c r="W49" s="193">
        <f t="shared" si="17"/>
        <v>53.999999999999972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43"/>
        <v>-30.444444444443661</v>
      </c>
      <c r="AG49" s="52">
        <f t="shared" si="44"/>
        <v>0.98139092637870196</v>
      </c>
      <c r="AH49" s="382">
        <f>AG58</f>
        <v>0.8793842298434853</v>
      </c>
    </row>
    <row r="50" spans="1:34" ht="15" customHeight="1">
      <c r="A50" s="396"/>
      <c r="B50" s="75" t="s">
        <v>81</v>
      </c>
      <c r="C50" s="76"/>
      <c r="D50" s="59" t="s">
        <v>127</v>
      </c>
      <c r="E50" s="77"/>
      <c r="F50" s="75">
        <f>VLOOKUP(D50,廠價表!$C$1:$E$41,3,0)</f>
        <v>49.97</v>
      </c>
      <c r="G50" s="202">
        <v>4536</v>
      </c>
      <c r="H50" s="231">
        <f>F50*G50</f>
        <v>226663.91999999998</v>
      </c>
      <c r="I50" s="232"/>
      <c r="J50" s="79">
        <f>VLOOKUP(D50,產線配置圖!$A$3:$C$38,2,0)</f>
        <v>16</v>
      </c>
      <c r="K50" s="80">
        <v>1800</v>
      </c>
      <c r="L50" s="81">
        <f t="shared" si="45"/>
        <v>112.5</v>
      </c>
      <c r="M50" s="233">
        <v>15</v>
      </c>
      <c r="N50" s="234">
        <f>G50/W50*60</f>
        <v>1471.1351351351377</v>
      </c>
      <c r="O50" s="235">
        <f>N50/M50</f>
        <v>98.075675675675853</v>
      </c>
      <c r="P50" s="74">
        <f>M50-J50</f>
        <v>-1</v>
      </c>
      <c r="Q50" s="83">
        <f>O50-L50</f>
        <v>-14.424324324324147</v>
      </c>
      <c r="R50" s="72">
        <f>O50/L50</f>
        <v>0.8717837837837854</v>
      </c>
      <c r="S50" s="377"/>
      <c r="T50" s="21">
        <v>0.33680555555555602</v>
      </c>
      <c r="U50" s="21">
        <v>0.46527777777777801</v>
      </c>
      <c r="V50" s="30">
        <f t="shared" ref="V50:V52" si="46">(T50-U49)*24*60</f>
        <v>11.000000000000201</v>
      </c>
      <c r="W50" s="236">
        <f t="shared" si="17"/>
        <v>184.99999999999966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43"/>
        <v>-328.86486486486228</v>
      </c>
      <c r="AG50" s="72">
        <f t="shared" si="44"/>
        <v>0.81729729729729872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1060</v>
      </c>
      <c r="H51" s="231">
        <f>F51*G51</f>
        <v>52968.2</v>
      </c>
      <c r="I51" s="232"/>
      <c r="J51" s="79">
        <f>VLOOKUP(D51,產線配置圖!$A$3:$C$38,2,0)</f>
        <v>16</v>
      </c>
      <c r="K51" s="80">
        <v>1800</v>
      </c>
      <c r="L51" s="81">
        <f t="shared" si="45"/>
        <v>112.5</v>
      </c>
      <c r="M51" s="233">
        <v>15</v>
      </c>
      <c r="N51" s="234">
        <f>G51/W51*60</f>
        <v>1551.2195121951336</v>
      </c>
      <c r="O51" s="235">
        <f>N51/M51</f>
        <v>103.41463414634224</v>
      </c>
      <c r="P51" s="74">
        <f>M51-J51</f>
        <v>-1</v>
      </c>
      <c r="Q51" s="83">
        <f>O51-L51</f>
        <v>-9.0853658536577626</v>
      </c>
      <c r="R51" s="72">
        <f>O51/L51</f>
        <v>0.91924119241193103</v>
      </c>
      <c r="S51" s="377"/>
      <c r="T51" s="21">
        <v>0.52430555555555602</v>
      </c>
      <c r="U51" s="19">
        <v>0.55277777777777803</v>
      </c>
      <c r="V51" s="30">
        <f t="shared" si="46"/>
        <v>85.000000000000341</v>
      </c>
      <c r="W51" s="236">
        <f t="shared" si="17"/>
        <v>40.999999999999694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43"/>
        <v>-248.78048780486642</v>
      </c>
      <c r="AG51" s="72">
        <f t="shared" si="44"/>
        <v>0.86178861788618533</v>
      </c>
      <c r="AH51" s="384"/>
    </row>
    <row r="52" spans="1:34" ht="15" customHeight="1">
      <c r="A52" s="396"/>
      <c r="B52" s="75" t="s">
        <v>81</v>
      </c>
      <c r="C52" s="86"/>
      <c r="D52" s="59" t="s">
        <v>113</v>
      </c>
      <c r="E52" s="87"/>
      <c r="F52" s="75">
        <f>VLOOKUP(D52,廠價表!$C$1:$E$41,3,0)</f>
        <v>57.21</v>
      </c>
      <c r="G52" s="202">
        <v>1460</v>
      </c>
      <c r="H52" s="231">
        <f t="shared" ref="H52:H53" si="47">F52*G52</f>
        <v>83526.600000000006</v>
      </c>
      <c r="I52" s="232"/>
      <c r="J52" s="79">
        <v>15</v>
      </c>
      <c r="K52" s="80">
        <v>1636</v>
      </c>
      <c r="L52" s="81">
        <f t="shared" si="45"/>
        <v>109.06666666666666</v>
      </c>
      <c r="M52" s="233">
        <v>15</v>
      </c>
      <c r="N52" s="234">
        <f t="shared" ref="N52:N53" si="48">G52/W52*60</f>
        <v>1390.476190476192</v>
      </c>
      <c r="O52" s="235">
        <f t="shared" ref="O52:O53" si="49">N52/M52</f>
        <v>92.698412698412795</v>
      </c>
      <c r="P52" s="74">
        <f t="shared" ref="P52:P53" si="50">M52-J52</f>
        <v>0</v>
      </c>
      <c r="Q52" s="83">
        <f t="shared" ref="Q52:Q53" si="51">O52-L52</f>
        <v>-16.368253968253867</v>
      </c>
      <c r="R52" s="72">
        <f t="shared" ref="R52:R53" si="52">O52/L52</f>
        <v>0.84992432180696331</v>
      </c>
      <c r="S52" s="377"/>
      <c r="T52" s="21">
        <v>0.5625</v>
      </c>
      <c r="U52" s="21">
        <v>0.60624999999999996</v>
      </c>
      <c r="V52" s="30">
        <f t="shared" si="46"/>
        <v>13.999999999999631</v>
      </c>
      <c r="W52" s="236">
        <f t="shared" si="17"/>
        <v>62.999999999999936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43"/>
        <v>-245.52380952380804</v>
      </c>
      <c r="AG52" s="72">
        <f t="shared" si="44"/>
        <v>0.84992432180696331</v>
      </c>
      <c r="AH52" s="384"/>
    </row>
    <row r="53" spans="1:34" ht="15" customHeight="1">
      <c r="A53" s="396"/>
      <c r="B53" s="101" t="s">
        <v>81</v>
      </c>
      <c r="C53" s="102"/>
      <c r="D53" s="103" t="s">
        <v>172</v>
      </c>
      <c r="E53" s="104"/>
      <c r="F53" s="75">
        <f>VLOOKUP(D53,廠價表!$C$1:$E$41,3,0)</f>
        <v>57.21</v>
      </c>
      <c r="G53" s="202">
        <v>1000</v>
      </c>
      <c r="H53" s="231">
        <f t="shared" si="47"/>
        <v>57210</v>
      </c>
      <c r="I53" s="232"/>
      <c r="J53" s="79">
        <v>16</v>
      </c>
      <c r="K53" s="80">
        <v>1636</v>
      </c>
      <c r="L53" s="81">
        <f t="shared" si="45"/>
        <v>102.25</v>
      </c>
      <c r="M53" s="108">
        <v>15</v>
      </c>
      <c r="N53" s="234">
        <f t="shared" si="48"/>
        <v>1463.4146341463525</v>
      </c>
      <c r="O53" s="235">
        <f t="shared" si="49"/>
        <v>97.560975609756824</v>
      </c>
      <c r="P53" s="74">
        <f t="shared" si="50"/>
        <v>-1</v>
      </c>
      <c r="Q53" s="83">
        <f t="shared" si="51"/>
        <v>-4.6890243902431763</v>
      </c>
      <c r="R53" s="72">
        <f t="shared" si="52"/>
        <v>0.95414157075556794</v>
      </c>
      <c r="S53" s="377"/>
      <c r="T53" s="21">
        <v>0.63124999999999998</v>
      </c>
      <c r="U53" s="21">
        <v>0.65972222222222199</v>
      </c>
      <c r="V53" s="30"/>
      <c r="W53" s="236">
        <f t="shared" si="17"/>
        <v>40.999999999999694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43"/>
        <v>-172.58536585364755</v>
      </c>
      <c r="AG53" s="72">
        <f t="shared" si="44"/>
        <v>0.89450772258334499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53">AVERAGE(J49:J57)</f>
        <v>16</v>
      </c>
      <c r="K58" s="120">
        <f t="shared" si="53"/>
        <v>1701.6</v>
      </c>
      <c r="L58" s="117">
        <f t="shared" si="53"/>
        <v>106.51039215686274</v>
      </c>
      <c r="M58" s="120">
        <f t="shared" si="53"/>
        <v>15.4</v>
      </c>
      <c r="N58" s="120">
        <f t="shared" si="53"/>
        <v>1496.3602055016745</v>
      </c>
      <c r="O58" s="117">
        <f t="shared" si="53"/>
        <v>97.238828514926439</v>
      </c>
      <c r="P58" s="121">
        <f>M58-J58</f>
        <v>-0.59999999999999964</v>
      </c>
      <c r="Q58" s="122">
        <f>N58-K58</f>
        <v>-205.23979449832541</v>
      </c>
      <c r="R58" s="123">
        <f t="shared" ref="R58:R60" si="54">O58/L58</f>
        <v>0.91295155848941345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55">N58-K58</f>
        <v>-205.23979449832541</v>
      </c>
      <c r="AG58" s="124">
        <f t="shared" ref="AG58:AG61" si="56">N58/K58</f>
        <v>0.8793842298434853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2578</v>
      </c>
      <c r="H59" s="243">
        <f>F59*G59</f>
        <v>69580.22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57">K59/J59</f>
        <v>120.38461538461539</v>
      </c>
      <c r="M59" s="244">
        <v>13</v>
      </c>
      <c r="N59" s="137">
        <f t="shared" ref="N59:N63" si="58">G59/W59*60</f>
        <v>1546.8000000000104</v>
      </c>
      <c r="O59" s="138">
        <f t="shared" ref="O59:O63" si="59">N59/M59</f>
        <v>118.98461538461619</v>
      </c>
      <c r="P59" s="56">
        <f t="shared" ref="P59:P63" si="60">M59-J59</f>
        <v>0</v>
      </c>
      <c r="Q59" s="230">
        <f t="shared" ref="Q59:Q63" si="61">O59-L59</f>
        <v>-1.3999999999991957</v>
      </c>
      <c r="R59" s="52">
        <f t="shared" si="54"/>
        <v>0.98837060702876067</v>
      </c>
      <c r="S59" s="376">
        <f>R69</f>
        <v>0.82434784023869401</v>
      </c>
      <c r="T59" s="245">
        <v>0.29166666666666702</v>
      </c>
      <c r="U59" s="245">
        <v>0.36111111111111099</v>
      </c>
      <c r="V59" s="55"/>
      <c r="W59" s="54">
        <f t="shared" si="17"/>
        <v>99.999999999999318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55"/>
        <v>-18.199999999989586</v>
      </c>
      <c r="AG59" s="246">
        <f t="shared" si="56"/>
        <v>0.98837060702876067</v>
      </c>
      <c r="AH59" s="382">
        <f>AG69</f>
        <v>0.85591485510489085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1778</v>
      </c>
      <c r="H60" s="78">
        <f>F60*G60</f>
        <v>50246.280000000006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7"/>
        <v>130.41666666666666</v>
      </c>
      <c r="M60" s="82">
        <v>12</v>
      </c>
      <c r="N60" s="80">
        <f t="shared" si="58"/>
        <v>1285.3012048192757</v>
      </c>
      <c r="O60" s="81">
        <f t="shared" si="59"/>
        <v>107.10843373493964</v>
      </c>
      <c r="P60" s="74">
        <f t="shared" si="60"/>
        <v>0</v>
      </c>
      <c r="Q60" s="83">
        <f t="shared" si="61"/>
        <v>-23.308232931727019</v>
      </c>
      <c r="R60" s="72">
        <f t="shared" si="54"/>
        <v>0.82127872512413791</v>
      </c>
      <c r="S60" s="394"/>
      <c r="T60" s="22">
        <v>0.37152777777777801</v>
      </c>
      <c r="U60" s="22">
        <v>0.42916666666666697</v>
      </c>
      <c r="V60" s="30">
        <f t="shared" ref="V60:V63" si="62">(T60-U59)*24*60</f>
        <v>15.000000000000506</v>
      </c>
      <c r="W60" s="248">
        <f t="shared" si="17"/>
        <v>83.000000000000099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55"/>
        <v>-279.69879518072435</v>
      </c>
      <c r="AG60" s="249">
        <f t="shared" si="56"/>
        <v>0.8212787251241378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1233</v>
      </c>
      <c r="H61" s="254">
        <f>F61*G61</f>
        <v>34844.58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7"/>
        <v>130.41666666666666</v>
      </c>
      <c r="M61" s="108">
        <v>12</v>
      </c>
      <c r="N61" s="107">
        <f t="shared" si="58"/>
        <v>1275.5172413793025</v>
      </c>
      <c r="O61" s="238">
        <f t="shared" si="59"/>
        <v>106.2931034482752</v>
      </c>
      <c r="P61" s="111">
        <f t="shared" si="60"/>
        <v>0</v>
      </c>
      <c r="Q61" s="255">
        <f t="shared" si="61"/>
        <v>-24.123563218391453</v>
      </c>
      <c r="R61" s="85">
        <f>O61/L61</f>
        <v>0.81502699129667899</v>
      </c>
      <c r="S61" s="377"/>
      <c r="T61" s="22">
        <v>0.43888888888888899</v>
      </c>
      <c r="U61" s="22">
        <v>0.47916666666666702</v>
      </c>
      <c r="V61" s="30">
        <f t="shared" si="62"/>
        <v>13.99999999999971</v>
      </c>
      <c r="W61" s="256">
        <f t="shared" si="17"/>
        <v>58.000000000000355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55"/>
        <v>-289.4827586206975</v>
      </c>
      <c r="AG61" s="247">
        <f t="shared" si="56"/>
        <v>0.81502699129667888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1816</v>
      </c>
      <c r="H62" s="254">
        <f t="shared" ref="H62:H63" si="63">F62*G62</f>
        <v>51320.160000000003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57"/>
        <v>181.77777777777777</v>
      </c>
      <c r="M62" s="108">
        <v>11</v>
      </c>
      <c r="N62" s="107">
        <f t="shared" si="58"/>
        <v>1328.7804878048673</v>
      </c>
      <c r="O62" s="238">
        <f t="shared" si="59"/>
        <v>120.79822616407886</v>
      </c>
      <c r="P62" s="111">
        <f t="shared" si="60"/>
        <v>2</v>
      </c>
      <c r="Q62" s="255">
        <f t="shared" si="61"/>
        <v>-60.979551613698916</v>
      </c>
      <c r="R62" s="85">
        <f t="shared" ref="R62:R63" si="64">O62/L62</f>
        <v>0.66453791899554382</v>
      </c>
      <c r="S62" s="377"/>
      <c r="T62" s="22">
        <v>0.54861111111111105</v>
      </c>
      <c r="U62" s="22">
        <v>0.60555555555555596</v>
      </c>
      <c r="V62" s="30">
        <f t="shared" si="62"/>
        <v>99.999999999999403</v>
      </c>
      <c r="W62" s="248">
        <f t="shared" si="17"/>
        <v>82.000000000000668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-307.21951219513267</v>
      </c>
      <c r="AG62" s="247">
        <f>N62/K62</f>
        <v>0.81221301210566466</v>
      </c>
      <c r="AH62" s="384"/>
    </row>
    <row r="63" spans="1:34" ht="15" customHeight="1">
      <c r="A63" s="392"/>
      <c r="B63" s="258" t="s">
        <v>128</v>
      </c>
      <c r="C63" s="58"/>
      <c r="D63" s="259" t="s">
        <v>129</v>
      </c>
      <c r="E63" s="60"/>
      <c r="F63" s="250">
        <f>VLOOKUP(D63,廠價表!$C$1:$E$41,3,0)</f>
        <v>26.99</v>
      </c>
      <c r="G63" s="260">
        <v>1388</v>
      </c>
      <c r="H63" s="254">
        <f t="shared" si="63"/>
        <v>37462.119999999995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57"/>
        <v>120.38461538461539</v>
      </c>
      <c r="M63" s="68">
        <v>12</v>
      </c>
      <c r="N63" s="107">
        <f t="shared" si="58"/>
        <v>1321.9047619047633</v>
      </c>
      <c r="O63" s="238">
        <f t="shared" si="59"/>
        <v>110.15873015873028</v>
      </c>
      <c r="P63" s="111">
        <f t="shared" si="60"/>
        <v>-1</v>
      </c>
      <c r="Q63" s="255">
        <f t="shared" si="61"/>
        <v>-10.225885225885108</v>
      </c>
      <c r="R63" s="85">
        <f t="shared" si="64"/>
        <v>0.91505654444951667</v>
      </c>
      <c r="S63" s="377"/>
      <c r="T63" s="22">
        <v>0.61944444444444402</v>
      </c>
      <c r="U63" s="22">
        <v>0.66319444444444398</v>
      </c>
      <c r="V63" s="30">
        <f t="shared" si="62"/>
        <v>19.99999999999881</v>
      </c>
      <c r="W63" s="248">
        <f t="shared" si="17"/>
        <v>62.999999999999936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65">AVERAGE(J59:J68)</f>
        <v>11.8</v>
      </c>
      <c r="K69" s="240">
        <f t="shared" si="65"/>
        <v>1579.2</v>
      </c>
      <c r="L69" s="268">
        <f t="shared" si="65"/>
        <v>136.67606837606837</v>
      </c>
      <c r="M69" s="240">
        <f t="shared" si="65"/>
        <v>12</v>
      </c>
      <c r="N69" s="240">
        <f t="shared" si="65"/>
        <v>1351.6607391816437</v>
      </c>
      <c r="O69" s="268">
        <f t="shared" si="65"/>
        <v>112.66862177812803</v>
      </c>
      <c r="P69" s="269">
        <f>M69-J69</f>
        <v>0.19999999999999929</v>
      </c>
      <c r="Q69" s="222">
        <f>N69-K69</f>
        <v>-227.5392608183563</v>
      </c>
      <c r="R69" s="123">
        <f>O69/L69</f>
        <v>0.82434784023869401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-227.5392608183563</v>
      </c>
      <c r="AG69" s="124">
        <f>N69/K69</f>
        <v>0.85591485510489085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134</v>
      </c>
      <c r="E70" s="132"/>
      <c r="F70" s="129">
        <f>VLOOKUP(D70,廠價表!$C$1:$E$41,3,0)</f>
        <v>56.43</v>
      </c>
      <c r="G70" s="55">
        <v>933</v>
      </c>
      <c r="H70" s="243">
        <f>F70*G70</f>
        <v>52649.19</v>
      </c>
      <c r="I70" s="55"/>
      <c r="J70" s="136">
        <f>VLOOKUP(D70,產線配置圖!$A$3:$C$38,2,0)</f>
        <v>16</v>
      </c>
      <c r="K70" s="137">
        <f>VLOOKUP(D70,產線配置圖!$A$3:$C$38,3,0)</f>
        <v>1406</v>
      </c>
      <c r="L70" s="138">
        <f>K70/J70</f>
        <v>87.875</v>
      </c>
      <c r="M70" s="244">
        <v>12</v>
      </c>
      <c r="N70" s="137">
        <f>G70/W70*60</f>
        <v>1017.8181818181943</v>
      </c>
      <c r="O70" s="138">
        <f>N70/M70</f>
        <v>84.81818181818285</v>
      </c>
      <c r="P70" s="56">
        <f>M70-J70</f>
        <v>-4</v>
      </c>
      <c r="Q70" s="230">
        <f>O70-L70</f>
        <v>-3.0568181818171496</v>
      </c>
      <c r="R70" s="52">
        <f>O70/L70</f>
        <v>0.96521401784560856</v>
      </c>
      <c r="S70" s="376">
        <f>R79</f>
        <v>0.81850848539131904</v>
      </c>
      <c r="T70" s="245">
        <v>0.34375</v>
      </c>
      <c r="U70" s="245">
        <v>0.38194444444444398</v>
      </c>
      <c r="V70" s="55"/>
      <c r="W70" s="54">
        <f t="shared" si="17"/>
        <v>54.999999999999325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-388.18181818180574</v>
      </c>
      <c r="AG70" s="246">
        <f>N70/K70</f>
        <v>0.72391051338420642</v>
      </c>
      <c r="AH70" s="382">
        <f>AG79</f>
        <v>0.75910159891603946</v>
      </c>
    </row>
    <row r="71" spans="1:36" ht="15" customHeight="1">
      <c r="A71" s="374"/>
      <c r="B71" s="75" t="s">
        <v>81</v>
      </c>
      <c r="C71" s="76"/>
      <c r="D71" s="59" t="s">
        <v>132</v>
      </c>
      <c r="E71" s="77"/>
      <c r="F71" s="250">
        <f>VLOOKUP(D71,廠價表!$C$1:$E$41,3,0)</f>
        <v>50.67</v>
      </c>
      <c r="G71" s="30">
        <v>1551</v>
      </c>
      <c r="H71" s="78">
        <f>F71*G71</f>
        <v>78589.17</v>
      </c>
      <c r="I71" s="232"/>
      <c r="J71" s="106">
        <v>13</v>
      </c>
      <c r="K71" s="107">
        <v>1440</v>
      </c>
      <c r="L71" s="238">
        <f t="shared" ref="L71:L74" si="66">K71/J71</f>
        <v>110.76923076923077</v>
      </c>
      <c r="M71" s="82">
        <v>12</v>
      </c>
      <c r="N71" s="107">
        <f t="shared" ref="N71:N74" si="67">G71/W71*60</f>
        <v>1274.7945205479568</v>
      </c>
      <c r="O71" s="238">
        <f t="shared" ref="O71:O74" si="68">N71/M71</f>
        <v>106.23287671232974</v>
      </c>
      <c r="P71" s="111">
        <f t="shared" ref="P71:P74" si="69">M71-J71</f>
        <v>-1</v>
      </c>
      <c r="Q71" s="255">
        <f t="shared" ref="Q71:Q74" si="70">O71-L71</f>
        <v>-4.5363540569010325</v>
      </c>
      <c r="R71" s="85">
        <f t="shared" ref="R71:R74" si="71">O71/L71</f>
        <v>0.95904680365297679</v>
      </c>
      <c r="S71" s="377"/>
      <c r="T71" s="22">
        <v>0.38680555555555601</v>
      </c>
      <c r="U71" s="22">
        <v>0.4375</v>
      </c>
      <c r="V71" s="30"/>
      <c r="W71" s="73">
        <f t="shared" si="17"/>
        <v>72.999999999999346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1489</v>
      </c>
      <c r="H72" s="254">
        <f>F72*G72</f>
        <v>42079.14</v>
      </c>
      <c r="I72" s="23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66"/>
        <v>181.77777777777777</v>
      </c>
      <c r="M72" s="82">
        <v>11</v>
      </c>
      <c r="N72" s="107">
        <f t="shared" si="67"/>
        <v>1374.4615384615349</v>
      </c>
      <c r="O72" s="238">
        <f t="shared" si="68"/>
        <v>124.95104895104863</v>
      </c>
      <c r="P72" s="111">
        <f t="shared" si="69"/>
        <v>2</v>
      </c>
      <c r="Q72" s="255">
        <f t="shared" si="70"/>
        <v>-56.826728826729138</v>
      </c>
      <c r="R72" s="85">
        <f t="shared" si="71"/>
        <v>0.68738352112435075</v>
      </c>
      <c r="S72" s="377"/>
      <c r="T72" s="22">
        <v>0.45486111111111099</v>
      </c>
      <c r="U72" s="22">
        <v>0.5</v>
      </c>
      <c r="V72" s="30"/>
      <c r="W72" s="73">
        <f t="shared" si="17"/>
        <v>65.000000000000171</v>
      </c>
      <c r="X72" s="272"/>
      <c r="Y72" s="288"/>
      <c r="Z72" s="90"/>
      <c r="AA72" s="90"/>
      <c r="AB72" s="388" t="s">
        <v>178</v>
      </c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86"/>
      <c r="D73" s="59" t="s">
        <v>132</v>
      </c>
      <c r="E73" s="87"/>
      <c r="F73" s="250">
        <f>VLOOKUP(D73,廠價表!$C$1:$E$41,3,0)</f>
        <v>50.67</v>
      </c>
      <c r="G73" s="202">
        <v>1065</v>
      </c>
      <c r="H73" s="254">
        <f>F73*G73</f>
        <v>53963.55</v>
      </c>
      <c r="I73" s="232"/>
      <c r="J73" s="106">
        <v>13</v>
      </c>
      <c r="K73" s="107">
        <v>1440</v>
      </c>
      <c r="L73" s="238">
        <f t="shared" si="66"/>
        <v>110.76923076923077</v>
      </c>
      <c r="M73" s="82">
        <v>12</v>
      </c>
      <c r="N73" s="107">
        <f t="shared" si="67"/>
        <v>1083.0508474576338</v>
      </c>
      <c r="O73" s="238">
        <f t="shared" si="68"/>
        <v>90.254237288136153</v>
      </c>
      <c r="P73" s="111">
        <f t="shared" si="69"/>
        <v>-1</v>
      </c>
      <c r="Q73" s="255">
        <f t="shared" si="70"/>
        <v>-20.514993481094621</v>
      </c>
      <c r="R73" s="85">
        <f t="shared" si="71"/>
        <v>0.81479519774011799</v>
      </c>
      <c r="S73" s="377"/>
      <c r="T73" s="22">
        <v>0.56666666666666698</v>
      </c>
      <c r="U73" s="22">
        <v>0.60763888888888895</v>
      </c>
      <c r="V73" s="30"/>
      <c r="W73" s="73">
        <f t="shared" si="17"/>
        <v>58.999999999999631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 t="s">
        <v>81</v>
      </c>
      <c r="C74" s="58"/>
      <c r="D74" s="259" t="s">
        <v>134</v>
      </c>
      <c r="E74" s="60"/>
      <c r="F74" s="250">
        <f>VLOOKUP(D74,廠價表!$C$1:$E$41,3,0)</f>
        <v>56.43</v>
      </c>
      <c r="G74" s="273">
        <v>474</v>
      </c>
      <c r="H74" s="78">
        <f>F74*G74</f>
        <v>26747.82</v>
      </c>
      <c r="I74" s="182"/>
      <c r="J74" s="106">
        <f>VLOOKUP(D74,產線配置圖!$A$3:$C$38,2,0)</f>
        <v>16</v>
      </c>
      <c r="K74" s="107">
        <f>VLOOKUP(D74,產線配置圖!$A$3:$C$38,3,0)</f>
        <v>1406</v>
      </c>
      <c r="L74" s="238">
        <f t="shared" si="66"/>
        <v>87.875</v>
      </c>
      <c r="M74" s="94">
        <v>12</v>
      </c>
      <c r="N74" s="107">
        <f t="shared" si="67"/>
        <v>812.57142857141673</v>
      </c>
      <c r="O74" s="238">
        <f t="shared" si="68"/>
        <v>67.714285714284728</v>
      </c>
      <c r="P74" s="111">
        <f t="shared" si="69"/>
        <v>-4</v>
      </c>
      <c r="Q74" s="255">
        <f t="shared" si="70"/>
        <v>-20.160714285715272</v>
      </c>
      <c r="R74" s="85">
        <f t="shared" si="71"/>
        <v>0.77057508636454886</v>
      </c>
      <c r="S74" s="377"/>
      <c r="T74" s="22">
        <v>0.61458333333333304</v>
      </c>
      <c r="U74" s="22">
        <v>0.63888888888888895</v>
      </c>
      <c r="V74" s="30"/>
      <c r="W74" s="73">
        <f t="shared" si="17"/>
        <v>35.000000000000512</v>
      </c>
      <c r="X74" s="22"/>
      <c r="Y74" s="84"/>
      <c r="Z74" s="90"/>
      <c r="AA74" s="90"/>
      <c r="AB74" s="387" t="s">
        <v>169</v>
      </c>
      <c r="AC74" s="387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7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7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7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7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73">AVERAGE(J70:J78)</f>
        <v>13.4</v>
      </c>
      <c r="K79" s="240">
        <f t="shared" si="73"/>
        <v>1465.6</v>
      </c>
      <c r="L79" s="268">
        <f t="shared" si="73"/>
        <v>115.81324786324785</v>
      </c>
      <c r="M79" s="240">
        <f t="shared" si="73"/>
        <v>11.8</v>
      </c>
      <c r="N79" s="240">
        <f t="shared" si="73"/>
        <v>1112.5393033713474</v>
      </c>
      <c r="O79" s="268">
        <f t="shared" si="73"/>
        <v>94.794126096796418</v>
      </c>
      <c r="P79" s="269">
        <f>M79-J79</f>
        <v>-1.5999999999999996</v>
      </c>
      <c r="Q79" s="222">
        <f>N79-K79</f>
        <v>-353.06069662865252</v>
      </c>
      <c r="R79" s="223">
        <f>O79/L79</f>
        <v>0.81850848539131904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-353.06069662865252</v>
      </c>
      <c r="AG79" s="124">
        <f>N79/K79</f>
        <v>0.75910159891603946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W3:W4"/>
    <mergeCell ref="X3:Y3"/>
    <mergeCell ref="Z3:AA3"/>
    <mergeCell ref="AB3:AC4"/>
    <mergeCell ref="N3:N4"/>
    <mergeCell ref="O3:O4"/>
    <mergeCell ref="H3:H4"/>
    <mergeCell ref="I3:I4"/>
    <mergeCell ref="G3:G4"/>
    <mergeCell ref="A16:A26"/>
    <mergeCell ref="A5:A15"/>
    <mergeCell ref="A2:B2"/>
    <mergeCell ref="A3:A4"/>
    <mergeCell ref="B3:B4"/>
    <mergeCell ref="D3:E4"/>
    <mergeCell ref="F3:F4"/>
    <mergeCell ref="D15:E15"/>
    <mergeCell ref="S5:S15"/>
    <mergeCell ref="AB5:AC5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14:AC1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5:AC15"/>
    <mergeCell ref="AB8:AC8"/>
    <mergeCell ref="AB9:AC9"/>
    <mergeCell ref="AB10:AC10"/>
    <mergeCell ref="AB11:AC11"/>
    <mergeCell ref="AB12:AC12"/>
    <mergeCell ref="AB13:AC13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D96CBF-C286-48D9-B5F8-54D6B274423A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DBC7-A7B0-4A13-A127-9A0C3BE80A2A}">
  <dimension ref="B1:O26"/>
  <sheetViews>
    <sheetView zoomScale="70" zoomScaleNormal="70" workbookViewId="0">
      <selection activeCell="D49" sqref="D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46099</v>
      </c>
      <c r="E3" s="466"/>
      <c r="F3" s="3" t="s">
        <v>72</v>
      </c>
      <c r="G3" s="467">
        <f>'0318'!E1</f>
        <v>56324</v>
      </c>
      <c r="H3" s="467"/>
      <c r="I3" s="3" t="s">
        <v>2</v>
      </c>
      <c r="J3" s="468">
        <f>'0318'!G1</f>
        <v>2666931.16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125.1281480851859</v>
      </c>
      <c r="G6" s="473"/>
      <c r="H6" s="474">
        <f>AVERAGE(D13:H13,J13)</f>
        <v>121.67200135104547</v>
      </c>
      <c r="I6" s="474"/>
      <c r="J6" s="474">
        <f>AVERAGE(I13)</f>
        <v>145.86502849002849</v>
      </c>
      <c r="K6" s="474"/>
      <c r="L6" s="499">
        <f>SUM(D18:J18)</f>
        <v>3</v>
      </c>
      <c r="M6" s="477">
        <f>SUM(D19:J19)</f>
        <v>69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108.61626159379058</v>
      </c>
      <c r="G7" s="497"/>
      <c r="H7" s="498">
        <f>AVERAGE(D14:H14,J14)</f>
        <v>108.02297721823447</v>
      </c>
      <c r="I7" s="498"/>
      <c r="J7" s="498">
        <f>AVERAGE(I14)</f>
        <v>112.17596784712727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0.86804019124334675</v>
      </c>
      <c r="G8" s="470"/>
      <c r="H8" s="470">
        <f>H7/H6</f>
        <v>0.88782115867864198</v>
      </c>
      <c r="I8" s="470"/>
      <c r="J8" s="470">
        <f>J7/J6</f>
        <v>0.76903949499311108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VALUE('0318'!L15)</f>
        <v>153.05982905982907</v>
      </c>
      <c r="E13" s="13">
        <f>VALUE('0318'!L26)</f>
        <v>169.20454545454544</v>
      </c>
      <c r="F13" s="13">
        <f>VALUE('0318'!L37)</f>
        <v>104.71970121381885</v>
      </c>
      <c r="G13" s="13">
        <f>VALUE('0318'!L48)</f>
        <v>96.150326797385617</v>
      </c>
      <c r="H13" s="13">
        <f>VALUE('0318'!L58)</f>
        <v>107.57549019607843</v>
      </c>
      <c r="I13" s="13">
        <f>VALUE('0318'!L69)</f>
        <v>145.86502849002849</v>
      </c>
      <c r="J13" s="13">
        <f>'0318'!L79</f>
        <v>99.322115384615387</v>
      </c>
    </row>
    <row r="14" spans="2:15" ht="39.950000000000003" customHeight="1">
      <c r="B14" s="491"/>
      <c r="C14" s="12" t="s">
        <v>100</v>
      </c>
      <c r="D14" s="13">
        <f>VALUE('0318'!O15)</f>
        <v>136.43842762290549</v>
      </c>
      <c r="E14" s="13">
        <f>VALUE('0318'!O26)</f>
        <v>139.46649471837995</v>
      </c>
      <c r="F14" s="13">
        <f>VALUE('0318'!O37)</f>
        <v>97.04729891956805</v>
      </c>
      <c r="G14" s="13">
        <f>VALUE('0318'!O48)</f>
        <v>89.853580562659317</v>
      </c>
      <c r="H14" s="13">
        <f>VALUE('0318'!O58)</f>
        <v>99.343975497808131</v>
      </c>
      <c r="I14" s="13">
        <f>VALUE('0318'!O69)</f>
        <v>112.17596784712727</v>
      </c>
      <c r="J14" s="13">
        <f>'0318'!O79</f>
        <v>85.988085988085956</v>
      </c>
    </row>
    <row r="15" spans="2:15" ht="39.950000000000003" customHeight="1">
      <c r="B15" s="492"/>
      <c r="C15" s="10" t="s">
        <v>26</v>
      </c>
      <c r="D15" s="14">
        <f>D14/D13</f>
        <v>0.8914058539133316</v>
      </c>
      <c r="E15" s="14">
        <f t="shared" ref="E15:I15" si="1">E14/E13</f>
        <v>0.82424792043098971</v>
      </c>
      <c r="F15" s="14">
        <f t="shared" si="1"/>
        <v>0.92673391725416465</v>
      </c>
      <c r="G15" s="14">
        <f t="shared" si="1"/>
        <v>0.93451144219202475</v>
      </c>
      <c r="H15" s="14">
        <f t="shared" si="1"/>
        <v>0.92348150416729058</v>
      </c>
      <c r="I15" s="14">
        <f t="shared" si="1"/>
        <v>0.76903949499311108</v>
      </c>
      <c r="J15" s="15">
        <f>'0318'!S70</f>
        <v>0.86574964352204264</v>
      </c>
    </row>
    <row r="16" spans="2:15" ht="17.25" customHeight="1">
      <c r="B16" s="493" t="s">
        <v>101</v>
      </c>
      <c r="C16" s="10" t="s">
        <v>34</v>
      </c>
      <c r="D16" s="16">
        <f>'0318'!T5</f>
        <v>0.29166666666666702</v>
      </c>
      <c r="E16" s="16">
        <f>'0318'!T16</f>
        <v>0.29097222222222202</v>
      </c>
      <c r="F16" s="16">
        <f>'0318'!T27</f>
        <v>0.29027777777777802</v>
      </c>
      <c r="G16" s="16">
        <f>'0318'!T38</f>
        <v>0.33333333333333298</v>
      </c>
      <c r="H16" s="16">
        <f>'0318'!T49</f>
        <v>0.29166666666666702</v>
      </c>
      <c r="I16" s="16">
        <f>'0318'!T59</f>
        <v>0.29027777777777802</v>
      </c>
      <c r="J16" s="16">
        <f>'0318'!T70</f>
        <v>0.33333333333333298</v>
      </c>
    </row>
    <row r="17" spans="2:10" ht="17.25" customHeight="1">
      <c r="B17" s="494"/>
      <c r="C17" s="10" t="s">
        <v>35</v>
      </c>
      <c r="D17" s="18">
        <v>0.60902777777777795</v>
      </c>
      <c r="E17" s="19">
        <v>0.61458333333333304</v>
      </c>
      <c r="F17" s="19">
        <v>0.55902777777777801</v>
      </c>
      <c r="G17" s="20">
        <v>0.62013888888888902</v>
      </c>
      <c r="H17" s="21">
        <v>0.57291666666666696</v>
      </c>
      <c r="I17" s="22">
        <v>0.69791666666666696</v>
      </c>
      <c r="J17" s="22">
        <v>0.46875</v>
      </c>
    </row>
    <row r="18" spans="2:10" ht="17.25" customHeight="1">
      <c r="B18" s="495" t="s">
        <v>102</v>
      </c>
      <c r="C18" s="330" t="s">
        <v>36</v>
      </c>
      <c r="D18" s="358">
        <f>'0318'!Z15</f>
        <v>1</v>
      </c>
      <c r="E18" s="359">
        <f>'0318'!Z26</f>
        <v>2</v>
      </c>
      <c r="F18" s="359">
        <f>'0318'!Z37</f>
        <v>0</v>
      </c>
      <c r="G18" s="360">
        <f>'0318'!Z48</f>
        <v>0</v>
      </c>
      <c r="H18" s="360">
        <f>'0318'!Z58</f>
        <v>0</v>
      </c>
      <c r="I18" s="359">
        <f>'0318'!Z69</f>
        <v>0</v>
      </c>
      <c r="J18" s="359">
        <f>'0318'!AA79</f>
        <v>0</v>
      </c>
    </row>
    <row r="19" spans="2:10" ht="17.25" customHeight="1">
      <c r="B19" s="496"/>
      <c r="C19" s="330" t="s">
        <v>37</v>
      </c>
      <c r="D19" s="358">
        <f>'0318'!AA15</f>
        <v>30</v>
      </c>
      <c r="E19" s="359">
        <f>'0318'!AA26</f>
        <v>39</v>
      </c>
      <c r="F19" s="359">
        <f>'0318'!AA37</f>
        <v>0</v>
      </c>
      <c r="G19" s="360">
        <f>'0318'!AA48</f>
        <v>0</v>
      </c>
      <c r="H19" s="360">
        <f>'0318'!AA58</f>
        <v>0</v>
      </c>
      <c r="I19" s="359">
        <f>'0318'!AA69</f>
        <v>0</v>
      </c>
      <c r="J19" s="359">
        <f>'0318'!AB79</f>
        <v>0</v>
      </c>
    </row>
    <row r="20" spans="2:10" ht="17.25" customHeight="1">
      <c r="B20" s="495" t="s">
        <v>103</v>
      </c>
      <c r="C20" s="330" t="s">
        <v>36</v>
      </c>
      <c r="D20" s="358">
        <f>'0318'!AD15</f>
        <v>0</v>
      </c>
      <c r="E20" s="359">
        <f>'0318'!AD26</f>
        <v>0</v>
      </c>
      <c r="F20" s="359">
        <f>'0318'!AD37</f>
        <v>0</v>
      </c>
      <c r="G20" s="360">
        <f>'0318'!AD48</f>
        <v>0</v>
      </c>
      <c r="H20" s="360">
        <f>'0318'!AD58</f>
        <v>0</v>
      </c>
      <c r="I20" s="359">
        <f>'0318'!AD69</f>
        <v>0</v>
      </c>
      <c r="J20" s="359">
        <f>'0318'!AD79</f>
        <v>0</v>
      </c>
    </row>
    <row r="21" spans="2:10" ht="17.25" customHeight="1">
      <c r="B21" s="496"/>
      <c r="C21" s="330" t="s">
        <v>85</v>
      </c>
      <c r="D21" s="358">
        <f>'0318'!AE15</f>
        <v>0</v>
      </c>
      <c r="E21" s="359">
        <f>'0318'!AE26</f>
        <v>0</v>
      </c>
      <c r="F21" s="359">
        <f>'0318'!AE37</f>
        <v>0</v>
      </c>
      <c r="G21" s="360">
        <f>'0318'!AE48</f>
        <v>0</v>
      </c>
      <c r="H21" s="360">
        <f>'0318'!AE58</f>
        <v>0</v>
      </c>
      <c r="I21" s="359">
        <f>'0318'!AE69</f>
        <v>0</v>
      </c>
      <c r="J21" s="359">
        <f>'0318'!AE79</f>
        <v>0</v>
      </c>
    </row>
    <row r="22" spans="2:10" ht="17.25" customHeight="1">
      <c r="B22" s="479" t="s">
        <v>104</v>
      </c>
      <c r="C22" s="480"/>
      <c r="D22" s="23">
        <f>VALUE('0318'!M15)</f>
        <v>13.666666666666666</v>
      </c>
      <c r="E22" s="23">
        <f>VALUE('0318'!M26)</f>
        <v>12.75</v>
      </c>
      <c r="F22" s="23">
        <f>VALUE('0318'!M37)</f>
        <v>15</v>
      </c>
      <c r="G22" s="23">
        <f>VALUE('0318'!M48)</f>
        <v>16.333333333333332</v>
      </c>
      <c r="H22" s="23">
        <f>VALUE('0318'!M58)</f>
        <v>16</v>
      </c>
      <c r="I22" s="23">
        <f>VALUE('0318'!M69)</f>
        <v>11.833333333333334</v>
      </c>
      <c r="J22" s="23">
        <f>'0318'!M79</f>
        <v>13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682F-002D-4266-A269-6DB439E65D88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D49" sqref="D49"/>
      <selection pane="topRight" activeCell="D49" sqref="D49"/>
      <selection pane="bottomLeft" activeCell="D49" sqref="D49"/>
      <selection pane="bottomRight" activeCell="O62" sqref="O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56324</v>
      </c>
      <c r="F1" s="30" t="s">
        <v>2</v>
      </c>
      <c r="G1" s="31">
        <f>SUM(H5:H79)</f>
        <v>2666931.16</v>
      </c>
      <c r="H1" s="32" t="s">
        <v>3</v>
      </c>
      <c r="I1" s="33">
        <f>M15+M26+M48+M58+M69+M79+M37</f>
        <v>98.583333333333329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179</v>
      </c>
      <c r="B2" s="447"/>
      <c r="C2" s="28"/>
      <c r="D2" s="28" t="s">
        <v>14</v>
      </c>
      <c r="E2" s="35">
        <f>AVERAGE(O15,O26,O37,O48,O58,O69,O79)</f>
        <v>108.61626159379058</v>
      </c>
      <c r="F2" s="36" t="s">
        <v>15</v>
      </c>
      <c r="G2" s="37">
        <f>G1/E1</f>
        <v>47.349818194730489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3</v>
      </c>
      <c r="AA2" s="339">
        <f>AA15+AA26+AA37+AA48+AA58+AA69+AA79</f>
        <v>69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5809</v>
      </c>
      <c r="H5" s="43">
        <f>F5*G5</f>
        <v>332332.89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7" si="0">K5/J5</f>
        <v>133.33333333333334</v>
      </c>
      <c r="M5" s="48">
        <v>15</v>
      </c>
      <c r="N5" s="46">
        <f t="shared" ref="N5:N7" si="1">G5/W5*60</f>
        <v>1947.1508379888353</v>
      </c>
      <c r="O5" s="47">
        <f t="shared" ref="O5:O7" si="2">N5/M5</f>
        <v>129.81005586592235</v>
      </c>
      <c r="P5" s="49">
        <f t="shared" ref="P5:P7" si="3">M5-J5</f>
        <v>0</v>
      </c>
      <c r="Q5" s="50">
        <f t="shared" ref="Q5:Q7" si="4">O5-L5</f>
        <v>-3.5232774674109919</v>
      </c>
      <c r="R5" s="51">
        <f t="shared" ref="R5:R7" si="5">O5/L5</f>
        <v>0.97357541899441757</v>
      </c>
      <c r="S5" s="376">
        <f>R15</f>
        <v>0.8914058539133316</v>
      </c>
      <c r="T5" s="319">
        <v>0.29166666666666702</v>
      </c>
      <c r="U5" s="320">
        <v>0.41597222222222202</v>
      </c>
      <c r="V5" s="53"/>
      <c r="W5" s="54">
        <f t="shared" ref="W5:W14" si="6">(U5-T5)*24*60</f>
        <v>178.9999999999992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-52.849162011164708</v>
      </c>
      <c r="AG5" s="52">
        <f t="shared" ref="AG5:AG11" si="8">N5/K5</f>
        <v>0.97357541899441769</v>
      </c>
      <c r="AH5" s="382">
        <f>AG15</f>
        <v>0.89491962620672849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2410</v>
      </c>
      <c r="H6" s="63">
        <f>F6*G6</f>
        <v>118427.4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1589.0109890110002</v>
      </c>
      <c r="O6" s="67">
        <f t="shared" si="2"/>
        <v>122.23161453930771</v>
      </c>
      <c r="P6" s="69">
        <f t="shared" si="3"/>
        <v>0</v>
      </c>
      <c r="Q6" s="70">
        <f t="shared" si="4"/>
        <v>-40.69146238376922</v>
      </c>
      <c r="R6" s="71">
        <f t="shared" si="5"/>
        <v>0.75024126015627957</v>
      </c>
      <c r="S6" s="377"/>
      <c r="T6" s="16">
        <v>0.42638888888888898</v>
      </c>
      <c r="U6" s="16">
        <v>0.48958333333333298</v>
      </c>
      <c r="V6" s="30">
        <f>(T6-U5)*24*60</f>
        <v>15.000000000000426</v>
      </c>
      <c r="W6" s="73">
        <f t="shared" si="6"/>
        <v>90.999999999999361</v>
      </c>
      <c r="X6" s="22"/>
      <c r="Y6" s="84"/>
      <c r="Z6" s="90">
        <v>1</v>
      </c>
      <c r="AA6" s="90">
        <v>30</v>
      </c>
      <c r="AB6" s="417" t="s">
        <v>180</v>
      </c>
      <c r="AC6" s="417"/>
      <c r="AD6" s="149"/>
      <c r="AE6" s="149"/>
      <c r="AF6" s="307">
        <f t="shared" si="7"/>
        <v>-528.98901098899978</v>
      </c>
      <c r="AG6" s="72">
        <f t="shared" si="8"/>
        <v>0.75024126015627957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2692</v>
      </c>
      <c r="H7" s="78">
        <f>F7*G7</f>
        <v>132284.88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2044.5569620253239</v>
      </c>
      <c r="O7" s="81">
        <f t="shared" si="2"/>
        <v>157.27361246348644</v>
      </c>
      <c r="P7" s="74">
        <f t="shared" si="3"/>
        <v>0</v>
      </c>
      <c r="Q7" s="83">
        <f t="shared" si="4"/>
        <v>-5.6494644595904902</v>
      </c>
      <c r="R7" s="72">
        <f t="shared" si="5"/>
        <v>0.96532434467673445</v>
      </c>
      <c r="S7" s="377"/>
      <c r="T7" s="18">
        <v>0.55416666666666703</v>
      </c>
      <c r="U7" s="18">
        <v>0.60902777777777795</v>
      </c>
      <c r="V7" s="30">
        <f>(T7-U6)*24*60</f>
        <v>93.000000000001023</v>
      </c>
      <c r="W7" s="73">
        <f t="shared" si="6"/>
        <v>78.999999999999716</v>
      </c>
      <c r="X7" s="22">
        <v>0.48611111111111099</v>
      </c>
      <c r="Y7" s="84">
        <v>0.52777777777777801</v>
      </c>
      <c r="Z7" s="90"/>
      <c r="AA7" s="90"/>
      <c r="AB7" s="388"/>
      <c r="AC7" s="388"/>
      <c r="AD7" s="92"/>
      <c r="AE7" s="92"/>
      <c r="AF7" s="307">
        <f t="shared" si="7"/>
        <v>-73.443037974676145</v>
      </c>
      <c r="AG7" s="72">
        <f t="shared" si="8"/>
        <v>0.96532434467673456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/>
      <c r="Y8" s="84"/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13.666666666666666</v>
      </c>
      <c r="N15" s="120">
        <f t="shared" si="9"/>
        <v>1860.2395963417196</v>
      </c>
      <c r="O15" s="117">
        <f t="shared" si="9"/>
        <v>136.43842762290549</v>
      </c>
      <c r="P15" s="121">
        <f t="shared" ref="P15:P19" si="10">M15-J15</f>
        <v>0</v>
      </c>
      <c r="Q15" s="122">
        <f t="shared" ref="Q15:Q19" si="11">O15-L15</f>
        <v>-16.621401436923577</v>
      </c>
      <c r="R15" s="123">
        <f t="shared" ref="R15:R19" si="12">O15/L15</f>
        <v>0.8914058539133316</v>
      </c>
      <c r="S15" s="38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30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-218.42707032494695</v>
      </c>
      <c r="AG15" s="124">
        <f t="shared" ref="AG15:AG19" si="14">N15/K15</f>
        <v>0.89491962620672849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762</v>
      </c>
      <c r="H16" s="134">
        <f>F16*G16</f>
        <v>42885.36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>G16/W16*60</f>
        <v>1523.9999999999527</v>
      </c>
      <c r="O16" s="141">
        <f>N16/M16</f>
        <v>101.59999999999685</v>
      </c>
      <c r="P16" s="142">
        <f>M16-J16</f>
        <v>0</v>
      </c>
      <c r="Q16" s="143">
        <f t="shared" si="11"/>
        <v>-18.400000000003146</v>
      </c>
      <c r="R16" s="144">
        <f>O16/L16</f>
        <v>0.84666666666664048</v>
      </c>
      <c r="S16" s="413">
        <f>R26</f>
        <v>0.82424792043098971</v>
      </c>
      <c r="T16" s="145">
        <v>0.29097222222222202</v>
      </c>
      <c r="U16" s="145">
        <v>0.311805555555556</v>
      </c>
      <c r="V16" s="135"/>
      <c r="W16" s="146">
        <f t="shared" ref="W16:W78" si="16">(U16-T16)*24*60</f>
        <v>30.000000000000931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-276.00000000004729</v>
      </c>
      <c r="AG16" s="52">
        <f t="shared" si="14"/>
        <v>0.84666666666664037</v>
      </c>
      <c r="AH16" s="382">
        <f>AG26</f>
        <v>0.85908064353115043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3533</v>
      </c>
      <c r="H17" s="78">
        <f>F17*G17</f>
        <v>179017.11000000002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12</v>
      </c>
      <c r="N17" s="95">
        <f>G17/W17*60</f>
        <v>1525.0359712230172</v>
      </c>
      <c r="O17" s="96">
        <f t="shared" ref="O17:O19" si="17">N17/M17</f>
        <v>127.08633093525144</v>
      </c>
      <c r="P17" s="97">
        <f t="shared" si="10"/>
        <v>0</v>
      </c>
      <c r="Q17" s="98">
        <f t="shared" si="11"/>
        <v>-47.913669064748561</v>
      </c>
      <c r="R17" s="99">
        <f t="shared" si="12"/>
        <v>0.72620760534429396</v>
      </c>
      <c r="S17" s="414"/>
      <c r="T17" s="19">
        <v>0.32013888888888897</v>
      </c>
      <c r="U17" s="19">
        <v>0.41666666666666702</v>
      </c>
      <c r="V17" s="30">
        <f>(T17-U16)*24*60</f>
        <v>11.999999999999478</v>
      </c>
      <c r="W17" s="149">
        <f t="shared" si="16"/>
        <v>139.0000000000004</v>
      </c>
      <c r="X17" s="19"/>
      <c r="Y17" s="297"/>
      <c r="Z17" s="90">
        <v>1</v>
      </c>
      <c r="AA17" s="90">
        <v>9</v>
      </c>
      <c r="AB17" s="388" t="s">
        <v>181</v>
      </c>
      <c r="AC17" s="388"/>
      <c r="AD17" s="92"/>
      <c r="AE17" s="92"/>
      <c r="AF17" s="307">
        <f t="shared" si="13"/>
        <v>-574.96402877698279</v>
      </c>
      <c r="AG17" s="72">
        <f t="shared" si="14"/>
        <v>0.72620760534429396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1813</v>
      </c>
      <c r="H18" s="78">
        <f t="shared" ref="H18:H19" si="18">F18*G18</f>
        <v>91357.07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13</v>
      </c>
      <c r="N18" s="95">
        <f t="shared" ref="N18:N19" si="19">G18/W18*60</f>
        <v>1875.517241379348</v>
      </c>
      <c r="O18" s="96">
        <f t="shared" si="17"/>
        <v>144.27055702918062</v>
      </c>
      <c r="P18" s="97">
        <f t="shared" si="10"/>
        <v>2</v>
      </c>
      <c r="Q18" s="98">
        <f t="shared" si="11"/>
        <v>-46.638533879910284</v>
      </c>
      <c r="R18" s="99">
        <f t="shared" si="12"/>
        <v>0.75570291777189846</v>
      </c>
      <c r="S18" s="414"/>
      <c r="T18" s="19">
        <v>0.44791666666666702</v>
      </c>
      <c r="U18" s="19">
        <v>0.48819444444444399</v>
      </c>
      <c r="V18" s="30">
        <f>(T18-U17)*24*60</f>
        <v>45</v>
      </c>
      <c r="W18" s="149">
        <f t="shared" si="16"/>
        <v>57.999999999998835</v>
      </c>
      <c r="X18" s="22">
        <v>0.48611111111111099</v>
      </c>
      <c r="Y18" s="84">
        <v>0.52777777777777801</v>
      </c>
      <c r="Z18" s="90">
        <v>1</v>
      </c>
      <c r="AA18" s="90">
        <v>30</v>
      </c>
      <c r="AB18" s="417" t="s">
        <v>180</v>
      </c>
      <c r="AC18" s="417"/>
      <c r="AD18" s="92"/>
      <c r="AE18" s="92"/>
      <c r="AF18" s="307">
        <f t="shared" si="13"/>
        <v>-224.48275862065202</v>
      </c>
      <c r="AG18" s="72">
        <f t="shared" si="14"/>
        <v>0.89310344827587995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3051</v>
      </c>
      <c r="H19" s="78">
        <f t="shared" si="18"/>
        <v>153739.89000000001</v>
      </c>
      <c r="I19" s="30"/>
      <c r="J19" s="79">
        <f>VLOOKUP(D19,產線配置圖!$A$3:$C$38,2,0)</f>
        <v>11</v>
      </c>
      <c r="K19" s="80">
        <f>VLOOKUP(D19,產線配置圖!$A$3:$C$38,3,0)</f>
        <v>2100</v>
      </c>
      <c r="L19" s="81">
        <f t="shared" si="15"/>
        <v>190.90909090909091</v>
      </c>
      <c r="M19" s="148">
        <v>11</v>
      </c>
      <c r="N19" s="95">
        <f t="shared" si="19"/>
        <v>2034</v>
      </c>
      <c r="O19" s="96">
        <f t="shared" si="17"/>
        <v>184.90909090909091</v>
      </c>
      <c r="P19" s="97">
        <f t="shared" si="10"/>
        <v>0</v>
      </c>
      <c r="Q19" s="98">
        <f t="shared" si="11"/>
        <v>-6</v>
      </c>
      <c r="R19" s="99">
        <f t="shared" si="12"/>
        <v>0.96857142857142853</v>
      </c>
      <c r="S19" s="414"/>
      <c r="T19" s="19">
        <v>0.55208333333333304</v>
      </c>
      <c r="U19" s="19">
        <v>0.61458333333333304</v>
      </c>
      <c r="V19" s="30">
        <f>(T19-U18)*24*60</f>
        <v>92.000000000000227</v>
      </c>
      <c r="W19" s="149">
        <f t="shared" si="16"/>
        <v>90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-66</v>
      </c>
      <c r="AG19" s="72">
        <f t="shared" si="14"/>
        <v>0.96857142857142853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6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6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6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6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6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12.25</v>
      </c>
      <c r="K26" s="155">
        <f t="shared" si="21"/>
        <v>2025</v>
      </c>
      <c r="L26" s="158">
        <f t="shared" si="21"/>
        <v>169.20454545454544</v>
      </c>
      <c r="M26" s="155">
        <f t="shared" si="21"/>
        <v>12.75</v>
      </c>
      <c r="N26" s="155">
        <f t="shared" si="21"/>
        <v>1739.6383031505795</v>
      </c>
      <c r="O26" s="158">
        <f t="shared" si="21"/>
        <v>139.46649471837995</v>
      </c>
      <c r="P26" s="159">
        <f t="shared" ref="P26:P29" si="22">M26-J26</f>
        <v>0.5</v>
      </c>
      <c r="Q26" s="160">
        <f t="shared" ref="Q26:Q29" si="23">O26-L26</f>
        <v>-29.738050736165491</v>
      </c>
      <c r="R26" s="161">
        <f>O26/L26</f>
        <v>0.82424792043098971</v>
      </c>
      <c r="S26" s="415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39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4">N26-K26</f>
        <v>-285.36169684942047</v>
      </c>
      <c r="AG26" s="124">
        <f t="shared" ref="AG26:AG31" si="25">N26/K26</f>
        <v>0.85908064353115043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3186</v>
      </c>
      <c r="H27" s="134">
        <f>F27*G27</f>
        <v>185329.62</v>
      </c>
      <c r="I27" s="135"/>
      <c r="J27" s="136">
        <v>14</v>
      </c>
      <c r="K27" s="137">
        <v>1636</v>
      </c>
      <c r="L27" s="138">
        <f t="shared" ref="L27:L29" si="26">K27/J27</f>
        <v>116.85714285714286</v>
      </c>
      <c r="M27" s="170">
        <v>14</v>
      </c>
      <c r="N27" s="140">
        <f>G27/W27*60</f>
        <v>1606.3865546218469</v>
      </c>
      <c r="O27" s="141">
        <f>N27/M27</f>
        <v>114.74189675870335</v>
      </c>
      <c r="P27" s="142">
        <f t="shared" si="22"/>
        <v>0</v>
      </c>
      <c r="Q27" s="143">
        <f t="shared" si="23"/>
        <v>-2.1152460984395134</v>
      </c>
      <c r="R27" s="144">
        <f>O27/L27</f>
        <v>0.98189887201824377</v>
      </c>
      <c r="S27" s="413">
        <f>R37</f>
        <v>0.92673391725416465</v>
      </c>
      <c r="T27" s="171">
        <v>0.29027777777777802</v>
      </c>
      <c r="U27" s="171">
        <v>0.37291666666666701</v>
      </c>
      <c r="V27" s="135"/>
      <c r="W27" s="146">
        <f t="shared" si="16"/>
        <v>119.00000000000014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-29.613445378153074</v>
      </c>
      <c r="AG27" s="172">
        <f t="shared" si="25"/>
        <v>0.98189887201824388</v>
      </c>
      <c r="AH27" s="382">
        <f>AG37</f>
        <v>0.90745736685286216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2392</v>
      </c>
      <c r="H28" s="91">
        <f>F28*G28</f>
        <v>118451.84000000001</v>
      </c>
      <c r="I28" s="92"/>
      <c r="J28" s="79">
        <f>VLOOKUP(D28,產線配置圖!$A$3:$C$38,2,0)</f>
        <v>17</v>
      </c>
      <c r="K28" s="80">
        <v>1500</v>
      </c>
      <c r="L28" s="93">
        <f t="shared" si="26"/>
        <v>88.235294117647058</v>
      </c>
      <c r="M28" s="94">
        <v>16</v>
      </c>
      <c r="N28" s="95">
        <f>G28/W28*60</f>
        <v>1248.0000000000018</v>
      </c>
      <c r="O28" s="96">
        <f>N28/M28</f>
        <v>78.000000000000114</v>
      </c>
      <c r="P28" s="97">
        <f t="shared" si="22"/>
        <v>-1</v>
      </c>
      <c r="Q28" s="98">
        <f t="shared" si="23"/>
        <v>-10.235294117646944</v>
      </c>
      <c r="R28" s="99">
        <f t="shared" ref="R28:R29" si="27">O28/L28</f>
        <v>0.88400000000000134</v>
      </c>
      <c r="S28" s="414"/>
      <c r="T28" s="19">
        <v>0.37847222222222199</v>
      </c>
      <c r="U28" s="19">
        <v>0.45833333333333298</v>
      </c>
      <c r="V28" s="92">
        <f>(T28-U27)*24*60</f>
        <v>7.9999999999991722</v>
      </c>
      <c r="W28" s="149">
        <f t="shared" si="16"/>
        <v>114.99999999999983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4"/>
        <v>-251.99999999999818</v>
      </c>
      <c r="AG28" s="99">
        <f t="shared" si="25"/>
        <v>0.83200000000000118</v>
      </c>
      <c r="AH28" s="383"/>
    </row>
    <row r="29" spans="1:34" ht="15" customHeight="1">
      <c r="A29" s="411"/>
      <c r="B29" s="75" t="s">
        <v>81</v>
      </c>
      <c r="C29" s="173"/>
      <c r="D29" s="59" t="s">
        <v>113</v>
      </c>
      <c r="E29" s="104"/>
      <c r="F29" s="75">
        <f>VLOOKUP(D29,廠價表!$C$1:$E$41,3,0)</f>
        <v>57.21</v>
      </c>
      <c r="G29" s="90">
        <v>1230</v>
      </c>
      <c r="H29" s="91">
        <f>F29*G29</f>
        <v>70368.3</v>
      </c>
      <c r="I29" s="92"/>
      <c r="J29" s="79">
        <v>15</v>
      </c>
      <c r="K29" s="80">
        <v>1636</v>
      </c>
      <c r="L29" s="93">
        <f t="shared" si="26"/>
        <v>109.06666666666666</v>
      </c>
      <c r="M29" s="94">
        <v>15</v>
      </c>
      <c r="N29" s="95">
        <f>G29/W29*60</f>
        <v>1476.00000000001</v>
      </c>
      <c r="O29" s="96">
        <f>N29/M29</f>
        <v>98.400000000000674</v>
      </c>
      <c r="P29" s="97">
        <f t="shared" si="22"/>
        <v>0</v>
      </c>
      <c r="Q29" s="98">
        <f t="shared" si="23"/>
        <v>-10.666666666665989</v>
      </c>
      <c r="R29" s="99">
        <f t="shared" si="27"/>
        <v>0.90220048899756122</v>
      </c>
      <c r="S29" s="414"/>
      <c r="T29" s="19">
        <v>0.52430555555555602</v>
      </c>
      <c r="U29" s="19">
        <v>0.55902777777777801</v>
      </c>
      <c r="V29" s="92">
        <f>(T29-U28)*24*60</f>
        <v>95.00000000000118</v>
      </c>
      <c r="W29" s="149">
        <f t="shared" si="16"/>
        <v>49.999999999999659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4"/>
        <v>-159.99999999999</v>
      </c>
      <c r="AG29" s="99">
        <f t="shared" si="25"/>
        <v>0.90220048899756111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6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4"/>
        <v>0</v>
      </c>
      <c r="AG30" s="99" t="e">
        <f t="shared" si="25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6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0</v>
      </c>
      <c r="AG31" s="99" t="e">
        <f t="shared" si="25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6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6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6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6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6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9">AVERAGE(J27:J36)</f>
        <v>15.333333333333334</v>
      </c>
      <c r="K37" s="155">
        <f t="shared" si="29"/>
        <v>1590.6666666666667</v>
      </c>
      <c r="L37" s="158">
        <f t="shared" si="29"/>
        <v>104.71970121381885</v>
      </c>
      <c r="M37" s="155">
        <f t="shared" si="29"/>
        <v>15</v>
      </c>
      <c r="N37" s="155">
        <f t="shared" si="29"/>
        <v>1443.4621848739528</v>
      </c>
      <c r="O37" s="158">
        <f t="shared" si="29"/>
        <v>97.04729891956805</v>
      </c>
      <c r="P37" s="159">
        <f>M37-J37</f>
        <v>-0.33333333333333393</v>
      </c>
      <c r="Q37" s="160">
        <f>N37-K37</f>
        <v>-147.20448179271398</v>
      </c>
      <c r="R37" s="161">
        <f t="shared" ref="R37:R40" si="30">O37/L37</f>
        <v>0.92673391725416465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1">N37-K37</f>
        <v>-147.20448179271398</v>
      </c>
      <c r="AG37" s="124">
        <f t="shared" ref="AG37:AG41" si="32">N37/K37</f>
        <v>0.90745736685286216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2704</v>
      </c>
      <c r="H38" s="134">
        <f>F38*G38</f>
        <v>134956.63999999998</v>
      </c>
      <c r="I38" s="135"/>
      <c r="J38" s="187">
        <f>VLOOKUP(D38,產線配置圖!$A$3:$C$38,2,0)</f>
        <v>15</v>
      </c>
      <c r="K38" s="188">
        <f>VLOOKUP(D38,產線配置圖!$A$3:$C$38,3,0)</f>
        <v>1565</v>
      </c>
      <c r="L38" s="189">
        <f t="shared" ref="L38:L40" si="33">K38/J38</f>
        <v>104.33333333333333</v>
      </c>
      <c r="M38" s="190">
        <v>15</v>
      </c>
      <c r="N38" s="140">
        <f>G38/W38*60</f>
        <v>1559.9999999999827</v>
      </c>
      <c r="O38" s="141">
        <f>N38/M38</f>
        <v>103.99999999999885</v>
      </c>
      <c r="P38" s="142">
        <f t="shared" ref="P38:P40" si="34">M38-J38</f>
        <v>0</v>
      </c>
      <c r="Q38" s="143">
        <f t="shared" ref="Q38:Q40" si="35">O38-L38</f>
        <v>-0.33333333333447968</v>
      </c>
      <c r="R38" s="144">
        <f>O38/L38</f>
        <v>0.99680511182107523</v>
      </c>
      <c r="S38" s="404">
        <f>R48</f>
        <v>0.93451144219202475</v>
      </c>
      <c r="T38" s="191">
        <v>0.33333333333333298</v>
      </c>
      <c r="U38" s="191">
        <v>0.405555555555556</v>
      </c>
      <c r="V38" s="192"/>
      <c r="W38" s="193">
        <f t="shared" si="16"/>
        <v>104.00000000000115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1"/>
        <v>-5.0000000000172804</v>
      </c>
      <c r="AG38" s="195">
        <f t="shared" si="32"/>
        <v>0.99680511182107523</v>
      </c>
      <c r="AH38" s="398">
        <f>AG48</f>
        <v>0.93174283465295582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3208</v>
      </c>
      <c r="H39" s="91">
        <f>F39*G39</f>
        <v>142114.4</v>
      </c>
      <c r="I39" s="200"/>
      <c r="J39" s="148">
        <f>VLOOKUP(D39,產線配置圖!$A$3:$C$38,2,0)</f>
        <v>17</v>
      </c>
      <c r="K39" s="95">
        <v>1565</v>
      </c>
      <c r="L39" s="96">
        <f t="shared" si="33"/>
        <v>92.058823529411768</v>
      </c>
      <c r="M39" s="201">
        <v>17</v>
      </c>
      <c r="N39" s="202">
        <f>G39/W39*60</f>
        <v>1394.782608695657</v>
      </c>
      <c r="O39" s="203">
        <f t="shared" ref="O39:O40" si="36">N39/M39</f>
        <v>82.046035805626886</v>
      </c>
      <c r="P39" s="97">
        <f t="shared" si="34"/>
        <v>0</v>
      </c>
      <c r="Q39" s="98">
        <f t="shared" si="35"/>
        <v>-10.012787723784882</v>
      </c>
      <c r="R39" s="99">
        <f t="shared" si="30"/>
        <v>0.89123489373524412</v>
      </c>
      <c r="S39" s="405"/>
      <c r="T39" s="20">
        <v>0.41249999999999998</v>
      </c>
      <c r="U39" s="20">
        <v>0.50833333333333297</v>
      </c>
      <c r="V39" s="92">
        <f>(T39-U38)*24*60</f>
        <v>9.999999999999325</v>
      </c>
      <c r="W39" s="205">
        <f t="shared" si="16"/>
        <v>137.99999999999952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1"/>
        <v>-170.21739130434298</v>
      </c>
      <c r="AG39" s="206">
        <f t="shared" si="32"/>
        <v>0.89123489373524412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1893</v>
      </c>
      <c r="H40" s="91">
        <f>F40*G40</f>
        <v>83859.899999999994</v>
      </c>
      <c r="I40" s="200"/>
      <c r="J40" s="148">
        <f>VLOOKUP(D40,產線配置圖!$A$3:$C$38,2,0)</f>
        <v>17</v>
      </c>
      <c r="K40" s="95">
        <v>1565</v>
      </c>
      <c r="L40" s="96">
        <f t="shared" si="33"/>
        <v>92.058823529411768</v>
      </c>
      <c r="M40" s="201">
        <v>17</v>
      </c>
      <c r="N40" s="202">
        <f>G40/W40*60</f>
        <v>1419.7499999999879</v>
      </c>
      <c r="O40" s="203">
        <f t="shared" si="36"/>
        <v>83.514705882352231</v>
      </c>
      <c r="P40" s="97">
        <f t="shared" si="34"/>
        <v>0</v>
      </c>
      <c r="Q40" s="98">
        <f t="shared" si="35"/>
        <v>-8.5441176470595366</v>
      </c>
      <c r="R40" s="99">
        <f t="shared" si="30"/>
        <v>0.90718849840254812</v>
      </c>
      <c r="S40" s="377"/>
      <c r="T40" s="20">
        <v>0.56458333333333299</v>
      </c>
      <c r="U40" s="20">
        <v>0.62013888888888902</v>
      </c>
      <c r="V40" s="92">
        <f>(T40-U39)*24*60</f>
        <v>81.000000000000028</v>
      </c>
      <c r="W40" s="205">
        <f t="shared" si="16"/>
        <v>80.000000000000682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1"/>
        <v>-145.25000000001205</v>
      </c>
      <c r="AG40" s="206">
        <f t="shared" si="32"/>
        <v>0.90718849840254823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6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1"/>
        <v>0</v>
      </c>
      <c r="AG41" s="206" t="e">
        <f t="shared" si="32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6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7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7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7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7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8">AVERAGE(J38:J47)</f>
        <v>16.333333333333332</v>
      </c>
      <c r="K48" s="155">
        <f t="shared" si="38"/>
        <v>1565</v>
      </c>
      <c r="L48" s="158">
        <f t="shared" si="38"/>
        <v>96.150326797385617</v>
      </c>
      <c r="M48" s="155">
        <f t="shared" si="38"/>
        <v>16.333333333333332</v>
      </c>
      <c r="N48" s="155">
        <f t="shared" si="38"/>
        <v>1458.1775362318758</v>
      </c>
      <c r="O48" s="158">
        <f t="shared" si="38"/>
        <v>89.853580562659317</v>
      </c>
      <c r="P48" s="221">
        <f>M48-J48</f>
        <v>0</v>
      </c>
      <c r="Q48" s="222">
        <f>N48-K48</f>
        <v>-106.82246376812418</v>
      </c>
      <c r="R48" s="223">
        <f>O48/L48</f>
        <v>0.93451144219202475</v>
      </c>
      <c r="S48" s="380"/>
      <c r="T48" s="224"/>
      <c r="U48" s="224"/>
      <c r="V48" s="225"/>
      <c r="W48" s="226">
        <f t="shared" si="37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9">N48-K48</f>
        <v>-106.82246376812418</v>
      </c>
      <c r="AG48" s="162">
        <f t="shared" ref="AG48:AG53" si="40">N48/K48</f>
        <v>0.93174283465295582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1233</v>
      </c>
      <c r="H49" s="134">
        <f>F49*G49</f>
        <v>70120.709999999992</v>
      </c>
      <c r="I49" s="135"/>
      <c r="J49" s="136">
        <f>VLOOKUP(D49,產線配置圖!$A$3:$C$38,2,0)</f>
        <v>17</v>
      </c>
      <c r="K49" s="137">
        <v>1636</v>
      </c>
      <c r="L49" s="138">
        <f t="shared" ref="L49:L52" si="41">K49/J49</f>
        <v>96.235294117647058</v>
      </c>
      <c r="M49" s="170">
        <v>17</v>
      </c>
      <c r="N49" s="140">
        <f>G49/W49*60</f>
        <v>1608.2608695652398</v>
      </c>
      <c r="O49" s="141">
        <f>N49/M49</f>
        <v>94.603580562661165</v>
      </c>
      <c r="P49" s="229">
        <f>M49-J49</f>
        <v>0</v>
      </c>
      <c r="Q49" s="230">
        <f>O49-L49</f>
        <v>-1.6317135549858932</v>
      </c>
      <c r="R49" s="52">
        <f>O49/L49</f>
        <v>0.98304454129904639</v>
      </c>
      <c r="S49" s="376">
        <f>R58</f>
        <v>0.92348150416729058</v>
      </c>
      <c r="T49" s="191">
        <v>0.29166666666666702</v>
      </c>
      <c r="U49" s="191">
        <v>0.32361111111111102</v>
      </c>
      <c r="V49" s="55"/>
      <c r="W49" s="193">
        <f t="shared" si="16"/>
        <v>45.999999999999361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9"/>
        <v>-27.739130434760227</v>
      </c>
      <c r="AG49" s="52">
        <f t="shared" si="40"/>
        <v>0.98304454129904628</v>
      </c>
      <c r="AH49" s="382">
        <f>AG58</f>
        <v>0.92392162994671267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1810</v>
      </c>
      <c r="H50" s="231">
        <f>F50*G50</f>
        <v>103550.1</v>
      </c>
      <c r="I50" s="232"/>
      <c r="J50" s="79">
        <v>15</v>
      </c>
      <c r="K50" s="80">
        <v>1636</v>
      </c>
      <c r="L50" s="81">
        <f t="shared" si="41"/>
        <v>109.06666666666666</v>
      </c>
      <c r="M50" s="233">
        <v>15</v>
      </c>
      <c r="N50" s="234">
        <f>G50/W50*60</f>
        <v>1551.4285714285752</v>
      </c>
      <c r="O50" s="235">
        <f>N50/M50</f>
        <v>103.42857142857169</v>
      </c>
      <c r="P50" s="74">
        <f>M50-J50</f>
        <v>0</v>
      </c>
      <c r="Q50" s="83">
        <f>O50-L50</f>
        <v>-5.6380952380949765</v>
      </c>
      <c r="R50" s="72">
        <f>O50/L50</f>
        <v>0.94830597275585293</v>
      </c>
      <c r="S50" s="377"/>
      <c r="T50" s="21">
        <v>0.32986111111111099</v>
      </c>
      <c r="U50" s="21">
        <v>0.37847222222222199</v>
      </c>
      <c r="V50" s="30">
        <f t="shared" ref="V50:V52" si="42">(T50-U49)*24*60</f>
        <v>8.999999999999968</v>
      </c>
      <c r="W50" s="236">
        <f t="shared" si="16"/>
        <v>69.999999999999829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9"/>
        <v>-84.571428571424804</v>
      </c>
      <c r="AG50" s="72">
        <f t="shared" si="40"/>
        <v>0.94830597275585282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3145</v>
      </c>
      <c r="H51" s="231">
        <f>F51*G51</f>
        <v>157155.65</v>
      </c>
      <c r="I51" s="232"/>
      <c r="J51" s="79">
        <f>VLOOKUP(D51,產線配置圖!$A$3:$C$38,2,0)</f>
        <v>16</v>
      </c>
      <c r="K51" s="80">
        <v>1800</v>
      </c>
      <c r="L51" s="81">
        <f t="shared" si="41"/>
        <v>112.5</v>
      </c>
      <c r="M51" s="233">
        <v>16</v>
      </c>
      <c r="N51" s="234">
        <f>G51/W51*60</f>
        <v>1572.5000000000068</v>
      </c>
      <c r="O51" s="235">
        <f>N51/M51</f>
        <v>98.281250000000426</v>
      </c>
      <c r="P51" s="74">
        <f>M51-J51</f>
        <v>0</v>
      </c>
      <c r="Q51" s="83">
        <f>O51-L51</f>
        <v>-14.218749999999574</v>
      </c>
      <c r="R51" s="72">
        <f>O51/L51</f>
        <v>0.87361111111111489</v>
      </c>
      <c r="S51" s="377"/>
      <c r="T51" s="21">
        <v>0.38541666666666702</v>
      </c>
      <c r="U51" s="19">
        <v>0.46875</v>
      </c>
      <c r="V51" s="30">
        <f t="shared" si="42"/>
        <v>10.000000000000844</v>
      </c>
      <c r="W51" s="236">
        <f t="shared" si="16"/>
        <v>119.99999999999949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9"/>
        <v>-227.49999999999318</v>
      </c>
      <c r="AG51" s="72">
        <f t="shared" si="40"/>
        <v>0.87361111111111489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1617</v>
      </c>
      <c r="H52" s="231">
        <f>F52*G52</f>
        <v>80801.490000000005</v>
      </c>
      <c r="I52" s="232"/>
      <c r="J52" s="79">
        <f>VLOOKUP(D52,產線配置圖!$A$3:$C$38,2,0)</f>
        <v>16</v>
      </c>
      <c r="K52" s="80">
        <v>1800</v>
      </c>
      <c r="L52" s="81">
        <f t="shared" si="41"/>
        <v>112.5</v>
      </c>
      <c r="M52" s="233">
        <v>16</v>
      </c>
      <c r="N52" s="234">
        <f>G52/W52*60</f>
        <v>1616.9999999999884</v>
      </c>
      <c r="O52" s="235">
        <f>N52/M52</f>
        <v>101.06249999999928</v>
      </c>
      <c r="P52" s="74">
        <f>M52-J52</f>
        <v>0</v>
      </c>
      <c r="Q52" s="83">
        <f>O52-L52</f>
        <v>-11.437500000000725</v>
      </c>
      <c r="R52" s="72">
        <f>O52/L52</f>
        <v>0.89833333333332688</v>
      </c>
      <c r="S52" s="377"/>
      <c r="T52" s="21">
        <v>0.53125</v>
      </c>
      <c r="U52" s="21">
        <v>0.57291666666666696</v>
      </c>
      <c r="V52" s="30">
        <f t="shared" si="42"/>
        <v>90</v>
      </c>
      <c r="W52" s="236">
        <f t="shared" si="16"/>
        <v>60.000000000000426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9"/>
        <v>-183.0000000000116</v>
      </c>
      <c r="AG52" s="72">
        <f t="shared" si="40"/>
        <v>0.89833333333332688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6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9"/>
        <v>0</v>
      </c>
      <c r="AG53" s="72" t="e">
        <f t="shared" si="40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6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6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6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6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3">AVERAGE(J49:J57)</f>
        <v>16</v>
      </c>
      <c r="K58" s="120">
        <f t="shared" si="43"/>
        <v>1718</v>
      </c>
      <c r="L58" s="117">
        <f t="shared" si="43"/>
        <v>107.57549019607843</v>
      </c>
      <c r="M58" s="120">
        <f t="shared" si="43"/>
        <v>16</v>
      </c>
      <c r="N58" s="120">
        <f t="shared" si="43"/>
        <v>1587.2973602484524</v>
      </c>
      <c r="O58" s="117">
        <f t="shared" si="43"/>
        <v>99.343975497808131</v>
      </c>
      <c r="P58" s="121">
        <f>M58-J58</f>
        <v>0</v>
      </c>
      <c r="Q58" s="122">
        <f>N58-K58</f>
        <v>-130.70263975154762</v>
      </c>
      <c r="R58" s="123">
        <f t="shared" ref="R58:R64" si="44">O58/L58</f>
        <v>0.92348150416729058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5">N58-K58</f>
        <v>-130.70263975154762</v>
      </c>
      <c r="AG58" s="124">
        <f t="shared" ref="AG58:AG61" si="46">N58/K58</f>
        <v>0.92392162994671267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3501</v>
      </c>
      <c r="H59" s="243">
        <f>F59*G59</f>
        <v>94491.989999999991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47">K59/J59</f>
        <v>120.38461538461539</v>
      </c>
      <c r="M59" s="244">
        <v>13</v>
      </c>
      <c r="N59" s="137">
        <f t="shared" ref="N59:N64" si="48">G59/W59*60</f>
        <v>1533.2846715328451</v>
      </c>
      <c r="O59" s="138">
        <f t="shared" ref="O59:O64" si="49">N59/M59</f>
        <v>117.94497473329578</v>
      </c>
      <c r="P59" s="56">
        <f t="shared" ref="P59:P64" si="50">M59-J59</f>
        <v>0</v>
      </c>
      <c r="Q59" s="230">
        <f t="shared" ref="Q59:Q64" si="51">O59-L59</f>
        <v>-2.4396406513196069</v>
      </c>
      <c r="R59" s="52">
        <f t="shared" si="44"/>
        <v>0.97973461439798415</v>
      </c>
      <c r="S59" s="376">
        <f>R69</f>
        <v>0.76903949499311108</v>
      </c>
      <c r="T59" s="245">
        <v>0.29027777777777802</v>
      </c>
      <c r="U59" s="245">
        <v>0.38541666666666702</v>
      </c>
      <c r="V59" s="55"/>
      <c r="W59" s="54">
        <f t="shared" si="16"/>
        <v>137.00000000000014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5"/>
        <v>-31.715328467154905</v>
      </c>
      <c r="AG59" s="246">
        <f t="shared" si="46"/>
        <v>0.97973461439798404</v>
      </c>
      <c r="AH59" s="382">
        <f>AG69</f>
        <v>0.83038189844192378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1615</v>
      </c>
      <c r="H60" s="78">
        <f>F60*G60</f>
        <v>45639.9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7"/>
        <v>130.41666666666666</v>
      </c>
      <c r="M60" s="82">
        <v>12</v>
      </c>
      <c r="N60" s="80">
        <f t="shared" si="48"/>
        <v>1384.2857142857176</v>
      </c>
      <c r="O60" s="81">
        <f t="shared" si="49"/>
        <v>115.35714285714313</v>
      </c>
      <c r="P60" s="74">
        <f t="shared" si="50"/>
        <v>0</v>
      </c>
      <c r="Q60" s="83">
        <f t="shared" si="51"/>
        <v>-15.059523809523526</v>
      </c>
      <c r="R60" s="72">
        <f t="shared" si="44"/>
        <v>0.8845276129621199</v>
      </c>
      <c r="S60" s="394"/>
      <c r="T60" s="22">
        <v>0.39236111111111099</v>
      </c>
      <c r="U60" s="22">
        <v>0.44097222222222199</v>
      </c>
      <c r="V60" s="30">
        <f t="shared" ref="V60:V64" si="52">(T60-U59)*24*60</f>
        <v>9.999999999999325</v>
      </c>
      <c r="W60" s="248">
        <f t="shared" si="16"/>
        <v>69.999999999999829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5"/>
        <v>-180.71428571428237</v>
      </c>
      <c r="AG60" s="249">
        <f t="shared" si="46"/>
        <v>0.8845276129621199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250">
        <f>VLOOKUP(D61,廠價表!$C$1:$E$41,3,0)</f>
        <v>28.26</v>
      </c>
      <c r="G61" s="38">
        <v>589</v>
      </c>
      <c r="H61" s="254">
        <f t="shared" ref="H61:H64" si="53">F61*G61</f>
        <v>16645.14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7"/>
        <v>130.41666666666666</v>
      </c>
      <c r="M61" s="108">
        <v>12</v>
      </c>
      <c r="N61" s="107">
        <f t="shared" si="48"/>
        <v>883.4999999999925</v>
      </c>
      <c r="O61" s="238">
        <f t="shared" si="49"/>
        <v>73.624999999999375</v>
      </c>
      <c r="P61" s="111">
        <f t="shared" si="50"/>
        <v>0</v>
      </c>
      <c r="Q61" s="255">
        <f t="shared" si="51"/>
        <v>-56.791666666667282</v>
      </c>
      <c r="R61" s="85">
        <f t="shared" si="44"/>
        <v>0.56453674121405273</v>
      </c>
      <c r="S61" s="377"/>
      <c r="T61" s="22">
        <v>0.45138888888888901</v>
      </c>
      <c r="U61" s="22">
        <v>0.47916666666666702</v>
      </c>
      <c r="V61" s="30">
        <f t="shared" si="52"/>
        <v>15.000000000000506</v>
      </c>
      <c r="W61" s="256">
        <f t="shared" si="16"/>
        <v>40.000000000000341</v>
      </c>
      <c r="X61" s="22"/>
      <c r="Y61" s="84"/>
      <c r="Z61" s="90"/>
      <c r="AA61" s="90"/>
      <c r="AB61" s="388" t="s">
        <v>182</v>
      </c>
      <c r="AC61" s="388"/>
      <c r="AD61" s="92"/>
      <c r="AE61" s="92"/>
      <c r="AF61" s="317">
        <f t="shared" si="45"/>
        <v>-681.5000000000075</v>
      </c>
      <c r="AG61" s="247">
        <f t="shared" si="46"/>
        <v>0.56453674121405273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1400</v>
      </c>
      <c r="H62" s="254">
        <f t="shared" si="53"/>
        <v>39564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7"/>
        <v>181.77777777777777</v>
      </c>
      <c r="M62" s="68">
        <v>11</v>
      </c>
      <c r="N62" s="107">
        <f t="shared" si="48"/>
        <v>1527.2727272727459</v>
      </c>
      <c r="O62" s="238">
        <f t="shared" si="49"/>
        <v>138.84297520661326</v>
      </c>
      <c r="P62" s="111">
        <f t="shared" si="50"/>
        <v>2</v>
      </c>
      <c r="Q62" s="255">
        <f t="shared" si="51"/>
        <v>-42.934802571164511</v>
      </c>
      <c r="R62" s="85">
        <f t="shared" si="44"/>
        <v>0.76380609832488955</v>
      </c>
      <c r="S62" s="377"/>
      <c r="T62" s="22">
        <v>0.55902777777777801</v>
      </c>
      <c r="U62" s="22">
        <v>0.59722222222222199</v>
      </c>
      <c r="V62" s="30">
        <f t="shared" si="52"/>
        <v>114.99999999999983</v>
      </c>
      <c r="W62" s="248">
        <f t="shared" si="16"/>
        <v>54.999999999999325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-108.7272727272541</v>
      </c>
      <c r="AG62" s="247">
        <f>N62/K62</f>
        <v>0.93354078684153174</v>
      </c>
      <c r="AH62" s="384"/>
    </row>
    <row r="63" spans="1:34" ht="15" customHeight="1">
      <c r="A63" s="392"/>
      <c r="B63" s="75" t="s">
        <v>128</v>
      </c>
      <c r="C63" s="76"/>
      <c r="D63" s="175" t="s">
        <v>131</v>
      </c>
      <c r="E63" s="77"/>
      <c r="F63" s="250">
        <f>VLOOKUP(D63,廠價表!$C$1:$E$41,3,0)</f>
        <v>28.26</v>
      </c>
      <c r="G63" s="30">
        <v>607</v>
      </c>
      <c r="H63" s="254">
        <f t="shared" si="53"/>
        <v>17153.82</v>
      </c>
      <c r="I63" s="182"/>
      <c r="J63" s="106">
        <f>VLOOKUP(D63,產線配置圖!$A$3:$C$38,2,0)</f>
        <v>12</v>
      </c>
      <c r="K63" s="107">
        <f>VLOOKUP(D63,產線配置圖!$A$3:$C$38,3,0)</f>
        <v>1565</v>
      </c>
      <c r="L63" s="238">
        <f t="shared" si="47"/>
        <v>130.41666666666666</v>
      </c>
      <c r="M63" s="82">
        <v>12</v>
      </c>
      <c r="N63" s="107">
        <f t="shared" si="48"/>
        <v>1040.5714285714084</v>
      </c>
      <c r="O63" s="238">
        <f t="shared" si="49"/>
        <v>86.714285714284031</v>
      </c>
      <c r="P63" s="111">
        <f t="shared" si="50"/>
        <v>0</v>
      </c>
      <c r="Q63" s="255">
        <f t="shared" si="51"/>
        <v>-43.702380952382626</v>
      </c>
      <c r="R63" s="85">
        <f t="shared" si="44"/>
        <v>0.66490187129163481</v>
      </c>
      <c r="S63" s="377"/>
      <c r="T63" s="22">
        <v>0.59722222222222199</v>
      </c>
      <c r="U63" s="22">
        <v>0.62152777777777801</v>
      </c>
      <c r="V63" s="30">
        <f t="shared" si="52"/>
        <v>0</v>
      </c>
      <c r="W63" s="248">
        <f t="shared" si="16"/>
        <v>35.000000000000675</v>
      </c>
      <c r="X63" s="261"/>
      <c r="Y63" s="291"/>
      <c r="Z63" s="335"/>
      <c r="AA63" s="335"/>
      <c r="AB63" s="388" t="s">
        <v>182</v>
      </c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 t="s">
        <v>128</v>
      </c>
      <c r="C64" s="86"/>
      <c r="D64" s="175" t="s">
        <v>138</v>
      </c>
      <c r="E64" s="87"/>
      <c r="F64" s="250">
        <f>VLOOKUP(D64,廠價表!$C$1:$E$41,3,0)</f>
        <v>28.26</v>
      </c>
      <c r="G64" s="30">
        <v>2706</v>
      </c>
      <c r="H64" s="254">
        <f t="shared" si="53"/>
        <v>76471.56</v>
      </c>
      <c r="I64" s="182"/>
      <c r="J64" s="106">
        <f>VLOOKUP(D64,產線配置圖!$A$3:$C$38,2,0)</f>
        <v>9</v>
      </c>
      <c r="K64" s="107">
        <f>VLOOKUP(D64,產線配置圖!$A$3:$C$38,3,0)</f>
        <v>1636</v>
      </c>
      <c r="L64" s="238">
        <f t="shared" si="47"/>
        <v>181.77777777777777</v>
      </c>
      <c r="M64" s="82">
        <v>11</v>
      </c>
      <c r="N64" s="107">
        <f t="shared" si="48"/>
        <v>1546.2857142857079</v>
      </c>
      <c r="O64" s="238">
        <f t="shared" si="49"/>
        <v>140.57142857142799</v>
      </c>
      <c r="P64" s="111">
        <f t="shared" si="50"/>
        <v>2</v>
      </c>
      <c r="Q64" s="255">
        <f t="shared" si="51"/>
        <v>-41.206349206349785</v>
      </c>
      <c r="R64" s="85">
        <f t="shared" si="44"/>
        <v>0.77331470485504394</v>
      </c>
      <c r="S64" s="377"/>
      <c r="T64" s="22">
        <v>0.625</v>
      </c>
      <c r="U64" s="22">
        <v>0.69791666666666696</v>
      </c>
      <c r="V64" s="30">
        <f t="shared" si="52"/>
        <v>4.9999999999996625</v>
      </c>
      <c r="W64" s="73">
        <f t="shared" si="16"/>
        <v>105.00000000000043</v>
      </c>
      <c r="X64" s="261"/>
      <c r="Y64" s="291"/>
      <c r="Z64" s="335"/>
      <c r="AA64" s="335"/>
      <c r="AB64" s="388" t="s">
        <v>178</v>
      </c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250"/>
      <c r="G65" s="30"/>
      <c r="H65" s="254"/>
      <c r="I65" s="182"/>
      <c r="J65" s="106"/>
      <c r="K65" s="107"/>
      <c r="L65" s="238"/>
      <c r="M65" s="82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6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6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6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6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4">AVERAGE(J59:J68)</f>
        <v>11.166666666666666</v>
      </c>
      <c r="K69" s="240">
        <f t="shared" si="54"/>
        <v>1588.6666666666667</v>
      </c>
      <c r="L69" s="268">
        <f t="shared" si="54"/>
        <v>145.86502849002849</v>
      </c>
      <c r="M69" s="240">
        <f t="shared" si="54"/>
        <v>11.833333333333334</v>
      </c>
      <c r="N69" s="240">
        <f t="shared" si="54"/>
        <v>1319.2000426580696</v>
      </c>
      <c r="O69" s="268">
        <f t="shared" si="54"/>
        <v>112.17596784712727</v>
      </c>
      <c r="P69" s="269">
        <f>M69-J69</f>
        <v>0.66666666666666785</v>
      </c>
      <c r="Q69" s="222">
        <f>N69-K69</f>
        <v>-269.46662400859714</v>
      </c>
      <c r="R69" s="123">
        <f>O69/L69</f>
        <v>0.76903949499311108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-269.46662400859714</v>
      </c>
      <c r="AG69" s="124">
        <f>N69/K69</f>
        <v>0.83038189844192378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2199</v>
      </c>
      <c r="H70" s="243">
        <f>F70*G70</f>
        <v>111423.33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1332.7272727272723</v>
      </c>
      <c r="O70" s="138">
        <f>N70/M70</f>
        <v>102.51748251748248</v>
      </c>
      <c r="P70" s="56">
        <f>M70-J70</f>
        <v>0</v>
      </c>
      <c r="Q70" s="230">
        <f>O70-L70</f>
        <v>-8.2517482517482961</v>
      </c>
      <c r="R70" s="52">
        <f>O70/L70</f>
        <v>0.92550505050505005</v>
      </c>
      <c r="S70" s="376">
        <f>R79</f>
        <v>0.86574964352204264</v>
      </c>
      <c r="T70" s="245">
        <v>0.33333333333333298</v>
      </c>
      <c r="U70" s="245">
        <v>0.40208333333333302</v>
      </c>
      <c r="V70" s="55"/>
      <c r="W70" s="54">
        <f t="shared" si="16"/>
        <v>99.000000000000043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-107.27272727272771</v>
      </c>
      <c r="AG70" s="246">
        <f>N70/K70</f>
        <v>0.92550505050505016</v>
      </c>
      <c r="AH70" s="382">
        <f>AG79</f>
        <v>0.78555524795862086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1219</v>
      </c>
      <c r="H71" s="254">
        <f>F71*G71</f>
        <v>68788.17</v>
      </c>
      <c r="I71" s="232"/>
      <c r="J71" s="106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13</v>
      </c>
      <c r="N71" s="107">
        <f>G71/W71*60</f>
        <v>902.96296296296271</v>
      </c>
      <c r="O71" s="238">
        <f>N71/M71</f>
        <v>69.458689458689435</v>
      </c>
      <c r="P71" s="111">
        <f>M71-J71</f>
        <v>-3</v>
      </c>
      <c r="Q71" s="255">
        <f>O71-L71</f>
        <v>-18.416310541310565</v>
      </c>
      <c r="R71" s="85">
        <f>O71/L71</f>
        <v>0.79042605358394802</v>
      </c>
      <c r="S71" s="377"/>
      <c r="T71" s="22">
        <v>0.41249999999999998</v>
      </c>
      <c r="U71" s="22">
        <v>0.46875</v>
      </c>
      <c r="V71" s="30"/>
      <c r="W71" s="73">
        <f t="shared" si="16"/>
        <v>81.000000000000028</v>
      </c>
      <c r="X71" s="271"/>
      <c r="Y71" s="293"/>
      <c r="Z71" s="90"/>
      <c r="AA71" s="90"/>
      <c r="AB71" s="387" t="s">
        <v>183</v>
      </c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6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6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6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6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6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6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6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6">AVERAGE(J70:J78)</f>
        <v>14.5</v>
      </c>
      <c r="K79" s="240">
        <f t="shared" si="56"/>
        <v>1423</v>
      </c>
      <c r="L79" s="268">
        <f t="shared" si="56"/>
        <v>99.322115384615387</v>
      </c>
      <c r="M79" s="240">
        <f t="shared" si="56"/>
        <v>13</v>
      </c>
      <c r="N79" s="240">
        <f t="shared" si="56"/>
        <v>1117.8451178451176</v>
      </c>
      <c r="O79" s="268">
        <f t="shared" si="56"/>
        <v>85.988085988085956</v>
      </c>
      <c r="P79" s="269">
        <f>M79-J79</f>
        <v>-1.5</v>
      </c>
      <c r="Q79" s="222">
        <f>N79-K79</f>
        <v>-305.15488215488244</v>
      </c>
      <c r="R79" s="223">
        <f>O79/L79</f>
        <v>0.86574964352204264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-305.15488215488244</v>
      </c>
      <c r="AG79" s="124">
        <f>N79/K79</f>
        <v>0.78555524795862086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W3:W4"/>
    <mergeCell ref="X3:Y3"/>
    <mergeCell ref="Z3:AA3"/>
    <mergeCell ref="AB3:AC4"/>
    <mergeCell ref="N3:N4"/>
    <mergeCell ref="O3:O4"/>
    <mergeCell ref="H3:H4"/>
    <mergeCell ref="I3:I4"/>
    <mergeCell ref="G3:G4"/>
    <mergeCell ref="A16:A26"/>
    <mergeCell ref="A5:A15"/>
    <mergeCell ref="A2:B2"/>
    <mergeCell ref="A3:A4"/>
    <mergeCell ref="B3:B4"/>
    <mergeCell ref="D3:E4"/>
    <mergeCell ref="F3:F4"/>
    <mergeCell ref="D15:E15"/>
    <mergeCell ref="S5:S15"/>
    <mergeCell ref="AB5:AC5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14:AC1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5:AC15"/>
    <mergeCell ref="AB8:AC8"/>
    <mergeCell ref="AB9:AC9"/>
    <mergeCell ref="AB10:AC10"/>
    <mergeCell ref="AB11:AC11"/>
    <mergeCell ref="AB12:AC12"/>
    <mergeCell ref="AB13:AC13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CA2DC2-553C-474C-BDEE-D61771E70685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835F-0142-4A2E-B8B1-220F0053A1DB}">
  <dimension ref="B1:O26"/>
  <sheetViews>
    <sheetView zoomScale="70" zoomScaleNormal="70" workbookViewId="0">
      <selection activeCell="AB63" sqref="AB63:AC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46100</v>
      </c>
      <c r="E3" s="466"/>
      <c r="F3" s="3" t="s">
        <v>72</v>
      </c>
      <c r="G3" s="467">
        <f>'0319'!E1</f>
        <v>52529</v>
      </c>
      <c r="H3" s="467"/>
      <c r="I3" s="3" t="s">
        <v>2</v>
      </c>
      <c r="J3" s="468">
        <f>'0319'!G1</f>
        <v>2497495.8600000008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127.87332174905704</v>
      </c>
      <c r="G6" s="473"/>
      <c r="H6" s="474">
        <f>AVERAGE(D13:H13,J13)</f>
        <v>125.72738676991128</v>
      </c>
      <c r="I6" s="474"/>
      <c r="J6" s="474">
        <f>AVERAGE(I13)</f>
        <v>140.74893162393164</v>
      </c>
      <c r="K6" s="474"/>
      <c r="L6" s="499">
        <f>SUM(D18:J18)</f>
        <v>3</v>
      </c>
      <c r="M6" s="477">
        <f>SUM(D19:J19)</f>
        <v>34</v>
      </c>
      <c r="N6" s="500">
        <f>SUM(D20:J20)</f>
        <v>3</v>
      </c>
      <c r="O6" s="477">
        <f>SUM(D20:J20)</f>
        <v>3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112.31528172498172</v>
      </c>
      <c r="G7" s="497"/>
      <c r="H7" s="498">
        <f>AVERAGE(D14:H14,J14)</f>
        <v>113.43223827357144</v>
      </c>
      <c r="I7" s="498"/>
      <c r="J7" s="498">
        <f>AVERAGE(I14)</f>
        <v>105.61354243344346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0.878332401072626</v>
      </c>
      <c r="G8" s="470"/>
      <c r="H8" s="470">
        <f>H7/H6</f>
        <v>0.90220787362071952</v>
      </c>
      <c r="I8" s="470"/>
      <c r="J8" s="470">
        <f>J7/J6</f>
        <v>0.75036834180477652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VALUE('0319'!L15)</f>
        <v>153.05982905982907</v>
      </c>
      <c r="E13" s="13">
        <f>VALUE('0319'!L26)</f>
        <v>170.39772727272725</v>
      </c>
      <c r="F13" s="13">
        <f>VALUE('0319'!L37)</f>
        <v>95.91544117647058</v>
      </c>
      <c r="G13" s="13">
        <f>VALUE('0319'!L48)</f>
        <v>99.461437908496734</v>
      </c>
      <c r="H13" s="13">
        <f>VALUE('0319'!L58)</f>
        <v>108.72254901960784</v>
      </c>
      <c r="I13" s="13">
        <f>VALUE('0319'!L69)</f>
        <v>140.74893162393164</v>
      </c>
      <c r="J13" s="13">
        <f>'0319'!L79</f>
        <v>126.80733618233619</v>
      </c>
    </row>
    <row r="14" spans="2:15" ht="39.950000000000003" customHeight="1">
      <c r="B14" s="491"/>
      <c r="C14" s="12" t="s">
        <v>100</v>
      </c>
      <c r="D14" s="13">
        <f>VALUE('0319'!O15)</f>
        <v>136.35196867909295</v>
      </c>
      <c r="E14" s="13">
        <f>VALUE('0319'!O26)</f>
        <v>153.77742599015966</v>
      </c>
      <c r="F14" s="13">
        <f>VALUE('0319'!O37)</f>
        <v>89.188350055741424</v>
      </c>
      <c r="G14" s="13">
        <f>VALUE('0319'!O48)</f>
        <v>90.665168295452574</v>
      </c>
      <c r="H14" s="13">
        <f>VALUE('0319'!O58)</f>
        <v>92.591091601556656</v>
      </c>
      <c r="I14" s="13">
        <f>VALUE('0319'!O69)</f>
        <v>105.61354243344346</v>
      </c>
      <c r="J14" s="13">
        <f>'0319'!O79</f>
        <v>118.01942501942541</v>
      </c>
    </row>
    <row r="15" spans="2:15" ht="39.950000000000003" customHeight="1">
      <c r="B15" s="492"/>
      <c r="C15" s="10" t="s">
        <v>26</v>
      </c>
      <c r="D15" s="14">
        <f>D14/D13</f>
        <v>0.89084098366394204</v>
      </c>
      <c r="E15" s="14">
        <f t="shared" ref="E15:I15" si="1">E14/E13</f>
        <v>0.90246171971550859</v>
      </c>
      <c r="F15" s="14">
        <f t="shared" si="1"/>
        <v>0.92986435720654947</v>
      </c>
      <c r="G15" s="14">
        <f t="shared" si="1"/>
        <v>0.91156100496821069</v>
      </c>
      <c r="H15" s="14">
        <f t="shared" si="1"/>
        <v>0.8516273067223441</v>
      </c>
      <c r="I15" s="14">
        <f t="shared" si="1"/>
        <v>0.75036834180477652</v>
      </c>
      <c r="J15" s="15">
        <f>'0319'!S70</f>
        <v>0.93069871643487057</v>
      </c>
    </row>
    <row r="16" spans="2:15" ht="17.25" customHeight="1">
      <c r="B16" s="493" t="s">
        <v>101</v>
      </c>
      <c r="C16" s="10" t="s">
        <v>34</v>
      </c>
      <c r="D16" s="16">
        <f>'0319'!T5</f>
        <v>0.29166666666666702</v>
      </c>
      <c r="E16" s="16">
        <f>'0319'!T16</f>
        <v>0.29027777777777802</v>
      </c>
      <c r="F16" s="16">
        <f>'0319'!T27</f>
        <v>0.29027777777777802</v>
      </c>
      <c r="G16" s="16">
        <f>'0319'!T38</f>
        <v>0.33333333333333298</v>
      </c>
      <c r="H16" s="16">
        <f>'0319'!T49</f>
        <v>0.28819444444444398</v>
      </c>
      <c r="I16" s="16">
        <f>'0319'!T59</f>
        <v>0.29166666666666702</v>
      </c>
      <c r="J16" s="16">
        <f>'0319'!T70</f>
        <v>0.33333333333333298</v>
      </c>
    </row>
    <row r="17" spans="2:10" ht="17.25" customHeight="1">
      <c r="B17" s="494"/>
      <c r="C17" s="10" t="s">
        <v>35</v>
      </c>
      <c r="D17" s="18">
        <v>0.62152777777777801</v>
      </c>
      <c r="E17" s="19">
        <v>0.57361111111111096</v>
      </c>
      <c r="F17" s="19">
        <v>0.45694444444444399</v>
      </c>
      <c r="G17" s="20">
        <v>0.59166666666666701</v>
      </c>
      <c r="H17" s="21">
        <v>0.60833333333333295</v>
      </c>
      <c r="I17" s="22">
        <v>0.625</v>
      </c>
      <c r="J17" s="22">
        <v>0.57986111111111105</v>
      </c>
    </row>
    <row r="18" spans="2:10" ht="17.25" customHeight="1">
      <c r="B18" s="495" t="s">
        <v>102</v>
      </c>
      <c r="C18" s="330" t="s">
        <v>36</v>
      </c>
      <c r="D18" s="358">
        <f>'0319'!Z15</f>
        <v>1</v>
      </c>
      <c r="E18" s="359">
        <f>'0319'!Z26</f>
        <v>0</v>
      </c>
      <c r="F18" s="359">
        <f>'0319'!Z37</f>
        <v>0</v>
      </c>
      <c r="G18" s="360">
        <f>'0319'!Z48</f>
        <v>0</v>
      </c>
      <c r="H18" s="360">
        <f>'0319'!Z58</f>
        <v>0</v>
      </c>
      <c r="I18" s="359">
        <f>'0319'!Z69</f>
        <v>2</v>
      </c>
      <c r="J18" s="359">
        <f>'0319'!AA79</f>
        <v>0</v>
      </c>
    </row>
    <row r="19" spans="2:10" ht="17.25" customHeight="1">
      <c r="B19" s="496"/>
      <c r="C19" s="330" t="s">
        <v>37</v>
      </c>
      <c r="D19" s="358">
        <f>'0319'!AA15</f>
        <v>23</v>
      </c>
      <c r="E19" s="359">
        <f>'0319'!AA26</f>
        <v>0</v>
      </c>
      <c r="F19" s="359">
        <f>'0319'!AA37</f>
        <v>0</v>
      </c>
      <c r="G19" s="360">
        <f>'0319'!AA48</f>
        <v>0</v>
      </c>
      <c r="H19" s="360">
        <f>'0319'!AA58</f>
        <v>0</v>
      </c>
      <c r="I19" s="359">
        <f>'0319'!AA69</f>
        <v>11</v>
      </c>
      <c r="J19" s="359">
        <f>'0319'!AB79</f>
        <v>0</v>
      </c>
    </row>
    <row r="20" spans="2:10" ht="17.25" customHeight="1">
      <c r="B20" s="495" t="s">
        <v>103</v>
      </c>
      <c r="C20" s="330" t="s">
        <v>36</v>
      </c>
      <c r="D20" s="358">
        <f>'0319'!AD15</f>
        <v>0</v>
      </c>
      <c r="E20" s="359">
        <f>'0319'!AD26</f>
        <v>3</v>
      </c>
      <c r="F20" s="359">
        <f>'0319'!AD37</f>
        <v>0</v>
      </c>
      <c r="G20" s="360">
        <f>'0319'!AD48</f>
        <v>0</v>
      </c>
      <c r="H20" s="360">
        <f>'0319'!AD58</f>
        <v>0</v>
      </c>
      <c r="I20" s="359">
        <f>'0319'!AD69</f>
        <v>0</v>
      </c>
      <c r="J20" s="359">
        <f>'0319'!AD79</f>
        <v>0</v>
      </c>
    </row>
    <row r="21" spans="2:10" ht="17.25" customHeight="1">
      <c r="B21" s="496"/>
      <c r="C21" s="330" t="s">
        <v>85</v>
      </c>
      <c r="D21" s="358">
        <f>'0319'!AE15</f>
        <v>0</v>
      </c>
      <c r="E21" s="359">
        <f>'0319'!AE26</f>
        <v>3</v>
      </c>
      <c r="F21" s="359">
        <f>'0319'!AE37</f>
        <v>0</v>
      </c>
      <c r="G21" s="360">
        <f>'0319'!AE48</f>
        <v>0</v>
      </c>
      <c r="H21" s="360">
        <f>'0319'!AE58</f>
        <v>0</v>
      </c>
      <c r="I21" s="359">
        <f>'0319'!AE69</f>
        <v>0</v>
      </c>
      <c r="J21" s="359">
        <f>'0319'!AE79</f>
        <v>0</v>
      </c>
    </row>
    <row r="22" spans="2:10" ht="17.25" customHeight="1">
      <c r="B22" s="479" t="s">
        <v>104</v>
      </c>
      <c r="C22" s="480"/>
      <c r="D22" s="23">
        <f>VALUE('0319'!M15)</f>
        <v>13.333333333333334</v>
      </c>
      <c r="E22" s="23">
        <f>VALUE('0319'!M26)</f>
        <v>12.25</v>
      </c>
      <c r="F22" s="23">
        <f>VALUE('0319'!M37)</f>
        <v>15.5</v>
      </c>
      <c r="G22" s="23">
        <f>VALUE('0319'!M48)</f>
        <v>16</v>
      </c>
      <c r="H22" s="23">
        <f>VALUE('0319'!M58)</f>
        <v>15.75</v>
      </c>
      <c r="I22" s="23">
        <f>VALUE('0319'!M69)</f>
        <v>12</v>
      </c>
      <c r="J22" s="23">
        <f>'0319'!M79</f>
        <v>11.666666666666666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63FC-3140-4F6B-8963-56B22738004F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AB63" sqref="AB63:AC63"/>
      <selection pane="topRight" activeCell="AB63" sqref="AB63:AC63"/>
      <selection pane="bottomLeft" activeCell="AB63" sqref="AB63:AC63"/>
      <selection pane="bottomRight" activeCell="N62" sqref="N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52529</v>
      </c>
      <c r="F1" s="30" t="s">
        <v>2</v>
      </c>
      <c r="G1" s="31">
        <f>SUM(H5:H79)</f>
        <v>2497495.8600000008</v>
      </c>
      <c r="H1" s="32" t="s">
        <v>3</v>
      </c>
      <c r="I1" s="33">
        <f>M15+M26+M48+M58+M69+M79+M37</f>
        <v>96.500000000000014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184</v>
      </c>
      <c r="B2" s="447"/>
      <c r="C2" s="28"/>
      <c r="D2" s="28" t="s">
        <v>14</v>
      </c>
      <c r="E2" s="35">
        <f>AVERAGE(O15,O26,O37,O48,O58,O69,O79)</f>
        <v>112.31528172498172</v>
      </c>
      <c r="F2" s="36" t="s">
        <v>15</v>
      </c>
      <c r="G2" s="37">
        <f>G1/E1</f>
        <v>47.545086714005613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3</v>
      </c>
      <c r="AA2" s="339">
        <f>AA15+AA26+AA37+AA48+AA58+AA69+AA79</f>
        <v>34</v>
      </c>
      <c r="AB2" s="445"/>
      <c r="AC2" s="445"/>
      <c r="AD2" s="340">
        <f>AD15+AD26+AD37+AD48+AD58+AD69+AD79</f>
        <v>3</v>
      </c>
      <c r="AE2" s="340">
        <f>AE15+AE26+AE37+AE48+AE58+AE69+AE79</f>
        <v>3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5297</v>
      </c>
      <c r="H5" s="43">
        <f>F5*G5</f>
        <v>303041.37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7" si="0">K5/J5</f>
        <v>133.33333333333334</v>
      </c>
      <c r="M5" s="48">
        <v>14</v>
      </c>
      <c r="N5" s="46">
        <f t="shared" ref="N5:N7" si="1">G5/W5*60</f>
        <v>1858.5964912280708</v>
      </c>
      <c r="O5" s="47">
        <f t="shared" ref="O5:O7" si="2">N5/M5</f>
        <v>132.75689223057648</v>
      </c>
      <c r="P5" s="49">
        <f t="shared" ref="P5:P7" si="3">M5-J5</f>
        <v>-1</v>
      </c>
      <c r="Q5" s="50">
        <f t="shared" ref="Q5:Q7" si="4">O5-L5</f>
        <v>-0.57644110275685989</v>
      </c>
      <c r="R5" s="51">
        <f t="shared" ref="R5:R7" si="5">O5/L5</f>
        <v>0.9956766917293236</v>
      </c>
      <c r="S5" s="376">
        <f>R15</f>
        <v>0.89084098366394204</v>
      </c>
      <c r="T5" s="319">
        <v>0.29166666666666702</v>
      </c>
      <c r="U5" s="320">
        <v>0.41041666666666698</v>
      </c>
      <c r="V5" s="53"/>
      <c r="W5" s="54">
        <f t="shared" ref="W5:W14" si="6">(U5-T5)*24*60</f>
        <v>170.99999999999994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-141.40350877192918</v>
      </c>
      <c r="AG5" s="52">
        <f t="shared" ref="AG5:AG11" si="8">N5/K5</f>
        <v>0.9292982456140354</v>
      </c>
      <c r="AH5" s="382">
        <f>AG15</f>
        <v>0.87403522622116792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1677</v>
      </c>
      <c r="H6" s="63">
        <f>F6*G6</f>
        <v>82407.78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2012.3999999999526</v>
      </c>
      <c r="O6" s="67">
        <f t="shared" si="2"/>
        <v>154.79999999999634</v>
      </c>
      <c r="P6" s="69">
        <f t="shared" si="3"/>
        <v>0</v>
      </c>
      <c r="Q6" s="70">
        <f t="shared" si="4"/>
        <v>-8.123076923080589</v>
      </c>
      <c r="R6" s="71">
        <f t="shared" si="5"/>
        <v>0.95014164305946758</v>
      </c>
      <c r="S6" s="377"/>
      <c r="T6" s="16">
        <v>0.44444444444444398</v>
      </c>
      <c r="U6" s="16">
        <v>0.47916666666666702</v>
      </c>
      <c r="V6" s="30">
        <f>(T6-U5)*24*60</f>
        <v>48.999999999998863</v>
      </c>
      <c r="W6" s="73">
        <f t="shared" si="6"/>
        <v>50.00000000000118</v>
      </c>
      <c r="X6" s="22"/>
      <c r="Y6" s="84"/>
      <c r="Z6" s="90"/>
      <c r="AA6" s="90"/>
      <c r="AB6" s="417" t="s">
        <v>185</v>
      </c>
      <c r="AC6" s="417"/>
      <c r="AD6" s="149"/>
      <c r="AE6" s="149"/>
      <c r="AF6" s="307">
        <f t="shared" si="7"/>
        <v>-105.60000000004743</v>
      </c>
      <c r="AG6" s="72">
        <f t="shared" si="8"/>
        <v>0.95014164305946769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3080</v>
      </c>
      <c r="H7" s="78">
        <f>F7*G7</f>
        <v>151351.20000000001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1579.4871794871788</v>
      </c>
      <c r="O7" s="81">
        <f t="shared" si="2"/>
        <v>121.49901380670606</v>
      </c>
      <c r="P7" s="74">
        <f t="shared" si="3"/>
        <v>0</v>
      </c>
      <c r="Q7" s="83">
        <f t="shared" si="4"/>
        <v>-41.424063116370874</v>
      </c>
      <c r="R7" s="72">
        <f t="shared" si="5"/>
        <v>0.74574465509309662</v>
      </c>
      <c r="S7" s="377"/>
      <c r="T7" s="18">
        <v>0.54027777777777797</v>
      </c>
      <c r="U7" s="18">
        <v>0.62152777777777801</v>
      </c>
      <c r="V7" s="30">
        <f>(T7-U6)*24*60</f>
        <v>87.999999999999773</v>
      </c>
      <c r="W7" s="73">
        <f t="shared" si="6"/>
        <v>117.00000000000006</v>
      </c>
      <c r="X7" s="22"/>
      <c r="Y7" s="84"/>
      <c r="Z7" s="90">
        <v>1</v>
      </c>
      <c r="AA7" s="90">
        <v>23</v>
      </c>
      <c r="AB7" s="388" t="s">
        <v>148</v>
      </c>
      <c r="AC7" s="388"/>
      <c r="AD7" s="92"/>
      <c r="AE7" s="92"/>
      <c r="AF7" s="307">
        <f t="shared" si="7"/>
        <v>-538.51282051282124</v>
      </c>
      <c r="AG7" s="72">
        <f t="shared" si="8"/>
        <v>0.74574465509309673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13.333333333333334</v>
      </c>
      <c r="N15" s="120">
        <f t="shared" si="9"/>
        <v>1816.8278902384009</v>
      </c>
      <c r="O15" s="117">
        <f t="shared" si="9"/>
        <v>136.35196867909295</v>
      </c>
      <c r="P15" s="121">
        <f t="shared" ref="P15:P19" si="10">M15-J15</f>
        <v>-0.33333333333333215</v>
      </c>
      <c r="Q15" s="122">
        <f t="shared" ref="Q15:Q19" si="11">O15-L15</f>
        <v>-16.707860380736122</v>
      </c>
      <c r="R15" s="123">
        <f t="shared" ref="R15:R19" si="12">O15/L15</f>
        <v>0.89084098366394204</v>
      </c>
      <c r="S15" s="380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23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-261.83877642826565</v>
      </c>
      <c r="AG15" s="124">
        <f t="shared" ref="AG15:AG19" si="14">N15/K15</f>
        <v>0.87403522622116792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800</v>
      </c>
      <c r="H16" s="134">
        <f>F16*G16</f>
        <v>45024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1371.4285714286045</v>
      </c>
      <c r="O16" s="141">
        <f>N16/M16</f>
        <v>91.428571428573633</v>
      </c>
      <c r="P16" s="142">
        <f>M16-J16</f>
        <v>0</v>
      </c>
      <c r="Q16" s="143">
        <f t="shared" si="11"/>
        <v>-28.571428571426367</v>
      </c>
      <c r="R16" s="144">
        <f>O16/L16</f>
        <v>0.76190476190478029</v>
      </c>
      <c r="S16" s="413">
        <f>R26</f>
        <v>0.90246171971550859</v>
      </c>
      <c r="T16" s="145">
        <v>0.29027777777777802</v>
      </c>
      <c r="U16" s="145">
        <v>0.31458333333333299</v>
      </c>
      <c r="V16" s="135"/>
      <c r="W16" s="146">
        <f t="shared" ref="W16:W78" si="17">(U16-T16)*24*60</f>
        <v>34.999999999999154</v>
      </c>
      <c r="X16" s="141"/>
      <c r="Y16" s="296"/>
      <c r="Z16" s="169"/>
      <c r="AA16" s="169"/>
      <c r="AB16" s="381" t="s">
        <v>186</v>
      </c>
      <c r="AC16" s="381"/>
      <c r="AD16" s="135">
        <v>3</v>
      </c>
      <c r="AE16" s="135">
        <v>3</v>
      </c>
      <c r="AF16" s="229">
        <f t="shared" si="13"/>
        <v>-428.57142857139547</v>
      </c>
      <c r="AG16" s="52">
        <f t="shared" si="14"/>
        <v>0.76190476190478029</v>
      </c>
      <c r="AH16" s="382">
        <f>AG26</f>
        <v>0.8957520046121964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3372</v>
      </c>
      <c r="H17" s="78">
        <f>F17*G17</f>
        <v>170859.24000000002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2064.4897959183527</v>
      </c>
      <c r="O17" s="96">
        <f t="shared" ref="O17:O19" si="18">N17/M17</f>
        <v>172.04081632652938</v>
      </c>
      <c r="P17" s="97">
        <f t="shared" si="10"/>
        <v>0</v>
      </c>
      <c r="Q17" s="98">
        <f t="shared" si="11"/>
        <v>-4.4591836734706192</v>
      </c>
      <c r="R17" s="99">
        <f t="shared" si="12"/>
        <v>0.97473550326645542</v>
      </c>
      <c r="S17" s="414"/>
      <c r="T17" s="19">
        <v>0.31944444444444398</v>
      </c>
      <c r="U17" s="19">
        <v>0.38750000000000001</v>
      </c>
      <c r="V17" s="30">
        <f>(T17-U16)*24*60</f>
        <v>6.9999999999998153</v>
      </c>
      <c r="W17" s="149">
        <f t="shared" si="17"/>
        <v>98.000000000000696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-53.510204081647316</v>
      </c>
      <c r="AG17" s="72">
        <f t="shared" si="14"/>
        <v>0.97473550326645542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3089</v>
      </c>
      <c r="H18" s="78">
        <f>F18*G18</f>
        <v>155654.71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2014.5652173913011</v>
      </c>
      <c r="O18" s="96">
        <f t="shared" si="18"/>
        <v>183.14229249011828</v>
      </c>
      <c r="P18" s="97">
        <f t="shared" si="10"/>
        <v>0</v>
      </c>
      <c r="Q18" s="98">
        <f t="shared" si="11"/>
        <v>-9.4031620553362529</v>
      </c>
      <c r="R18" s="99">
        <f t="shared" si="12"/>
        <v>0.95116393644537356</v>
      </c>
      <c r="S18" s="414"/>
      <c r="T18" s="19">
        <v>0.41458333333333303</v>
      </c>
      <c r="U18" s="19">
        <v>0.47847222222222202</v>
      </c>
      <c r="V18" s="30">
        <f>(T18-U17)*24*60</f>
        <v>38.999999999999545</v>
      </c>
      <c r="W18" s="149">
        <f t="shared" si="17"/>
        <v>92.000000000000156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-103.43478260869892</v>
      </c>
      <c r="AG18" s="72">
        <f t="shared" si="14"/>
        <v>0.95116393644537345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1421</v>
      </c>
      <c r="H19" s="78">
        <f>F19*G19</f>
        <v>71604.19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1853.4782608695909</v>
      </c>
      <c r="O19" s="96">
        <f t="shared" si="18"/>
        <v>168.49802371541736</v>
      </c>
      <c r="P19" s="97">
        <f t="shared" si="10"/>
        <v>0</v>
      </c>
      <c r="Q19" s="98">
        <f t="shared" si="11"/>
        <v>-24.047430830037172</v>
      </c>
      <c r="R19" s="99">
        <f t="shared" si="12"/>
        <v>0.87510777189310252</v>
      </c>
      <c r="S19" s="414"/>
      <c r="T19" s="19">
        <v>0.54166666666666696</v>
      </c>
      <c r="U19" s="19">
        <v>0.57361111111111096</v>
      </c>
      <c r="V19" s="30">
        <f>(T19-U18)*24*60</f>
        <v>91.000000000000711</v>
      </c>
      <c r="W19" s="149">
        <f t="shared" si="17"/>
        <v>45.999999999999361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-264.52173913040906</v>
      </c>
      <c r="AG19" s="72">
        <f t="shared" si="14"/>
        <v>0.8751077718931024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1825.9904614019624</v>
      </c>
      <c r="O26" s="158">
        <f t="shared" si="20"/>
        <v>153.77742599015966</v>
      </c>
      <c r="P26" s="159">
        <f t="shared" ref="P26:P28" si="21">M26-J26</f>
        <v>0</v>
      </c>
      <c r="Q26" s="160">
        <f t="shared" ref="Q26:Q28" si="22">O26-L26</f>
        <v>-16.620301282567596</v>
      </c>
      <c r="R26" s="161">
        <f>O26/L26</f>
        <v>0.90246171971550859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3</v>
      </c>
      <c r="AE26" s="323">
        <f>SUM(AE16:AE25)</f>
        <v>3</v>
      </c>
      <c r="AF26" s="309">
        <f t="shared" ref="AF26:AF31" si="23">N26-K26</f>
        <v>-212.50953859803758</v>
      </c>
      <c r="AG26" s="124">
        <f t="shared" ref="AG26:AG31" si="24">N26/K26</f>
        <v>0.8957520046121964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3154</v>
      </c>
      <c r="H27" s="134">
        <f>F27*G27</f>
        <v>183468.18</v>
      </c>
      <c r="I27" s="135"/>
      <c r="J27" s="136">
        <f>VLOOKUP(D27,產線配置圖!$A$3:$C$38,2,0)</f>
        <v>16</v>
      </c>
      <c r="K27" s="137">
        <v>1714</v>
      </c>
      <c r="L27" s="138">
        <f t="shared" ref="L27:L28" si="25">K27/J27</f>
        <v>107.125</v>
      </c>
      <c r="M27" s="170">
        <v>16</v>
      </c>
      <c r="N27" s="140">
        <f>G27/W27*60</f>
        <v>1617.4358974358977</v>
      </c>
      <c r="O27" s="141">
        <f>N27/M27</f>
        <v>101.08974358974361</v>
      </c>
      <c r="P27" s="142">
        <f t="shared" si="21"/>
        <v>0</v>
      </c>
      <c r="Q27" s="143">
        <f t="shared" si="22"/>
        <v>-6.0352564102563946</v>
      </c>
      <c r="R27" s="144">
        <f>O27/L27</f>
        <v>0.94366155042934519</v>
      </c>
      <c r="S27" s="413">
        <f>R37</f>
        <v>0.92986435720654947</v>
      </c>
      <c r="T27" s="171">
        <v>0.29027777777777802</v>
      </c>
      <c r="U27" s="171">
        <v>0.37152777777777801</v>
      </c>
      <c r="V27" s="135"/>
      <c r="W27" s="146">
        <f t="shared" si="17"/>
        <v>116.99999999999999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-96.564102564102313</v>
      </c>
      <c r="AG27" s="172">
        <f t="shared" si="24"/>
        <v>0.94366155042934519</v>
      </c>
      <c r="AH27" s="382">
        <f>AG37</f>
        <v>0.88038688816169508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2222</v>
      </c>
      <c r="H28" s="91">
        <f>F28*G28</f>
        <v>110033.44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15</v>
      </c>
      <c r="N28" s="95">
        <f>G28/W28*60</f>
        <v>1159.3043478260886</v>
      </c>
      <c r="O28" s="96">
        <f>N28/M28</f>
        <v>77.286956521739242</v>
      </c>
      <c r="P28" s="97">
        <f t="shared" si="21"/>
        <v>-2</v>
      </c>
      <c r="Q28" s="98">
        <f t="shared" si="22"/>
        <v>-7.4189258312019319</v>
      </c>
      <c r="R28" s="99">
        <f>O28/L28</f>
        <v>0.91241545893719944</v>
      </c>
      <c r="S28" s="414"/>
      <c r="T28" s="19">
        <v>0.37708333333333299</v>
      </c>
      <c r="U28" s="19">
        <v>0.45694444444444399</v>
      </c>
      <c r="V28" s="92">
        <f>(T28-U27)*24*60</f>
        <v>7.9999999999991722</v>
      </c>
      <c r="W28" s="149">
        <f t="shared" si="17"/>
        <v>114.99999999999983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-280.69565217391141</v>
      </c>
      <c r="AG28" s="99">
        <f t="shared" si="24"/>
        <v>0.80507246376811703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1577</v>
      </c>
      <c r="L37" s="158">
        <f t="shared" si="27"/>
        <v>95.91544117647058</v>
      </c>
      <c r="M37" s="155">
        <f t="shared" si="27"/>
        <v>15.5</v>
      </c>
      <c r="N37" s="155">
        <f t="shared" si="27"/>
        <v>1388.3701226309931</v>
      </c>
      <c r="O37" s="158">
        <f t="shared" si="27"/>
        <v>89.188350055741424</v>
      </c>
      <c r="P37" s="159">
        <f>M37-J37</f>
        <v>-1</v>
      </c>
      <c r="Q37" s="160">
        <f>N37-K37</f>
        <v>-188.62987736900686</v>
      </c>
      <c r="R37" s="161">
        <f t="shared" ref="R37:R40" si="28">O37/L37</f>
        <v>0.92986435720654947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-188.62987736900686</v>
      </c>
      <c r="AG37" s="124">
        <f t="shared" ref="AG37:AG41" si="30">N37/K37</f>
        <v>0.88038688816169508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2530</v>
      </c>
      <c r="H38" s="134">
        <f>F38*G38</f>
        <v>126272.29999999999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14</v>
      </c>
      <c r="N38" s="140">
        <f>G38/W38*60</f>
        <v>1564.9484536082491</v>
      </c>
      <c r="O38" s="141">
        <f>N38/M38</f>
        <v>111.78203240058922</v>
      </c>
      <c r="P38" s="142">
        <f t="shared" ref="P38:P40" si="32">M38-J38</f>
        <v>-1</v>
      </c>
      <c r="Q38" s="143">
        <f t="shared" ref="Q38:Q40" si="33">O38-L38</f>
        <v>-2.4846342660774496</v>
      </c>
      <c r="R38" s="144">
        <f>O38/L38</f>
        <v>0.97825582614284612</v>
      </c>
      <c r="S38" s="404">
        <f>R48</f>
        <v>0.91156100496821069</v>
      </c>
      <c r="T38" s="191">
        <v>0.33333333333333298</v>
      </c>
      <c r="U38" s="191">
        <v>0.40069444444444402</v>
      </c>
      <c r="V38" s="192"/>
      <c r="W38" s="193">
        <f t="shared" si="17"/>
        <v>96.999999999999901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-149.05154639175089</v>
      </c>
      <c r="AG38" s="195">
        <f t="shared" si="30"/>
        <v>0.91303877106665643</v>
      </c>
      <c r="AH38" s="398">
        <f>AG48</f>
        <v>0.88533804415076656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2782</v>
      </c>
      <c r="H39" s="91">
        <f>F39*G39</f>
        <v>123242.59999999999</v>
      </c>
      <c r="I39" s="200"/>
      <c r="J39" s="148">
        <f>VLOOKUP(D39,產線配置圖!$A$3:$C$38,2,0)</f>
        <v>17</v>
      </c>
      <c r="K39" s="95">
        <v>1565</v>
      </c>
      <c r="L39" s="96">
        <f t="shared" si="31"/>
        <v>92.058823529411768</v>
      </c>
      <c r="M39" s="201">
        <v>17</v>
      </c>
      <c r="N39" s="202">
        <f>G39/W39*60</f>
        <v>1346.1290322580658</v>
      </c>
      <c r="O39" s="203">
        <f t="shared" ref="O39:O40" si="34">N39/M39</f>
        <v>79.184060721062693</v>
      </c>
      <c r="P39" s="97">
        <f t="shared" si="32"/>
        <v>0</v>
      </c>
      <c r="Q39" s="98">
        <f t="shared" si="33"/>
        <v>-12.874762808349075</v>
      </c>
      <c r="R39" s="99">
        <f t="shared" si="28"/>
        <v>0.86014634649077681</v>
      </c>
      <c r="S39" s="405"/>
      <c r="T39" s="20">
        <v>0.40625</v>
      </c>
      <c r="U39" s="20">
        <v>0.49236111111111103</v>
      </c>
      <c r="V39" s="92">
        <f>(T39-U38)*24*60</f>
        <v>8.0000000000006111</v>
      </c>
      <c r="W39" s="205">
        <f t="shared" si="17"/>
        <v>123.99999999999989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-218.87096774193424</v>
      </c>
      <c r="AG39" s="206">
        <f t="shared" si="30"/>
        <v>0.86014634649077681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1653</v>
      </c>
      <c r="H40" s="91">
        <f>F40*G40</f>
        <v>73227.899999999994</v>
      </c>
      <c r="I40" s="200"/>
      <c r="J40" s="148">
        <f>VLOOKUP(D40,產線配置圖!$A$3:$C$38,2,0)</f>
        <v>17</v>
      </c>
      <c r="K40" s="95">
        <v>1565</v>
      </c>
      <c r="L40" s="96">
        <f t="shared" si="31"/>
        <v>92.058823529411768</v>
      </c>
      <c r="M40" s="201">
        <v>17</v>
      </c>
      <c r="N40" s="202">
        <f>G40/W40*60</f>
        <v>1377.4999999999989</v>
      </c>
      <c r="O40" s="203">
        <f t="shared" si="34"/>
        <v>81.029411764705813</v>
      </c>
      <c r="P40" s="97">
        <f t="shared" si="32"/>
        <v>0</v>
      </c>
      <c r="Q40" s="98">
        <f t="shared" si="33"/>
        <v>-11.029411764705955</v>
      </c>
      <c r="R40" s="99">
        <f t="shared" si="28"/>
        <v>0.88019169329073399</v>
      </c>
      <c r="S40" s="377"/>
      <c r="T40" s="20">
        <v>0.54166666666666696</v>
      </c>
      <c r="U40" s="20">
        <v>0.59166666666666701</v>
      </c>
      <c r="V40" s="92">
        <f>(T40-U39)*24*60</f>
        <v>71.00000000000054</v>
      </c>
      <c r="W40" s="205">
        <f t="shared" si="17"/>
        <v>72.000000000000057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-187.50000000000114</v>
      </c>
      <c r="AG40" s="206">
        <f t="shared" si="30"/>
        <v>0.8801916932907341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16</v>
      </c>
      <c r="N48" s="155">
        <f t="shared" si="36"/>
        <v>1429.5258286221044</v>
      </c>
      <c r="O48" s="158">
        <f t="shared" si="36"/>
        <v>90.665168295452574</v>
      </c>
      <c r="P48" s="221">
        <f>M48-J48</f>
        <v>-0.33333333333333215</v>
      </c>
      <c r="Q48" s="222">
        <f>N48-K48</f>
        <v>-185.14083804456232</v>
      </c>
      <c r="R48" s="223">
        <f>O48/L48</f>
        <v>0.91156100496821069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-185.14083804456232</v>
      </c>
      <c r="AG48" s="162">
        <f t="shared" ref="AG48:AG53" si="38">N48/K48</f>
        <v>0.88533804415076656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1290</v>
      </c>
      <c r="H49" s="134">
        <f>F49*G49</f>
        <v>73362.3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39">K49/J49</f>
        <v>100.82352941176471</v>
      </c>
      <c r="M49" s="170">
        <v>16</v>
      </c>
      <c r="N49" s="140">
        <f>G49/W49*60</f>
        <v>1357.8947368420816</v>
      </c>
      <c r="O49" s="141">
        <f>N49/M49</f>
        <v>84.868421052630097</v>
      </c>
      <c r="P49" s="229">
        <f>M49-J49</f>
        <v>-1</v>
      </c>
      <c r="Q49" s="230">
        <f>O49-L49</f>
        <v>-15.955108359134613</v>
      </c>
      <c r="R49" s="52">
        <f>O49/L49</f>
        <v>0.84175213412760308</v>
      </c>
      <c r="S49" s="376">
        <f>R58</f>
        <v>0.8516273067223441</v>
      </c>
      <c r="T49" s="191">
        <v>0.28819444444444398</v>
      </c>
      <c r="U49" s="191">
        <v>0.327777777777778</v>
      </c>
      <c r="V49" s="55"/>
      <c r="W49" s="193">
        <f t="shared" si="17"/>
        <v>57.000000000000995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-356.10526315791844</v>
      </c>
      <c r="AG49" s="52">
        <f t="shared" si="38"/>
        <v>0.79223730270833226</v>
      </c>
      <c r="AH49" s="382">
        <f>AG58</f>
        <v>0.83844887669181278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2909</v>
      </c>
      <c r="H50" s="231">
        <f>F50*G50</f>
        <v>166423.89000000001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1479.1525423728885</v>
      </c>
      <c r="O50" s="235">
        <f>N50/M50</f>
        <v>98.610169491525909</v>
      </c>
      <c r="P50" s="74">
        <f>M50-J50</f>
        <v>0</v>
      </c>
      <c r="Q50" s="83">
        <f>O50-L50</f>
        <v>-10.456497175140754</v>
      </c>
      <c r="R50" s="72">
        <f>O50/L50</f>
        <v>0.90412747088807377</v>
      </c>
      <c r="S50" s="377"/>
      <c r="T50" s="21">
        <v>0.33263888888888898</v>
      </c>
      <c r="U50" s="21">
        <v>0.41458333333333303</v>
      </c>
      <c r="V50" s="30">
        <f t="shared" ref="V50:V52" si="40">(T50-U49)*24*60</f>
        <v>6.9999999999998153</v>
      </c>
      <c r="W50" s="236">
        <f t="shared" si="17"/>
        <v>117.99999999999942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-156.84745762711145</v>
      </c>
      <c r="AG50" s="72">
        <f t="shared" si="38"/>
        <v>0.90412747088807366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1632</v>
      </c>
      <c r="H51" s="231">
        <f>F51*G51</f>
        <v>81551.039999999994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1530.000000000015</v>
      </c>
      <c r="O51" s="235">
        <f>N51/M51</f>
        <v>95.625000000000938</v>
      </c>
      <c r="P51" s="74">
        <f>M51-J51</f>
        <v>0</v>
      </c>
      <c r="Q51" s="83">
        <f>O51-L51</f>
        <v>-16.874999999999062</v>
      </c>
      <c r="R51" s="72">
        <f>O51/L51</f>
        <v>0.8500000000000083</v>
      </c>
      <c r="S51" s="377"/>
      <c r="T51" s="21">
        <v>0.42013888888888901</v>
      </c>
      <c r="U51" s="19">
        <v>0.46458333333333302</v>
      </c>
      <c r="V51" s="30">
        <f t="shared" si="40"/>
        <v>8.0000000000006111</v>
      </c>
      <c r="W51" s="236">
        <f t="shared" si="17"/>
        <v>63.999999999999375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-269.99999999998499</v>
      </c>
      <c r="AG51" s="72">
        <f t="shared" si="38"/>
        <v>0.8500000000000083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2823</v>
      </c>
      <c r="H52" s="231">
        <f>F52*G52</f>
        <v>141065.31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16</v>
      </c>
      <c r="N52" s="234">
        <f>G52/W52*60</f>
        <v>1460.1724137931146</v>
      </c>
      <c r="O52" s="235">
        <f>N52/M52</f>
        <v>91.260775862069664</v>
      </c>
      <c r="P52" s="74">
        <f>M52-J52</f>
        <v>0</v>
      </c>
      <c r="Q52" s="83">
        <f>O52-L52</f>
        <v>-21.239224137930336</v>
      </c>
      <c r="R52" s="72">
        <f>O52/L52</f>
        <v>0.81120689655173039</v>
      </c>
      <c r="S52" s="377"/>
      <c r="T52" s="21">
        <v>0.52777777777777801</v>
      </c>
      <c r="U52" s="21">
        <v>0.60833333333333295</v>
      </c>
      <c r="V52" s="30">
        <f t="shared" si="40"/>
        <v>91.000000000000796</v>
      </c>
      <c r="W52" s="236">
        <f t="shared" si="17"/>
        <v>115.9999999999991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-339.82758620688537</v>
      </c>
      <c r="AG52" s="72">
        <f t="shared" si="38"/>
        <v>0.81120689655173039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16</v>
      </c>
      <c r="K58" s="120">
        <f t="shared" si="41"/>
        <v>1737.5</v>
      </c>
      <c r="L58" s="117">
        <f t="shared" si="41"/>
        <v>108.72254901960784</v>
      </c>
      <c r="M58" s="120">
        <f t="shared" si="41"/>
        <v>15.75</v>
      </c>
      <c r="N58" s="120">
        <f t="shared" si="41"/>
        <v>1456.8049232520248</v>
      </c>
      <c r="O58" s="117">
        <f t="shared" si="41"/>
        <v>92.591091601556656</v>
      </c>
      <c r="P58" s="121">
        <f>M58-J58</f>
        <v>-0.25</v>
      </c>
      <c r="Q58" s="122">
        <f>N58-K58</f>
        <v>-280.69507674797524</v>
      </c>
      <c r="R58" s="123">
        <f t="shared" ref="R58:R62" si="42">O58/L58</f>
        <v>0.8516273067223441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-280.69507674797524</v>
      </c>
      <c r="AG58" s="124">
        <f t="shared" ref="AG58:AG61" si="44">N58/K58</f>
        <v>0.83844887669181278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3286</v>
      </c>
      <c r="H59" s="243">
        <f>F59*G59</f>
        <v>88689.14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5">K59/J59</f>
        <v>120.38461538461539</v>
      </c>
      <c r="M59" s="244">
        <v>13</v>
      </c>
      <c r="N59" s="137">
        <f t="shared" ref="N59:N62" si="46">G59/W59*60</f>
        <v>1540.3124999999986</v>
      </c>
      <c r="O59" s="138">
        <f t="shared" ref="O59:O62" si="47">N59/M59</f>
        <v>118.48557692307682</v>
      </c>
      <c r="P59" s="56">
        <f t="shared" ref="P59:P62" si="48">M59-J59</f>
        <v>0</v>
      </c>
      <c r="Q59" s="230">
        <f t="shared" ref="Q59:Q62" si="49">O59-L59</f>
        <v>-1.8990384615385665</v>
      </c>
      <c r="R59" s="52">
        <f t="shared" si="42"/>
        <v>0.98422523961661257</v>
      </c>
      <c r="S59" s="376">
        <f>R69</f>
        <v>0.75036834180477652</v>
      </c>
      <c r="T59" s="245">
        <v>0.29166666666666702</v>
      </c>
      <c r="U59" s="245">
        <v>0.38055555555555598</v>
      </c>
      <c r="V59" s="55"/>
      <c r="W59" s="54">
        <f t="shared" si="17"/>
        <v>128.00000000000011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-24.687500000001364</v>
      </c>
      <c r="AG59" s="246">
        <f t="shared" si="44"/>
        <v>0.98422523961661257</v>
      </c>
      <c r="AH59" s="382">
        <f>AG69</f>
        <v>0.80057186261462832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1596</v>
      </c>
      <c r="H60" s="78">
        <f>F60*G60</f>
        <v>45102.96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1473.2307692307652</v>
      </c>
      <c r="O60" s="81">
        <f t="shared" si="47"/>
        <v>122.76923076923043</v>
      </c>
      <c r="P60" s="74">
        <f t="shared" si="48"/>
        <v>0</v>
      </c>
      <c r="Q60" s="83">
        <f t="shared" si="49"/>
        <v>-7.6474358974362246</v>
      </c>
      <c r="R60" s="72">
        <f t="shared" si="42"/>
        <v>0.94136151388547307</v>
      </c>
      <c r="S60" s="394"/>
      <c r="T60" s="22">
        <v>0.38541666666666702</v>
      </c>
      <c r="U60" s="22">
        <v>0.43055555555555602</v>
      </c>
      <c r="V60" s="30">
        <f t="shared" ref="V60:V62" si="50">(T60-U59)*24*60</f>
        <v>6.9999999999998952</v>
      </c>
      <c r="W60" s="248">
        <f t="shared" si="17"/>
        <v>65.000000000000171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-91.769230769234809</v>
      </c>
      <c r="AG60" s="249">
        <f t="shared" si="44"/>
        <v>0.94136151388547296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250">
        <f>VLOOKUP(D61,廠價表!$C$1:$E$41,3,0)</f>
        <v>28.26</v>
      </c>
      <c r="G61" s="38">
        <v>1172</v>
      </c>
      <c r="H61" s="254">
        <f t="shared" ref="H61:H62" si="51">F61*G61</f>
        <v>33120.720000000001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5"/>
        <v>130.41666666666666</v>
      </c>
      <c r="M61" s="108">
        <v>12</v>
      </c>
      <c r="N61" s="107">
        <f t="shared" si="46"/>
        <v>740.21052631578084</v>
      </c>
      <c r="O61" s="238">
        <f t="shared" si="47"/>
        <v>61.68421052631507</v>
      </c>
      <c r="P61" s="111">
        <f t="shared" si="48"/>
        <v>0</v>
      </c>
      <c r="Q61" s="255">
        <f t="shared" si="49"/>
        <v>-68.732456140351587</v>
      </c>
      <c r="R61" s="85">
        <f t="shared" si="42"/>
        <v>0.47297797208676096</v>
      </c>
      <c r="S61" s="377"/>
      <c r="T61" s="22">
        <v>0.44444444444444398</v>
      </c>
      <c r="U61" s="22">
        <v>0.51041666666666696</v>
      </c>
      <c r="V61" s="30">
        <f t="shared" si="50"/>
        <v>19.99999999999865</v>
      </c>
      <c r="W61" s="256">
        <f t="shared" si="17"/>
        <v>95.000000000001108</v>
      </c>
      <c r="X61" s="22"/>
      <c r="Y61" s="84"/>
      <c r="Z61" s="90">
        <v>2</v>
      </c>
      <c r="AA61" s="90">
        <v>11</v>
      </c>
      <c r="AB61" s="388" t="s">
        <v>187</v>
      </c>
      <c r="AC61" s="388"/>
      <c r="AD61" s="92"/>
      <c r="AE61" s="92"/>
      <c r="AF61" s="317">
        <f t="shared" si="43"/>
        <v>-824.78947368421916</v>
      </c>
      <c r="AG61" s="247">
        <f t="shared" si="44"/>
        <v>0.4729779720867609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1972</v>
      </c>
      <c r="H62" s="254">
        <f t="shared" si="51"/>
        <v>55728.72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68">
        <v>11</v>
      </c>
      <c r="N62" s="107">
        <f t="shared" si="46"/>
        <v>1314.6666666666667</v>
      </c>
      <c r="O62" s="238">
        <f t="shared" si="47"/>
        <v>119.51515151515152</v>
      </c>
      <c r="P62" s="111">
        <f t="shared" si="48"/>
        <v>2</v>
      </c>
      <c r="Q62" s="255">
        <f t="shared" si="49"/>
        <v>-62.262626262626256</v>
      </c>
      <c r="R62" s="85">
        <f t="shared" si="42"/>
        <v>0.65747943987552793</v>
      </c>
      <c r="S62" s="377"/>
      <c r="T62" s="22">
        <v>0.5625</v>
      </c>
      <c r="U62" s="22">
        <v>0.625</v>
      </c>
      <c r="V62" s="30">
        <f t="shared" si="50"/>
        <v>74.999999999999574</v>
      </c>
      <c r="W62" s="248">
        <f t="shared" si="17"/>
        <v>90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-321.33333333333326</v>
      </c>
      <c r="AG62" s="247">
        <f>N62/K62</f>
        <v>0.80358598207008969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12</v>
      </c>
      <c r="N69" s="240">
        <f t="shared" si="52"/>
        <v>1267.105115553303</v>
      </c>
      <c r="O69" s="268">
        <f t="shared" si="52"/>
        <v>105.61354243344346</v>
      </c>
      <c r="P69" s="269">
        <f>M69-J69</f>
        <v>0.5</v>
      </c>
      <c r="Q69" s="222">
        <f>N69-K69</f>
        <v>-315.64488444669701</v>
      </c>
      <c r="R69" s="123">
        <f>O69/L69</f>
        <v>0.75036834180477652</v>
      </c>
      <c r="S69" s="380"/>
      <c r="T69" s="125"/>
      <c r="U69" s="125"/>
      <c r="V69" s="126"/>
      <c r="W69" s="242"/>
      <c r="X69" s="128"/>
      <c r="Y69" s="295"/>
      <c r="Z69" s="334">
        <f>SUM(Z59:Z68)</f>
        <v>2</v>
      </c>
      <c r="AA69" s="334">
        <f>SUM(AA59:AA68)</f>
        <v>11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-315.64488444669701</v>
      </c>
      <c r="AG69" s="124">
        <f>N69/K69</f>
        <v>0.80057186261462832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2216</v>
      </c>
      <c r="H70" s="243">
        <f>F70*G70</f>
        <v>112284.72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1384.9999999999923</v>
      </c>
      <c r="O70" s="138">
        <f>N70/M70</f>
        <v>106.53846153846095</v>
      </c>
      <c r="P70" s="56">
        <f>M70-J70</f>
        <v>0</v>
      </c>
      <c r="Q70" s="230">
        <f>O70-L70</f>
        <v>-4.2307692307698233</v>
      </c>
      <c r="R70" s="52">
        <f>O70/L70</f>
        <v>0.96180555555555025</v>
      </c>
      <c r="S70" s="376">
        <f>R79</f>
        <v>0.93069871643487057</v>
      </c>
      <c r="T70" s="245">
        <v>0.33333333333333298</v>
      </c>
      <c r="U70" s="245">
        <v>0.4</v>
      </c>
      <c r="V70" s="55"/>
      <c r="W70" s="54">
        <f t="shared" si="17"/>
        <v>96.00000000000054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-55.000000000007731</v>
      </c>
      <c r="AG70" s="246">
        <f>N70/K70</f>
        <v>0.96180555555555014</v>
      </c>
      <c r="AH70" s="382">
        <f>AG79</f>
        <v>0.87235811934607321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1127</v>
      </c>
      <c r="H71" s="254">
        <f t="shared" ref="H71:H72" si="53">F71*G71</f>
        <v>63596.61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54">K71/J71</f>
        <v>87.875</v>
      </c>
      <c r="M71" s="82">
        <v>13</v>
      </c>
      <c r="N71" s="107">
        <f t="shared" ref="N71:N72" si="55">G71/W71*60</f>
        <v>966.00000000000239</v>
      </c>
      <c r="O71" s="238">
        <f t="shared" ref="O71:O72" si="56">N71/M71</f>
        <v>74.307692307692491</v>
      </c>
      <c r="P71" s="111">
        <f t="shared" ref="P71:P72" si="57">M71-J71</f>
        <v>-3</v>
      </c>
      <c r="Q71" s="255">
        <f t="shared" ref="Q71:Q72" si="58">O71-L71</f>
        <v>-13.567307692307509</v>
      </c>
      <c r="R71" s="85">
        <f t="shared" ref="R71:R72" si="59">O71/L71</f>
        <v>0.84560674034358452</v>
      </c>
      <c r="S71" s="377"/>
      <c r="T71" s="22">
        <v>0.40972222222222199</v>
      </c>
      <c r="U71" s="22">
        <v>0.45833333333333298</v>
      </c>
      <c r="V71" s="30"/>
      <c r="W71" s="73">
        <f t="shared" si="17"/>
        <v>69.999999999999829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1429</v>
      </c>
      <c r="H72" s="254">
        <f t="shared" si="53"/>
        <v>40383.54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4"/>
        <v>181.77777777777777</v>
      </c>
      <c r="M72" s="82">
        <v>9</v>
      </c>
      <c r="N72" s="107">
        <f t="shared" si="55"/>
        <v>1558.9090909091053</v>
      </c>
      <c r="O72" s="238">
        <f t="shared" si="56"/>
        <v>173.21212121212281</v>
      </c>
      <c r="P72" s="111">
        <f t="shared" si="57"/>
        <v>0</v>
      </c>
      <c r="Q72" s="255">
        <f t="shared" si="58"/>
        <v>-8.5656565656549617</v>
      </c>
      <c r="R72" s="85">
        <f t="shared" si="59"/>
        <v>0.95287841742610346</v>
      </c>
      <c r="S72" s="377"/>
      <c r="T72" s="22">
        <v>0.54166666666666696</v>
      </c>
      <c r="U72" s="22">
        <v>0.57986111111111105</v>
      </c>
      <c r="V72" s="30"/>
      <c r="W72" s="73">
        <f t="shared" si="17"/>
        <v>54.999999999999488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1">AVERAGE(J70:J78)</f>
        <v>12.666666666666666</v>
      </c>
      <c r="K79" s="240">
        <f t="shared" si="61"/>
        <v>1494</v>
      </c>
      <c r="L79" s="268">
        <f t="shared" si="61"/>
        <v>126.80733618233619</v>
      </c>
      <c r="M79" s="240">
        <f t="shared" si="61"/>
        <v>11.666666666666666</v>
      </c>
      <c r="N79" s="240">
        <f t="shared" si="61"/>
        <v>1303.3030303030334</v>
      </c>
      <c r="O79" s="268">
        <f t="shared" si="61"/>
        <v>118.01942501942541</v>
      </c>
      <c r="P79" s="269">
        <f>M79-J79</f>
        <v>-1</v>
      </c>
      <c r="Q79" s="222">
        <f>N79-K79</f>
        <v>-190.69696969696656</v>
      </c>
      <c r="R79" s="223">
        <f>O79/L79</f>
        <v>0.93069871643487057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-190.69696969696656</v>
      </c>
      <c r="AG79" s="124">
        <f>N79/K79</f>
        <v>0.87235811934607321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W3:W4"/>
    <mergeCell ref="X3:Y3"/>
    <mergeCell ref="Z3:AA3"/>
    <mergeCell ref="AB3:AC4"/>
    <mergeCell ref="N3:N4"/>
    <mergeCell ref="O3:O4"/>
    <mergeCell ref="H3:H4"/>
    <mergeCell ref="I3:I4"/>
    <mergeCell ref="G3:G4"/>
    <mergeCell ref="A16:A26"/>
    <mergeCell ref="A5:A15"/>
    <mergeCell ref="A2:B2"/>
    <mergeCell ref="A3:A4"/>
    <mergeCell ref="B3:B4"/>
    <mergeCell ref="D3:E4"/>
    <mergeCell ref="F3:F4"/>
    <mergeCell ref="D15:E15"/>
    <mergeCell ref="S5:S15"/>
    <mergeCell ref="AB5:AC5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14:AC1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5:AC15"/>
    <mergeCell ref="AB8:AC8"/>
    <mergeCell ref="AB9:AC9"/>
    <mergeCell ref="AB10:AC10"/>
    <mergeCell ref="AB11:AC11"/>
    <mergeCell ref="AB12:AC12"/>
    <mergeCell ref="AB13:AC13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34EB2E-83F9-460D-8095-B658A13344CD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0AF1-7CEC-449C-8170-AEB823921E53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46101</v>
      </c>
      <c r="E3" s="466"/>
      <c r="F3" s="3" t="s">
        <v>72</v>
      </c>
      <c r="G3" s="467">
        <f>'0320'!E1</f>
        <v>47947</v>
      </c>
      <c r="H3" s="467"/>
      <c r="I3" s="3" t="s">
        <v>2</v>
      </c>
      <c r="J3" s="468">
        <f>'0320'!G1</f>
        <v>2271862.54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124.29197134564781</v>
      </c>
      <c r="G6" s="473"/>
      <c r="H6" s="474">
        <f>AVERAGE(D13:H13,J13)</f>
        <v>121.54914463260052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109.77240467742061</v>
      </c>
      <c r="G7" s="497"/>
      <c r="H7" s="498">
        <f>AVERAGE(D14:H14,J14)</f>
        <v>110.51615364251836</v>
      </c>
      <c r="I7" s="498"/>
      <c r="J7" s="498">
        <f>AVERAGE(I14)</f>
        <v>105.30991088683398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0.88318178148571447</v>
      </c>
      <c r="G8" s="470"/>
      <c r="H8" s="470">
        <f>H7/H6</f>
        <v>0.90923020459394488</v>
      </c>
      <c r="I8" s="470"/>
      <c r="J8" s="470">
        <f>J7/J6</f>
        <v>0.74821108531191194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VALUE('0320'!L15)</f>
        <v>153.05982905982907</v>
      </c>
      <c r="E13" s="13">
        <f>VALUE('0320'!L26)</f>
        <v>170.39772727272725</v>
      </c>
      <c r="F13" s="13">
        <f>VALUE('0320'!L37)</f>
        <v>94.629901960784309</v>
      </c>
      <c r="G13" s="13">
        <f>VALUE('0320'!L48)</f>
        <v>103.16274509803921</v>
      </c>
      <c r="H13" s="13">
        <f>VALUE('0320'!L58)</f>
        <v>108.72254901960784</v>
      </c>
      <c r="I13" s="13">
        <f>VALUE('0320'!L69)</f>
        <v>140.74893162393164</v>
      </c>
      <c r="J13" s="13">
        <f>'0320'!L79</f>
        <v>99.322115384615387</v>
      </c>
    </row>
    <row r="14" spans="2:15" ht="39.950000000000003" customHeight="1">
      <c r="B14" s="491"/>
      <c r="C14" s="12" t="s">
        <v>100</v>
      </c>
      <c r="D14" s="13">
        <f>VALUE('0320'!O15)</f>
        <v>141.30071785799217</v>
      </c>
      <c r="E14" s="13">
        <f>VALUE('0320'!O26)</f>
        <v>151.63923324150628</v>
      </c>
      <c r="F14" s="13">
        <f>VALUE('0320'!O37)</f>
        <v>86.895037652742189</v>
      </c>
      <c r="G14" s="13">
        <f>VALUE('0320'!O48)</f>
        <v>91.21525533290216</v>
      </c>
      <c r="H14" s="13">
        <f>VALUE('0320'!O58)</f>
        <v>102.58133991633136</v>
      </c>
      <c r="I14" s="13">
        <f>VALUE('0320'!O69)</f>
        <v>105.30991088683398</v>
      </c>
      <c r="J14" s="13">
        <f>'0320'!O79</f>
        <v>89.465337853636072</v>
      </c>
    </row>
    <row r="15" spans="2:15" ht="39.950000000000003" customHeight="1">
      <c r="B15" s="492"/>
      <c r="C15" s="10" t="s">
        <v>26</v>
      </c>
      <c r="D15" s="14">
        <f>D14/D13</f>
        <v>0.92317310639854155</v>
      </c>
      <c r="E15" s="14">
        <f t="shared" ref="E15:I15" si="1">E14/E13</f>
        <v>0.88991347284111733</v>
      </c>
      <c r="F15" s="14">
        <f t="shared" si="1"/>
        <v>0.9182619431303275</v>
      </c>
      <c r="G15" s="14">
        <f t="shared" si="1"/>
        <v>0.88418794251953137</v>
      </c>
      <c r="H15" s="14">
        <f t="shared" si="1"/>
        <v>0.94351485355472187</v>
      </c>
      <c r="I15" s="14">
        <f t="shared" si="1"/>
        <v>0.74821108531191194</v>
      </c>
      <c r="J15" s="15">
        <f>'0320'!S70</f>
        <v>0.90075948853072763</v>
      </c>
    </row>
    <row r="16" spans="2:15" ht="17.25" customHeight="1">
      <c r="B16" s="493" t="s">
        <v>101</v>
      </c>
      <c r="C16" s="10" t="s">
        <v>34</v>
      </c>
      <c r="D16" s="16">
        <f>'0320'!T5</f>
        <v>0.29027777777777802</v>
      </c>
      <c r="E16" s="16">
        <f>'0320'!T16</f>
        <v>0.29027777777777802</v>
      </c>
      <c r="F16" s="16">
        <f>'0320'!T27</f>
        <v>0.29166666666666702</v>
      </c>
      <c r="G16" s="16">
        <f>'0320'!T38</f>
        <v>0.33333333333333298</v>
      </c>
      <c r="H16" s="16">
        <f>'0320'!T49</f>
        <v>0.29027777777777802</v>
      </c>
      <c r="I16" s="16">
        <f>'0320'!T59</f>
        <v>0.29027777777777802</v>
      </c>
      <c r="J16" s="16">
        <f>'0320'!T70</f>
        <v>0.33055555555555599</v>
      </c>
    </row>
    <row r="17" spans="2:10" ht="17.25" customHeight="1">
      <c r="B17" s="494"/>
      <c r="C17" s="10" t="s">
        <v>35</v>
      </c>
      <c r="D17" s="18">
        <v>0.55555555555555602</v>
      </c>
      <c r="E17" s="19">
        <v>0.5625</v>
      </c>
      <c r="F17" s="19">
        <v>0.593055555555556</v>
      </c>
      <c r="G17" s="20">
        <v>0.48958333333333298</v>
      </c>
      <c r="H17" s="21">
        <v>0.57638888888888895</v>
      </c>
      <c r="I17" s="22">
        <v>0.65625</v>
      </c>
      <c r="J17" s="22">
        <v>0.44652777777777802</v>
      </c>
    </row>
    <row r="18" spans="2:10" ht="17.25" customHeight="1">
      <c r="B18" s="495" t="s">
        <v>102</v>
      </c>
      <c r="C18" s="330" t="s">
        <v>36</v>
      </c>
      <c r="D18" s="358">
        <f>'0320'!Z15</f>
        <v>0</v>
      </c>
      <c r="E18" s="359">
        <f>'0320'!Z26</f>
        <v>0</v>
      </c>
      <c r="F18" s="359">
        <f>'0320'!Z37</f>
        <v>0</v>
      </c>
      <c r="G18" s="360">
        <f>'0320'!Z48</f>
        <v>0</v>
      </c>
      <c r="H18" s="360">
        <f>'0320'!Z58</f>
        <v>0</v>
      </c>
      <c r="I18" s="359">
        <f>'0320'!Z69</f>
        <v>0</v>
      </c>
      <c r="J18" s="359">
        <f>'0320'!AA79</f>
        <v>0</v>
      </c>
    </row>
    <row r="19" spans="2:10" ht="17.25" customHeight="1">
      <c r="B19" s="496"/>
      <c r="C19" s="330" t="s">
        <v>37</v>
      </c>
      <c r="D19" s="358">
        <f>'0320'!AA15</f>
        <v>0</v>
      </c>
      <c r="E19" s="359">
        <f>'0320'!AA26</f>
        <v>0</v>
      </c>
      <c r="F19" s="359">
        <f>'0320'!AA37</f>
        <v>0</v>
      </c>
      <c r="G19" s="360">
        <f>'0320'!AA48</f>
        <v>0</v>
      </c>
      <c r="H19" s="360">
        <f>'0320'!AA58</f>
        <v>0</v>
      </c>
      <c r="I19" s="359">
        <f>'0320'!AA69</f>
        <v>0</v>
      </c>
      <c r="J19" s="359">
        <f>'0320'!AB79</f>
        <v>0</v>
      </c>
    </row>
    <row r="20" spans="2:10" ht="17.25" customHeight="1">
      <c r="B20" s="495" t="s">
        <v>103</v>
      </c>
      <c r="C20" s="330" t="s">
        <v>36</v>
      </c>
      <c r="D20" s="358">
        <f>'0320'!AD15</f>
        <v>0</v>
      </c>
      <c r="E20" s="359">
        <f>'0320'!AD26</f>
        <v>0</v>
      </c>
      <c r="F20" s="359">
        <f>'0320'!AD37</f>
        <v>0</v>
      </c>
      <c r="G20" s="360">
        <f>'0320'!AD48</f>
        <v>0</v>
      </c>
      <c r="H20" s="360">
        <f>'0320'!AD58</f>
        <v>0</v>
      </c>
      <c r="I20" s="359">
        <f>'0320'!AD69</f>
        <v>0</v>
      </c>
      <c r="J20" s="359">
        <f>'0320'!AD79</f>
        <v>0</v>
      </c>
    </row>
    <row r="21" spans="2:10" ht="17.25" customHeight="1">
      <c r="B21" s="496"/>
      <c r="C21" s="330" t="s">
        <v>85</v>
      </c>
      <c r="D21" s="358">
        <f>'0320'!AE15</f>
        <v>0</v>
      </c>
      <c r="E21" s="359">
        <f>'0320'!AE26</f>
        <v>0</v>
      </c>
      <c r="F21" s="359">
        <f>'0320'!AE37</f>
        <v>0</v>
      </c>
      <c r="G21" s="360">
        <f>'0320'!AE48</f>
        <v>0</v>
      </c>
      <c r="H21" s="360">
        <f>'0320'!AE58</f>
        <v>0</v>
      </c>
      <c r="I21" s="359">
        <f>'0320'!AE69</f>
        <v>0</v>
      </c>
      <c r="J21" s="359">
        <f>'0320'!AE79</f>
        <v>0</v>
      </c>
    </row>
    <row r="22" spans="2:10" ht="17.25" customHeight="1">
      <c r="B22" s="479" t="s">
        <v>104</v>
      </c>
      <c r="C22" s="480"/>
      <c r="D22" s="23">
        <f>VALUE('0320'!M15)</f>
        <v>13.666666666666666</v>
      </c>
      <c r="E22" s="23">
        <f>VALUE('0320'!M26)</f>
        <v>12.25</v>
      </c>
      <c r="F22" s="23">
        <f>VALUE('0320'!M37)</f>
        <v>15.666666666666666</v>
      </c>
      <c r="G22" s="23">
        <f>VALUE('0320'!M48)</f>
        <v>16</v>
      </c>
      <c r="H22" s="23">
        <f>VALUE('0320'!M58)</f>
        <v>16</v>
      </c>
      <c r="I22" s="23">
        <f>VALUE('0320'!M69)</f>
        <v>11.25</v>
      </c>
      <c r="J22" s="23">
        <f>'0320'!M79</f>
        <v>13.5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F032-5857-44F1-BDB8-56754473807E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93" width="8.7109375" style="34" customWidth="1"/>
    <col min="9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47947</v>
      </c>
      <c r="F1" s="30" t="s">
        <v>2</v>
      </c>
      <c r="G1" s="31">
        <f>SUM(H5:H79)</f>
        <v>2271862.54</v>
      </c>
      <c r="H1" s="32" t="s">
        <v>3</v>
      </c>
      <c r="I1" s="33">
        <f>M15+M26+M48+M58+M69+M79+M37</f>
        <v>98.333333333333329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188</v>
      </c>
      <c r="B2" s="447"/>
      <c r="C2" s="28"/>
      <c r="D2" s="28" t="s">
        <v>14</v>
      </c>
      <c r="E2" s="35">
        <f>AVERAGE(O15,O26,O37,O48,O58,O69,O79)</f>
        <v>109.77240467742061</v>
      </c>
      <c r="F2" s="36" t="s">
        <v>15</v>
      </c>
      <c r="G2" s="37">
        <f>G1/E1</f>
        <v>47.382788078503346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3750</v>
      </c>
      <c r="H5" s="43">
        <f>F5*G5</f>
        <v>214537.5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7" si="0">K5/J5</f>
        <v>133.33333333333334</v>
      </c>
      <c r="M5" s="48">
        <v>15</v>
      </c>
      <c r="N5" s="46">
        <f t="shared" ref="N5:N7" si="1">G5/W5*60</f>
        <v>1973.6842105263327</v>
      </c>
      <c r="O5" s="47">
        <f t="shared" ref="O5:O7" si="2">N5/M5</f>
        <v>131.57894736842218</v>
      </c>
      <c r="P5" s="49">
        <f t="shared" ref="P5:P7" si="3">M5-J5</f>
        <v>0</v>
      </c>
      <c r="Q5" s="50">
        <f t="shared" ref="Q5:Q7" si="4">O5-L5</f>
        <v>-1.7543859649111653</v>
      </c>
      <c r="R5" s="51">
        <f t="shared" ref="R5:R7" si="5">O5/L5</f>
        <v>0.98684210526316629</v>
      </c>
      <c r="S5" s="376">
        <f>R15</f>
        <v>0.92317310639854155</v>
      </c>
      <c r="T5" s="319">
        <v>0.29027777777777802</v>
      </c>
      <c r="U5" s="320">
        <v>0.36944444444444402</v>
      </c>
      <c r="V5" s="53"/>
      <c r="W5" s="54">
        <f t="shared" ref="W5:W14" si="6">(U5-T5)*24*60</f>
        <v>113.99999999999903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-26.315789473667337</v>
      </c>
      <c r="AG5" s="52">
        <f t="shared" ref="AG5:AG11" si="8">N5/K5</f>
        <v>0.98684210526316629</v>
      </c>
      <c r="AH5" s="382">
        <f>AG15</f>
        <v>0.92589574906968242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3975</v>
      </c>
      <c r="H6" s="63">
        <f>F6*G6</f>
        <v>195331.5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2004.2016806722668</v>
      </c>
      <c r="O6" s="67">
        <f t="shared" si="2"/>
        <v>154.16936005171283</v>
      </c>
      <c r="P6" s="69">
        <f t="shared" si="3"/>
        <v>0</v>
      </c>
      <c r="Q6" s="70">
        <f t="shared" si="4"/>
        <v>-8.7537168713641051</v>
      </c>
      <c r="R6" s="71">
        <f t="shared" si="5"/>
        <v>0.94627085961863389</v>
      </c>
      <c r="S6" s="377"/>
      <c r="T6" s="16">
        <v>0.38333333333333303</v>
      </c>
      <c r="U6" s="16">
        <v>0.46597222222222201</v>
      </c>
      <c r="V6" s="30">
        <f>(T6-U5)*24*60</f>
        <v>20.000000000000171</v>
      </c>
      <c r="W6" s="73">
        <f t="shared" si="6"/>
        <v>119.00000000000014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-113.79831932773322</v>
      </c>
      <c r="AG6" s="72">
        <f t="shared" si="8"/>
        <v>0.946270859618634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898</v>
      </c>
      <c r="H7" s="78">
        <f>F7*G7</f>
        <v>44127.72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1795.9999999999395</v>
      </c>
      <c r="O7" s="81">
        <f t="shared" si="2"/>
        <v>138.1538461538415</v>
      </c>
      <c r="P7" s="74">
        <f t="shared" si="3"/>
        <v>0</v>
      </c>
      <c r="Q7" s="83">
        <f t="shared" si="4"/>
        <v>-24.769230769235435</v>
      </c>
      <c r="R7" s="72">
        <f t="shared" si="5"/>
        <v>0.84796978281394686</v>
      </c>
      <c r="S7" s="377"/>
      <c r="T7" s="18">
        <v>0.53472222222222199</v>
      </c>
      <c r="U7" s="18">
        <v>0.55555555555555602</v>
      </c>
      <c r="V7" s="30">
        <f>(T7-U6)*24*60</f>
        <v>98.999999999999972</v>
      </c>
      <c r="W7" s="73">
        <f t="shared" si="6"/>
        <v>30.000000000001013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-322.00000000006048</v>
      </c>
      <c r="AG7" s="72">
        <f t="shared" si="8"/>
        <v>0.84796978281394686</v>
      </c>
      <c r="AH7" s="384"/>
    </row>
    <row r="8" spans="1:34" ht="15" customHeight="1">
      <c r="A8" s="423"/>
      <c r="B8" s="75" t="s">
        <v>189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13.666666666666666</v>
      </c>
      <c r="N15" s="120">
        <f t="shared" si="9"/>
        <v>1924.628630399513</v>
      </c>
      <c r="O15" s="117">
        <f t="shared" si="9"/>
        <v>141.30071785799217</v>
      </c>
      <c r="P15" s="121">
        <f t="shared" ref="P15:P19" si="10">M15-J15</f>
        <v>0</v>
      </c>
      <c r="Q15" s="122">
        <f t="shared" ref="Q15:Q19" si="11">O15-L15</f>
        <v>-11.759111201836902</v>
      </c>
      <c r="R15" s="123">
        <f t="shared" ref="R15:R19" si="12">O15/L15</f>
        <v>0.92317310639854155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-154.03803626715353</v>
      </c>
      <c r="AG15" s="124">
        <f t="shared" ref="AG15:AG19" si="14">N15/K15</f>
        <v>0.92589574906968242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798</v>
      </c>
      <c r="H16" s="134">
        <f>F16*G16</f>
        <v>44911.44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1710.0000000000402</v>
      </c>
      <c r="O16" s="141">
        <f>N16/M16</f>
        <v>114.00000000000269</v>
      </c>
      <c r="P16" s="142">
        <f>M16-J16</f>
        <v>0</v>
      </c>
      <c r="Q16" s="143">
        <f t="shared" si="11"/>
        <v>-5.9999999999973141</v>
      </c>
      <c r="R16" s="144">
        <f>O16/L16</f>
        <v>0.95000000000002238</v>
      </c>
      <c r="S16" s="413">
        <f>R26</f>
        <v>0.88991347284111733</v>
      </c>
      <c r="T16" s="145">
        <v>0.29027777777777802</v>
      </c>
      <c r="U16" s="145">
        <v>0.30972222222222201</v>
      </c>
      <c r="V16" s="135"/>
      <c r="W16" s="146">
        <f t="shared" ref="W16:W78" si="17">(U16-T16)*24*60</f>
        <v>27.999999999999339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-89.999999999959755</v>
      </c>
      <c r="AG16" s="52">
        <f t="shared" si="14"/>
        <v>0.95000000000002238</v>
      </c>
      <c r="AH16" s="382">
        <f>AG26</f>
        <v>0.89484432254851975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3335</v>
      </c>
      <c r="H17" s="78">
        <f>F17*G17</f>
        <v>168984.45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2021.2121212121203</v>
      </c>
      <c r="O17" s="96">
        <f t="shared" ref="O17:O19" si="18">N17/M17</f>
        <v>168.43434343434336</v>
      </c>
      <c r="P17" s="97">
        <f t="shared" si="10"/>
        <v>0</v>
      </c>
      <c r="Q17" s="98">
        <f t="shared" si="11"/>
        <v>-8.0656565656566386</v>
      </c>
      <c r="R17" s="99">
        <f t="shared" si="12"/>
        <v>0.95430222908976414</v>
      </c>
      <c r="S17" s="414"/>
      <c r="T17" s="19">
        <v>0.31666666666666698</v>
      </c>
      <c r="U17" s="19">
        <v>0.38541666666666702</v>
      </c>
      <c r="V17" s="30">
        <f>(T17-U16)*24*60</f>
        <v>10.000000000000764</v>
      </c>
      <c r="W17" s="149">
        <f t="shared" si="17"/>
        <v>99.000000000000043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-96.787878787879663</v>
      </c>
      <c r="AG17" s="72">
        <f t="shared" si="14"/>
        <v>0.95430222908976414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3044</v>
      </c>
      <c r="H18" s="78">
        <f>F18*G18</f>
        <v>153387.16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1844.8484848484841</v>
      </c>
      <c r="O18" s="96">
        <f t="shared" si="18"/>
        <v>167.71349862258947</v>
      </c>
      <c r="P18" s="97">
        <f t="shared" si="10"/>
        <v>0</v>
      </c>
      <c r="Q18" s="98">
        <f t="shared" si="11"/>
        <v>-24.831955922865063</v>
      </c>
      <c r="R18" s="99">
        <f t="shared" si="12"/>
        <v>0.87103327896529004</v>
      </c>
      <c r="S18" s="414"/>
      <c r="T18" s="19">
        <v>0.39374999999999999</v>
      </c>
      <c r="U18" s="19">
        <v>0.46250000000000002</v>
      </c>
      <c r="V18" s="30">
        <f>(T18-U17)*24*60</f>
        <v>11.999999999999478</v>
      </c>
      <c r="W18" s="149">
        <f t="shared" si="17"/>
        <v>99.000000000000043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-273.15151515151592</v>
      </c>
      <c r="AG18" s="72">
        <f t="shared" si="14"/>
        <v>0.87103327896528993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1147</v>
      </c>
      <c r="H19" s="78">
        <f>F19*G19</f>
        <v>57797.33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1720.4999999999854</v>
      </c>
      <c r="O19" s="96">
        <f t="shared" si="18"/>
        <v>156.4090909090896</v>
      </c>
      <c r="P19" s="97">
        <f t="shared" si="10"/>
        <v>0</v>
      </c>
      <c r="Q19" s="98">
        <f t="shared" si="11"/>
        <v>-36.136363636364933</v>
      </c>
      <c r="R19" s="99">
        <f t="shared" si="12"/>
        <v>0.81232294617563061</v>
      </c>
      <c r="S19" s="414"/>
      <c r="T19" s="19">
        <v>0.53472222222222199</v>
      </c>
      <c r="U19" s="19">
        <v>0.5625</v>
      </c>
      <c r="V19" s="30">
        <f>(T19-U18)*24*60</f>
        <v>103.99999999999963</v>
      </c>
      <c r="W19" s="149">
        <f t="shared" si="17"/>
        <v>40.000000000000341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-397.50000000001455</v>
      </c>
      <c r="AG19" s="72">
        <f t="shared" si="14"/>
        <v>0.8123229461756305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1824.1401515151574</v>
      </c>
      <c r="O26" s="158">
        <f t="shared" si="20"/>
        <v>151.63923324150628</v>
      </c>
      <c r="P26" s="159">
        <f t="shared" ref="P26:P29" si="21">M26-J26</f>
        <v>0</v>
      </c>
      <c r="Q26" s="160">
        <f t="shared" ref="Q26:Q29" si="22">O26-L26</f>
        <v>-18.758494031220977</v>
      </c>
      <c r="R26" s="161">
        <f>O26/L26</f>
        <v>0.88991347284111733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-214.35984848484259</v>
      </c>
      <c r="AG26" s="124">
        <f t="shared" ref="AG26:AG31" si="24">N26/K26</f>
        <v>0.89484432254851975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2749</v>
      </c>
      <c r="H27" s="134">
        <f>F27*G27</f>
        <v>159909.33000000002</v>
      </c>
      <c r="I27" s="135"/>
      <c r="J27" s="136">
        <f>VLOOKUP(D27,產線配置圖!$A$3:$C$38,2,0)</f>
        <v>16</v>
      </c>
      <c r="K27" s="137">
        <v>1714</v>
      </c>
      <c r="L27" s="138">
        <f t="shared" ref="L27:L29" si="25">K27/J27</f>
        <v>107.125</v>
      </c>
      <c r="M27" s="170">
        <v>16</v>
      </c>
      <c r="N27" s="140">
        <f>G27/W27*60</f>
        <v>1649.4000000000112</v>
      </c>
      <c r="O27" s="141">
        <f>N27/M27</f>
        <v>103.0875000000007</v>
      </c>
      <c r="P27" s="142">
        <f t="shared" si="21"/>
        <v>0</v>
      </c>
      <c r="Q27" s="143">
        <f t="shared" si="22"/>
        <v>-4.037499999999298</v>
      </c>
      <c r="R27" s="144">
        <f>O27/L27</f>
        <v>0.96231038506418387</v>
      </c>
      <c r="S27" s="413">
        <f>R37</f>
        <v>0.9182619431303275</v>
      </c>
      <c r="T27" s="171">
        <v>0.29166666666666702</v>
      </c>
      <c r="U27" s="171">
        <v>0.36111111111111099</v>
      </c>
      <c r="V27" s="135"/>
      <c r="W27" s="146">
        <f t="shared" si="17"/>
        <v>99.999999999999318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-64.599999999988768</v>
      </c>
      <c r="AG27" s="172">
        <f t="shared" si="24"/>
        <v>0.96231038506418387</v>
      </c>
      <c r="AH27" s="382">
        <f>AG37</f>
        <v>0.8678956322295075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1864</v>
      </c>
      <c r="H28" s="91">
        <f>F28*G28</f>
        <v>92305.279999999999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16</v>
      </c>
      <c r="N28" s="95">
        <f>G28/W28*60</f>
        <v>1315.7647058823477</v>
      </c>
      <c r="O28" s="96">
        <f>N28/M28</f>
        <v>82.235294117646731</v>
      </c>
      <c r="P28" s="97">
        <f t="shared" si="21"/>
        <v>-1</v>
      </c>
      <c r="Q28" s="98">
        <f t="shared" si="22"/>
        <v>-2.4705882352944428</v>
      </c>
      <c r="R28" s="99">
        <f t="shared" ref="R28:R29" si="26">O28/L28</f>
        <v>0.97083333333332944</v>
      </c>
      <c r="S28" s="414"/>
      <c r="T28" s="19">
        <v>0.37152777777777801</v>
      </c>
      <c r="U28" s="19">
        <v>0.43055555555555602</v>
      </c>
      <c r="V28" s="92">
        <f>(T28-U27)*24*60</f>
        <v>15.000000000000506</v>
      </c>
      <c r="W28" s="149">
        <f t="shared" si="17"/>
        <v>85.000000000000341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-124.2352941176523</v>
      </c>
      <c r="AG28" s="99">
        <f t="shared" si="24"/>
        <v>0.91372549019607474</v>
      </c>
      <c r="AH28" s="383"/>
    </row>
    <row r="29" spans="1:34" ht="15" customHeight="1">
      <c r="A29" s="411"/>
      <c r="B29" s="75" t="s">
        <v>120</v>
      </c>
      <c r="C29" s="88"/>
      <c r="D29" s="59" t="s">
        <v>124</v>
      </c>
      <c r="E29" s="89"/>
      <c r="F29" s="75">
        <f>VLOOKUP(D29,廠價表!$C$1:$E$41,3,0)</f>
        <v>44.3</v>
      </c>
      <c r="G29" s="90">
        <v>1300</v>
      </c>
      <c r="H29" s="91">
        <f>F29*G29</f>
        <v>57589.999999999993</v>
      </c>
      <c r="I29" s="92"/>
      <c r="J29" s="79">
        <f>VLOOKUP(D29,產線配置圖!$A$3:$C$38,2,0)</f>
        <v>17</v>
      </c>
      <c r="K29" s="80">
        <f>VLOOKUP(D29,產線配置圖!$A$3:$C$38,3,0)</f>
        <v>1565</v>
      </c>
      <c r="L29" s="93">
        <f t="shared" si="25"/>
        <v>92.058823529411768</v>
      </c>
      <c r="M29" s="94">
        <v>15</v>
      </c>
      <c r="N29" s="95">
        <f>G29/W29*60</f>
        <v>1130.4347826086866</v>
      </c>
      <c r="O29" s="96">
        <f>N29/M29</f>
        <v>75.362318840579107</v>
      </c>
      <c r="P29" s="97">
        <f t="shared" si="21"/>
        <v>-2</v>
      </c>
      <c r="Q29" s="98">
        <f t="shared" si="22"/>
        <v>-16.696504688832661</v>
      </c>
      <c r="R29" s="99">
        <f t="shared" si="26"/>
        <v>0.81863221743760051</v>
      </c>
      <c r="S29" s="414"/>
      <c r="T29" s="19">
        <v>0.54513888888888895</v>
      </c>
      <c r="U29" s="19">
        <v>0.593055555555556</v>
      </c>
      <c r="V29" s="92">
        <f>(T29-U28)*24*60</f>
        <v>164.9999999999994</v>
      </c>
      <c r="W29" s="149">
        <f t="shared" si="17"/>
        <v>69.000000000000554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-434.56521739131335</v>
      </c>
      <c r="AG29" s="99">
        <f t="shared" si="24"/>
        <v>0.72232254479788283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>
        <f>(T30-U29)*24*60</f>
        <v>-854.00000000000068</v>
      </c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16.666666666666668</v>
      </c>
      <c r="K37" s="155">
        <f t="shared" si="28"/>
        <v>1573</v>
      </c>
      <c r="L37" s="158">
        <f t="shared" si="28"/>
        <v>94.629901960784309</v>
      </c>
      <c r="M37" s="155">
        <f t="shared" si="28"/>
        <v>15.666666666666666</v>
      </c>
      <c r="N37" s="155">
        <f t="shared" si="28"/>
        <v>1365.1998294970153</v>
      </c>
      <c r="O37" s="158">
        <f t="shared" si="28"/>
        <v>86.895037652742189</v>
      </c>
      <c r="P37" s="159">
        <f>M37-J37</f>
        <v>-1.0000000000000018</v>
      </c>
      <c r="Q37" s="160">
        <f>N37-K37</f>
        <v>-207.80017050298466</v>
      </c>
      <c r="R37" s="161">
        <f t="shared" ref="R37:R39" si="29">O37/L37</f>
        <v>0.9182619431303275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-207.80017050298466</v>
      </c>
      <c r="AG37" s="124">
        <f t="shared" ref="AG37:AG41" si="31">N37/K37</f>
        <v>0.8678956322295075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2148</v>
      </c>
      <c r="H38" s="134">
        <f>F38*G38</f>
        <v>107206.68</v>
      </c>
      <c r="I38" s="135"/>
      <c r="J38" s="187">
        <f>VLOOKUP(D38,產線配置圖!$A$3:$C$38,2,0)</f>
        <v>15</v>
      </c>
      <c r="K38" s="188">
        <v>1714</v>
      </c>
      <c r="L38" s="189">
        <f t="shared" ref="L38:L39" si="32">K38/J38</f>
        <v>114.26666666666667</v>
      </c>
      <c r="M38" s="190">
        <v>15</v>
      </c>
      <c r="N38" s="140">
        <f>G38/W38*60</f>
        <v>1534.2857142856965</v>
      </c>
      <c r="O38" s="141">
        <f>N38/M38</f>
        <v>102.2857142857131</v>
      </c>
      <c r="P38" s="142">
        <f t="shared" ref="P38:P39" si="33">M38-J38</f>
        <v>0</v>
      </c>
      <c r="Q38" s="143">
        <f t="shared" ref="Q38:Q39" si="34">O38-L38</f>
        <v>-11.980952380953568</v>
      </c>
      <c r="R38" s="144">
        <f>O38/L38</f>
        <v>0.89514919153191164</v>
      </c>
      <c r="S38" s="404">
        <f>R48</f>
        <v>0.88418794251953137</v>
      </c>
      <c r="T38" s="191">
        <v>0.33333333333333298</v>
      </c>
      <c r="U38" s="191">
        <v>0.391666666666667</v>
      </c>
      <c r="V38" s="192"/>
      <c r="W38" s="193">
        <f t="shared" si="17"/>
        <v>84.000000000000981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-179.71428571430351</v>
      </c>
      <c r="AG38" s="195">
        <f t="shared" si="31"/>
        <v>0.89514919153191164</v>
      </c>
      <c r="AH38" s="398">
        <f>AG48</f>
        <v>0.88342398680916356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2952</v>
      </c>
      <c r="H39" s="91">
        <f>F39*G39</f>
        <v>130773.59999999999</v>
      </c>
      <c r="I39" s="200"/>
      <c r="J39" s="148">
        <f>VLOOKUP(D39,產線配置圖!$A$3:$C$38,2,0)</f>
        <v>17</v>
      </c>
      <c r="K39" s="95">
        <v>1565</v>
      </c>
      <c r="L39" s="96">
        <f t="shared" si="32"/>
        <v>92.058823529411768</v>
      </c>
      <c r="M39" s="201">
        <v>17</v>
      </c>
      <c r="N39" s="202">
        <f>G39/W39*60</f>
        <v>1362.4615384615508</v>
      </c>
      <c r="O39" s="203">
        <f>N39/M39</f>
        <v>80.144796380091222</v>
      </c>
      <c r="P39" s="97">
        <f t="shared" si="33"/>
        <v>0</v>
      </c>
      <c r="Q39" s="98">
        <f t="shared" si="34"/>
        <v>-11.914027149320546</v>
      </c>
      <c r="R39" s="99">
        <f t="shared" si="29"/>
        <v>0.87058245269108669</v>
      </c>
      <c r="S39" s="405"/>
      <c r="T39" s="20">
        <v>0.39930555555555602</v>
      </c>
      <c r="U39" s="20">
        <v>0.48958333333333298</v>
      </c>
      <c r="V39" s="92">
        <f>(T39-U38)*24*60</f>
        <v>11.000000000000201</v>
      </c>
      <c r="W39" s="205">
        <f t="shared" si="17"/>
        <v>129.99999999999881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-202.53846153844916</v>
      </c>
      <c r="AG39" s="206">
        <f t="shared" si="31"/>
        <v>0.87058245269108681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7"/>
        <v>0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0"/>
        <v>0</v>
      </c>
      <c r="AG40" s="206" t="e">
        <f t="shared" si="31"/>
        <v>#DIV/0!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0</v>
      </c>
      <c r="AG41" s="206" t="e">
        <f t="shared" si="31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</v>
      </c>
      <c r="K48" s="155">
        <f t="shared" si="36"/>
        <v>1639.5</v>
      </c>
      <c r="L48" s="158">
        <f t="shared" si="36"/>
        <v>103.16274509803921</v>
      </c>
      <c r="M48" s="155">
        <f t="shared" si="36"/>
        <v>16</v>
      </c>
      <c r="N48" s="155">
        <f t="shared" si="36"/>
        <v>1448.3736263736237</v>
      </c>
      <c r="O48" s="158">
        <f t="shared" si="36"/>
        <v>91.21525533290216</v>
      </c>
      <c r="P48" s="221">
        <f>M48-J48</f>
        <v>0</v>
      </c>
      <c r="Q48" s="222">
        <f>N48-K48</f>
        <v>-191.12637362637633</v>
      </c>
      <c r="R48" s="223">
        <f>O48/L48</f>
        <v>0.88418794251953137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-191.12637362637633</v>
      </c>
      <c r="AG48" s="162">
        <f t="shared" ref="AG48:AG53" si="38">N48/K48</f>
        <v>0.88342398680916356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948</v>
      </c>
      <c r="H49" s="134">
        <f>F49*G49</f>
        <v>53912.759999999995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39">K49/J49</f>
        <v>100.82352941176471</v>
      </c>
      <c r="M49" s="170">
        <v>17</v>
      </c>
      <c r="N49" s="140">
        <f>G49/W49*60</f>
        <v>1672.9411764705981</v>
      </c>
      <c r="O49" s="141">
        <f>N49/M49</f>
        <v>98.408304498270468</v>
      </c>
      <c r="P49" s="229">
        <f>M49-J49</f>
        <v>0</v>
      </c>
      <c r="Q49" s="230">
        <f>O49-L49</f>
        <v>-2.4152249134942423</v>
      </c>
      <c r="R49" s="52">
        <f>O49/L49</f>
        <v>0.97604502711236751</v>
      </c>
      <c r="S49" s="376">
        <f>R58</f>
        <v>0.94351485355472187</v>
      </c>
      <c r="T49" s="191">
        <v>0.29027777777777802</v>
      </c>
      <c r="U49" s="191">
        <v>0.31388888888888899</v>
      </c>
      <c r="V49" s="55"/>
      <c r="W49" s="193">
        <f t="shared" si="17"/>
        <v>33.999999999999801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-41.058823529401934</v>
      </c>
      <c r="AG49" s="52">
        <f t="shared" si="38"/>
        <v>0.97604502711236762</v>
      </c>
      <c r="AH49" s="382">
        <f>AG58</f>
        <v>0.94320149968055278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2682</v>
      </c>
      <c r="H50" s="231">
        <f>F50*G50</f>
        <v>153437.22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1625.4545454545448</v>
      </c>
      <c r="O50" s="235">
        <f>N50/M50</f>
        <v>108.36363636363632</v>
      </c>
      <c r="P50" s="74">
        <f>M50-J50</f>
        <v>0</v>
      </c>
      <c r="Q50" s="83">
        <f>O50-L50</f>
        <v>-0.70303030303034575</v>
      </c>
      <c r="R50" s="72">
        <f>O50/L50</f>
        <v>0.9935541231384748</v>
      </c>
      <c r="S50" s="377"/>
      <c r="T50" s="21">
        <v>0.32013888888888897</v>
      </c>
      <c r="U50" s="21">
        <v>0.38888888888888901</v>
      </c>
      <c r="V50" s="30">
        <f t="shared" ref="V50:V52" si="40">(T50-U49)*24*60</f>
        <v>8.999999999999968</v>
      </c>
      <c r="W50" s="236">
        <f t="shared" si="17"/>
        <v>99.000000000000043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-10.545454545455186</v>
      </c>
      <c r="AG50" s="72">
        <f t="shared" si="38"/>
        <v>0.9935541231384748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2948</v>
      </c>
      <c r="H51" s="231">
        <f>F51*G51</f>
        <v>147311.56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1637.7777777777776</v>
      </c>
      <c r="O51" s="235">
        <f>N51/M51</f>
        <v>102.3611111111111</v>
      </c>
      <c r="P51" s="74">
        <f>M51-J51</f>
        <v>0</v>
      </c>
      <c r="Q51" s="83">
        <f>O51-L51</f>
        <v>-10.1388888888889</v>
      </c>
      <c r="R51" s="72">
        <f>O51/L51</f>
        <v>0.90987654320987643</v>
      </c>
      <c r="S51" s="377"/>
      <c r="T51" s="21">
        <v>0.39722222222222198</v>
      </c>
      <c r="U51" s="19">
        <v>0.47222222222222199</v>
      </c>
      <c r="V51" s="30">
        <f t="shared" si="40"/>
        <v>11.999999999999478</v>
      </c>
      <c r="W51" s="236">
        <f t="shared" si="17"/>
        <v>108.00000000000001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-162.2222222222224</v>
      </c>
      <c r="AG51" s="72">
        <f t="shared" si="38"/>
        <v>0.90987654320987643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1754</v>
      </c>
      <c r="H52" s="231">
        <f>F52*G52</f>
        <v>87647.38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16</v>
      </c>
      <c r="N52" s="234">
        <f>G52/W52*60</f>
        <v>1619.076923076921</v>
      </c>
      <c r="O52" s="235">
        <f>N52/M52</f>
        <v>101.19230769230757</v>
      </c>
      <c r="P52" s="74">
        <f>M52-J52</f>
        <v>0</v>
      </c>
      <c r="Q52" s="83">
        <f>O52-L52</f>
        <v>-11.307692307692434</v>
      </c>
      <c r="R52" s="72">
        <f>O52/L52</f>
        <v>0.89948717948717838</v>
      </c>
      <c r="S52" s="377"/>
      <c r="T52" s="21">
        <v>0.53125</v>
      </c>
      <c r="U52" s="21">
        <v>0.57638888888888895</v>
      </c>
      <c r="V52" s="30">
        <f t="shared" si="40"/>
        <v>85.000000000000341</v>
      </c>
      <c r="W52" s="236">
        <f t="shared" si="17"/>
        <v>65.000000000000085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-180.92307692307895</v>
      </c>
      <c r="AG52" s="72">
        <f t="shared" si="38"/>
        <v>0.89948717948717838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16</v>
      </c>
      <c r="K58" s="120">
        <f t="shared" si="41"/>
        <v>1737.5</v>
      </c>
      <c r="L58" s="117">
        <f t="shared" si="41"/>
        <v>108.72254901960784</v>
      </c>
      <c r="M58" s="120">
        <f t="shared" si="41"/>
        <v>16</v>
      </c>
      <c r="N58" s="120">
        <f t="shared" si="41"/>
        <v>1638.8126056949604</v>
      </c>
      <c r="O58" s="117">
        <f t="shared" si="41"/>
        <v>102.58133991633136</v>
      </c>
      <c r="P58" s="121">
        <f>M58-J58</f>
        <v>0</v>
      </c>
      <c r="Q58" s="122">
        <f>N58-K58</f>
        <v>-98.687394305039561</v>
      </c>
      <c r="R58" s="123">
        <f t="shared" ref="R58:R62" si="42">O58/L58</f>
        <v>0.94351485355472187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-98.687394305039561</v>
      </c>
      <c r="AG58" s="124">
        <f t="shared" ref="AG58:AG61" si="44">N58/K58</f>
        <v>0.94320149968055278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3002</v>
      </c>
      <c r="H59" s="243">
        <f>F59*G59</f>
        <v>81023.98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5">K59/J59</f>
        <v>120.38461538461539</v>
      </c>
      <c r="M59" s="244">
        <v>13</v>
      </c>
      <c r="N59" s="137">
        <f t="shared" ref="N59:N62" si="46">G59/W59*60</f>
        <v>1539.4871794871797</v>
      </c>
      <c r="O59" s="138">
        <f t="shared" ref="O59:O62" si="47">N59/M59</f>
        <v>118.42209072978305</v>
      </c>
      <c r="P59" s="56">
        <f t="shared" ref="P59:P62" si="48">M59-J59</f>
        <v>0</v>
      </c>
      <c r="Q59" s="230">
        <f t="shared" ref="Q59:Q62" si="49">O59-L59</f>
        <v>-1.9625246548323361</v>
      </c>
      <c r="R59" s="52">
        <f t="shared" si="42"/>
        <v>0.9836978782665684</v>
      </c>
      <c r="S59" s="376">
        <f>R69</f>
        <v>0.74821108531191194</v>
      </c>
      <c r="T59" s="245">
        <v>0.29027777777777802</v>
      </c>
      <c r="U59" s="245">
        <v>0.37152777777777801</v>
      </c>
      <c r="V59" s="55"/>
      <c r="W59" s="54">
        <f t="shared" si="17"/>
        <v>116.99999999999999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-25.512820512820326</v>
      </c>
      <c r="AG59" s="246">
        <f t="shared" si="44"/>
        <v>0.98369787826656852</v>
      </c>
      <c r="AH59" s="382">
        <f>AG69</f>
        <v>0.76187293988589211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1395</v>
      </c>
      <c r="H60" s="78">
        <f>F60*G60</f>
        <v>39422.700000000004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1287.6923076923044</v>
      </c>
      <c r="O60" s="81">
        <f t="shared" si="47"/>
        <v>107.30769230769204</v>
      </c>
      <c r="P60" s="74">
        <f t="shared" si="48"/>
        <v>0</v>
      </c>
      <c r="Q60" s="83">
        <f t="shared" si="49"/>
        <v>-23.108974358974621</v>
      </c>
      <c r="R60" s="72">
        <f t="shared" si="42"/>
        <v>0.82280658638485915</v>
      </c>
      <c r="S60" s="394"/>
      <c r="T60" s="22">
        <v>0.37847222222222199</v>
      </c>
      <c r="U60" s="22">
        <v>0.42361111111111099</v>
      </c>
      <c r="V60" s="30">
        <f t="shared" ref="V60:V61" si="50">(T60-U59)*24*60</f>
        <v>9.999999999999325</v>
      </c>
      <c r="W60" s="248">
        <f t="shared" si="17"/>
        <v>65.000000000000171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-277.30769230769556</v>
      </c>
      <c r="AG60" s="249">
        <f t="shared" si="44"/>
        <v>0.82280658638485904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250">
        <f>VLOOKUP(D61,廠價表!$C$1:$E$41,3,0)</f>
        <v>28.26</v>
      </c>
      <c r="G61" s="38">
        <v>1042</v>
      </c>
      <c r="H61" s="254">
        <f t="shared" ref="H61:H62" si="51">F61*G61</f>
        <v>29446.920000000002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5"/>
        <v>130.41666666666666</v>
      </c>
      <c r="M61" s="108">
        <v>9</v>
      </c>
      <c r="N61" s="107">
        <f t="shared" si="46"/>
        <v>694.66666666666663</v>
      </c>
      <c r="O61" s="238">
        <f t="shared" si="47"/>
        <v>77.185185185185176</v>
      </c>
      <c r="P61" s="111">
        <f t="shared" si="48"/>
        <v>-3</v>
      </c>
      <c r="Q61" s="255">
        <f t="shared" si="49"/>
        <v>-53.231481481481481</v>
      </c>
      <c r="R61" s="85">
        <f t="shared" si="42"/>
        <v>0.59183528576499822</v>
      </c>
      <c r="S61" s="377"/>
      <c r="T61" s="22">
        <v>0.44097222222222199</v>
      </c>
      <c r="U61" s="22">
        <v>0.50347222222222199</v>
      </c>
      <c r="V61" s="30">
        <f t="shared" si="50"/>
        <v>24.999999999999829</v>
      </c>
      <c r="W61" s="256">
        <f t="shared" si="17"/>
        <v>90</v>
      </c>
      <c r="X61" s="22"/>
      <c r="Y61" s="84"/>
      <c r="Z61" s="90"/>
      <c r="AA61" s="90"/>
      <c r="AB61" s="388" t="s">
        <v>190</v>
      </c>
      <c r="AC61" s="388"/>
      <c r="AD61" s="92"/>
      <c r="AE61" s="92"/>
      <c r="AF61" s="317">
        <f t="shared" si="43"/>
        <v>-870.33333333333337</v>
      </c>
      <c r="AG61" s="247">
        <f t="shared" si="44"/>
        <v>0.44387646432374867</v>
      </c>
      <c r="AH61" s="384"/>
    </row>
    <row r="62" spans="1:34" ht="15" customHeight="1">
      <c r="A62" s="392"/>
      <c r="B62" s="258" t="s">
        <v>128</v>
      </c>
      <c r="C62" s="58"/>
      <c r="D62" s="259" t="s">
        <v>138</v>
      </c>
      <c r="E62" s="60"/>
      <c r="F62" s="250">
        <f>VLOOKUP(D62,廠價表!$C$1:$E$41,3,0)</f>
        <v>28.26</v>
      </c>
      <c r="G62" s="260">
        <v>3037</v>
      </c>
      <c r="H62" s="254">
        <f t="shared" si="51"/>
        <v>85825.62000000001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68">
        <v>11</v>
      </c>
      <c r="N62" s="107">
        <f t="shared" si="46"/>
        <v>1301.5714285714319</v>
      </c>
      <c r="O62" s="238">
        <f t="shared" si="47"/>
        <v>118.32467532467562</v>
      </c>
      <c r="P62" s="111">
        <f t="shared" si="48"/>
        <v>2</v>
      </c>
      <c r="Q62" s="255">
        <f t="shared" si="49"/>
        <v>-63.453102453102147</v>
      </c>
      <c r="R62" s="85">
        <f t="shared" si="42"/>
        <v>0.65093036547804439</v>
      </c>
      <c r="S62" s="377"/>
      <c r="T62" s="22">
        <v>0.55902777777777801</v>
      </c>
      <c r="U62" s="22">
        <v>0.65625</v>
      </c>
      <c r="V62" s="30"/>
      <c r="W62" s="248">
        <f t="shared" si="17"/>
        <v>139.99999999999966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-334.42857142856815</v>
      </c>
      <c r="AG62" s="247">
        <f>N62/K62</f>
        <v>0.79558155780649864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11.25</v>
      </c>
      <c r="N69" s="240">
        <f t="shared" si="52"/>
        <v>1205.8543956043957</v>
      </c>
      <c r="O69" s="268">
        <f t="shared" si="52"/>
        <v>105.30991088683398</v>
      </c>
      <c r="P69" s="269">
        <f>M69-J69</f>
        <v>-0.25</v>
      </c>
      <c r="Q69" s="222">
        <f>N69-K69</f>
        <v>-376.89560439560432</v>
      </c>
      <c r="R69" s="123">
        <f>O69/L69</f>
        <v>0.74821108531191194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-376.89560439560432</v>
      </c>
      <c r="AG69" s="124">
        <f>N69/K69</f>
        <v>0.76187293988589211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2156</v>
      </c>
      <c r="H70" s="243">
        <f>F70*G70</f>
        <v>109244.52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1376.1702127659742</v>
      </c>
      <c r="O70" s="138">
        <f>N70/M70</f>
        <v>105.85924713584417</v>
      </c>
      <c r="P70" s="56">
        <f>M70-J70</f>
        <v>0</v>
      </c>
      <c r="Q70" s="230">
        <f>O70-L70</f>
        <v>-4.9099836333866023</v>
      </c>
      <c r="R70" s="52">
        <f>O70/L70</f>
        <v>0.95567375886525985</v>
      </c>
      <c r="S70" s="376">
        <f>R79</f>
        <v>0.90075948853072763</v>
      </c>
      <c r="T70" s="245">
        <v>0.33055555555555599</v>
      </c>
      <c r="U70" s="245">
        <v>0.39583333333333298</v>
      </c>
      <c r="V70" s="55"/>
      <c r="W70" s="54">
        <f t="shared" si="17"/>
        <v>93.999999999998863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-63.829787234025844</v>
      </c>
      <c r="AG70" s="246">
        <f>N70/K70</f>
        <v>0.95567375886525985</v>
      </c>
      <c r="AH70" s="382">
        <f>AG79</f>
        <v>0.84299726379689588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1023</v>
      </c>
      <c r="H71" s="254">
        <f>F71*G71</f>
        <v>57727.89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14</v>
      </c>
      <c r="N71" s="107">
        <f>G71/W71*60</f>
        <v>1022.9999999999914</v>
      </c>
      <c r="O71" s="238">
        <f>N71/M71</f>
        <v>73.071428571427958</v>
      </c>
      <c r="P71" s="111">
        <f>M71-J71</f>
        <v>-2</v>
      </c>
      <c r="Q71" s="255">
        <f>O71-L71</f>
        <v>-14.803571428572042</v>
      </c>
      <c r="R71" s="85">
        <f>O71/L71</f>
        <v>0.83153830522250882</v>
      </c>
      <c r="S71" s="377"/>
      <c r="T71" s="22">
        <v>0.40486111111111101</v>
      </c>
      <c r="U71" s="22">
        <v>0.44652777777777802</v>
      </c>
      <c r="V71" s="30"/>
      <c r="W71" s="73">
        <f t="shared" si="17"/>
        <v>60.000000000000504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189</v>
      </c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107"/>
      <c r="O72" s="238"/>
      <c r="P72" s="111"/>
      <c r="Q72" s="255"/>
      <c r="R72" s="85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189</v>
      </c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ref="H77:H78" si="53"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4">AVERAGE(J70:J78)</f>
        <v>14.5</v>
      </c>
      <c r="K79" s="240">
        <f t="shared" si="54"/>
        <v>1423</v>
      </c>
      <c r="L79" s="268">
        <f t="shared" si="54"/>
        <v>99.322115384615387</v>
      </c>
      <c r="M79" s="240">
        <f t="shared" si="54"/>
        <v>13.5</v>
      </c>
      <c r="N79" s="240">
        <f t="shared" si="54"/>
        <v>1199.5851063829828</v>
      </c>
      <c r="O79" s="268">
        <f t="shared" si="54"/>
        <v>89.465337853636072</v>
      </c>
      <c r="P79" s="269">
        <f>M79-J79</f>
        <v>-1</v>
      </c>
      <c r="Q79" s="222">
        <f>N79-K79</f>
        <v>-223.41489361701724</v>
      </c>
      <c r="R79" s="223">
        <f>O79/L79</f>
        <v>0.90075948853072763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-223.41489361701724</v>
      </c>
      <c r="AG79" s="124">
        <f>N79/K79</f>
        <v>0.84299726379689588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W3:W4"/>
    <mergeCell ref="X3:Y3"/>
    <mergeCell ref="Z3:AA3"/>
    <mergeCell ref="AB3:AC4"/>
    <mergeCell ref="N3:N4"/>
    <mergeCell ref="O3:O4"/>
    <mergeCell ref="H3:H4"/>
    <mergeCell ref="I3:I4"/>
    <mergeCell ref="G3:G4"/>
    <mergeCell ref="A16:A26"/>
    <mergeCell ref="A5:A15"/>
    <mergeCell ref="A2:B2"/>
    <mergeCell ref="A3:A4"/>
    <mergeCell ref="B3:B4"/>
    <mergeCell ref="D3:E4"/>
    <mergeCell ref="F3:F4"/>
    <mergeCell ref="D15:E15"/>
    <mergeCell ref="S5:S15"/>
    <mergeCell ref="AB5:AC5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14:AC1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5:AC15"/>
    <mergeCell ref="AB8:AC8"/>
    <mergeCell ref="AB9:AC9"/>
    <mergeCell ref="AB10:AC10"/>
    <mergeCell ref="AB11:AC11"/>
    <mergeCell ref="AB12:AC12"/>
    <mergeCell ref="AB13:AC13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084F9D-E6A8-4F1B-9653-58BF108EEDEB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7C6E-9A0A-4792-97FF-7968BCB72EC8}">
  <dimension ref="B1:O26"/>
  <sheetViews>
    <sheetView zoomScale="70" zoomScaleNormal="70" workbookViewId="0">
      <selection activeCell="I18" sqref="I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46102</v>
      </c>
      <c r="E3" s="466"/>
      <c r="F3" s="3" t="s">
        <v>72</v>
      </c>
      <c r="G3" s="467">
        <f>'0321'!E1</f>
        <v>51936</v>
      </c>
      <c r="H3" s="467"/>
      <c r="I3" s="3" t="s">
        <v>2</v>
      </c>
      <c r="J3" s="468">
        <f>'0321'!G1</f>
        <v>2468812.7800000003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123.94686163509694</v>
      </c>
      <c r="G6" s="473"/>
      <c r="H6" s="474">
        <f>AVERAGE(D13:H13,J13)</f>
        <v>121.14651663695781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113.40471038951003</v>
      </c>
      <c r="G7" s="497"/>
      <c r="H7" s="498">
        <f>AVERAGE(D14:H14,J14)</f>
        <v>112.69002460411399</v>
      </c>
      <c r="I7" s="498"/>
      <c r="J7" s="498">
        <f>AVERAGE(I14)</f>
        <v>117.69282510188637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0.91494620269915905</v>
      </c>
      <c r="G8" s="470"/>
      <c r="H8" s="470">
        <f>H7/H6</f>
        <v>0.93019616025621632</v>
      </c>
      <c r="I8" s="470"/>
      <c r="J8" s="470">
        <f>J7/J6</f>
        <v>0.83618982925107321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VALUE('0321'!L15)</f>
        <v>153.05982905982907</v>
      </c>
      <c r="E13" s="13">
        <f>VALUE('0321'!L26)</f>
        <v>170.39772727272725</v>
      </c>
      <c r="F13" s="13">
        <f>VALUE('0321'!L37)</f>
        <v>95.91544117647058</v>
      </c>
      <c r="G13" s="13">
        <f>VALUE('0321'!L48)</f>
        <v>99.461437908496734</v>
      </c>
      <c r="H13" s="13">
        <f>VALUE('0321'!L58)</f>
        <v>108.72254901960784</v>
      </c>
      <c r="I13" s="13">
        <f>VALUE('0321'!L69)</f>
        <v>140.74893162393164</v>
      </c>
      <c r="J13" s="13">
        <f>'0321'!L79</f>
        <v>99.322115384615387</v>
      </c>
    </row>
    <row r="14" spans="2:15" ht="39.950000000000003" customHeight="1">
      <c r="B14" s="491"/>
      <c r="C14" s="12" t="s">
        <v>100</v>
      </c>
      <c r="D14" s="13">
        <f>VALUE('0321'!O15)</f>
        <v>149.68341088341117</v>
      </c>
      <c r="E14" s="13">
        <f>VALUE('0321'!O26)</f>
        <v>159.48425764949127</v>
      </c>
      <c r="F14" s="13">
        <f>VALUE('0321'!O37)</f>
        <v>94.909175196558152</v>
      </c>
      <c r="G14" s="13">
        <f>VALUE('0321'!O48)</f>
        <v>93.427448176066193</v>
      </c>
      <c r="H14" s="13">
        <f>VALUE('0321'!O58)</f>
        <v>97.123950957252106</v>
      </c>
      <c r="I14" s="13">
        <f>VALUE('0321'!O69)</f>
        <v>117.69282510188637</v>
      </c>
      <c r="J14" s="13">
        <f>'0321'!O79</f>
        <v>81.511904761904958</v>
      </c>
    </row>
    <row r="15" spans="2:15" ht="39.950000000000003" customHeight="1">
      <c r="B15" s="492"/>
      <c r="C15" s="10" t="s">
        <v>26</v>
      </c>
      <c r="D15" s="14">
        <f>D14/D13</f>
        <v>0.97794053346879084</v>
      </c>
      <c r="E15" s="14">
        <f t="shared" ref="E15:I15" si="1">E14/E13</f>
        <v>0.93595296253119264</v>
      </c>
      <c r="F15" s="14">
        <f t="shared" si="1"/>
        <v>0.98950882185840083</v>
      </c>
      <c r="G15" s="14">
        <f t="shared" si="1"/>
        <v>0.93933337523250227</v>
      </c>
      <c r="H15" s="14">
        <f t="shared" si="1"/>
        <v>0.89331929607110339</v>
      </c>
      <c r="I15" s="14">
        <f t="shared" si="1"/>
        <v>0.83618982925107321</v>
      </c>
      <c r="J15" s="15">
        <f>'0321'!S70</f>
        <v>0.82068232685397313</v>
      </c>
    </row>
    <row r="16" spans="2:15" ht="17.25" customHeight="1">
      <c r="B16" s="493" t="s">
        <v>101</v>
      </c>
      <c r="C16" s="10" t="s">
        <v>34</v>
      </c>
      <c r="D16" s="16">
        <f>'0321'!T5</f>
        <v>0.29166666666666702</v>
      </c>
      <c r="E16" s="16">
        <f>'0321'!T16</f>
        <v>0.29097222222222202</v>
      </c>
      <c r="F16" s="16">
        <f>'0321'!T27</f>
        <v>0.29166666666666702</v>
      </c>
      <c r="G16" s="16">
        <f>'0321'!T38</f>
        <v>0.33333333333333298</v>
      </c>
      <c r="H16" s="16">
        <f>'0321'!T49</f>
        <v>0.29166666666666702</v>
      </c>
      <c r="I16" s="16">
        <f>'0321'!T59</f>
        <v>0.28819444444444398</v>
      </c>
      <c r="J16" s="16">
        <f>'0321'!T70</f>
        <v>0.33333333333333298</v>
      </c>
    </row>
    <row r="17" spans="2:10" ht="17.25" customHeight="1">
      <c r="B17" s="494"/>
      <c r="C17" s="10" t="s">
        <v>35</v>
      </c>
      <c r="D17" s="18">
        <v>0.56666666666666698</v>
      </c>
      <c r="E17" s="19">
        <v>0.56111111111111101</v>
      </c>
      <c r="F17" s="19">
        <v>0.44791666666666702</v>
      </c>
      <c r="G17" s="20">
        <v>0.59375</v>
      </c>
      <c r="H17" s="21">
        <v>0.60972222222222205</v>
      </c>
      <c r="I17" s="22">
        <v>0.63749999999999996</v>
      </c>
      <c r="J17" s="22">
        <v>0.47569444444444398</v>
      </c>
    </row>
    <row r="18" spans="2:10" ht="17.25" customHeight="1">
      <c r="B18" s="495" t="s">
        <v>102</v>
      </c>
      <c r="C18" s="330" t="s">
        <v>36</v>
      </c>
      <c r="D18" s="358">
        <f>'0321'!Z15</f>
        <v>0</v>
      </c>
      <c r="E18" s="359">
        <f>'0321'!Z26</f>
        <v>0</v>
      </c>
      <c r="F18" s="359">
        <f>'0321'!Z37</f>
        <v>0</v>
      </c>
      <c r="G18" s="360">
        <f>'0321'!Z48</f>
        <v>0</v>
      </c>
      <c r="H18" s="360">
        <f>'0321'!Z58</f>
        <v>0</v>
      </c>
      <c r="I18" s="359">
        <f>'0321'!Z69</f>
        <v>0</v>
      </c>
      <c r="J18" s="359">
        <f>'0321'!AA79</f>
        <v>0</v>
      </c>
    </row>
    <row r="19" spans="2:10" ht="17.25" customHeight="1">
      <c r="B19" s="496"/>
      <c r="C19" s="330" t="s">
        <v>37</v>
      </c>
      <c r="D19" s="358">
        <f>'0321'!AA15</f>
        <v>0</v>
      </c>
      <c r="E19" s="359">
        <f>'0321'!AA26</f>
        <v>0</v>
      </c>
      <c r="F19" s="359">
        <f>'0321'!AA37</f>
        <v>0</v>
      </c>
      <c r="G19" s="360">
        <f>'0321'!AA48</f>
        <v>0</v>
      </c>
      <c r="H19" s="360">
        <f>'0321'!AA58</f>
        <v>0</v>
      </c>
      <c r="I19" s="359">
        <f>'0321'!AA69</f>
        <v>0</v>
      </c>
      <c r="J19" s="359">
        <f>'0321'!AB79</f>
        <v>0</v>
      </c>
    </row>
    <row r="20" spans="2:10" ht="17.25" customHeight="1">
      <c r="B20" s="495" t="s">
        <v>103</v>
      </c>
      <c r="C20" s="330" t="s">
        <v>36</v>
      </c>
      <c r="D20" s="358">
        <f>'0321'!AD15</f>
        <v>0</v>
      </c>
      <c r="E20" s="359">
        <f>'0321'!AD26</f>
        <v>0</v>
      </c>
      <c r="F20" s="359">
        <f>'0321'!AD37</f>
        <v>0</v>
      </c>
      <c r="G20" s="360">
        <f>'0321'!AD48</f>
        <v>0</v>
      </c>
      <c r="H20" s="360">
        <f>'0321'!AD58</f>
        <v>0</v>
      </c>
      <c r="I20" s="359">
        <f>'0321'!AD69</f>
        <v>0</v>
      </c>
      <c r="J20" s="359">
        <f>'0321'!AD79</f>
        <v>0</v>
      </c>
    </row>
    <row r="21" spans="2:10" ht="17.25" customHeight="1">
      <c r="B21" s="496"/>
      <c r="C21" s="330" t="s">
        <v>85</v>
      </c>
      <c r="D21" s="358">
        <f>'0321'!AE15</f>
        <v>0</v>
      </c>
      <c r="E21" s="359">
        <f>'0321'!AE26</f>
        <v>0</v>
      </c>
      <c r="F21" s="359">
        <f>'0321'!AE37</f>
        <v>0</v>
      </c>
      <c r="G21" s="360">
        <f>'0321'!AE48</f>
        <v>0</v>
      </c>
      <c r="H21" s="360">
        <f>'0321'!AE58</f>
        <v>0</v>
      </c>
      <c r="I21" s="359">
        <f>'0321'!AE69</f>
        <v>0</v>
      </c>
      <c r="J21" s="359">
        <f>'0321'!AE79</f>
        <v>0</v>
      </c>
    </row>
    <row r="22" spans="2:10" ht="17.25" customHeight="1">
      <c r="B22" s="479" t="s">
        <v>104</v>
      </c>
      <c r="C22" s="480"/>
      <c r="D22" s="23">
        <f>VALUE('0321'!M15)</f>
        <v>13.666666666666666</v>
      </c>
      <c r="E22" s="23">
        <f>VALUE('0321'!M26)</f>
        <v>12.25</v>
      </c>
      <c r="F22" s="23">
        <f>VALUE('0321'!M37)</f>
        <v>14.5</v>
      </c>
      <c r="G22" s="23">
        <f>VALUE('0321'!M48)</f>
        <v>16</v>
      </c>
      <c r="H22" s="23">
        <f>VALUE('0321'!M58)</f>
        <v>16</v>
      </c>
      <c r="I22" s="23">
        <f>VALUE('0321'!M69)</f>
        <v>12</v>
      </c>
      <c r="J22" s="23">
        <f>'0321'!M79</f>
        <v>14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CDC2-F513-4F52-96A1-74CBC467D055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D49" sqref="D49"/>
      <selection pane="topRight" activeCell="D49" sqref="D49"/>
      <selection pane="bottomLeft" activeCell="D49" sqref="D49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51936</v>
      </c>
      <c r="F1" s="30" t="s">
        <v>2</v>
      </c>
      <c r="G1" s="31">
        <f>SUM(H5:H79)</f>
        <v>2468812.7800000003</v>
      </c>
      <c r="H1" s="32" t="s">
        <v>3</v>
      </c>
      <c r="I1" s="33">
        <f>M15+M26+M48+M58+M69+M79+M37</f>
        <v>98.416666666666657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191</v>
      </c>
      <c r="B2" s="447"/>
      <c r="C2" s="28"/>
      <c r="D2" s="28" t="s">
        <v>14</v>
      </c>
      <c r="E2" s="35">
        <f>AVERAGE(O15,O26,O37,O48,O58,O69,O79)</f>
        <v>113.40471038951003</v>
      </c>
      <c r="F2" s="36" t="s">
        <v>15</v>
      </c>
      <c r="G2" s="37">
        <f>G1/E1</f>
        <v>47.535674291435619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4574</v>
      </c>
      <c r="H5" s="43">
        <f>F5*G5</f>
        <v>261678.54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7" si="0">K5/J5</f>
        <v>133.33333333333334</v>
      </c>
      <c r="M5" s="48">
        <v>15</v>
      </c>
      <c r="N5" s="46">
        <f t="shared" ref="N5:N7" si="1">G5/W5*60</f>
        <v>1960.285714285719</v>
      </c>
      <c r="O5" s="47">
        <f t="shared" ref="O5:O7" si="2">N5/M5</f>
        <v>130.6857142857146</v>
      </c>
      <c r="P5" s="49">
        <f t="shared" ref="P5:P7" si="3">M5-J5</f>
        <v>0</v>
      </c>
      <c r="Q5" s="50">
        <f t="shared" ref="Q5:Q7" si="4">O5-L5</f>
        <v>-2.6476190476187469</v>
      </c>
      <c r="R5" s="51">
        <f t="shared" ref="R5:R7" si="5">O5/L5</f>
        <v>0.98014285714285942</v>
      </c>
      <c r="S5" s="376">
        <f>R15</f>
        <v>0.97794053346879084</v>
      </c>
      <c r="T5" s="319">
        <v>0.29166666666666702</v>
      </c>
      <c r="U5" s="320">
        <v>0.38888888888888901</v>
      </c>
      <c r="V5" s="53"/>
      <c r="W5" s="54">
        <f t="shared" ref="W5:W14" si="6">(U5-T5)*24*60</f>
        <v>139.99999999999966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-39.714285714281004</v>
      </c>
      <c r="AG5" s="52">
        <f t="shared" ref="AG5:AG11" si="8">N5/K5</f>
        <v>0.98014285714285954</v>
      </c>
      <c r="AH5" s="382">
        <f>AG15</f>
        <v>0.97803471023484057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3821</v>
      </c>
      <c r="H6" s="63">
        <f>F6*G6</f>
        <v>187763.94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2065.4054054054141</v>
      </c>
      <c r="O6" s="67">
        <f t="shared" si="2"/>
        <v>158.87733887733955</v>
      </c>
      <c r="P6" s="69">
        <f t="shared" si="3"/>
        <v>0</v>
      </c>
      <c r="Q6" s="70">
        <f t="shared" si="4"/>
        <v>-4.0457380457373802</v>
      </c>
      <c r="R6" s="71">
        <f t="shared" si="5"/>
        <v>0.97516780236327383</v>
      </c>
      <c r="S6" s="377"/>
      <c r="T6" s="16">
        <v>0.40138888888888902</v>
      </c>
      <c r="U6" s="16">
        <v>0.47847222222222202</v>
      </c>
      <c r="V6" s="30">
        <f>(T6-U5)*24*60</f>
        <v>18.000000000000014</v>
      </c>
      <c r="W6" s="73">
        <f t="shared" si="6"/>
        <v>110.99999999999953</v>
      </c>
      <c r="X6" s="22"/>
      <c r="Y6" s="84"/>
      <c r="Z6" s="90"/>
      <c r="AA6" s="90"/>
      <c r="AB6" s="417" t="s">
        <v>192</v>
      </c>
      <c r="AC6" s="417"/>
      <c r="AD6" s="149"/>
      <c r="AE6" s="149"/>
      <c r="AF6" s="307">
        <f t="shared" si="7"/>
        <v>-52.594594594585942</v>
      </c>
      <c r="AG6" s="72">
        <f t="shared" si="8"/>
        <v>0.97516780236327383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1244</v>
      </c>
      <c r="H7" s="78">
        <f>F7*G7</f>
        <v>61130.16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2073.3333333333317</v>
      </c>
      <c r="O7" s="81">
        <f t="shared" si="2"/>
        <v>159.48717948717936</v>
      </c>
      <c r="P7" s="74">
        <f t="shared" si="3"/>
        <v>0</v>
      </c>
      <c r="Q7" s="83">
        <f t="shared" si="4"/>
        <v>-3.4358974358975729</v>
      </c>
      <c r="R7" s="72">
        <f t="shared" si="5"/>
        <v>0.97891092225369758</v>
      </c>
      <c r="S7" s="377"/>
      <c r="T7" s="18">
        <v>0.54166666666666696</v>
      </c>
      <c r="U7" s="18">
        <v>0.56666666666666698</v>
      </c>
      <c r="V7" s="30">
        <f>(T7-U6)*24*60</f>
        <v>91.000000000000711</v>
      </c>
      <c r="W7" s="73">
        <f t="shared" si="6"/>
        <v>36.000000000000028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-44.666666666668334</v>
      </c>
      <c r="AG7" s="72">
        <f t="shared" si="8"/>
        <v>0.97891092225369769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13.666666666666666</v>
      </c>
      <c r="N15" s="120">
        <f t="shared" si="9"/>
        <v>2033.0081510081552</v>
      </c>
      <c r="O15" s="117">
        <f t="shared" si="9"/>
        <v>149.68341088341117</v>
      </c>
      <c r="P15" s="121">
        <f t="shared" ref="P15:P19" si="10">M15-J15</f>
        <v>0</v>
      </c>
      <c r="Q15" s="122">
        <f t="shared" ref="Q15:Q19" si="11">O15-L15</f>
        <v>-3.3764181764179</v>
      </c>
      <c r="R15" s="123">
        <f t="shared" ref="R15:R19" si="12">O15/L15</f>
        <v>0.97794053346879084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-45.658515658511305</v>
      </c>
      <c r="AG15" s="124">
        <f t="shared" ref="AG15:AG19" si="14">N15/K15</f>
        <v>0.97803471023484057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1020</v>
      </c>
      <c r="H16" s="134">
        <f>F16*G16</f>
        <v>57405.599999999999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8" si="16">G16/W16*60</f>
        <v>1569.2307692307329</v>
      </c>
      <c r="O16" s="141">
        <f>N16/M16</f>
        <v>104.6153846153822</v>
      </c>
      <c r="P16" s="142">
        <f>M16-J16</f>
        <v>0</v>
      </c>
      <c r="Q16" s="143">
        <f t="shared" si="11"/>
        <v>-15.384615384617803</v>
      </c>
      <c r="R16" s="144">
        <f>O16/L16</f>
        <v>0.8717948717948516</v>
      </c>
      <c r="S16" s="413">
        <f>R26</f>
        <v>0.93595296253119264</v>
      </c>
      <c r="T16" s="145">
        <v>0.29097222222222202</v>
      </c>
      <c r="U16" s="145">
        <v>0.31805555555555598</v>
      </c>
      <c r="V16" s="135"/>
      <c r="W16" s="146">
        <f t="shared" ref="W16:W78" si="17">(U16-T16)*24*60</f>
        <v>39.000000000000902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-230.7692307692671</v>
      </c>
      <c r="AG16" s="52">
        <f t="shared" si="14"/>
        <v>0.8717948717948516</v>
      </c>
      <c r="AH16" s="382">
        <f>AG26</f>
        <v>0.93345672429986581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3583</v>
      </c>
      <c r="H17" s="78">
        <f>F17*G17</f>
        <v>181550.61000000002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2107.6470588235402</v>
      </c>
      <c r="O17" s="96">
        <f t="shared" ref="O17:O19" si="18">N17/M17</f>
        <v>175.63725490196168</v>
      </c>
      <c r="P17" s="97">
        <f t="shared" si="10"/>
        <v>0</v>
      </c>
      <c r="Q17" s="98">
        <f t="shared" si="11"/>
        <v>-0.86274509803831734</v>
      </c>
      <c r="R17" s="99">
        <f t="shared" si="12"/>
        <v>0.99511192579015117</v>
      </c>
      <c r="S17" s="414"/>
      <c r="T17" s="19">
        <v>0.32638888888888901</v>
      </c>
      <c r="U17" s="19">
        <v>0.39722222222222198</v>
      </c>
      <c r="V17" s="30">
        <f>(T17-U16)*24*60</f>
        <v>11.999999999999558</v>
      </c>
      <c r="W17" s="149">
        <f t="shared" si="17"/>
        <v>101.99999999999947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-10.352941176459808</v>
      </c>
      <c r="AG17" s="72">
        <f t="shared" si="14"/>
        <v>0.99511192579015117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3665</v>
      </c>
      <c r="H18" s="78">
        <f>F18*G18</f>
        <v>184679.35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2074.5283018867954</v>
      </c>
      <c r="O18" s="96">
        <f t="shared" si="18"/>
        <v>188.59348198970866</v>
      </c>
      <c r="P18" s="97">
        <f t="shared" si="10"/>
        <v>0</v>
      </c>
      <c r="Q18" s="98">
        <f t="shared" si="11"/>
        <v>-3.9519725557458685</v>
      </c>
      <c r="R18" s="99">
        <f t="shared" si="12"/>
        <v>0.97947511892672112</v>
      </c>
      <c r="S18" s="414"/>
      <c r="T18" s="19">
        <v>0.405555555555556</v>
      </c>
      <c r="U18" s="19">
        <v>0.47916666666666702</v>
      </c>
      <c r="V18" s="30">
        <f>(T18-U17)*24*60</f>
        <v>12.000000000000997</v>
      </c>
      <c r="W18" s="149">
        <f t="shared" si="17"/>
        <v>105.99999999999986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-43.471698113204639</v>
      </c>
      <c r="AG18" s="72">
        <f t="shared" si="14"/>
        <v>0.97947511892672112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868</v>
      </c>
      <c r="H19" s="78">
        <f>F19*G19</f>
        <v>43738.520000000004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>G19/W19*60</f>
        <v>1860.0000000000384</v>
      </c>
      <c r="O19" s="96">
        <f t="shared" si="18"/>
        <v>169.09090909091259</v>
      </c>
      <c r="P19" s="97">
        <f t="shared" si="10"/>
        <v>0</v>
      </c>
      <c r="Q19" s="98">
        <f t="shared" si="11"/>
        <v>-23.454545454541943</v>
      </c>
      <c r="R19" s="99">
        <f t="shared" si="12"/>
        <v>0.87818696883854519</v>
      </c>
      <c r="S19" s="414"/>
      <c r="T19" s="19">
        <v>0.54166666666666696</v>
      </c>
      <c r="U19" s="19">
        <v>0.56111111111111101</v>
      </c>
      <c r="V19" s="30">
        <f>(T19-U18)*24*60</f>
        <v>89.999999999999915</v>
      </c>
      <c r="W19" s="149">
        <f t="shared" si="17"/>
        <v>27.999999999999421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-257.99999999996157</v>
      </c>
      <c r="AG19" s="72">
        <f t="shared" si="14"/>
        <v>0.87818696883854508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1902.8515324852765</v>
      </c>
      <c r="O26" s="158">
        <f t="shared" si="20"/>
        <v>159.48425764949127</v>
      </c>
      <c r="P26" s="159">
        <f t="shared" ref="P26:P28" si="21">M26-J26</f>
        <v>0</v>
      </c>
      <c r="Q26" s="160">
        <f t="shared" ref="Q26:Q28" si="22">O26-L26</f>
        <v>-10.913469623235983</v>
      </c>
      <c r="R26" s="161">
        <f>O26/L26</f>
        <v>0.93595296253119264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-135.64846751472351</v>
      </c>
      <c r="AG26" s="124">
        <f t="shared" ref="AG26:AG31" si="24">N26/K26</f>
        <v>0.93345672429986581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2693</v>
      </c>
      <c r="H27" s="134">
        <f>F27*G27</f>
        <v>156651.81</v>
      </c>
      <c r="I27" s="135"/>
      <c r="J27" s="136">
        <f>VLOOKUP(D27,產線配置圖!$A$3:$C$38,2,0)</f>
        <v>16</v>
      </c>
      <c r="K27" s="137">
        <v>1714</v>
      </c>
      <c r="L27" s="138">
        <f t="shared" ref="L27:L28" si="25">K27/J27</f>
        <v>107.125</v>
      </c>
      <c r="M27" s="170">
        <v>14</v>
      </c>
      <c r="N27" s="140">
        <f>G27/W27*60</f>
        <v>1496.1111111111118</v>
      </c>
      <c r="O27" s="141">
        <f>N27/M27</f>
        <v>106.86507936507941</v>
      </c>
      <c r="P27" s="142">
        <f t="shared" si="21"/>
        <v>-2</v>
      </c>
      <c r="Q27" s="143">
        <f t="shared" si="22"/>
        <v>-0.25992063492059003</v>
      </c>
      <c r="R27" s="144">
        <f>O27/L27</f>
        <v>0.99757366968568872</v>
      </c>
      <c r="S27" s="413">
        <f>R37</f>
        <v>0.98950882185840083</v>
      </c>
      <c r="T27" s="171">
        <v>0.29166666666666702</v>
      </c>
      <c r="U27" s="171">
        <v>0.36666666666666697</v>
      </c>
      <c r="V27" s="135"/>
      <c r="W27" s="146">
        <f t="shared" si="17"/>
        <v>107.99999999999994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-217.88888888888823</v>
      </c>
      <c r="AG27" s="172">
        <f t="shared" si="24"/>
        <v>0.87287696097497769</v>
      </c>
      <c r="AH27" s="382">
        <f>AG37</f>
        <v>0.86886815996565159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2219</v>
      </c>
      <c r="H28" s="91">
        <f>F28*G28</f>
        <v>109884.88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15</v>
      </c>
      <c r="N28" s="95">
        <f>G28/W28*60</f>
        <v>1244.2990654205532</v>
      </c>
      <c r="O28" s="96">
        <f>N28/M28</f>
        <v>82.95327102803688</v>
      </c>
      <c r="P28" s="97">
        <f t="shared" si="21"/>
        <v>-2</v>
      </c>
      <c r="Q28" s="98">
        <f t="shared" si="22"/>
        <v>-1.7526113249042936</v>
      </c>
      <c r="R28" s="99">
        <f>O28/L28</f>
        <v>0.97930944963654654</v>
      </c>
      <c r="S28" s="414"/>
      <c r="T28" s="19">
        <v>0.37361111111111101</v>
      </c>
      <c r="U28" s="19">
        <v>0.44791666666666702</v>
      </c>
      <c r="V28" s="92">
        <f>(T28-U27)*24*60</f>
        <v>9.9999999999994049</v>
      </c>
      <c r="W28" s="149">
        <f t="shared" si="17"/>
        <v>107.00000000000065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-195.70093457944677</v>
      </c>
      <c r="AG28" s="99">
        <f t="shared" si="24"/>
        <v>0.86409657320871758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1577</v>
      </c>
      <c r="L37" s="158">
        <f t="shared" si="27"/>
        <v>95.91544117647058</v>
      </c>
      <c r="M37" s="155">
        <f t="shared" si="27"/>
        <v>14.5</v>
      </c>
      <c r="N37" s="155">
        <f t="shared" si="27"/>
        <v>1370.2050882658325</v>
      </c>
      <c r="O37" s="158">
        <f t="shared" si="27"/>
        <v>94.909175196558152</v>
      </c>
      <c r="P37" s="159">
        <f>M37-J37</f>
        <v>-2</v>
      </c>
      <c r="Q37" s="160">
        <f>N37-K37</f>
        <v>-206.7949117341675</v>
      </c>
      <c r="R37" s="161">
        <f t="shared" ref="R37:R40" si="28">O37/L37</f>
        <v>0.98950882185840083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-206.7949117341675</v>
      </c>
      <c r="AG37" s="124">
        <f t="shared" ref="AG37:AG41" si="30">N37/K37</f>
        <v>0.86886815996565159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2427</v>
      </c>
      <c r="H38" s="134">
        <f>F38*G38</f>
        <v>121131.56999999999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15</v>
      </c>
      <c r="N38" s="140">
        <f>G38/W38*60</f>
        <v>1532.8421052631388</v>
      </c>
      <c r="O38" s="141">
        <f>N38/M38</f>
        <v>102.18947368420926</v>
      </c>
      <c r="P38" s="142">
        <f t="shared" ref="P38:P40" si="32">M38-J38</f>
        <v>0</v>
      </c>
      <c r="Q38" s="143">
        <f t="shared" ref="Q38:Q40" si="33">O38-L38</f>
        <v>-12.077192982457404</v>
      </c>
      <c r="R38" s="144">
        <f>O38/L38</f>
        <v>0.89430694589448012</v>
      </c>
      <c r="S38" s="404">
        <f>R48</f>
        <v>0.93933337523250227</v>
      </c>
      <c r="T38" s="191">
        <v>0.33333333333333298</v>
      </c>
      <c r="U38" s="191">
        <v>0.39930555555555602</v>
      </c>
      <c r="V38" s="192"/>
      <c r="W38" s="193">
        <f t="shared" si="17"/>
        <v>95.00000000000118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-181.15789473686118</v>
      </c>
      <c r="AG38" s="195">
        <f t="shared" si="30"/>
        <v>0.89430694589448001</v>
      </c>
      <c r="AH38" s="398">
        <f>AG48</f>
        <v>0.92345858992794316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2962</v>
      </c>
      <c r="H39" s="91">
        <f>F39*G39</f>
        <v>131216.6</v>
      </c>
      <c r="I39" s="200"/>
      <c r="J39" s="148">
        <f>VLOOKUP(D39,產線配置圖!$A$3:$C$38,2,0)</f>
        <v>17</v>
      </c>
      <c r="K39" s="95">
        <v>1565</v>
      </c>
      <c r="L39" s="96">
        <f t="shared" si="31"/>
        <v>92.058823529411768</v>
      </c>
      <c r="M39" s="201">
        <v>17</v>
      </c>
      <c r="N39" s="202">
        <f>G39/W39*60</f>
        <v>1545.3913043478285</v>
      </c>
      <c r="O39" s="203">
        <f t="shared" ref="O39:O40" si="34">N39/M39</f>
        <v>90.905370843989914</v>
      </c>
      <c r="P39" s="97">
        <f t="shared" si="32"/>
        <v>0</v>
      </c>
      <c r="Q39" s="98">
        <f t="shared" si="33"/>
        <v>-1.1534526854218541</v>
      </c>
      <c r="R39" s="99">
        <f t="shared" si="28"/>
        <v>0.98747048201139198</v>
      </c>
      <c r="S39" s="405"/>
      <c r="T39" s="20">
        <v>0.40972222222222199</v>
      </c>
      <c r="U39" s="20">
        <v>0.48958333333333298</v>
      </c>
      <c r="V39" s="92">
        <f>(T39-U38)*24*60</f>
        <v>14.999999999998987</v>
      </c>
      <c r="W39" s="205">
        <f t="shared" si="17"/>
        <v>114.99999999999983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-19.608695652171491</v>
      </c>
      <c r="AG39" s="206">
        <f t="shared" si="30"/>
        <v>0.98747048201139198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1395</v>
      </c>
      <c r="H40" s="91">
        <f>F40*G40</f>
        <v>61798.499999999993</v>
      </c>
      <c r="I40" s="200"/>
      <c r="J40" s="148">
        <f>VLOOKUP(D40,產線配置圖!$A$3:$C$38,2,0)</f>
        <v>17</v>
      </c>
      <c r="K40" s="95">
        <v>1565</v>
      </c>
      <c r="L40" s="96">
        <f t="shared" si="31"/>
        <v>92.058823529411768</v>
      </c>
      <c r="M40" s="201">
        <v>16</v>
      </c>
      <c r="N40" s="202">
        <f>G40/W40*60</f>
        <v>1394.9999999999902</v>
      </c>
      <c r="O40" s="203">
        <f t="shared" si="34"/>
        <v>87.187499999999389</v>
      </c>
      <c r="P40" s="97">
        <f t="shared" si="32"/>
        <v>-1</v>
      </c>
      <c r="Q40" s="98">
        <f t="shared" si="33"/>
        <v>-4.8713235294123791</v>
      </c>
      <c r="R40" s="99">
        <f t="shared" si="28"/>
        <v>0.94708466453673457</v>
      </c>
      <c r="S40" s="377"/>
      <c r="T40" s="20">
        <v>0.55208333333333304</v>
      </c>
      <c r="U40" s="20">
        <v>0.59375</v>
      </c>
      <c r="V40" s="92">
        <f>(T40-U39)*24*60</f>
        <v>90.000000000000085</v>
      </c>
      <c r="W40" s="205">
        <f t="shared" si="17"/>
        <v>60.000000000000426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-170.00000000000978</v>
      </c>
      <c r="AG40" s="206">
        <f t="shared" si="30"/>
        <v>0.89137380191692661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16</v>
      </c>
      <c r="N48" s="155">
        <f t="shared" si="36"/>
        <v>1491.0778032036524</v>
      </c>
      <c r="O48" s="158">
        <f t="shared" si="36"/>
        <v>93.427448176066193</v>
      </c>
      <c r="P48" s="221">
        <f>M48-J48</f>
        <v>-0.33333333333333215</v>
      </c>
      <c r="Q48" s="222">
        <f>N48-K48</f>
        <v>-123.58886346301438</v>
      </c>
      <c r="R48" s="223">
        <f>O48/L48</f>
        <v>0.93933337523250227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-123.58886346301438</v>
      </c>
      <c r="AG48" s="162">
        <f t="shared" ref="AG48:AG53" si="38">N48/K48</f>
        <v>0.92345858992794316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1189</v>
      </c>
      <c r="H49" s="134">
        <f>F49*G49</f>
        <v>67618.429999999993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39">K49/J49</f>
        <v>100.82352941176471</v>
      </c>
      <c r="M49" s="170">
        <v>17</v>
      </c>
      <c r="N49" s="140">
        <f>G49/W49*60</f>
        <v>1585.3333333333333</v>
      </c>
      <c r="O49" s="141">
        <f>N49/M49</f>
        <v>93.254901960784309</v>
      </c>
      <c r="P49" s="229">
        <f>M49-J49</f>
        <v>0</v>
      </c>
      <c r="Q49" s="230">
        <f>O49-L49</f>
        <v>-7.5686274509804008</v>
      </c>
      <c r="R49" s="52">
        <f>O49/L49</f>
        <v>0.92493193309996102</v>
      </c>
      <c r="S49" s="376">
        <f>R58</f>
        <v>0.89331929607110339</v>
      </c>
      <c r="T49" s="191">
        <v>0.29166666666666702</v>
      </c>
      <c r="U49" s="191">
        <v>0.32291666666666702</v>
      </c>
      <c r="V49" s="55"/>
      <c r="W49" s="193">
        <f t="shared" si="17"/>
        <v>45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-128.66666666666674</v>
      </c>
      <c r="AG49" s="52">
        <f t="shared" si="38"/>
        <v>0.92493193309996102</v>
      </c>
      <c r="AH49" s="382">
        <f>AG58</f>
        <v>0.89444241080501252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2854</v>
      </c>
      <c r="H50" s="231">
        <f>F50*G50</f>
        <v>163277.34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1392.1951219512298</v>
      </c>
      <c r="O50" s="235">
        <f>N50/M50</f>
        <v>92.813008130081982</v>
      </c>
      <c r="P50" s="74">
        <f>M50-J50</f>
        <v>0</v>
      </c>
      <c r="Q50" s="83">
        <f>O50-L50</f>
        <v>-16.25365853658468</v>
      </c>
      <c r="R50" s="72">
        <f>O50/L50</f>
        <v>0.85097501341762216</v>
      </c>
      <c r="S50" s="377"/>
      <c r="T50" s="21">
        <v>0.33055555555555599</v>
      </c>
      <c r="U50" s="21">
        <v>0.41597222222222202</v>
      </c>
      <c r="V50" s="30">
        <f t="shared" ref="V50:V52" si="40">(T50-U49)*24*60</f>
        <v>11.000000000000121</v>
      </c>
      <c r="W50" s="236">
        <f t="shared" si="17"/>
        <v>122.99999999999909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-243.80487804877021</v>
      </c>
      <c r="AG50" s="72">
        <f t="shared" si="38"/>
        <v>0.85097501341762216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2361</v>
      </c>
      <c r="H51" s="231">
        <f>F51*G51</f>
        <v>117979.17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1666.5882352941394</v>
      </c>
      <c r="O51" s="235">
        <f>N51/M51</f>
        <v>104.16176470588371</v>
      </c>
      <c r="P51" s="74">
        <f>M51-J51</f>
        <v>0</v>
      </c>
      <c r="Q51" s="83">
        <f>O51-L51</f>
        <v>-8.3382352941162878</v>
      </c>
      <c r="R51" s="72">
        <f>O51/L51</f>
        <v>0.92588235294118859</v>
      </c>
      <c r="S51" s="377"/>
      <c r="T51" s="21">
        <v>0.42430555555555599</v>
      </c>
      <c r="U51" s="19">
        <v>0.483333333333333</v>
      </c>
      <c r="V51" s="30">
        <f t="shared" si="40"/>
        <v>12.000000000000917</v>
      </c>
      <c r="W51" s="236">
        <f t="shared" si="17"/>
        <v>84.999999999998892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-133.41176470586061</v>
      </c>
      <c r="AG51" s="72">
        <f t="shared" si="38"/>
        <v>0.92588235294118859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2437</v>
      </c>
      <c r="H52" s="231">
        <f>F52*G52</f>
        <v>121776.89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16</v>
      </c>
      <c r="N52" s="234">
        <f>G52/W52*60</f>
        <v>1572.2580645161345</v>
      </c>
      <c r="O52" s="235">
        <f>N52/M52</f>
        <v>98.266129032258405</v>
      </c>
      <c r="P52" s="74">
        <f>M52-J52</f>
        <v>0</v>
      </c>
      <c r="Q52" s="83">
        <f>O52-L52</f>
        <v>-14.233870967741595</v>
      </c>
      <c r="R52" s="72">
        <f>O52/L52</f>
        <v>0.87347670250896359</v>
      </c>
      <c r="S52" s="377"/>
      <c r="T52" s="21">
        <v>0.54513888888888895</v>
      </c>
      <c r="U52" s="21">
        <v>0.60972222222222205</v>
      </c>
      <c r="V52" s="30">
        <f t="shared" si="40"/>
        <v>89.000000000000568</v>
      </c>
      <c r="W52" s="236">
        <f t="shared" si="17"/>
        <v>92.999999999999673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-227.74193548386552</v>
      </c>
      <c r="AG52" s="72">
        <f t="shared" si="38"/>
        <v>0.87347670250896359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16</v>
      </c>
      <c r="K58" s="120">
        <f t="shared" si="41"/>
        <v>1737.5</v>
      </c>
      <c r="L58" s="117">
        <f t="shared" si="41"/>
        <v>108.72254901960784</v>
      </c>
      <c r="M58" s="120">
        <f t="shared" si="41"/>
        <v>16</v>
      </c>
      <c r="N58" s="120">
        <f t="shared" si="41"/>
        <v>1554.0936887737093</v>
      </c>
      <c r="O58" s="117">
        <f t="shared" si="41"/>
        <v>97.123950957252106</v>
      </c>
      <c r="P58" s="121">
        <f>M58-J58</f>
        <v>0</v>
      </c>
      <c r="Q58" s="122">
        <f>N58-K58</f>
        <v>-183.40631122629065</v>
      </c>
      <c r="R58" s="123">
        <f t="shared" ref="R58:R60" si="42">O58/L58</f>
        <v>0.89331929607110339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-183.40631122629065</v>
      </c>
      <c r="AG58" s="124">
        <f t="shared" ref="AG58:AG61" si="44">N58/K58</f>
        <v>0.89444241080501252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3327</v>
      </c>
      <c r="H59" s="243">
        <f>F59*G59</f>
        <v>89795.73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5">K59/J59</f>
        <v>120.38461538461539</v>
      </c>
      <c r="M59" s="244">
        <v>13</v>
      </c>
      <c r="N59" s="137">
        <f t="shared" ref="N59:N62" si="46">G59/W59*60</f>
        <v>1535.5384615384576</v>
      </c>
      <c r="O59" s="138">
        <f t="shared" ref="O59:O62" si="47">N59/M59</f>
        <v>118.11834319526596</v>
      </c>
      <c r="P59" s="56">
        <f t="shared" ref="P59:P62" si="48">M59-J59</f>
        <v>0</v>
      </c>
      <c r="Q59" s="230">
        <f t="shared" ref="Q59:Q62" si="49">O59-L59</f>
        <v>-2.2662721893494222</v>
      </c>
      <c r="R59" s="52">
        <f t="shared" si="42"/>
        <v>0.98117473580732106</v>
      </c>
      <c r="S59" s="376">
        <f>R69</f>
        <v>0.83618982925107321</v>
      </c>
      <c r="T59" s="245">
        <v>0.28819444444444398</v>
      </c>
      <c r="U59" s="245">
        <v>0.37847222222222199</v>
      </c>
      <c r="V59" s="55"/>
      <c r="W59" s="54">
        <f t="shared" si="17"/>
        <v>130.00000000000034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-29.461538461542432</v>
      </c>
      <c r="AG59" s="246">
        <f t="shared" si="44"/>
        <v>0.98117473580732117</v>
      </c>
      <c r="AH59" s="382">
        <f>AG69</f>
        <v>0.88974123520838744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1649</v>
      </c>
      <c r="H60" s="78">
        <f>F60*G60</f>
        <v>46600.740000000005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1522.1538461538423</v>
      </c>
      <c r="O60" s="81">
        <f t="shared" si="47"/>
        <v>126.84615384615353</v>
      </c>
      <c r="P60" s="74">
        <f t="shared" si="48"/>
        <v>0</v>
      </c>
      <c r="Q60" s="83">
        <f t="shared" si="49"/>
        <v>-3.5705128205131302</v>
      </c>
      <c r="R60" s="72">
        <f t="shared" si="42"/>
        <v>0.97262226591299838</v>
      </c>
      <c r="S60" s="394"/>
      <c r="T60" s="22">
        <v>0.38541666666666702</v>
      </c>
      <c r="U60" s="22">
        <v>0.43055555555555602</v>
      </c>
      <c r="V60" s="30">
        <f t="shared" ref="V60:V62" si="50">(T60-U59)*24*60</f>
        <v>10.000000000000844</v>
      </c>
      <c r="W60" s="248">
        <f t="shared" si="17"/>
        <v>65.000000000000171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-42.846153846157677</v>
      </c>
      <c r="AG60" s="249">
        <f t="shared" si="44"/>
        <v>0.97262226591299827</v>
      </c>
      <c r="AH60" s="389"/>
    </row>
    <row r="61" spans="1:34" ht="15" customHeight="1">
      <c r="A61" s="392"/>
      <c r="B61" s="250" t="s">
        <v>128</v>
      </c>
      <c r="C61" s="251"/>
      <c r="D61" s="362" t="s">
        <v>131</v>
      </c>
      <c r="E61" s="253"/>
      <c r="F61" s="250">
        <f>VLOOKUP(D61,廠價表!$C$1:$E$41,3,0)</f>
        <v>28.26</v>
      </c>
      <c r="G61" s="38">
        <v>1188</v>
      </c>
      <c r="H61" s="254">
        <f>F61*G61</f>
        <v>33572.880000000005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5"/>
        <v>130.41666666666666</v>
      </c>
      <c r="M61" s="108">
        <v>12</v>
      </c>
      <c r="N61" s="107">
        <f t="shared" si="46"/>
        <v>1096.6153846153818</v>
      </c>
      <c r="O61" s="238">
        <f t="shared" si="47"/>
        <v>91.384615384615145</v>
      </c>
      <c r="P61" s="111">
        <f t="shared" si="48"/>
        <v>0</v>
      </c>
      <c r="Q61" s="255">
        <f t="shared" si="49"/>
        <v>-39.032051282051512</v>
      </c>
      <c r="R61" s="85">
        <f>O61/L61</f>
        <v>0.70071270582452516</v>
      </c>
      <c r="S61" s="377"/>
      <c r="T61" s="22">
        <v>0.44444444444444398</v>
      </c>
      <c r="U61" s="22">
        <v>0.48958333333333298</v>
      </c>
      <c r="V61" s="30">
        <f t="shared" si="50"/>
        <v>19.99999999999865</v>
      </c>
      <c r="W61" s="256">
        <f t="shared" si="17"/>
        <v>65.000000000000171</v>
      </c>
      <c r="X61" s="22"/>
      <c r="Y61" s="84"/>
      <c r="Z61" s="90"/>
      <c r="AA61" s="90"/>
      <c r="AB61" s="388" t="s">
        <v>193</v>
      </c>
      <c r="AC61" s="388"/>
      <c r="AD61" s="92"/>
      <c r="AE61" s="92"/>
      <c r="AF61" s="317">
        <f t="shared" si="43"/>
        <v>-468.3846153846182</v>
      </c>
      <c r="AG61" s="247">
        <f t="shared" si="44"/>
        <v>0.70071270582452516</v>
      </c>
      <c r="AH61" s="384"/>
    </row>
    <row r="62" spans="1:34" ht="15" customHeight="1">
      <c r="A62" s="392"/>
      <c r="B62" s="75" t="s">
        <v>128</v>
      </c>
      <c r="C62" s="76"/>
      <c r="D62" s="175" t="s">
        <v>138</v>
      </c>
      <c r="E62" s="77"/>
      <c r="F62" s="250">
        <f>VLOOKUP(D62,廠價表!$C$1:$E$41,3,0)</f>
        <v>28.26</v>
      </c>
      <c r="G62" s="30">
        <v>2908</v>
      </c>
      <c r="H62" s="254">
        <f>F62*G62</f>
        <v>82180.08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82">
        <v>11</v>
      </c>
      <c r="N62" s="107">
        <f t="shared" si="46"/>
        <v>1478.6440677966193</v>
      </c>
      <c r="O62" s="238">
        <f t="shared" si="47"/>
        <v>134.42218798151086</v>
      </c>
      <c r="P62" s="111">
        <f t="shared" si="48"/>
        <v>2</v>
      </c>
      <c r="Q62" s="255">
        <f t="shared" si="49"/>
        <v>-47.355589796266912</v>
      </c>
      <c r="R62" s="85">
        <f>O62/L62</f>
        <v>0.73948636420146563</v>
      </c>
      <c r="S62" s="377"/>
      <c r="T62" s="22">
        <v>0.55555555555555602</v>
      </c>
      <c r="U62" s="22">
        <v>0.63749999999999996</v>
      </c>
      <c r="V62" s="30">
        <f t="shared" si="50"/>
        <v>95.00000000000118</v>
      </c>
      <c r="W62" s="248">
        <f t="shared" si="17"/>
        <v>117.99999999999926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-157.35593220338069</v>
      </c>
      <c r="AG62" s="247">
        <f>N62/K62</f>
        <v>0.90381666735734678</v>
      </c>
      <c r="AH62" s="384"/>
    </row>
    <row r="63" spans="1:34" ht="15" customHeight="1">
      <c r="A63" s="392"/>
      <c r="B63" s="75"/>
      <c r="C63" s="76"/>
      <c r="D63" s="175"/>
      <c r="E63" s="77"/>
      <c r="F63" s="250"/>
      <c r="G63" s="30"/>
      <c r="H63" s="254"/>
      <c r="I63" s="182"/>
      <c r="J63" s="106"/>
      <c r="K63" s="107"/>
      <c r="L63" s="238"/>
      <c r="M63" s="82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1">AVERAGE(J59:J68)</f>
        <v>11.5</v>
      </c>
      <c r="K69" s="240">
        <f t="shared" si="51"/>
        <v>1582.75</v>
      </c>
      <c r="L69" s="268">
        <f t="shared" si="51"/>
        <v>140.74893162393164</v>
      </c>
      <c r="M69" s="240">
        <f t="shared" si="51"/>
        <v>12</v>
      </c>
      <c r="N69" s="240">
        <f t="shared" si="51"/>
        <v>1408.2379400260752</v>
      </c>
      <c r="O69" s="268">
        <f t="shared" si="51"/>
        <v>117.69282510188637</v>
      </c>
      <c r="P69" s="269">
        <f>M69-J69</f>
        <v>0.5</v>
      </c>
      <c r="Q69" s="222">
        <f>N69-K69</f>
        <v>-174.51205997392481</v>
      </c>
      <c r="R69" s="123">
        <f>O69/L69</f>
        <v>0.83618982925107321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-174.51205997392481</v>
      </c>
      <c r="AG69" s="124">
        <f>N69/K69</f>
        <v>0.88974123520838744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2267</v>
      </c>
      <c r="H70" s="243">
        <f>F70*G70</f>
        <v>114868.89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14</v>
      </c>
      <c r="N70" s="137">
        <f>G70/W70*60</f>
        <v>1511.3333333333335</v>
      </c>
      <c r="O70" s="138">
        <f>N70/M70</f>
        <v>107.95238095238096</v>
      </c>
      <c r="P70" s="56">
        <f>M70-J70</f>
        <v>1</v>
      </c>
      <c r="Q70" s="230">
        <f>O70-L70</f>
        <v>-2.8168498168498104</v>
      </c>
      <c r="R70" s="52">
        <f>O70/L70</f>
        <v>0.97457010582010584</v>
      </c>
      <c r="S70" s="376">
        <f>R79</f>
        <v>0.82068232685397313</v>
      </c>
      <c r="T70" s="245">
        <v>0.33333333333333298</v>
      </c>
      <c r="U70" s="245">
        <v>0.39583333333333298</v>
      </c>
      <c r="V70" s="55"/>
      <c r="W70" s="54">
        <f t="shared" si="17"/>
        <v>90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71.333333333333485</v>
      </c>
      <c r="AG70" s="246">
        <f>N70/K70</f>
        <v>1.0495370370370372</v>
      </c>
      <c r="AH70" s="382">
        <f>AG79</f>
        <v>0.80194424923869956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1285</v>
      </c>
      <c r="H71" s="254">
        <f>F71*G71</f>
        <v>72512.55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14</v>
      </c>
      <c r="N71" s="107">
        <f>G71/W71*60</f>
        <v>771.00000000000534</v>
      </c>
      <c r="O71" s="238">
        <f>N71/M71</f>
        <v>55.071428571428953</v>
      </c>
      <c r="P71" s="111">
        <f>M71-J71</f>
        <v>-2</v>
      </c>
      <c r="Q71" s="255">
        <f>O71-L71</f>
        <v>-32.803571428571047</v>
      </c>
      <c r="R71" s="85">
        <f>O71/L71</f>
        <v>0.62670188985978892</v>
      </c>
      <c r="S71" s="377"/>
      <c r="T71" s="22">
        <v>0.40625</v>
      </c>
      <c r="U71" s="22">
        <v>0.47569444444444398</v>
      </c>
      <c r="V71" s="30"/>
      <c r="W71" s="73">
        <f t="shared" si="17"/>
        <v>99.999999999999318</v>
      </c>
      <c r="X71" s="271"/>
      <c r="Y71" s="293"/>
      <c r="Z71" s="90"/>
      <c r="AA71" s="90"/>
      <c r="AB71" s="387" t="s">
        <v>194</v>
      </c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3">AVERAGE(J70:J78)</f>
        <v>14.5</v>
      </c>
      <c r="K79" s="240">
        <f t="shared" si="53"/>
        <v>1423</v>
      </c>
      <c r="L79" s="268">
        <f t="shared" si="53"/>
        <v>99.322115384615387</v>
      </c>
      <c r="M79" s="240">
        <f t="shared" si="53"/>
        <v>14</v>
      </c>
      <c r="N79" s="240">
        <f t="shared" si="53"/>
        <v>1141.1666666666695</v>
      </c>
      <c r="O79" s="268">
        <f t="shared" si="53"/>
        <v>81.511904761904958</v>
      </c>
      <c r="P79" s="269">
        <f>M79-J79</f>
        <v>-0.5</v>
      </c>
      <c r="Q79" s="222">
        <f>N79-K79</f>
        <v>-281.83333333333053</v>
      </c>
      <c r="R79" s="223">
        <f>O79/L79</f>
        <v>0.82068232685397313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-281.83333333333053</v>
      </c>
      <c r="AG79" s="124">
        <f>N79/K79</f>
        <v>0.80194424923869956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38:A48"/>
    <mergeCell ref="S38:S48"/>
    <mergeCell ref="AB38:AC38"/>
    <mergeCell ref="D48:E48"/>
    <mergeCell ref="AB48:AC48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P3:P4"/>
    <mergeCell ref="Q3:Q4"/>
    <mergeCell ref="R3:R4"/>
    <mergeCell ref="T3:U3"/>
    <mergeCell ref="V3:V4"/>
    <mergeCell ref="AF3:A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W3:W4"/>
    <mergeCell ref="X3:Y3"/>
    <mergeCell ref="Z3:AA3"/>
    <mergeCell ref="AB13:AC13"/>
  </mergeCells>
  <phoneticPr fontId="0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6C8B29-AF42-4248-A3E1-368B2F516DCE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3E70-A3BF-4CE2-8677-919936A5F04F}">
  <dimension ref="B1:O26"/>
  <sheetViews>
    <sheetView zoomScale="70" zoomScaleNormal="70" workbookViewId="0">
      <selection activeCell="D49" sqref="D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46103</v>
      </c>
      <c r="E3" s="466"/>
      <c r="F3" s="3" t="s">
        <v>72</v>
      </c>
      <c r="G3" s="467">
        <f>'0322'!E1</f>
        <v>65126</v>
      </c>
      <c r="H3" s="467"/>
      <c r="I3" s="3" t="s">
        <v>2</v>
      </c>
      <c r="J3" s="468">
        <f>'0322'!G1</f>
        <v>2906918.3200000003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127.24879920499669</v>
      </c>
      <c r="G6" s="473"/>
      <c r="H6" s="474">
        <f>AVERAGE(D13:H13,J13)</f>
        <v>125.67758767648473</v>
      </c>
      <c r="I6" s="474"/>
      <c r="J6" s="474">
        <f>AVERAGE(I13)</f>
        <v>136.67606837606837</v>
      </c>
      <c r="K6" s="474"/>
      <c r="L6" s="499">
        <f>SUM(D18:J18)</f>
        <v>3</v>
      </c>
      <c r="M6" s="477">
        <f>SUM(D19:J19)</f>
        <v>30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116.29425259444749</v>
      </c>
      <c r="G7" s="497"/>
      <c r="H7" s="498">
        <f>AVERAGE(D14:H14,J14)</f>
        <v>115.92393711330317</v>
      </c>
      <c r="I7" s="498"/>
      <c r="J7" s="498">
        <f>AVERAGE(I14)</f>
        <v>118.51614548131344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0.9139123773348814</v>
      </c>
      <c r="G8" s="470"/>
      <c r="H8" s="470">
        <f>H7/H6</f>
        <v>0.92239148806476856</v>
      </c>
      <c r="I8" s="470"/>
      <c r="J8" s="470">
        <f>J7/J6</f>
        <v>0.86713165581565199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VALUE('0322'!L15)</f>
        <v>153.05982905982907</v>
      </c>
      <c r="E13" s="13">
        <f>VALUE('0322'!L26)</f>
        <v>170.39772727272725</v>
      </c>
      <c r="F13" s="13">
        <f>VALUE('0322'!L37)</f>
        <v>99.626172969187678</v>
      </c>
      <c r="G13" s="13">
        <f>VALUE('0322'!L48)</f>
        <v>99.461437908496734</v>
      </c>
      <c r="H13" s="13">
        <f>VALUE('0322'!L58)</f>
        <v>108.72254901960784</v>
      </c>
      <c r="I13" s="13">
        <f>VALUE('0322'!L69)</f>
        <v>136.67606837606837</v>
      </c>
      <c r="J13" s="13">
        <f>'0322'!L79</f>
        <v>122.79780982905983</v>
      </c>
    </row>
    <row r="14" spans="2:15" ht="39.950000000000003" customHeight="1">
      <c r="B14" s="491"/>
      <c r="C14" s="12" t="s">
        <v>100</v>
      </c>
      <c r="D14" s="13">
        <f>VALUE('0322'!O15)</f>
        <v>143.38617677979195</v>
      </c>
      <c r="E14" s="13">
        <f>VALUE('0322'!O26)</f>
        <v>165.54918839160501</v>
      </c>
      <c r="F14" s="13">
        <f>VALUE('0322'!O37)</f>
        <v>88.792140775706685</v>
      </c>
      <c r="G14" s="13">
        <f>VALUE('0322'!O48)</f>
        <v>92.722001571302016</v>
      </c>
      <c r="H14" s="13">
        <f>VALUE('0322'!O58)</f>
        <v>102.03157715594116</v>
      </c>
      <c r="I14" s="13">
        <f>VALUE('0322'!O69)</f>
        <v>118.51614548131344</v>
      </c>
      <c r="J14" s="13">
        <f>'0322'!O79</f>
        <v>103.06253800547218</v>
      </c>
    </row>
    <row r="15" spans="2:15" ht="39.950000000000003" customHeight="1">
      <c r="B15" s="492"/>
      <c r="C15" s="10" t="s">
        <v>26</v>
      </c>
      <c r="D15" s="14">
        <f>D14/D13</f>
        <v>0.93679822890527453</v>
      </c>
      <c r="E15" s="14">
        <f t="shared" ref="E15:I15" si="1">E14/E13</f>
        <v>0.97154575381535468</v>
      </c>
      <c r="F15" s="14">
        <f t="shared" si="1"/>
        <v>0.89125315295578267</v>
      </c>
      <c r="G15" s="14">
        <f t="shared" si="1"/>
        <v>0.9322407107828572</v>
      </c>
      <c r="H15" s="14">
        <f t="shared" si="1"/>
        <v>0.9384582874113816</v>
      </c>
      <c r="I15" s="14">
        <f t="shared" si="1"/>
        <v>0.86713165581565199</v>
      </c>
      <c r="J15" s="15">
        <f>'0322'!S70</f>
        <v>0.83928645102823862</v>
      </c>
    </row>
    <row r="16" spans="2:15" ht="17.25" customHeight="1">
      <c r="B16" s="493" t="s">
        <v>101</v>
      </c>
      <c r="C16" s="10" t="s">
        <v>34</v>
      </c>
      <c r="D16" s="16">
        <f>'0322'!T5</f>
        <v>0.29166666666666702</v>
      </c>
      <c r="E16" s="16">
        <f>'0322'!T16</f>
        <v>0.30208333333333298</v>
      </c>
      <c r="F16" s="16">
        <f>'0322'!T27</f>
        <v>0.29166666666666702</v>
      </c>
      <c r="G16" s="16">
        <f>'0322'!T38</f>
        <v>0.33333333333333298</v>
      </c>
      <c r="H16" s="16">
        <f>'0322'!T49</f>
        <v>0.29027777777777802</v>
      </c>
      <c r="I16" s="16">
        <f>'0322'!T59</f>
        <v>0.30555555555555602</v>
      </c>
      <c r="J16" s="16">
        <f>'0322'!T70</f>
        <v>0.33333333333333298</v>
      </c>
    </row>
    <row r="17" spans="2:10" ht="17.25" customHeight="1">
      <c r="B17" s="494"/>
      <c r="C17" s="10" t="s">
        <v>35</v>
      </c>
      <c r="D17" s="18">
        <v>0.65277777777777801</v>
      </c>
      <c r="E17" s="19">
        <v>0.61597222222222203</v>
      </c>
      <c r="F17" s="19">
        <v>0.60208333333333297</v>
      </c>
      <c r="G17" s="20">
        <v>0.65625</v>
      </c>
      <c r="H17" s="21">
        <v>0.62847222222222199</v>
      </c>
      <c r="I17" s="22">
        <v>0.65277777777777801</v>
      </c>
      <c r="J17" s="22">
        <v>0.60763888888888895</v>
      </c>
    </row>
    <row r="18" spans="2:10" ht="17.25" customHeight="1">
      <c r="B18" s="495" t="s">
        <v>102</v>
      </c>
      <c r="C18" s="330" t="s">
        <v>36</v>
      </c>
      <c r="D18" s="358">
        <f>'0322'!Z15</f>
        <v>0</v>
      </c>
      <c r="E18" s="359">
        <f>'0322'!Z26</f>
        <v>0</v>
      </c>
      <c r="F18" s="359">
        <f>'0322'!Z37</f>
        <v>3</v>
      </c>
      <c r="G18" s="360">
        <f>'0322'!Z48</f>
        <v>0</v>
      </c>
      <c r="H18" s="360">
        <f>'0322'!Z58</f>
        <v>0</v>
      </c>
      <c r="I18" s="359">
        <f>'0322'!Z69</f>
        <v>0</v>
      </c>
      <c r="J18" s="359">
        <f>'0322'!AA79</f>
        <v>0</v>
      </c>
    </row>
    <row r="19" spans="2:10" ht="17.25" customHeight="1">
      <c r="B19" s="496"/>
      <c r="C19" s="330" t="s">
        <v>37</v>
      </c>
      <c r="D19" s="358">
        <f>'0322'!AA15</f>
        <v>0</v>
      </c>
      <c r="E19" s="359">
        <f>'0322'!AA26</f>
        <v>0</v>
      </c>
      <c r="F19" s="359">
        <f>'0322'!AA37</f>
        <v>30</v>
      </c>
      <c r="G19" s="360">
        <f>'0322'!AA48</f>
        <v>0</v>
      </c>
      <c r="H19" s="360">
        <f>'0322'!AA58</f>
        <v>0</v>
      </c>
      <c r="I19" s="359">
        <f>'0322'!AA69</f>
        <v>0</v>
      </c>
      <c r="J19" s="359">
        <f>'0322'!AB79</f>
        <v>0</v>
      </c>
    </row>
    <row r="20" spans="2:10" ht="17.25" customHeight="1">
      <c r="B20" s="495" t="s">
        <v>103</v>
      </c>
      <c r="C20" s="330" t="s">
        <v>36</v>
      </c>
      <c r="D20" s="358">
        <f>'0322'!AD15</f>
        <v>0</v>
      </c>
      <c r="E20" s="359">
        <f>'0322'!AD26</f>
        <v>0</v>
      </c>
      <c r="F20" s="359">
        <f>'0322'!AD37</f>
        <v>0</v>
      </c>
      <c r="G20" s="360">
        <f>'0322'!AD48</f>
        <v>0</v>
      </c>
      <c r="H20" s="360">
        <f>'0322'!AD58</f>
        <v>0</v>
      </c>
      <c r="I20" s="359">
        <f>'0322'!AD69</f>
        <v>0</v>
      </c>
      <c r="J20" s="359">
        <f>'0322'!AD79</f>
        <v>0</v>
      </c>
    </row>
    <row r="21" spans="2:10" ht="17.25" customHeight="1">
      <c r="B21" s="496"/>
      <c r="C21" s="330" t="s">
        <v>85</v>
      </c>
      <c r="D21" s="358">
        <f>'0322'!AE15</f>
        <v>0</v>
      </c>
      <c r="E21" s="359">
        <f>'0322'!AE26</f>
        <v>0</v>
      </c>
      <c r="F21" s="359">
        <f>'0322'!AE37</f>
        <v>0</v>
      </c>
      <c r="G21" s="360">
        <f>'0322'!AE48</f>
        <v>0</v>
      </c>
      <c r="H21" s="360">
        <f>'0322'!AE58</f>
        <v>0</v>
      </c>
      <c r="I21" s="359">
        <f>'0322'!AE69</f>
        <v>0</v>
      </c>
      <c r="J21" s="359">
        <f>'0322'!AE79</f>
        <v>0</v>
      </c>
    </row>
    <row r="22" spans="2:10" ht="17.25" customHeight="1">
      <c r="B22" s="479" t="s">
        <v>104</v>
      </c>
      <c r="C22" s="480"/>
      <c r="D22" s="23">
        <f>VALUE('0322'!M15)</f>
        <v>13.333333333333334</v>
      </c>
      <c r="E22" s="23">
        <f>VALUE('0322'!M26)</f>
        <v>12.25</v>
      </c>
      <c r="F22" s="23">
        <f>VALUE('0322'!M37)</f>
        <v>14.25</v>
      </c>
      <c r="G22" s="23">
        <f>VALUE('0322'!M48)</f>
        <v>16.333333333333332</v>
      </c>
      <c r="H22" s="23">
        <f>VALUE('0322'!M58)</f>
        <v>15.5</v>
      </c>
      <c r="I22" s="23">
        <f>VALUE('0322'!M69)</f>
        <v>12</v>
      </c>
      <c r="J22" s="23">
        <f>'0322'!M79</f>
        <v>12.25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4623-11CF-4F85-9491-FA3A9D23B995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D49" sqref="D49"/>
      <selection pane="topRight" activeCell="D49" sqref="D49"/>
      <selection pane="bottomLeft" activeCell="D49" sqref="D49"/>
      <selection pane="bottomRight" activeCell="D49" sqref="D4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65126</v>
      </c>
      <c r="F1" s="30" t="s">
        <v>2</v>
      </c>
      <c r="G1" s="31">
        <f>SUM(H5:H79)</f>
        <v>2906918.3200000003</v>
      </c>
      <c r="H1" s="32" t="s">
        <v>3</v>
      </c>
      <c r="I1" s="33">
        <f>M15+M26+M48+M58+M69+M79+M37</f>
        <v>95.916666666666671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195</v>
      </c>
      <c r="B2" s="447"/>
      <c r="C2" s="28"/>
      <c r="D2" s="28" t="s">
        <v>14</v>
      </c>
      <c r="E2" s="35">
        <f>AVERAGE(O15,O26,O37,O48,O58,O69,O79)</f>
        <v>116.29425259444749</v>
      </c>
      <c r="F2" s="36" t="s">
        <v>15</v>
      </c>
      <c r="G2" s="37">
        <f>G1/E1</f>
        <v>44.635296502165041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3</v>
      </c>
      <c r="AA2" s="339">
        <f>AA15+AA26+AA37+AA48+AA58+AA69+AA79</f>
        <v>30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6407</v>
      </c>
      <c r="H5" s="43">
        <f>F5*G5</f>
        <v>366544.47000000003</v>
      </c>
      <c r="I5" s="44"/>
      <c r="J5" s="45">
        <v>15</v>
      </c>
      <c r="K5" s="46">
        <v>2000</v>
      </c>
      <c r="L5" s="47">
        <f t="shared" ref="L5:L7" si="0">K5/J5</f>
        <v>133.33333333333334</v>
      </c>
      <c r="M5" s="48">
        <v>14</v>
      </c>
      <c r="N5" s="46">
        <f t="shared" ref="N5:N7" si="1">G5/W5*60</f>
        <v>1839.3301435406686</v>
      </c>
      <c r="O5" s="47">
        <f t="shared" ref="O5:O7" si="2">N5/M5</f>
        <v>131.38072453861918</v>
      </c>
      <c r="P5" s="49">
        <f t="shared" ref="P5:P7" si="3">M5-J5</f>
        <v>-1</v>
      </c>
      <c r="Q5" s="50">
        <f t="shared" ref="Q5:Q7" si="4">O5-L5</f>
        <v>-1.9526087947141662</v>
      </c>
      <c r="R5" s="51">
        <f t="shared" ref="R5:R7" si="5">O5/L5</f>
        <v>0.98535543403964376</v>
      </c>
      <c r="S5" s="376">
        <f>R15</f>
        <v>0.93679822890527453</v>
      </c>
      <c r="T5" s="319">
        <v>0.29166666666666702</v>
      </c>
      <c r="U5" s="320">
        <v>0.436805555555556</v>
      </c>
      <c r="V5" s="53"/>
      <c r="W5" s="54">
        <f t="shared" ref="W5:W14" si="6">(U5-T5)*24*60</f>
        <v>209.00000000000014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-160.66985645933141</v>
      </c>
      <c r="AG5" s="52">
        <f t="shared" ref="AG5:AG11" si="8">N5/K5</f>
        <v>0.9196650717703343</v>
      </c>
      <c r="AH5" s="382">
        <f>AG15</f>
        <v>0.91780654569443632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2116</v>
      </c>
      <c r="H6" s="63">
        <f>F6*G6</f>
        <v>103980.24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2081.311475409841</v>
      </c>
      <c r="O6" s="67">
        <f t="shared" si="2"/>
        <v>160.10088272383393</v>
      </c>
      <c r="P6" s="69">
        <f t="shared" si="3"/>
        <v>0</v>
      </c>
      <c r="Q6" s="70">
        <f t="shared" si="4"/>
        <v>-2.8221941992430004</v>
      </c>
      <c r="R6" s="71">
        <f t="shared" si="5"/>
        <v>0.9826777504295755</v>
      </c>
      <c r="S6" s="377"/>
      <c r="T6" s="16">
        <v>0.44374999999999998</v>
      </c>
      <c r="U6" s="16">
        <v>0.48611111111111099</v>
      </c>
      <c r="V6" s="30">
        <f>(T6-U5)*24*60</f>
        <v>9.999999999999325</v>
      </c>
      <c r="W6" s="73">
        <f t="shared" si="6"/>
        <v>60.999999999999865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-36.688524590158977</v>
      </c>
      <c r="AG6" s="72">
        <f t="shared" si="8"/>
        <v>0.9826777504295755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4507</v>
      </c>
      <c r="H7" s="78">
        <f>F7*G7</f>
        <v>221473.98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1802.799999999995</v>
      </c>
      <c r="O7" s="81">
        <f t="shared" si="2"/>
        <v>138.67692307692269</v>
      </c>
      <c r="P7" s="74">
        <f t="shared" si="3"/>
        <v>0</v>
      </c>
      <c r="Q7" s="83">
        <f t="shared" si="4"/>
        <v>-24.246153846154243</v>
      </c>
      <c r="R7" s="72">
        <f t="shared" si="5"/>
        <v>0.85118035882908161</v>
      </c>
      <c r="S7" s="377"/>
      <c r="T7" s="18">
        <v>0.54861111111111105</v>
      </c>
      <c r="U7" s="18">
        <v>0.65277777777777801</v>
      </c>
      <c r="V7" s="30">
        <f>(T7-U6)*24*60</f>
        <v>90.000000000000085</v>
      </c>
      <c r="W7" s="73">
        <f t="shared" si="6"/>
        <v>150.00000000000043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-315.20000000000505</v>
      </c>
      <c r="AG7" s="72">
        <f t="shared" si="8"/>
        <v>0.85118035882908161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13.333333333333334</v>
      </c>
      <c r="N15" s="120">
        <f t="shared" si="9"/>
        <v>1907.8138729835016</v>
      </c>
      <c r="O15" s="117">
        <f t="shared" si="9"/>
        <v>143.38617677979195</v>
      </c>
      <c r="P15" s="121">
        <f t="shared" ref="P15:P19" si="10">M15-J15</f>
        <v>-0.33333333333333215</v>
      </c>
      <c r="Q15" s="122">
        <f t="shared" ref="Q15:Q19" si="11">O15-L15</f>
        <v>-9.6736522800371176</v>
      </c>
      <c r="R15" s="123">
        <f t="shared" ref="R15:R19" si="12">O15/L15</f>
        <v>0.93679822890527453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-170.85279368316492</v>
      </c>
      <c r="AG15" s="124">
        <f t="shared" ref="AG15:AG19" si="14">N15/K15</f>
        <v>0.91780654569443632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903</v>
      </c>
      <c r="H16" s="134">
        <f>F16*G16</f>
        <v>50820.840000000004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1747.7419354838501</v>
      </c>
      <c r="O16" s="141">
        <f>N16/M16</f>
        <v>116.51612903225667</v>
      </c>
      <c r="P16" s="142">
        <f>M16-J16</f>
        <v>0</v>
      </c>
      <c r="Q16" s="143">
        <f t="shared" si="11"/>
        <v>-3.4838709677433286</v>
      </c>
      <c r="R16" s="144">
        <f>O16/L16</f>
        <v>0.97096774193547231</v>
      </c>
      <c r="S16" s="413">
        <f>R26</f>
        <v>0.97154575381535468</v>
      </c>
      <c r="T16" s="145">
        <v>0.30208333333333298</v>
      </c>
      <c r="U16" s="145">
        <v>0.32361111111111102</v>
      </c>
      <c r="V16" s="135"/>
      <c r="W16" s="146">
        <f t="shared" ref="W16:W78" si="17">(U16-T16)*24*60</f>
        <v>31.000000000000369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-52.258064516149943</v>
      </c>
      <c r="AG16" s="52">
        <f t="shared" si="14"/>
        <v>0.97096774193547231</v>
      </c>
      <c r="AH16" s="382">
        <f>AG26</f>
        <v>0.97192919979438652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4442</v>
      </c>
      <c r="H17" s="78">
        <f>F17*G17</f>
        <v>225076.14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2098.5826771653647</v>
      </c>
      <c r="O17" s="96">
        <f t="shared" ref="O17:O19" si="18">N17/M17</f>
        <v>174.88188976378038</v>
      </c>
      <c r="P17" s="97">
        <f t="shared" si="10"/>
        <v>0</v>
      </c>
      <c r="Q17" s="98">
        <f t="shared" si="11"/>
        <v>-1.6181102362196214</v>
      </c>
      <c r="R17" s="99">
        <f t="shared" si="12"/>
        <v>0.99083223662198516</v>
      </c>
      <c r="S17" s="414"/>
      <c r="T17" s="19">
        <v>0.33055555555555599</v>
      </c>
      <c r="U17" s="19">
        <v>0.41875000000000001</v>
      </c>
      <c r="V17" s="30">
        <f>(T17-U16)*24*60</f>
        <v>10.000000000000764</v>
      </c>
      <c r="W17" s="149">
        <f t="shared" si="17"/>
        <v>126.99999999999939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-19.417322834635343</v>
      </c>
      <c r="AG17" s="72">
        <f t="shared" si="14"/>
        <v>0.99083223662198516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2739</v>
      </c>
      <c r="H18" s="78">
        <f>F18*G18</f>
        <v>138018.21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2054.2499999999823</v>
      </c>
      <c r="O18" s="96">
        <f t="shared" si="18"/>
        <v>186.74999999999838</v>
      </c>
      <c r="P18" s="97">
        <f t="shared" si="10"/>
        <v>0</v>
      </c>
      <c r="Q18" s="98">
        <f t="shared" si="11"/>
        <v>-5.7954545454561526</v>
      </c>
      <c r="R18" s="99">
        <f t="shared" si="12"/>
        <v>0.96990084985834857</v>
      </c>
      <c r="S18" s="414"/>
      <c r="T18" s="19">
        <v>0.42499999999999999</v>
      </c>
      <c r="U18" s="19">
        <v>0.48055555555555601</v>
      </c>
      <c r="V18" s="30">
        <f>(T18-U17)*24*60</f>
        <v>8.999999999999968</v>
      </c>
      <c r="W18" s="149">
        <f t="shared" si="17"/>
        <v>80.000000000000682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-63.750000000017735</v>
      </c>
      <c r="AG18" s="72">
        <f t="shared" si="14"/>
        <v>0.96990084985834857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3273</v>
      </c>
      <c r="H19" s="78">
        <f>F19*G19</f>
        <v>164926.47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2024.5360824742304</v>
      </c>
      <c r="O19" s="96">
        <f t="shared" si="18"/>
        <v>184.04873477038458</v>
      </c>
      <c r="P19" s="97">
        <f t="shared" si="10"/>
        <v>0</v>
      </c>
      <c r="Q19" s="98">
        <f t="shared" si="11"/>
        <v>-8.4967197750699484</v>
      </c>
      <c r="R19" s="99">
        <f t="shared" si="12"/>
        <v>0.9558716158990701</v>
      </c>
      <c r="S19" s="414"/>
      <c r="T19" s="19">
        <v>0.54861111111111105</v>
      </c>
      <c r="U19" s="19">
        <v>0.61597222222222203</v>
      </c>
      <c r="V19" s="30">
        <f>(T19-U18)*24*60</f>
        <v>97.999999999999247</v>
      </c>
      <c r="W19" s="149">
        <f t="shared" si="17"/>
        <v>96.999999999999815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-93.463917525769602</v>
      </c>
      <c r="AG19" s="72">
        <f t="shared" si="14"/>
        <v>0.9558716158990701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1981.277673780857</v>
      </c>
      <c r="O26" s="158">
        <f t="shared" si="20"/>
        <v>165.54918839160501</v>
      </c>
      <c r="P26" s="159">
        <f t="shared" ref="P26:P30" si="21">M26-J26</f>
        <v>0</v>
      </c>
      <c r="Q26" s="160">
        <f t="shared" ref="Q26:Q30" si="22">O26-L26</f>
        <v>-4.8485388811222379</v>
      </c>
      <c r="R26" s="161">
        <f>O26/L26</f>
        <v>0.97154575381535468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-57.222326219143042</v>
      </c>
      <c r="AG26" s="124">
        <f t="shared" ref="AG26:AG31" si="24">N26/K26</f>
        <v>0.97192919979438652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3286</v>
      </c>
      <c r="H27" s="134">
        <f>F27*G27</f>
        <v>191146.62</v>
      </c>
      <c r="I27" s="135"/>
      <c r="J27" s="136">
        <v>14</v>
      </c>
      <c r="K27" s="137">
        <v>1636</v>
      </c>
      <c r="L27" s="138">
        <f t="shared" ref="L27:L30" si="25">K27/J27</f>
        <v>116.85714285714286</v>
      </c>
      <c r="M27" s="170">
        <v>13</v>
      </c>
      <c r="N27" s="140">
        <f>G27/W27*60</f>
        <v>1482.4060150375956</v>
      </c>
      <c r="O27" s="141">
        <f>N27/M27</f>
        <v>114.0312319259689</v>
      </c>
      <c r="P27" s="142">
        <f t="shared" si="21"/>
        <v>-1</v>
      </c>
      <c r="Q27" s="143">
        <f t="shared" si="22"/>
        <v>-2.825910931173965</v>
      </c>
      <c r="R27" s="144">
        <f>O27/L27</f>
        <v>0.97581738811953822</v>
      </c>
      <c r="S27" s="413">
        <f>R37</f>
        <v>0.89125315295578267</v>
      </c>
      <c r="T27" s="171">
        <v>0.29166666666666702</v>
      </c>
      <c r="U27" s="171">
        <v>0.38402777777777802</v>
      </c>
      <c r="V27" s="135"/>
      <c r="W27" s="146">
        <f t="shared" si="17"/>
        <v>132.99999999999986</v>
      </c>
      <c r="X27" s="135"/>
      <c r="Y27" s="300" t="s">
        <v>46</v>
      </c>
      <c r="Z27" s="169">
        <v>2</v>
      </c>
      <c r="AA27" s="169">
        <v>25</v>
      </c>
      <c r="AB27" s="381" t="s">
        <v>133</v>
      </c>
      <c r="AC27" s="381"/>
      <c r="AD27" s="135"/>
      <c r="AE27" s="135"/>
      <c r="AF27" s="310">
        <f t="shared" si="23"/>
        <v>-153.59398496240442</v>
      </c>
      <c r="AG27" s="172">
        <f t="shared" si="24"/>
        <v>0.90611614611099978</v>
      </c>
      <c r="AH27" s="382">
        <f>AG37</f>
        <v>0.82080373902693948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2374</v>
      </c>
      <c r="H28" s="91">
        <f>F28*G28</f>
        <v>117560.48000000001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16</v>
      </c>
      <c r="N28" s="95">
        <f>G28/W28*60</f>
        <v>1306.7889908256784</v>
      </c>
      <c r="O28" s="96">
        <f>N28/M28</f>
        <v>81.674311926604901</v>
      </c>
      <c r="P28" s="97">
        <f t="shared" si="21"/>
        <v>-1</v>
      </c>
      <c r="Q28" s="98">
        <f t="shared" si="22"/>
        <v>-3.0315704263362733</v>
      </c>
      <c r="R28" s="99">
        <f t="shared" ref="R28:R30" si="26">O28/L28</f>
        <v>0.96421062691130788</v>
      </c>
      <c r="S28" s="414"/>
      <c r="T28" s="19">
        <v>0.389583333333333</v>
      </c>
      <c r="U28" s="19">
        <v>0.46527777777777801</v>
      </c>
      <c r="V28" s="92">
        <f>(T28-U27)*24*60</f>
        <v>7.9999999999991722</v>
      </c>
      <c r="W28" s="149">
        <f t="shared" si="17"/>
        <v>109.00000000000081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-133.21100917432159</v>
      </c>
      <c r="AG28" s="99">
        <f t="shared" si="24"/>
        <v>0.90749235474005441</v>
      </c>
      <c r="AH28" s="383"/>
    </row>
    <row r="29" spans="1:34" ht="15" customHeight="1">
      <c r="A29" s="411"/>
      <c r="B29" s="75" t="s">
        <v>81</v>
      </c>
      <c r="C29" s="173"/>
      <c r="D29" s="59" t="s">
        <v>134</v>
      </c>
      <c r="E29" s="104"/>
      <c r="F29" s="75">
        <f>VLOOKUP(D29,廠價表!$C$1:$E$41,3,0)</f>
        <v>56.43</v>
      </c>
      <c r="G29" s="90">
        <v>580</v>
      </c>
      <c r="H29" s="91">
        <f>F29*G29</f>
        <v>32729.4</v>
      </c>
      <c r="I29" s="92"/>
      <c r="J29" s="79">
        <f>VLOOKUP(D29,產線配置圖!$A$3:$C$38,2,0)</f>
        <v>16</v>
      </c>
      <c r="K29" s="80">
        <f>VLOOKUP(D29,產線配置圖!$A$3:$C$38,3,0)</f>
        <v>1406</v>
      </c>
      <c r="L29" s="93">
        <f t="shared" si="25"/>
        <v>87.875</v>
      </c>
      <c r="M29" s="94">
        <v>14</v>
      </c>
      <c r="N29" s="95">
        <f>G29/W29*60</f>
        <v>773.33333333333337</v>
      </c>
      <c r="O29" s="96">
        <f>N29/M29</f>
        <v>55.238095238095241</v>
      </c>
      <c r="P29" s="97">
        <f t="shared" si="21"/>
        <v>-2</v>
      </c>
      <c r="Q29" s="98">
        <f t="shared" si="22"/>
        <v>-32.636904761904759</v>
      </c>
      <c r="R29" s="99">
        <f t="shared" si="26"/>
        <v>0.62859852333536548</v>
      </c>
      <c r="S29" s="414"/>
      <c r="T29" s="19">
        <v>0.53125</v>
      </c>
      <c r="U29" s="19">
        <v>0.5625</v>
      </c>
      <c r="V29" s="92">
        <f>(T29-U28)*24*60</f>
        <v>94.999999999999659</v>
      </c>
      <c r="W29" s="149">
        <f t="shared" si="17"/>
        <v>45</v>
      </c>
      <c r="X29" s="22"/>
      <c r="Y29" s="84"/>
      <c r="Z29" s="90">
        <v>1</v>
      </c>
      <c r="AA29" s="90">
        <v>5</v>
      </c>
      <c r="AB29" s="388" t="s">
        <v>196</v>
      </c>
      <c r="AC29" s="388"/>
      <c r="AD29" s="92"/>
      <c r="AE29" s="92"/>
      <c r="AF29" s="312">
        <f t="shared" si="23"/>
        <v>-632.66666666666663</v>
      </c>
      <c r="AG29" s="99">
        <f t="shared" si="24"/>
        <v>0.55002370791844479</v>
      </c>
      <c r="AH29" s="383"/>
    </row>
    <row r="30" spans="1:34" ht="15" customHeight="1">
      <c r="A30" s="411"/>
      <c r="B30" s="75" t="s">
        <v>81</v>
      </c>
      <c r="C30" s="88"/>
      <c r="D30" s="59" t="s">
        <v>113</v>
      </c>
      <c r="E30" s="89"/>
      <c r="F30" s="75">
        <f>VLOOKUP(D30,廠價表!$C$1:$E$41,3,0)</f>
        <v>57.21</v>
      </c>
      <c r="G30" s="90">
        <v>1143</v>
      </c>
      <c r="H30" s="91">
        <f>F30*G30</f>
        <v>65391.03</v>
      </c>
      <c r="I30" s="92"/>
      <c r="J30" s="79">
        <v>15</v>
      </c>
      <c r="K30" s="80">
        <v>1636</v>
      </c>
      <c r="L30" s="93">
        <f t="shared" si="25"/>
        <v>109.06666666666666</v>
      </c>
      <c r="M30" s="94">
        <v>14</v>
      </c>
      <c r="N30" s="95">
        <f>G30/W30*60</f>
        <v>1459.1489361702081</v>
      </c>
      <c r="O30" s="96">
        <f>N30/M30</f>
        <v>104.22492401215773</v>
      </c>
      <c r="P30" s="97">
        <f t="shared" si="21"/>
        <v>-1</v>
      </c>
      <c r="Q30" s="98">
        <f t="shared" si="22"/>
        <v>-4.8417426545089342</v>
      </c>
      <c r="R30" s="99">
        <f t="shared" si="26"/>
        <v>0.95560749399900125</v>
      </c>
      <c r="S30" s="414"/>
      <c r="T30" s="19">
        <v>0.56944444444444398</v>
      </c>
      <c r="U30" s="19">
        <v>0.60208333333333297</v>
      </c>
      <c r="V30" s="92">
        <f>(T30-U29)*24*60</f>
        <v>9.999999999999325</v>
      </c>
      <c r="W30" s="149">
        <f t="shared" si="17"/>
        <v>47.000000000000156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-176.85106382979188</v>
      </c>
      <c r="AG30" s="99">
        <f t="shared" si="24"/>
        <v>0.89190032773240102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15.5</v>
      </c>
      <c r="K37" s="155">
        <f t="shared" si="28"/>
        <v>1529.5</v>
      </c>
      <c r="L37" s="158">
        <f t="shared" si="28"/>
        <v>99.626172969187678</v>
      </c>
      <c r="M37" s="155">
        <f t="shared" si="28"/>
        <v>14.25</v>
      </c>
      <c r="N37" s="155">
        <f t="shared" si="28"/>
        <v>1255.4193188417039</v>
      </c>
      <c r="O37" s="158">
        <f t="shared" si="28"/>
        <v>88.792140775706685</v>
      </c>
      <c r="P37" s="159">
        <f>M37-J37</f>
        <v>-1.25</v>
      </c>
      <c r="Q37" s="160">
        <f>N37-K37</f>
        <v>-274.0806811582961</v>
      </c>
      <c r="R37" s="161">
        <f t="shared" ref="R37:R40" si="29">O37/L37</f>
        <v>0.89125315295578267</v>
      </c>
      <c r="S37" s="415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30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0">N37-K37</f>
        <v>-274.0806811582961</v>
      </c>
      <c r="AG37" s="124">
        <f t="shared" ref="AG37:AG41" si="31">N37/K37</f>
        <v>0.82080373902693948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2969</v>
      </c>
      <c r="H38" s="134">
        <f>F38*G38</f>
        <v>148182.78999999998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2">K38/J38</f>
        <v>114.26666666666667</v>
      </c>
      <c r="M38" s="190">
        <v>15</v>
      </c>
      <c r="N38" s="140">
        <f>G38/W38*60</f>
        <v>1484.4999999999875</v>
      </c>
      <c r="O38" s="141">
        <f>N38/M38</f>
        <v>98.96666666666583</v>
      </c>
      <c r="P38" s="142">
        <f t="shared" ref="P38:P40" si="33">M38-J38</f>
        <v>0</v>
      </c>
      <c r="Q38" s="143">
        <f t="shared" ref="Q38:Q40" si="34">O38-L38</f>
        <v>-15.300000000000836</v>
      </c>
      <c r="R38" s="144">
        <f>O38/L38</f>
        <v>0.86610268378062283</v>
      </c>
      <c r="S38" s="404">
        <f>R48</f>
        <v>0.9322407107828572</v>
      </c>
      <c r="T38" s="191">
        <v>0.33333333333333298</v>
      </c>
      <c r="U38" s="191">
        <v>0.41666666666666702</v>
      </c>
      <c r="V38" s="192"/>
      <c r="W38" s="193">
        <f t="shared" si="17"/>
        <v>120.00000000000101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-229.50000000001251</v>
      </c>
      <c r="AG38" s="195">
        <f t="shared" si="31"/>
        <v>0.86610268378062283</v>
      </c>
      <c r="AH38" s="398">
        <f>AG48</f>
        <v>0.93536101296512619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1713</v>
      </c>
      <c r="H39" s="91">
        <f>F39*G39</f>
        <v>75885.899999999994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2"/>
        <v>92.058823529411768</v>
      </c>
      <c r="M39" s="201">
        <v>17</v>
      </c>
      <c r="N39" s="202">
        <f>G39/W39*60</f>
        <v>1489.5652173913252</v>
      </c>
      <c r="O39" s="203">
        <f t="shared" ref="O39:O40" si="35">N39/M39</f>
        <v>87.62148337596031</v>
      </c>
      <c r="P39" s="97">
        <f t="shared" si="33"/>
        <v>0</v>
      </c>
      <c r="Q39" s="98">
        <f t="shared" si="34"/>
        <v>-4.4373401534514585</v>
      </c>
      <c r="R39" s="99">
        <f t="shared" si="29"/>
        <v>0.95179886095292343</v>
      </c>
      <c r="S39" s="405"/>
      <c r="T39" s="20">
        <v>0.42777777777777798</v>
      </c>
      <c r="U39" s="20">
        <v>0.47569444444444398</v>
      </c>
      <c r="V39" s="92">
        <f>(T39-U38)*24*60</f>
        <v>15.999999999999783</v>
      </c>
      <c r="W39" s="205">
        <f t="shared" si="17"/>
        <v>68.999999999999034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-75.434782608674823</v>
      </c>
      <c r="AG39" s="206">
        <f t="shared" si="31"/>
        <v>0.95179886095292343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4411</v>
      </c>
      <c r="H40" s="91">
        <f>F40*G40</f>
        <v>195407.3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2"/>
        <v>92.058823529411768</v>
      </c>
      <c r="M40" s="201">
        <v>17</v>
      </c>
      <c r="N40" s="202">
        <f>G40/W40*60</f>
        <v>1556.8235294117585</v>
      </c>
      <c r="O40" s="203">
        <f t="shared" si="35"/>
        <v>91.577854671279908</v>
      </c>
      <c r="P40" s="97">
        <f t="shared" si="33"/>
        <v>0</v>
      </c>
      <c r="Q40" s="98">
        <f t="shared" si="34"/>
        <v>-0.48096885813185963</v>
      </c>
      <c r="R40" s="99">
        <f t="shared" si="29"/>
        <v>0.99477541815447823</v>
      </c>
      <c r="S40" s="377"/>
      <c r="T40" s="20">
        <v>0.53819444444444398</v>
      </c>
      <c r="U40" s="20">
        <v>0.65625</v>
      </c>
      <c r="V40" s="92">
        <f>(T40-U39)*24*60</f>
        <v>90</v>
      </c>
      <c r="W40" s="205">
        <f t="shared" si="17"/>
        <v>170.00000000000068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0"/>
        <v>-8.1764705882415001</v>
      </c>
      <c r="AG40" s="206">
        <f t="shared" si="31"/>
        <v>0.99477541815447823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0"/>
        <v>0</v>
      </c>
      <c r="AG41" s="206" t="e">
        <f t="shared" si="31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16.333333333333332</v>
      </c>
      <c r="K48" s="155">
        <f t="shared" si="37"/>
        <v>1614.6666666666667</v>
      </c>
      <c r="L48" s="158">
        <f t="shared" si="37"/>
        <v>99.461437908496734</v>
      </c>
      <c r="M48" s="155">
        <f t="shared" si="37"/>
        <v>16.333333333333332</v>
      </c>
      <c r="N48" s="155">
        <f t="shared" si="37"/>
        <v>1510.2962489343572</v>
      </c>
      <c r="O48" s="158">
        <f t="shared" si="37"/>
        <v>92.722001571302016</v>
      </c>
      <c r="P48" s="221">
        <f>M48-J48</f>
        <v>0</v>
      </c>
      <c r="Q48" s="222">
        <f>N48-K48</f>
        <v>-104.37041773230953</v>
      </c>
      <c r="R48" s="223">
        <f>O48/L48</f>
        <v>0.9322407107828572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-104.37041773230953</v>
      </c>
      <c r="AG48" s="162">
        <f t="shared" ref="AG48:AG53" si="39">N48/K48</f>
        <v>0.93536101296512619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1337</v>
      </c>
      <c r="H49" s="134">
        <f>F49*G49</f>
        <v>76035.19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40">K49/J49</f>
        <v>100.82352941176471</v>
      </c>
      <c r="M49" s="170">
        <v>16</v>
      </c>
      <c r="N49" s="140">
        <f>G49/W49*60</f>
        <v>1458.5454545454725</v>
      </c>
      <c r="O49" s="141">
        <f>N49/M49</f>
        <v>91.159090909092029</v>
      </c>
      <c r="P49" s="229">
        <f>M49-J49</f>
        <v>-1</v>
      </c>
      <c r="Q49" s="230">
        <f>O49-L49</f>
        <v>-9.6644385026726809</v>
      </c>
      <c r="R49" s="52">
        <f>O49/L49</f>
        <v>0.90414500901666539</v>
      </c>
      <c r="S49" s="376">
        <f>R58</f>
        <v>0.9384582874113816</v>
      </c>
      <c r="T49" s="191">
        <v>0.29027777777777802</v>
      </c>
      <c r="U49" s="191">
        <v>0.328472222222222</v>
      </c>
      <c r="V49" s="55"/>
      <c r="W49" s="193">
        <f t="shared" si="17"/>
        <v>54.999999999999325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-255.45454545452753</v>
      </c>
      <c r="AG49" s="52">
        <f t="shared" si="39"/>
        <v>0.85096000848627329</v>
      </c>
      <c r="AH49" s="382">
        <f>AG58</f>
        <v>0.90969139436745283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2579</v>
      </c>
      <c r="H50" s="231">
        <f>F50*G50</f>
        <v>147544.59</v>
      </c>
      <c r="I50" s="232"/>
      <c r="J50" s="79">
        <v>15</v>
      </c>
      <c r="K50" s="80">
        <v>1636</v>
      </c>
      <c r="L50" s="81">
        <f t="shared" si="40"/>
        <v>109.06666666666666</v>
      </c>
      <c r="M50" s="233">
        <v>15</v>
      </c>
      <c r="N50" s="234">
        <f>G50/W50*60</f>
        <v>1547.4000000000094</v>
      </c>
      <c r="O50" s="235">
        <f>N50/M50</f>
        <v>103.16000000000062</v>
      </c>
      <c r="P50" s="74">
        <f>M50-J50</f>
        <v>0</v>
      </c>
      <c r="Q50" s="83">
        <f>O50-L50</f>
        <v>-5.906666666666041</v>
      </c>
      <c r="R50" s="72">
        <f>O50/L50</f>
        <v>0.94584352078240186</v>
      </c>
      <c r="S50" s="377"/>
      <c r="T50" s="21">
        <v>0.33124999999999999</v>
      </c>
      <c r="U50" s="21">
        <v>0.40069444444444402</v>
      </c>
      <c r="V50" s="30">
        <f t="shared" ref="V50:V52" si="41">(T50-U49)*24*60</f>
        <v>4.0000000000003055</v>
      </c>
      <c r="W50" s="236">
        <f t="shared" si="17"/>
        <v>99.999999999999403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8"/>
        <v>-88.599999999990587</v>
      </c>
      <c r="AG50" s="72">
        <f t="shared" si="39"/>
        <v>0.94584352078240186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2273</v>
      </c>
      <c r="H51" s="231">
        <f>F51*G51</f>
        <v>113581.81</v>
      </c>
      <c r="I51" s="232"/>
      <c r="J51" s="79">
        <f>VLOOKUP(D51,產線配置圖!$A$3:$C$38,2,0)</f>
        <v>16</v>
      </c>
      <c r="K51" s="80">
        <v>1800</v>
      </c>
      <c r="L51" s="81">
        <f t="shared" si="40"/>
        <v>112.5</v>
      </c>
      <c r="M51" s="233">
        <v>15</v>
      </c>
      <c r="N51" s="234">
        <f>G51/W51*60</f>
        <v>1567.586206896543</v>
      </c>
      <c r="O51" s="235">
        <f>N51/M51</f>
        <v>104.50574712643621</v>
      </c>
      <c r="P51" s="74">
        <f>M51-J51</f>
        <v>-1</v>
      </c>
      <c r="Q51" s="83">
        <f>O51-L51</f>
        <v>-7.994252873563795</v>
      </c>
      <c r="R51" s="72">
        <f>O51/L51</f>
        <v>0.92893997445721066</v>
      </c>
      <c r="S51" s="377"/>
      <c r="T51" s="21">
        <v>0.41388888888888897</v>
      </c>
      <c r="U51" s="19">
        <v>0.47430555555555598</v>
      </c>
      <c r="V51" s="30">
        <f t="shared" si="41"/>
        <v>19.000000000000732</v>
      </c>
      <c r="W51" s="236">
        <f t="shared" si="17"/>
        <v>87.000000000000483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-232.41379310345701</v>
      </c>
      <c r="AG51" s="72">
        <f t="shared" si="39"/>
        <v>0.87088122605363505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3964</v>
      </c>
      <c r="H52" s="231"/>
      <c r="I52" s="232"/>
      <c r="J52" s="79">
        <f>VLOOKUP(D52,產線配置圖!$A$3:$C$38,2,0)</f>
        <v>16</v>
      </c>
      <c r="K52" s="80">
        <v>1800</v>
      </c>
      <c r="L52" s="81">
        <f t="shared" si="40"/>
        <v>112.5</v>
      </c>
      <c r="M52" s="233">
        <v>16</v>
      </c>
      <c r="N52" s="234">
        <f>G52/W52*60</f>
        <v>1748.8235294117731</v>
      </c>
      <c r="O52" s="235">
        <f>N52/M52</f>
        <v>109.30147058823582</v>
      </c>
      <c r="P52" s="74">
        <f>M52-J52</f>
        <v>0</v>
      </c>
      <c r="Q52" s="83">
        <f>O52-L52</f>
        <v>-3.1985294117641843</v>
      </c>
      <c r="R52" s="72">
        <f>O52/L52</f>
        <v>0.97156862745098505</v>
      </c>
      <c r="S52" s="377"/>
      <c r="T52" s="21">
        <v>0.53402777777777799</v>
      </c>
      <c r="U52" s="21">
        <v>0.62847222222222199</v>
      </c>
      <c r="V52" s="30">
        <f t="shared" si="41"/>
        <v>85.999999999999687</v>
      </c>
      <c r="W52" s="236">
        <f t="shared" si="17"/>
        <v>135.99999999999935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-51.176470588226948</v>
      </c>
      <c r="AG52" s="72">
        <f t="shared" si="39"/>
        <v>0.97156862745098505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16</v>
      </c>
      <c r="K58" s="120">
        <f t="shared" si="42"/>
        <v>1737.5</v>
      </c>
      <c r="L58" s="117">
        <f t="shared" si="42"/>
        <v>108.72254901960784</v>
      </c>
      <c r="M58" s="120">
        <f t="shared" si="42"/>
        <v>15.5</v>
      </c>
      <c r="N58" s="120">
        <f t="shared" si="42"/>
        <v>1580.5887977134494</v>
      </c>
      <c r="O58" s="117">
        <f t="shared" si="42"/>
        <v>102.03157715594116</v>
      </c>
      <c r="P58" s="121">
        <f>M58-J58</f>
        <v>-0.5</v>
      </c>
      <c r="Q58" s="122">
        <f>N58-K58</f>
        <v>-156.91120228655063</v>
      </c>
      <c r="R58" s="123">
        <f t="shared" ref="R58:R60" si="43">O58/L58</f>
        <v>0.9384582874113816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-156.91120228655063</v>
      </c>
      <c r="AG58" s="124">
        <f t="shared" ref="AG58:AG61" si="45">N58/K58</f>
        <v>0.90969139436745283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2031</v>
      </c>
      <c r="H59" s="243">
        <f>F59*G59</f>
        <v>54816.689999999995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46">K59/J59</f>
        <v>120.38461538461539</v>
      </c>
      <c r="M59" s="244">
        <v>13</v>
      </c>
      <c r="N59" s="137">
        <f t="shared" ref="N59:N63" si="47">G59/W59*60</f>
        <v>1354</v>
      </c>
      <c r="O59" s="138">
        <f t="shared" ref="O59:O63" si="48">N59/M59</f>
        <v>104.15384615384616</v>
      </c>
      <c r="P59" s="56">
        <f t="shared" ref="P59:P63" si="49">M59-J59</f>
        <v>0</v>
      </c>
      <c r="Q59" s="230">
        <f t="shared" ref="Q59:Q63" si="50">O59-L59</f>
        <v>-16.230769230769226</v>
      </c>
      <c r="R59" s="52">
        <f t="shared" si="43"/>
        <v>0.86517571884984035</v>
      </c>
      <c r="S59" s="376">
        <f>R69</f>
        <v>0.86713165581565199</v>
      </c>
      <c r="T59" s="245">
        <v>0.30555555555555602</v>
      </c>
      <c r="U59" s="245">
        <v>0.36805555555555602</v>
      </c>
      <c r="V59" s="55"/>
      <c r="W59" s="54">
        <f t="shared" si="17"/>
        <v>90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-211</v>
      </c>
      <c r="AG59" s="246">
        <f t="shared" si="45"/>
        <v>0.86517571884984024</v>
      </c>
      <c r="AH59" s="382">
        <f>AG69</f>
        <v>0.89626071949700525</v>
      </c>
    </row>
    <row r="60" spans="1:34" ht="15" customHeight="1">
      <c r="A60" s="391"/>
      <c r="B60" s="75" t="s">
        <v>128</v>
      </c>
      <c r="C60" s="86"/>
      <c r="D60" s="175" t="s">
        <v>131</v>
      </c>
      <c r="E60" s="87"/>
      <c r="F60" s="75">
        <f>VLOOKUP(D60,廠價表!$C$1:$E$41,3,0)</f>
        <v>28.26</v>
      </c>
      <c r="G60" s="30">
        <v>1062</v>
      </c>
      <c r="H60" s="78">
        <f>F60*G60</f>
        <v>30012.120000000003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1416</v>
      </c>
      <c r="O60" s="81">
        <f t="shared" si="48"/>
        <v>118</v>
      </c>
      <c r="P60" s="74">
        <f t="shared" si="49"/>
        <v>0</v>
      </c>
      <c r="Q60" s="83">
        <f t="shared" si="50"/>
        <v>-12.416666666666657</v>
      </c>
      <c r="R60" s="72">
        <f t="shared" si="43"/>
        <v>0.90479233226837064</v>
      </c>
      <c r="S60" s="394"/>
      <c r="T60" s="22">
        <v>0.37847222222222199</v>
      </c>
      <c r="U60" s="22">
        <v>0.40972222222222199</v>
      </c>
      <c r="V60" s="30">
        <f t="shared" ref="V60:V63" si="51">(T60-U59)*24*60</f>
        <v>14.999999999998987</v>
      </c>
      <c r="W60" s="248">
        <f t="shared" si="17"/>
        <v>45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4"/>
        <v>-149</v>
      </c>
      <c r="AG60" s="249">
        <f t="shared" si="45"/>
        <v>0.90479233226837064</v>
      </c>
      <c r="AH60" s="389"/>
    </row>
    <row r="61" spans="1:34" ht="15" customHeight="1">
      <c r="A61" s="392"/>
      <c r="B61" s="250" t="s">
        <v>128</v>
      </c>
      <c r="C61" s="251"/>
      <c r="D61" s="252" t="s">
        <v>130</v>
      </c>
      <c r="E61" s="253"/>
      <c r="F61" s="250">
        <f>VLOOKUP(D61,廠價表!$C$1:$E$41,3,0)</f>
        <v>28.26</v>
      </c>
      <c r="G61" s="38">
        <v>1704</v>
      </c>
      <c r="H61" s="254">
        <f>F61*G61</f>
        <v>48155.040000000001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6"/>
        <v>130.41666666666666</v>
      </c>
      <c r="M61" s="108">
        <v>12</v>
      </c>
      <c r="N61" s="107">
        <f t="shared" si="47"/>
        <v>1363.2000000000094</v>
      </c>
      <c r="O61" s="238">
        <f t="shared" si="48"/>
        <v>113.60000000000078</v>
      </c>
      <c r="P61" s="111">
        <f t="shared" si="49"/>
        <v>0</v>
      </c>
      <c r="Q61" s="255">
        <f t="shared" si="50"/>
        <v>-16.816666666665881</v>
      </c>
      <c r="R61" s="85">
        <f>O61/L61</f>
        <v>0.87105431309904757</v>
      </c>
      <c r="S61" s="377"/>
      <c r="T61" s="22">
        <v>0.4375</v>
      </c>
      <c r="U61" s="22">
        <v>0.48958333333333298</v>
      </c>
      <c r="V61" s="30">
        <f t="shared" si="51"/>
        <v>40.000000000000341</v>
      </c>
      <c r="W61" s="256">
        <f t="shared" si="17"/>
        <v>74.999999999999488</v>
      </c>
      <c r="X61" s="22"/>
      <c r="Y61" s="84"/>
      <c r="Z61" s="90"/>
      <c r="AA61" s="90"/>
      <c r="AB61" s="388" t="s">
        <v>197</v>
      </c>
      <c r="AC61" s="388"/>
      <c r="AD61" s="92"/>
      <c r="AE61" s="92"/>
      <c r="AF61" s="317">
        <f t="shared" si="44"/>
        <v>-201.79999999999063</v>
      </c>
      <c r="AG61" s="247">
        <f t="shared" si="45"/>
        <v>0.87105431309904757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1394</v>
      </c>
      <c r="H62" s="254">
        <f t="shared" ref="H62:H63" si="52">F62*G62</f>
        <v>39394.44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6"/>
        <v>181.77777777777777</v>
      </c>
      <c r="M62" s="108">
        <v>11</v>
      </c>
      <c r="N62" s="107">
        <f t="shared" si="47"/>
        <v>1520.7272727272868</v>
      </c>
      <c r="O62" s="238">
        <f t="shared" si="48"/>
        <v>138.24793388429882</v>
      </c>
      <c r="P62" s="111">
        <f t="shared" si="49"/>
        <v>2</v>
      </c>
      <c r="Q62" s="255">
        <f t="shared" si="50"/>
        <v>-43.529843893478954</v>
      </c>
      <c r="R62" s="85">
        <f t="shared" ref="R62:R63" si="53">O62/L62</f>
        <v>0.76053264361778083</v>
      </c>
      <c r="S62" s="377"/>
      <c r="T62" s="22">
        <v>0.54166666666666696</v>
      </c>
      <c r="U62" s="22">
        <v>0.57986111111111105</v>
      </c>
      <c r="V62" s="30">
        <f t="shared" si="51"/>
        <v>75.000000000000938</v>
      </c>
      <c r="W62" s="248">
        <f t="shared" si="17"/>
        <v>54.999999999999488</v>
      </c>
      <c r="X62" s="22">
        <v>0.50347222222222199</v>
      </c>
      <c r="Y62" s="84">
        <v>0.54513888888888895</v>
      </c>
      <c r="Z62" s="90"/>
      <c r="AA62" s="90"/>
      <c r="AB62" s="388" t="s">
        <v>178</v>
      </c>
      <c r="AC62" s="388"/>
      <c r="AD62" s="92"/>
      <c r="AE62" s="92"/>
      <c r="AF62" s="317">
        <f>N62-K62</f>
        <v>-115.27272727271315</v>
      </c>
      <c r="AG62" s="247">
        <f>N62/K62</f>
        <v>0.92953989775506529</v>
      </c>
      <c r="AH62" s="384"/>
    </row>
    <row r="63" spans="1:34" ht="15" customHeight="1">
      <c r="A63" s="392"/>
      <c r="B63" s="258" t="s">
        <v>128</v>
      </c>
      <c r="C63" s="58"/>
      <c r="D63" s="259" t="s">
        <v>129</v>
      </c>
      <c r="E63" s="60"/>
      <c r="F63" s="250">
        <f>VLOOKUP(D63,廠價表!$C$1:$E$41,3,0)</f>
        <v>26.99</v>
      </c>
      <c r="G63" s="260">
        <v>2253</v>
      </c>
      <c r="H63" s="254">
        <f t="shared" si="52"/>
        <v>60808.469999999994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46"/>
        <v>120.38461538461539</v>
      </c>
      <c r="M63" s="68">
        <v>12</v>
      </c>
      <c r="N63" s="107">
        <f t="shared" si="47"/>
        <v>1422.9473684210577</v>
      </c>
      <c r="O63" s="238">
        <f t="shared" si="48"/>
        <v>118.57894736842148</v>
      </c>
      <c r="P63" s="111">
        <f t="shared" si="49"/>
        <v>-1</v>
      </c>
      <c r="Q63" s="255">
        <f t="shared" si="50"/>
        <v>-1.8056680161939056</v>
      </c>
      <c r="R63" s="85">
        <f t="shared" si="53"/>
        <v>0.98500084076005068</v>
      </c>
      <c r="S63" s="377"/>
      <c r="T63" s="22">
        <v>0.58680555555555602</v>
      </c>
      <c r="U63" s="22">
        <v>0.65277777777777801</v>
      </c>
      <c r="V63" s="30">
        <f t="shared" si="51"/>
        <v>10.000000000000764</v>
      </c>
      <c r="W63" s="248">
        <f t="shared" si="17"/>
        <v>94.999999999999659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4">AVERAGE(J59:J68)</f>
        <v>11.8</v>
      </c>
      <c r="K69" s="240">
        <f t="shared" si="54"/>
        <v>1579.2</v>
      </c>
      <c r="L69" s="268">
        <f t="shared" si="54"/>
        <v>136.67606837606837</v>
      </c>
      <c r="M69" s="240">
        <f t="shared" si="54"/>
        <v>12</v>
      </c>
      <c r="N69" s="240">
        <f t="shared" si="54"/>
        <v>1415.3749282296708</v>
      </c>
      <c r="O69" s="268">
        <f t="shared" si="54"/>
        <v>118.51614548131344</v>
      </c>
      <c r="P69" s="269">
        <f>M69-J69</f>
        <v>0.19999999999999929</v>
      </c>
      <c r="Q69" s="222">
        <f>N69-K69</f>
        <v>-163.82507177032926</v>
      </c>
      <c r="R69" s="123">
        <f>O69/L69</f>
        <v>0.86713165581565199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-163.82507177032926</v>
      </c>
      <c r="AG69" s="124">
        <f>N69/K69</f>
        <v>0.89626071949700525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1532</v>
      </c>
      <c r="H70" s="243">
        <f>F70*G70</f>
        <v>77626.44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12</v>
      </c>
      <c r="N70" s="137">
        <f>G70/W70*60</f>
        <v>1148.99999999999</v>
      </c>
      <c r="O70" s="138">
        <f>N70/M70</f>
        <v>95.749999999999162</v>
      </c>
      <c r="P70" s="56">
        <f>M70-J70</f>
        <v>-1</v>
      </c>
      <c r="Q70" s="230">
        <f>O70-L70</f>
        <v>-15.019230769231612</v>
      </c>
      <c r="R70" s="52">
        <f>O70/L70</f>
        <v>0.86440972222221457</v>
      </c>
      <c r="S70" s="376">
        <f>R79</f>
        <v>0.83928645102823862</v>
      </c>
      <c r="T70" s="245">
        <v>0.33333333333333298</v>
      </c>
      <c r="U70" s="245">
        <v>0.38888888888888901</v>
      </c>
      <c r="V70" s="55"/>
      <c r="W70" s="54">
        <f t="shared" si="17"/>
        <v>80.000000000000682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-291.00000000001</v>
      </c>
      <c r="AG70" s="246">
        <f>N70/K70</f>
        <v>0.79791666666665972</v>
      </c>
      <c r="AH70" s="382">
        <f>AG79</f>
        <v>0.84323210965208595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579</v>
      </c>
      <c r="H71" s="254">
        <f>F71*G71</f>
        <v>32672.97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3" si="55">K71/J71</f>
        <v>87.875</v>
      </c>
      <c r="M71" s="82">
        <v>13</v>
      </c>
      <c r="N71" s="107">
        <f t="shared" ref="N71:N73" si="56">G71/W71*60</f>
        <v>965.00000000000136</v>
      </c>
      <c r="O71" s="238">
        <f t="shared" ref="O71:O73" si="57">N71/M71</f>
        <v>74.23076923076934</v>
      </c>
      <c r="P71" s="111">
        <f t="shared" ref="P71:P73" si="58">M71-J71</f>
        <v>-3</v>
      </c>
      <c r="Q71" s="255">
        <f t="shared" ref="Q71:Q73" si="59">O71-L71</f>
        <v>-13.64423076923066</v>
      </c>
      <c r="R71" s="85">
        <f>O71/L71</f>
        <v>0.84473137104716178</v>
      </c>
      <c r="S71" s="377"/>
      <c r="T71" s="22">
        <v>0.40277777777777801</v>
      </c>
      <c r="U71" s="22">
        <v>0.42777777777777798</v>
      </c>
      <c r="V71" s="30">
        <f t="shared" ref="V71:V73" si="60">(T71-U70)*24*60</f>
        <v>20.000000000000171</v>
      </c>
      <c r="W71" s="73">
        <f t="shared" si="17"/>
        <v>35.99999999999995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2276</v>
      </c>
      <c r="H72" s="254">
        <f t="shared" ref="H72:H73" si="61">F72*G72</f>
        <v>64319.76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5"/>
        <v>181.77777777777777</v>
      </c>
      <c r="M72" s="82">
        <v>11</v>
      </c>
      <c r="N72" s="107">
        <f t="shared" si="56"/>
        <v>1484.347826086954</v>
      </c>
      <c r="O72" s="238">
        <f t="shared" si="57"/>
        <v>134.94071146245037</v>
      </c>
      <c r="P72" s="111">
        <f t="shared" si="58"/>
        <v>2</v>
      </c>
      <c r="Q72" s="255">
        <f t="shared" si="59"/>
        <v>-46.837066315327405</v>
      </c>
      <c r="R72" s="85">
        <f t="shared" ref="R72:R73" si="62">O72/L72</f>
        <v>0.74233887723841896</v>
      </c>
      <c r="S72" s="377"/>
      <c r="T72" s="22">
        <v>0.4375</v>
      </c>
      <c r="U72" s="22">
        <v>0.50138888888888899</v>
      </c>
      <c r="V72" s="30">
        <f t="shared" si="60"/>
        <v>13.99999999999971</v>
      </c>
      <c r="W72" s="73">
        <f t="shared" si="17"/>
        <v>92.000000000000156</v>
      </c>
      <c r="X72" s="272"/>
      <c r="Y72" s="288"/>
      <c r="Z72" s="90"/>
      <c r="AA72" s="90"/>
      <c r="AB72" s="388" t="s">
        <v>178</v>
      </c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86"/>
      <c r="D73" s="59" t="s">
        <v>132</v>
      </c>
      <c r="E73" s="87"/>
      <c r="F73" s="250">
        <f>VLOOKUP(D73,廠價表!$C$1:$E$41,3,0)</f>
        <v>50.67</v>
      </c>
      <c r="G73" s="202">
        <v>1279</v>
      </c>
      <c r="H73" s="254">
        <f t="shared" si="61"/>
        <v>64806.93</v>
      </c>
      <c r="I73" s="182"/>
      <c r="J73" s="106">
        <v>13</v>
      </c>
      <c r="K73" s="107">
        <v>1440</v>
      </c>
      <c r="L73" s="238">
        <f t="shared" si="55"/>
        <v>110.76923076923077</v>
      </c>
      <c r="M73" s="82">
        <v>13</v>
      </c>
      <c r="N73" s="107">
        <f t="shared" si="56"/>
        <v>1395.2727272727079</v>
      </c>
      <c r="O73" s="238">
        <f t="shared" si="57"/>
        <v>107.32867132866984</v>
      </c>
      <c r="P73" s="111">
        <f t="shared" si="58"/>
        <v>0</v>
      </c>
      <c r="Q73" s="255">
        <f t="shared" si="59"/>
        <v>-3.4405594405609321</v>
      </c>
      <c r="R73" s="85">
        <f t="shared" si="62"/>
        <v>0.96893939393938044</v>
      </c>
      <c r="S73" s="377"/>
      <c r="T73" s="22">
        <v>0.56944444444444398</v>
      </c>
      <c r="U73" s="22">
        <v>0.60763888888888895</v>
      </c>
      <c r="V73" s="30">
        <f t="shared" si="60"/>
        <v>97.999999999999176</v>
      </c>
      <c r="W73" s="73">
        <f t="shared" si="17"/>
        <v>55.000000000000767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ref="H77:H78" si="63"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4">AVERAGE(J70:J78)</f>
        <v>12.75</v>
      </c>
      <c r="K79" s="240">
        <f t="shared" si="64"/>
        <v>1480.5</v>
      </c>
      <c r="L79" s="268">
        <f t="shared" si="64"/>
        <v>122.79780982905983</v>
      </c>
      <c r="M79" s="240">
        <f t="shared" si="64"/>
        <v>12.25</v>
      </c>
      <c r="N79" s="240">
        <f t="shared" si="64"/>
        <v>1248.4051383399133</v>
      </c>
      <c r="O79" s="268">
        <f t="shared" si="64"/>
        <v>103.06253800547218</v>
      </c>
      <c r="P79" s="269">
        <f>M79-J79</f>
        <v>-0.5</v>
      </c>
      <c r="Q79" s="222">
        <f>N79-K79</f>
        <v>-232.09486166008674</v>
      </c>
      <c r="R79" s="223">
        <f>O79/L79</f>
        <v>0.83928645102823862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-232.09486166008674</v>
      </c>
      <c r="AG79" s="124">
        <f>N79/K79</f>
        <v>0.84323210965208595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AB1:AC2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57:AC57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2:AC52"/>
    <mergeCell ref="AB53:AC53"/>
    <mergeCell ref="AB54:AC54"/>
    <mergeCell ref="AB55:AC55"/>
    <mergeCell ref="AB56:AC56"/>
    <mergeCell ref="A38:A48"/>
    <mergeCell ref="S38:S48"/>
    <mergeCell ref="AB38:AC38"/>
    <mergeCell ref="D48:E48"/>
    <mergeCell ref="AB48:AC48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59:A69"/>
    <mergeCell ref="S59:S69"/>
    <mergeCell ref="AB59:AC59"/>
    <mergeCell ref="A70:A79"/>
    <mergeCell ref="S70:S79"/>
    <mergeCell ref="AB70:AC70"/>
    <mergeCell ref="D69:E69"/>
    <mergeCell ref="AB69:AC6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1E782B-521F-4E29-9E6B-9B61AF784607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ED7B-92BE-48EE-98CC-39E8BB291BCA}">
  <dimension ref="B1:O26"/>
  <sheetViews>
    <sheetView topLeftCell="A2" zoomScale="70" zoomScaleNormal="70" workbookViewId="0">
      <selection activeCell="H17" sqref="H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46104</v>
      </c>
      <c r="E3" s="466"/>
      <c r="F3" s="3" t="s">
        <v>72</v>
      </c>
      <c r="G3" s="467">
        <f>'0323'!E1</f>
        <v>60999</v>
      </c>
      <c r="H3" s="467"/>
      <c r="I3" s="3" t="s">
        <v>2</v>
      </c>
      <c r="J3" s="468">
        <f>'0323'!G1</f>
        <v>2888365.8800000004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125.06555345797993</v>
      </c>
      <c r="G6" s="473"/>
      <c r="H6" s="474">
        <f>AVERAGE(D13:H13,J13)</f>
        <v>123.13046763829851</v>
      </c>
      <c r="I6" s="474"/>
      <c r="J6" s="474">
        <f>AVERAGE(I13)</f>
        <v>136.67606837606837</v>
      </c>
      <c r="K6" s="474"/>
      <c r="L6" s="499">
        <f>SUM(D18:J18)</f>
        <v>1</v>
      </c>
      <c r="M6" s="477">
        <f>SUM(D19:J19)</f>
        <v>15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112.27570555748386</v>
      </c>
      <c r="G7" s="497"/>
      <c r="H7" s="498">
        <f>AVERAGE(D14:H14,J14)</f>
        <v>111.82209871826433</v>
      </c>
      <c r="I7" s="498"/>
      <c r="J7" s="498">
        <f>AVERAGE(I14)</f>
        <v>114.99734659280099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0.89773484747106436</v>
      </c>
      <c r="G8" s="470"/>
      <c r="H8" s="470">
        <f>H7/H6</f>
        <v>0.90815945771234263</v>
      </c>
      <c r="I8" s="470"/>
      <c r="J8" s="470">
        <f>J7/J6</f>
        <v>0.84138611798798812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VALUE('0323'!L15)</f>
        <v>153.05982905982907</v>
      </c>
      <c r="E13" s="13">
        <f>VALUE('0323'!L26)</f>
        <v>170.39772727272725</v>
      </c>
      <c r="F13" s="13">
        <f>VALUE('0323'!L37)</f>
        <v>91.25919117647058</v>
      </c>
      <c r="G13" s="13">
        <f>VALUE('0323'!L48)</f>
        <v>99.461437908496734</v>
      </c>
      <c r="H13" s="13">
        <f>VALUE('0323'!L58)</f>
        <v>108.79137254901961</v>
      </c>
      <c r="I13" s="13">
        <f>VALUE('0323'!L69)</f>
        <v>136.67606837606837</v>
      </c>
      <c r="J13" s="13">
        <f>'0323'!L79</f>
        <v>115.81324786324785</v>
      </c>
    </row>
    <row r="14" spans="2:15" ht="39.950000000000003" customHeight="1">
      <c r="B14" s="491"/>
      <c r="C14" s="12" t="s">
        <v>100</v>
      </c>
      <c r="D14" s="13">
        <f>VALUE('0323'!O15)</f>
        <v>141.14720389051118</v>
      </c>
      <c r="E14" s="13">
        <f>VALUE('0323'!O26)</f>
        <v>156.89003111006951</v>
      </c>
      <c r="F14" s="13">
        <f>VALUE('0323'!O37)</f>
        <v>87.908653846153527</v>
      </c>
      <c r="G14" s="13">
        <f>VALUE('0323'!O48)</f>
        <v>92.581897755663888</v>
      </c>
      <c r="H14" s="13">
        <f>VALUE('0323'!O58)</f>
        <v>98.572360840734632</v>
      </c>
      <c r="I14" s="13">
        <f>VALUE('0323'!O69)</f>
        <v>114.99734659280099</v>
      </c>
      <c r="J14" s="13">
        <f>'0323'!O79</f>
        <v>93.832444866453272</v>
      </c>
    </row>
    <row r="15" spans="2:15" ht="39.950000000000003" customHeight="1">
      <c r="B15" s="492"/>
      <c r="C15" s="10" t="s">
        <v>26</v>
      </c>
      <c r="D15" s="14">
        <f>D14/D13</f>
        <v>0.92217013933380654</v>
      </c>
      <c r="E15" s="14">
        <f t="shared" ref="E15:I15" si="1">E14/E13</f>
        <v>0.9207284253208482</v>
      </c>
      <c r="F15" s="14">
        <f t="shared" si="1"/>
        <v>0.96328548075954323</v>
      </c>
      <c r="G15" s="14">
        <f t="shared" si="1"/>
        <v>0.93083208630904835</v>
      </c>
      <c r="H15" s="14">
        <f t="shared" si="1"/>
        <v>0.90606781154746019</v>
      </c>
      <c r="I15" s="14">
        <f t="shared" si="1"/>
        <v>0.84138611798798812</v>
      </c>
      <c r="J15" s="15">
        <f>'0323'!S70</f>
        <v>0.81020476152478271</v>
      </c>
    </row>
    <row r="16" spans="2:15" ht="17.25" customHeight="1">
      <c r="B16" s="493" t="s">
        <v>101</v>
      </c>
      <c r="C16" s="10" t="s">
        <v>34</v>
      </c>
      <c r="D16" s="16">
        <f>'0323'!T5</f>
        <v>0.29166666666666702</v>
      </c>
      <c r="E16" s="16">
        <f>'0323'!T16</f>
        <v>0.29097222222222202</v>
      </c>
      <c r="F16" s="16">
        <f>'0323'!T27</f>
        <v>0.29027777777777802</v>
      </c>
      <c r="G16" s="16">
        <f>'0323'!T38</f>
        <v>0.33333333333333298</v>
      </c>
      <c r="H16" s="16">
        <f>'0323'!T49</f>
        <v>0.29166666666666702</v>
      </c>
      <c r="I16" s="16">
        <f>'0323'!T59</f>
        <v>0.29166666666666702</v>
      </c>
      <c r="J16" s="16">
        <f>'0323'!T70</f>
        <v>0.33333333333333298</v>
      </c>
    </row>
    <row r="17" spans="2:10" ht="17.25" customHeight="1">
      <c r="B17" s="494"/>
      <c r="C17" s="10" t="s">
        <v>35</v>
      </c>
      <c r="D17" s="18">
        <v>0.58819444444444402</v>
      </c>
      <c r="E17" s="19">
        <v>0.59791666666666698</v>
      </c>
      <c r="F17" s="19">
        <v>0.46180555555555602</v>
      </c>
      <c r="G17" s="20">
        <v>0.64583333333333304</v>
      </c>
      <c r="H17" s="21">
        <v>0.67361111111111105</v>
      </c>
      <c r="I17" s="22">
        <v>0.67013888888888895</v>
      </c>
      <c r="J17" s="22">
        <v>0.61666666666666703</v>
      </c>
    </row>
    <row r="18" spans="2:10" ht="17.25" customHeight="1">
      <c r="B18" s="495" t="s">
        <v>102</v>
      </c>
      <c r="C18" s="330" t="s">
        <v>36</v>
      </c>
      <c r="D18" s="358">
        <f>'0323'!Z15</f>
        <v>0</v>
      </c>
      <c r="E18" s="359">
        <f>'0323'!Z26</f>
        <v>0</v>
      </c>
      <c r="F18" s="359">
        <f>'0323'!Z37</f>
        <v>0</v>
      </c>
      <c r="G18" s="360">
        <f>'0323'!Z48</f>
        <v>0</v>
      </c>
      <c r="H18" s="360">
        <f>'0323'!Z58</f>
        <v>1</v>
      </c>
      <c r="I18" s="359">
        <f>'0323'!Z69</f>
        <v>0</v>
      </c>
      <c r="J18" s="359">
        <f>'0323'!AA79</f>
        <v>0</v>
      </c>
    </row>
    <row r="19" spans="2:10" ht="17.25" customHeight="1">
      <c r="B19" s="496"/>
      <c r="C19" s="330" t="s">
        <v>37</v>
      </c>
      <c r="D19" s="358">
        <f>'0323'!AA15</f>
        <v>0</v>
      </c>
      <c r="E19" s="359">
        <f>'0323'!AA26</f>
        <v>0</v>
      </c>
      <c r="F19" s="359">
        <f>'0323'!AA37</f>
        <v>0</v>
      </c>
      <c r="G19" s="360">
        <f>'0323'!AA48</f>
        <v>0</v>
      </c>
      <c r="H19" s="360">
        <f>'0323'!AA58</f>
        <v>15</v>
      </c>
      <c r="I19" s="359">
        <f>'0323'!AA69</f>
        <v>0</v>
      </c>
      <c r="J19" s="359">
        <f>'0323'!AB79</f>
        <v>0</v>
      </c>
    </row>
    <row r="20" spans="2:10" ht="17.25" customHeight="1">
      <c r="B20" s="495" t="s">
        <v>103</v>
      </c>
      <c r="C20" s="330" t="s">
        <v>36</v>
      </c>
      <c r="D20" s="358">
        <f>'0323'!AD15</f>
        <v>0</v>
      </c>
      <c r="E20" s="359">
        <f>'0323'!AD26</f>
        <v>0</v>
      </c>
      <c r="F20" s="359">
        <f>'0323'!AD37</f>
        <v>0</v>
      </c>
      <c r="G20" s="360">
        <f>'0323'!AD48</f>
        <v>0</v>
      </c>
      <c r="H20" s="360">
        <f>'0323'!AD58</f>
        <v>0</v>
      </c>
      <c r="I20" s="359">
        <f>'0323'!AD69</f>
        <v>0</v>
      </c>
      <c r="J20" s="359">
        <f>'0323'!AD79</f>
        <v>0</v>
      </c>
    </row>
    <row r="21" spans="2:10" ht="17.25" customHeight="1">
      <c r="B21" s="496"/>
      <c r="C21" s="330" t="s">
        <v>85</v>
      </c>
      <c r="D21" s="358">
        <f>'0323'!AE15</f>
        <v>0</v>
      </c>
      <c r="E21" s="359">
        <f>'0323'!AE26</f>
        <v>0</v>
      </c>
      <c r="F21" s="359">
        <f>'0323'!AE37</f>
        <v>0</v>
      </c>
      <c r="G21" s="360">
        <f>'0323'!AE48</f>
        <v>0</v>
      </c>
      <c r="H21" s="360">
        <f>'0323'!AE58</f>
        <v>0</v>
      </c>
      <c r="I21" s="359">
        <f>'0323'!AE69</f>
        <v>0</v>
      </c>
      <c r="J21" s="359">
        <f>'0323'!AE79</f>
        <v>0</v>
      </c>
    </row>
    <row r="22" spans="2:10" ht="17.25" customHeight="1">
      <c r="B22" s="479" t="s">
        <v>104</v>
      </c>
      <c r="C22" s="480"/>
      <c r="D22" s="23">
        <f>VALUE('0323'!M15)</f>
        <v>13.666666666666666</v>
      </c>
      <c r="E22" s="23">
        <f>VALUE('0323'!M26)</f>
        <v>12.25</v>
      </c>
      <c r="F22" s="23">
        <f>VALUE('0323'!M37)</f>
        <v>16</v>
      </c>
      <c r="G22" s="23">
        <f>VALUE('0323'!M48)</f>
        <v>16.333333333333332</v>
      </c>
      <c r="H22" s="23">
        <f>VALUE('0323'!M58)</f>
        <v>15.8</v>
      </c>
      <c r="I22" s="23">
        <f>VALUE('0323'!M69)</f>
        <v>12.2</v>
      </c>
      <c r="J22" s="23">
        <f>'0323'!M79</f>
        <v>9.8000000000000007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446E-8D45-40D8-B125-7987B1F9EC24}">
  <sheetPr>
    <tabColor theme="9" tint="0.79998168889431442"/>
  </sheetPr>
  <dimension ref="A1:AJ92"/>
  <sheetViews>
    <sheetView tabSelected="1" zoomScale="69" zoomScaleNormal="69" workbookViewId="0">
      <pane xSplit="5" ySplit="4" topLeftCell="F44" activePane="bottomRight" state="frozen"/>
      <selection activeCell="D49" sqref="D49"/>
      <selection pane="topRight" activeCell="D49" sqref="D49"/>
      <selection pane="bottomLeft" activeCell="D49" sqref="D49"/>
      <selection pane="bottomRight" activeCell="U64" sqref="U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60999</v>
      </c>
      <c r="F1" s="30" t="s">
        <v>2</v>
      </c>
      <c r="G1" s="31">
        <f>SUM(H5:H79)</f>
        <v>2888365.8800000004</v>
      </c>
      <c r="H1" s="32" t="s">
        <v>3</v>
      </c>
      <c r="I1" s="33">
        <f>M15+M26+M48+M58+M69+M79+M37</f>
        <v>96.05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198</v>
      </c>
      <c r="B2" s="447"/>
      <c r="C2" s="28"/>
      <c r="D2" s="28" t="s">
        <v>14</v>
      </c>
      <c r="E2" s="35">
        <f>AVERAGE(O15,O26,O37,O48,O58,O69,O79)</f>
        <v>112.27570555748386</v>
      </c>
      <c r="F2" s="36" t="s">
        <v>15</v>
      </c>
      <c r="G2" s="37">
        <f>G1/E1</f>
        <v>47.351036574370077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15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4197</v>
      </c>
      <c r="H5" s="43">
        <f>F5*G5</f>
        <v>240110.37</v>
      </c>
      <c r="I5" s="44"/>
      <c r="J5" s="45">
        <f>VLOOKUP(D5,產線配置圖!$A$3:$C$38,2,0)</f>
        <v>15</v>
      </c>
      <c r="K5" s="46">
        <f>VLOOKUP(D5,產線配置圖!$A$3:$C$38,3,0)</f>
        <v>2000</v>
      </c>
      <c r="L5" s="47">
        <f t="shared" ref="L5:L7" si="0">K5/J5</f>
        <v>133.33333333333334</v>
      </c>
      <c r="M5" s="48">
        <v>15</v>
      </c>
      <c r="N5" s="46">
        <f t="shared" ref="N5:N7" si="1">G5/W5*60</f>
        <v>1922.2900763358837</v>
      </c>
      <c r="O5" s="47">
        <f t="shared" ref="O5:O7" si="2">N5/M5</f>
        <v>128.15267175572558</v>
      </c>
      <c r="P5" s="49">
        <f t="shared" ref="P5:P7" si="3">M5-J5</f>
        <v>0</v>
      </c>
      <c r="Q5" s="50">
        <f t="shared" ref="Q5:Q7" si="4">O5-L5</f>
        <v>-5.1806615776077649</v>
      </c>
      <c r="R5" s="51">
        <f t="shared" ref="R5:R7" si="5">O5/L5</f>
        <v>0.96114503816794172</v>
      </c>
      <c r="S5" s="376">
        <f>R15</f>
        <v>0.92217013933380654</v>
      </c>
      <c r="T5" s="319">
        <v>0.29166666666666702</v>
      </c>
      <c r="U5" s="320">
        <v>0.38263888888888897</v>
      </c>
      <c r="V5" s="53"/>
      <c r="W5" s="54">
        <f t="shared" ref="W5:W14" si="6">(U5-T5)*24*60</f>
        <v>130.9999999999996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-77.709923664116332</v>
      </c>
      <c r="AG5" s="52">
        <f t="shared" ref="AG5:AG11" si="8">N5/K5</f>
        <v>0.96114503816794183</v>
      </c>
      <c r="AH5" s="382">
        <f>AG15</f>
        <v>0.92383680167437243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3941</v>
      </c>
      <c r="H6" s="63">
        <f>F6*G6</f>
        <v>193660.74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1876.6666666666663</v>
      </c>
      <c r="O6" s="67">
        <f t="shared" si="2"/>
        <v>144.35897435897434</v>
      </c>
      <c r="P6" s="69">
        <f t="shared" si="3"/>
        <v>0</v>
      </c>
      <c r="Q6" s="70">
        <f t="shared" si="4"/>
        <v>-18.564102564102598</v>
      </c>
      <c r="R6" s="71">
        <f t="shared" si="5"/>
        <v>0.88605602769908698</v>
      </c>
      <c r="S6" s="377"/>
      <c r="T6" s="16">
        <v>0.391666666666667</v>
      </c>
      <c r="U6" s="16">
        <v>0.47916666666666702</v>
      </c>
      <c r="V6" s="30">
        <f>(T6-U5)*24*60</f>
        <v>13.000000000000353</v>
      </c>
      <c r="W6" s="73">
        <f t="shared" si="6"/>
        <v>126.00000000000003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-241.33333333333371</v>
      </c>
      <c r="AG6" s="72">
        <f t="shared" si="8"/>
        <v>0.88605602769908698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2191</v>
      </c>
      <c r="H7" s="78">
        <f>F7*G7</f>
        <v>107665.74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1962.0895522388364</v>
      </c>
      <c r="O7" s="81">
        <f t="shared" si="2"/>
        <v>150.92996555683357</v>
      </c>
      <c r="P7" s="74">
        <f t="shared" si="3"/>
        <v>0</v>
      </c>
      <c r="Q7" s="83">
        <f t="shared" si="4"/>
        <v>-11.993111366243369</v>
      </c>
      <c r="R7" s="72">
        <f t="shared" si="5"/>
        <v>0.92638789057546567</v>
      </c>
      <c r="S7" s="377"/>
      <c r="T7" s="18">
        <v>0.54166666666666696</v>
      </c>
      <c r="U7" s="18">
        <v>0.58819444444444402</v>
      </c>
      <c r="V7" s="30">
        <f>(T7-U6)*24*60</f>
        <v>89.999999999999915</v>
      </c>
      <c r="W7" s="73">
        <f t="shared" si="6"/>
        <v>66.999999999998963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-155.9104477611636</v>
      </c>
      <c r="AG7" s="72">
        <f t="shared" si="8"/>
        <v>0.92638789057546578</v>
      </c>
      <c r="AH7" s="384"/>
    </row>
    <row r="8" spans="1:34" ht="15" customHeight="1">
      <c r="A8" s="423"/>
      <c r="B8" s="75" t="s">
        <v>189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13.666666666666666</v>
      </c>
      <c r="K15" s="120">
        <f t="shared" si="9"/>
        <v>2078.6666666666665</v>
      </c>
      <c r="L15" s="117">
        <f t="shared" si="9"/>
        <v>153.05982905982907</v>
      </c>
      <c r="M15" s="120">
        <f t="shared" si="9"/>
        <v>13.666666666666666</v>
      </c>
      <c r="N15" s="120">
        <f t="shared" si="9"/>
        <v>1920.348765080462</v>
      </c>
      <c r="O15" s="117">
        <f t="shared" si="9"/>
        <v>141.14720389051118</v>
      </c>
      <c r="P15" s="121">
        <f t="shared" ref="P15:P19" si="10">M15-J15</f>
        <v>0</v>
      </c>
      <c r="Q15" s="122">
        <f t="shared" ref="Q15:Q19" si="11">O15-L15</f>
        <v>-11.912625169317892</v>
      </c>
      <c r="R15" s="123">
        <f t="shared" ref="R15:R19" si="12">O15/L15</f>
        <v>0.92217013933380654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-158.31790158620447</v>
      </c>
      <c r="AG15" s="124">
        <f t="shared" ref="AG15:AG19" si="14">N15/K15</f>
        <v>0.92383680167437243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957</v>
      </c>
      <c r="H16" s="134">
        <f>F16*G16</f>
        <v>53859.96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1595.0000000000023</v>
      </c>
      <c r="O16" s="141">
        <f>N16/M16</f>
        <v>106.33333333333348</v>
      </c>
      <c r="P16" s="142">
        <f>M16-J16</f>
        <v>0</v>
      </c>
      <c r="Q16" s="143">
        <f t="shared" si="11"/>
        <v>-13.666666666666515</v>
      </c>
      <c r="R16" s="144">
        <f>O16/L16</f>
        <v>0.8861111111111124</v>
      </c>
      <c r="S16" s="413">
        <f>R26</f>
        <v>0.9207284253208482</v>
      </c>
      <c r="T16" s="145">
        <v>0.29097222222222202</v>
      </c>
      <c r="U16" s="145">
        <v>0.31597222222222199</v>
      </c>
      <c r="V16" s="135"/>
      <c r="W16" s="146">
        <f t="shared" ref="W16:W78" si="17">(U16-T16)*24*60</f>
        <v>35.99999999999995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-204.99999999999773</v>
      </c>
      <c r="AG16" s="52">
        <f t="shared" si="14"/>
        <v>0.8861111111111124</v>
      </c>
      <c r="AH16" s="382">
        <f>AG26</f>
        <v>0.92005392472116643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4167</v>
      </c>
      <c r="H17" s="78">
        <f>F17*G17</f>
        <v>211141.89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2083.4999999999841</v>
      </c>
      <c r="O17" s="96">
        <f t="shared" ref="O17:O19" si="18">N17/M17</f>
        <v>173.62499999999866</v>
      </c>
      <c r="P17" s="97">
        <f t="shared" si="10"/>
        <v>0</v>
      </c>
      <c r="Q17" s="98">
        <f t="shared" si="11"/>
        <v>-2.8750000000013358</v>
      </c>
      <c r="R17" s="99">
        <f t="shared" si="12"/>
        <v>0.98371104815863264</v>
      </c>
      <c r="S17" s="414"/>
      <c r="T17" s="19">
        <v>0.32222222222222202</v>
      </c>
      <c r="U17" s="19">
        <v>0.405555555555556</v>
      </c>
      <c r="V17" s="30">
        <f>(T17-U16)*24*60</f>
        <v>9.000000000000048</v>
      </c>
      <c r="W17" s="149">
        <f t="shared" si="17"/>
        <v>120.00000000000094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-34.500000000015916</v>
      </c>
      <c r="AG17" s="72">
        <f t="shared" si="14"/>
        <v>0.98371104815863275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3329</v>
      </c>
      <c r="H18" s="78">
        <f>F18*G18</f>
        <v>167748.31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2059.1752577319612</v>
      </c>
      <c r="O18" s="96">
        <f t="shared" si="18"/>
        <v>187.19775070290555</v>
      </c>
      <c r="P18" s="97">
        <f t="shared" si="10"/>
        <v>0</v>
      </c>
      <c r="Q18" s="98">
        <f t="shared" si="11"/>
        <v>-5.3477038425489809</v>
      </c>
      <c r="R18" s="99">
        <f t="shared" si="12"/>
        <v>0.97222627843813092</v>
      </c>
      <c r="S18" s="414"/>
      <c r="T18" s="19">
        <v>0.41180555555555598</v>
      </c>
      <c r="U18" s="19">
        <v>0.47916666666666702</v>
      </c>
      <c r="V18" s="30">
        <f>(T18-U17)*24*60</f>
        <v>8.999999999999968</v>
      </c>
      <c r="W18" s="149">
        <f t="shared" si="17"/>
        <v>96.999999999999901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-58.82474226803879</v>
      </c>
      <c r="AG18" s="72">
        <f t="shared" si="14"/>
        <v>0.97222627843813092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2382</v>
      </c>
      <c r="H19" s="78">
        <f>F19*G19</f>
        <v>120028.98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1764.4444444444439</v>
      </c>
      <c r="O19" s="96">
        <f t="shared" si="18"/>
        <v>160.40404040404036</v>
      </c>
      <c r="P19" s="97">
        <f t="shared" si="10"/>
        <v>0</v>
      </c>
      <c r="Q19" s="98">
        <f t="shared" si="11"/>
        <v>-32.141414141414174</v>
      </c>
      <c r="R19" s="99">
        <f t="shared" si="12"/>
        <v>0.83307103137131444</v>
      </c>
      <c r="S19" s="414"/>
      <c r="T19" s="19">
        <v>0.54166666666666696</v>
      </c>
      <c r="U19" s="19">
        <v>0.59791666666666698</v>
      </c>
      <c r="V19" s="30">
        <f>(T19-U18)*24*60</f>
        <v>89.999999999999915</v>
      </c>
      <c r="W19" s="149">
        <f t="shared" si="17"/>
        <v>81.000000000000028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-353.55555555555611</v>
      </c>
      <c r="AG19" s="72">
        <f t="shared" si="14"/>
        <v>0.83307103137131444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1875.5299255440978</v>
      </c>
      <c r="O26" s="158">
        <f t="shared" si="20"/>
        <v>156.89003111006951</v>
      </c>
      <c r="P26" s="159">
        <f t="shared" ref="P26:P28" si="21">M26-J26</f>
        <v>0</v>
      </c>
      <c r="Q26" s="160">
        <f t="shared" ref="Q26:Q28" si="22">O26-L26</f>
        <v>-13.507696162657737</v>
      </c>
      <c r="R26" s="161">
        <f>O26/L26</f>
        <v>0.9207284253208482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-162.97007445590225</v>
      </c>
      <c r="AG26" s="124">
        <f t="shared" ref="AG26:AG31" si="24">N26/K26</f>
        <v>0.92005392472116643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3009</v>
      </c>
      <c r="H27" s="134">
        <f>F27*G27</f>
        <v>175033.53</v>
      </c>
      <c r="I27" s="135"/>
      <c r="J27" s="136">
        <f>VLOOKUP(D27,產線配置圖!$A$3:$C$38,2,0)</f>
        <v>16</v>
      </c>
      <c r="K27" s="137">
        <f>VLOOKUP(D27,產線配置圖!$A$3:$C$38,3,0)</f>
        <v>1565</v>
      </c>
      <c r="L27" s="138">
        <f t="shared" ref="L27:L28" si="25">K27/J27</f>
        <v>97.8125</v>
      </c>
      <c r="M27" s="170">
        <v>16</v>
      </c>
      <c r="N27" s="140">
        <f>G27/W27*60</f>
        <v>1543.0769230769233</v>
      </c>
      <c r="O27" s="141">
        <f>N27/M27</f>
        <v>96.442307692307708</v>
      </c>
      <c r="P27" s="142">
        <f t="shared" si="21"/>
        <v>0</v>
      </c>
      <c r="Q27" s="143">
        <f t="shared" si="22"/>
        <v>-1.3701923076922924</v>
      </c>
      <c r="R27" s="144">
        <f>O27/L27</f>
        <v>0.98599164413860918</v>
      </c>
      <c r="S27" s="413">
        <f>R37</f>
        <v>0.96328548075954323</v>
      </c>
      <c r="T27" s="171">
        <v>0.29027777777777802</v>
      </c>
      <c r="U27" s="171">
        <v>0.37152777777777801</v>
      </c>
      <c r="V27" s="135"/>
      <c r="W27" s="146">
        <f t="shared" si="17"/>
        <v>116.99999999999999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-21.923076923076678</v>
      </c>
      <c r="AG27" s="172">
        <f t="shared" si="24"/>
        <v>0.98599164413860918</v>
      </c>
      <c r="AH27" s="382">
        <f>AG37</f>
        <v>0.93613208754639365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2540</v>
      </c>
      <c r="H28" s="91">
        <f>F28*G28</f>
        <v>125780.8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16</v>
      </c>
      <c r="N28" s="95">
        <f>G28/W28*60</f>
        <v>1269.9999999999893</v>
      </c>
      <c r="O28" s="96">
        <f>N28/M28</f>
        <v>79.374999999999332</v>
      </c>
      <c r="P28" s="97">
        <f t="shared" si="21"/>
        <v>-1</v>
      </c>
      <c r="Q28" s="98">
        <f t="shared" si="22"/>
        <v>-5.3308823529418419</v>
      </c>
      <c r="R28" s="99">
        <f>O28/L28</f>
        <v>0.93706597222221433</v>
      </c>
      <c r="S28" s="414"/>
      <c r="T28" s="19">
        <v>0.37847222222222199</v>
      </c>
      <c r="U28" s="19">
        <v>0.46180555555555602</v>
      </c>
      <c r="V28" s="92">
        <f>(T28-U27)*24*60</f>
        <v>9.999999999999325</v>
      </c>
      <c r="W28" s="149">
        <f t="shared" si="17"/>
        <v>120.00000000000101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-170.00000000001069</v>
      </c>
      <c r="AG28" s="99">
        <f t="shared" si="24"/>
        <v>0.88194444444443698</v>
      </c>
      <c r="AH28" s="383"/>
    </row>
    <row r="29" spans="1:34" ht="15" customHeight="1">
      <c r="A29" s="411"/>
      <c r="B29" s="75" t="s">
        <v>189</v>
      </c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1502.5</v>
      </c>
      <c r="L37" s="158">
        <f t="shared" si="27"/>
        <v>91.25919117647058</v>
      </c>
      <c r="M37" s="155">
        <f t="shared" si="27"/>
        <v>16</v>
      </c>
      <c r="N37" s="155">
        <f t="shared" si="27"/>
        <v>1406.5384615384564</v>
      </c>
      <c r="O37" s="158">
        <f t="shared" si="27"/>
        <v>87.908653846153527</v>
      </c>
      <c r="P37" s="159">
        <f>M37-J37</f>
        <v>-0.5</v>
      </c>
      <c r="Q37" s="160">
        <f>N37-K37</f>
        <v>-95.961538461543569</v>
      </c>
      <c r="R37" s="161">
        <f t="shared" ref="R37:R40" si="28">O37/L37</f>
        <v>0.96328548075954323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-95.961538461543569</v>
      </c>
      <c r="AG37" s="124">
        <f t="shared" ref="AG37:AG41" si="30">N37/K37</f>
        <v>0.93613208754639365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2976</v>
      </c>
      <c r="H38" s="134">
        <f>F38*G38</f>
        <v>148532.16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15</v>
      </c>
      <c r="N38" s="140">
        <f>G38/W38*60</f>
        <v>1526.1538461538455</v>
      </c>
      <c r="O38" s="141">
        <f>N38/M38</f>
        <v>101.74358974358969</v>
      </c>
      <c r="P38" s="142">
        <f t="shared" ref="P38:P40" si="32">M38-J38</f>
        <v>0</v>
      </c>
      <c r="Q38" s="143">
        <f t="shared" ref="Q38:Q40" si="33">O38-L38</f>
        <v>-12.523076923076971</v>
      </c>
      <c r="R38" s="144">
        <f>O38/L38</f>
        <v>0.89040481105825287</v>
      </c>
      <c r="S38" s="404">
        <f>R48</f>
        <v>0.93083208630904835</v>
      </c>
      <c r="T38" s="191">
        <v>0.33333333333333298</v>
      </c>
      <c r="U38" s="191">
        <v>0.41458333333333303</v>
      </c>
      <c r="V38" s="192"/>
      <c r="W38" s="193">
        <f t="shared" si="17"/>
        <v>117.00000000000006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-187.84615384615449</v>
      </c>
      <c r="AG38" s="195">
        <f t="shared" si="30"/>
        <v>0.89040481105825298</v>
      </c>
      <c r="AH38" s="398">
        <f>AG48</f>
        <v>0.93273939018407903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1969</v>
      </c>
      <c r="H39" s="91">
        <f>F39*G39</f>
        <v>87226.7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17</v>
      </c>
      <c r="N39" s="202">
        <f>G39/W39*60</f>
        <v>1458.5185185185178</v>
      </c>
      <c r="O39" s="203">
        <f t="shared" ref="O39:O40" si="34">N39/M39</f>
        <v>85.795206971677516</v>
      </c>
      <c r="P39" s="97">
        <f t="shared" si="32"/>
        <v>0</v>
      </c>
      <c r="Q39" s="98">
        <f t="shared" si="33"/>
        <v>-6.2636165577342524</v>
      </c>
      <c r="R39" s="99">
        <f t="shared" si="28"/>
        <v>0.93196071470831798</v>
      </c>
      <c r="S39" s="405"/>
      <c r="T39" s="20">
        <v>0.42499999999999999</v>
      </c>
      <c r="U39" s="20">
        <v>0.48125000000000001</v>
      </c>
      <c r="V39" s="92">
        <f>(T39-U38)*24*60</f>
        <v>15.000000000000426</v>
      </c>
      <c r="W39" s="205">
        <f t="shared" si="17"/>
        <v>81.000000000000028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-106.48148148148221</v>
      </c>
      <c r="AG39" s="206">
        <f t="shared" si="30"/>
        <v>0.93196071470831809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3706</v>
      </c>
      <c r="H40" s="91">
        <f>F40*G40</f>
        <v>164175.79999999999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17</v>
      </c>
      <c r="N40" s="202">
        <f>G40/W40*60</f>
        <v>1533.5172413793159</v>
      </c>
      <c r="O40" s="203">
        <f t="shared" si="34"/>
        <v>90.206896551724469</v>
      </c>
      <c r="P40" s="97">
        <f t="shared" si="32"/>
        <v>0</v>
      </c>
      <c r="Q40" s="98">
        <f t="shared" si="33"/>
        <v>-1.8519269776872989</v>
      </c>
      <c r="R40" s="99">
        <f t="shared" si="28"/>
        <v>0.97988322132863637</v>
      </c>
      <c r="S40" s="377"/>
      <c r="T40" s="20">
        <v>0.54513888888888895</v>
      </c>
      <c r="U40" s="20">
        <v>0.64583333333333304</v>
      </c>
      <c r="V40" s="92">
        <f>(T40-U39)*24*60</f>
        <v>92.000000000000071</v>
      </c>
      <c r="W40" s="205">
        <f t="shared" si="17"/>
        <v>144.99999999999949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-31.482758620684081</v>
      </c>
      <c r="AG40" s="206">
        <f t="shared" si="30"/>
        <v>0.97988322132863637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16.333333333333332</v>
      </c>
      <c r="N48" s="155">
        <f t="shared" si="36"/>
        <v>1506.0632020172263</v>
      </c>
      <c r="O48" s="158">
        <f t="shared" si="36"/>
        <v>92.581897755663888</v>
      </c>
      <c r="P48" s="221">
        <f>M48-J48</f>
        <v>0</v>
      </c>
      <c r="Q48" s="222">
        <f>N48-K48</f>
        <v>-108.60346464944041</v>
      </c>
      <c r="R48" s="223">
        <f>O48/L48</f>
        <v>0.93083208630904835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-108.60346464944041</v>
      </c>
      <c r="AG48" s="162">
        <f t="shared" ref="AG48:AG53" si="38">N48/K48</f>
        <v>0.93273939018407903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1466</v>
      </c>
      <c r="H49" s="134">
        <f>F49*G49</f>
        <v>83371.42</v>
      </c>
      <c r="I49" s="135"/>
      <c r="J49" s="136">
        <f>VLOOKUP(D49,產線配置圖!$A$3:$C$38,2,0)</f>
        <v>17</v>
      </c>
      <c r="K49" s="137">
        <v>1714</v>
      </c>
      <c r="L49" s="138">
        <f t="shared" ref="L49:L53" si="39">K49/J49</f>
        <v>100.82352941176471</v>
      </c>
      <c r="M49" s="170">
        <v>17</v>
      </c>
      <c r="N49" s="140">
        <f>G49/W49*60</f>
        <v>1543.1578947368564</v>
      </c>
      <c r="O49" s="141">
        <f>N49/M49</f>
        <v>90.773993808050378</v>
      </c>
      <c r="P49" s="229">
        <f>M49-J49</f>
        <v>0</v>
      </c>
      <c r="Q49" s="230">
        <f>O49-L49</f>
        <v>-10.049535603714332</v>
      </c>
      <c r="R49" s="52">
        <f>O49/L49</f>
        <v>0.90032549284530705</v>
      </c>
      <c r="S49" s="376">
        <f>R58</f>
        <v>0.90606781154746019</v>
      </c>
      <c r="T49" s="191">
        <v>0.29166666666666702</v>
      </c>
      <c r="U49" s="191">
        <v>0.33124999999999999</v>
      </c>
      <c r="V49" s="55"/>
      <c r="W49" s="193">
        <f t="shared" si="17"/>
        <v>56.999999999999474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-170.84210526314359</v>
      </c>
      <c r="AG49" s="52">
        <f t="shared" si="38"/>
        <v>0.90032549284530716</v>
      </c>
      <c r="AH49" s="382">
        <f>AG58</f>
        <v>0.90734535734581845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2140</v>
      </c>
      <c r="H50" s="231">
        <f>F50*G50</f>
        <v>122429.40000000001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1188.8888888888894</v>
      </c>
      <c r="O50" s="235">
        <f>N50/M50</f>
        <v>79.259259259259295</v>
      </c>
      <c r="P50" s="74">
        <f>M50-J50</f>
        <v>0</v>
      </c>
      <c r="Q50" s="83">
        <f>O50-L50</f>
        <v>-29.807407407407368</v>
      </c>
      <c r="R50" s="72">
        <f>O50/L50</f>
        <v>0.72670469980983465</v>
      </c>
      <c r="S50" s="377"/>
      <c r="T50" s="21">
        <v>0.33750000000000002</v>
      </c>
      <c r="U50" s="21">
        <v>0.41249999999999998</v>
      </c>
      <c r="V50" s="30">
        <f t="shared" ref="V50:V53" si="40">(T50-U49)*24*60</f>
        <v>9.000000000000048</v>
      </c>
      <c r="W50" s="236">
        <f t="shared" si="17"/>
        <v>107.99999999999994</v>
      </c>
      <c r="X50" s="22"/>
      <c r="Y50" s="84"/>
      <c r="Z50" s="90">
        <v>1</v>
      </c>
      <c r="AA50" s="90">
        <v>15</v>
      </c>
      <c r="AB50" s="388" t="s">
        <v>176</v>
      </c>
      <c r="AC50" s="388"/>
      <c r="AD50" s="92"/>
      <c r="AE50" s="92"/>
      <c r="AF50" s="307">
        <f t="shared" si="37"/>
        <v>-447.11111111111063</v>
      </c>
      <c r="AG50" s="72">
        <f t="shared" si="38"/>
        <v>0.72670469980983454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2707</v>
      </c>
      <c r="H51" s="231">
        <f>F51*G51</f>
        <v>135268.79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1691.874999999992</v>
      </c>
      <c r="O51" s="235">
        <f>N51/M51</f>
        <v>105.7421874999995</v>
      </c>
      <c r="P51" s="74">
        <f>M51-J51</f>
        <v>0</v>
      </c>
      <c r="Q51" s="83">
        <f>O51-L51</f>
        <v>-6.7578125000004974</v>
      </c>
      <c r="R51" s="72">
        <f>O51/L51</f>
        <v>0.93993055555555116</v>
      </c>
      <c r="S51" s="377"/>
      <c r="T51" s="21">
        <v>0.42013888888888901</v>
      </c>
      <c r="U51" s="19">
        <v>0.48680555555555599</v>
      </c>
      <c r="V51" s="30">
        <f t="shared" si="40"/>
        <v>11.000000000000201</v>
      </c>
      <c r="W51" s="236">
        <f t="shared" si="17"/>
        <v>96.000000000000455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-108.12500000000796</v>
      </c>
      <c r="AG51" s="72">
        <f t="shared" si="38"/>
        <v>0.93993055555555116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3087</v>
      </c>
      <c r="H52" s="231">
        <f t="shared" ref="H52:H53" si="41">F52*G52</f>
        <v>154257.38999999998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16</v>
      </c>
      <c r="N52" s="234">
        <f t="shared" ref="N52:N53" si="42">G52/W52*60</f>
        <v>1763.99999999999</v>
      </c>
      <c r="O52" s="235">
        <f t="shared" ref="O52:O53" si="43">N52/M52</f>
        <v>110.24999999999937</v>
      </c>
      <c r="P52" s="74">
        <f t="shared" ref="P52:P53" si="44">M52-J52</f>
        <v>0</v>
      </c>
      <c r="Q52" s="83">
        <f t="shared" ref="Q52:Q53" si="45">O52-L52</f>
        <v>-2.2500000000006253</v>
      </c>
      <c r="R52" s="72">
        <f t="shared" ref="R52:R53" si="46">O52/L52</f>
        <v>0.97999999999999443</v>
      </c>
      <c r="S52" s="377"/>
      <c r="T52" s="21">
        <v>0.54513888888888895</v>
      </c>
      <c r="U52" s="21">
        <v>0.61805555555555602</v>
      </c>
      <c r="V52" s="30">
        <f t="shared" si="40"/>
        <v>83.99999999999946</v>
      </c>
      <c r="W52" s="236">
        <f t="shared" si="17"/>
        <v>105.00000000000058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-36.000000000010004</v>
      </c>
      <c r="AG52" s="72">
        <f t="shared" si="38"/>
        <v>0.97999999999999443</v>
      </c>
      <c r="AH52" s="384"/>
    </row>
    <row r="53" spans="1:34" ht="15" customHeight="1">
      <c r="A53" s="396"/>
      <c r="B53" s="101" t="s">
        <v>81</v>
      </c>
      <c r="C53" s="102"/>
      <c r="D53" s="103" t="s">
        <v>113</v>
      </c>
      <c r="E53" s="104"/>
      <c r="F53" s="75">
        <f>VLOOKUP(D53,廠價表!$C$1:$E$41,3,0)</f>
        <v>57.21</v>
      </c>
      <c r="G53" s="202">
        <v>1469</v>
      </c>
      <c r="H53" s="231">
        <f t="shared" si="41"/>
        <v>84041.49</v>
      </c>
      <c r="I53" s="232"/>
      <c r="J53" s="79">
        <v>15</v>
      </c>
      <c r="K53" s="80">
        <v>1636</v>
      </c>
      <c r="L53" s="81">
        <f t="shared" si="39"/>
        <v>109.06666666666666</v>
      </c>
      <c r="M53" s="108">
        <v>15</v>
      </c>
      <c r="N53" s="234">
        <f t="shared" si="42"/>
        <v>1602.5454545454693</v>
      </c>
      <c r="O53" s="235">
        <f t="shared" si="43"/>
        <v>106.83636363636462</v>
      </c>
      <c r="P53" s="74">
        <f t="shared" si="44"/>
        <v>0</v>
      </c>
      <c r="Q53" s="83">
        <f t="shared" si="45"/>
        <v>-2.2303030303020392</v>
      </c>
      <c r="R53" s="72">
        <f t="shared" si="46"/>
        <v>0.97955101133586153</v>
      </c>
      <c r="S53" s="377"/>
      <c r="T53" s="21">
        <v>0.63541666666666696</v>
      </c>
      <c r="U53" s="21">
        <v>0.67361111111111105</v>
      </c>
      <c r="V53" s="30">
        <f t="shared" si="40"/>
        <v>24.999999999999751</v>
      </c>
      <c r="W53" s="236">
        <f t="shared" si="17"/>
        <v>54.999999999999488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-33.454545454530717</v>
      </c>
      <c r="AG53" s="72">
        <f t="shared" si="38"/>
        <v>0.97955101133586142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7">AVERAGE(J49:J57)</f>
        <v>15.8</v>
      </c>
      <c r="K58" s="120">
        <f t="shared" si="47"/>
        <v>1717.2</v>
      </c>
      <c r="L58" s="117">
        <f t="shared" si="47"/>
        <v>108.79137254901961</v>
      </c>
      <c r="M58" s="120">
        <f t="shared" si="47"/>
        <v>15.8</v>
      </c>
      <c r="N58" s="120">
        <f t="shared" si="47"/>
        <v>1558.0934476342395</v>
      </c>
      <c r="O58" s="117">
        <f t="shared" si="47"/>
        <v>98.572360840734632</v>
      </c>
      <c r="P58" s="121">
        <f>M58-J58</f>
        <v>0</v>
      </c>
      <c r="Q58" s="122">
        <f>N58-K58</f>
        <v>-159.10655236576054</v>
      </c>
      <c r="R58" s="123">
        <f t="shared" ref="R58:R60" si="48">O58/L58</f>
        <v>0.90606781154746019</v>
      </c>
      <c r="S58" s="380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15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9">N58-K58</f>
        <v>-159.10655236576054</v>
      </c>
      <c r="AG58" s="124">
        <f t="shared" ref="AG58:AG61" si="50">N58/K58</f>
        <v>0.90734535734581845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2552</v>
      </c>
      <c r="H59" s="243">
        <f>F59*G59</f>
        <v>68878.48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51">K59/J59</f>
        <v>120.38461538461539</v>
      </c>
      <c r="M59" s="244">
        <v>13</v>
      </c>
      <c r="N59" s="137">
        <f t="shared" ref="N59:N63" si="52">G59/W59*60</f>
        <v>1546.6666666666672</v>
      </c>
      <c r="O59" s="138">
        <f t="shared" ref="O59:O63" si="53">N59/M59</f>
        <v>118.97435897435902</v>
      </c>
      <c r="P59" s="56">
        <f t="shared" ref="P59:P63" si="54">M59-J59</f>
        <v>0</v>
      </c>
      <c r="Q59" s="230">
        <f t="shared" ref="Q59:Q63" si="55">O59-L59</f>
        <v>-1.4102564102563662</v>
      </c>
      <c r="R59" s="52">
        <f t="shared" si="48"/>
        <v>0.98828541001064996</v>
      </c>
      <c r="S59" s="376">
        <f>R69</f>
        <v>0.84138611798798812</v>
      </c>
      <c r="T59" s="245">
        <v>0.29166666666666702</v>
      </c>
      <c r="U59" s="245">
        <v>0.360416666666667</v>
      </c>
      <c r="V59" s="55"/>
      <c r="W59" s="54">
        <f t="shared" si="17"/>
        <v>98.999999999999972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9"/>
        <v>-18.333333333332803</v>
      </c>
      <c r="AG59" s="246">
        <f t="shared" si="50"/>
        <v>0.98828541001064996</v>
      </c>
      <c r="AH59" s="382">
        <f>AG69</f>
        <v>0.88920961679320232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1751</v>
      </c>
      <c r="H60" s="78">
        <f>F60*G60</f>
        <v>49483.26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1"/>
        <v>130.41666666666666</v>
      </c>
      <c r="M60" s="82">
        <v>12</v>
      </c>
      <c r="N60" s="80">
        <f t="shared" si="52"/>
        <v>1545.0000000000075</v>
      </c>
      <c r="O60" s="81">
        <f t="shared" si="53"/>
        <v>128.75000000000063</v>
      </c>
      <c r="P60" s="74">
        <f t="shared" si="54"/>
        <v>0</v>
      </c>
      <c r="Q60" s="83">
        <f t="shared" si="55"/>
        <v>-1.6666666666660319</v>
      </c>
      <c r="R60" s="72">
        <f t="shared" si="48"/>
        <v>0.98722044728434988</v>
      </c>
      <c r="S60" s="394"/>
      <c r="T60" s="22">
        <v>0.36736111111111103</v>
      </c>
      <c r="U60" s="22">
        <v>0.41458333333333303</v>
      </c>
      <c r="V60" s="30">
        <f t="shared" ref="V60:V63" si="56">(T60-U59)*24*60</f>
        <v>9.9999999999994049</v>
      </c>
      <c r="W60" s="248">
        <f t="shared" si="17"/>
        <v>67.999999999999673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9"/>
        <v>-19.999999999992497</v>
      </c>
      <c r="AG60" s="249">
        <f t="shared" si="50"/>
        <v>0.98722044728434988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1248</v>
      </c>
      <c r="H61" s="254">
        <f>F61*G61</f>
        <v>35268.480000000003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1"/>
        <v>130.41666666666666</v>
      </c>
      <c r="M61" s="108">
        <v>12</v>
      </c>
      <c r="N61" s="107">
        <f t="shared" si="52"/>
        <v>1069.7142857142883</v>
      </c>
      <c r="O61" s="238">
        <f t="shared" si="53"/>
        <v>89.142857142857352</v>
      </c>
      <c r="P61" s="111">
        <f t="shared" si="54"/>
        <v>0</v>
      </c>
      <c r="Q61" s="255">
        <f t="shared" si="55"/>
        <v>-41.273809523809305</v>
      </c>
      <c r="R61" s="85">
        <f>O61/L61</f>
        <v>0.6835235052487465</v>
      </c>
      <c r="S61" s="377"/>
      <c r="T61" s="22">
        <v>0.42013888888888901</v>
      </c>
      <c r="U61" s="22">
        <v>0.46875</v>
      </c>
      <c r="V61" s="30">
        <f t="shared" si="56"/>
        <v>8.0000000000006111</v>
      </c>
      <c r="W61" s="256">
        <f t="shared" si="17"/>
        <v>69.999999999999829</v>
      </c>
      <c r="X61" s="22"/>
      <c r="Y61" s="84"/>
      <c r="Z61" s="90"/>
      <c r="AA61" s="90"/>
      <c r="AB61" s="388" t="s">
        <v>193</v>
      </c>
      <c r="AC61" s="388"/>
      <c r="AD61" s="92"/>
      <c r="AE61" s="92"/>
      <c r="AF61" s="317">
        <f t="shared" si="49"/>
        <v>-495.28571428571172</v>
      </c>
      <c r="AG61" s="247">
        <f t="shared" si="50"/>
        <v>0.6835235052487465</v>
      </c>
      <c r="AH61" s="384"/>
    </row>
    <row r="62" spans="1:34" ht="15" customHeight="1">
      <c r="A62" s="392"/>
      <c r="B62" s="258" t="s">
        <v>128</v>
      </c>
      <c r="C62" s="58"/>
      <c r="D62" s="259" t="s">
        <v>129</v>
      </c>
      <c r="E62" s="60"/>
      <c r="F62" s="250">
        <f>VLOOKUP(D62,廠價表!$C$1:$E$41,3,0)</f>
        <v>26.99</v>
      </c>
      <c r="G62" s="260">
        <v>1433</v>
      </c>
      <c r="H62" s="254">
        <f t="shared" ref="H62:H63" si="57">F62*G62</f>
        <v>38676.67</v>
      </c>
      <c r="I62" s="182"/>
      <c r="J62" s="106">
        <f>VLOOKUP(D62,產線配置圖!$A$3:$C$38,2,0)</f>
        <v>13</v>
      </c>
      <c r="K62" s="107">
        <f>VLOOKUP(D62,產線配置圖!$A$3:$C$38,3,0)</f>
        <v>1565</v>
      </c>
      <c r="L62" s="238">
        <f t="shared" si="51"/>
        <v>120.38461538461539</v>
      </c>
      <c r="M62" s="68">
        <v>13</v>
      </c>
      <c r="N62" s="107">
        <f t="shared" si="52"/>
        <v>1563.2727272727057</v>
      </c>
      <c r="O62" s="238">
        <f t="shared" si="53"/>
        <v>120.25174825174659</v>
      </c>
      <c r="P62" s="111">
        <f t="shared" si="54"/>
        <v>0</v>
      </c>
      <c r="Q62" s="255">
        <f t="shared" si="55"/>
        <v>-0.13286713286879603</v>
      </c>
      <c r="R62" s="85">
        <f t="shared" ref="R62:R63" si="58">O62/L62</f>
        <v>0.99889631135636148</v>
      </c>
      <c r="S62" s="377"/>
      <c r="T62" s="22">
        <v>0.54861111111111105</v>
      </c>
      <c r="U62" s="22">
        <v>0.58680555555555602</v>
      </c>
      <c r="V62" s="30">
        <f t="shared" si="56"/>
        <v>114.99999999999991</v>
      </c>
      <c r="W62" s="248">
        <f t="shared" si="17"/>
        <v>55.000000000000767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-1.7272727272943484</v>
      </c>
      <c r="AG62" s="247">
        <f>N62/K62</f>
        <v>0.99889631135636148</v>
      </c>
      <c r="AH62" s="384"/>
    </row>
    <row r="63" spans="1:34" ht="15" customHeight="1">
      <c r="A63" s="392"/>
      <c r="B63" s="75" t="s">
        <v>128</v>
      </c>
      <c r="C63" s="76"/>
      <c r="D63" s="175" t="s">
        <v>138</v>
      </c>
      <c r="E63" s="77"/>
      <c r="F63" s="250">
        <f>VLOOKUP(D63,廠價表!$C$1:$E$41,3,0)</f>
        <v>28.26</v>
      </c>
      <c r="G63" s="30">
        <v>2377</v>
      </c>
      <c r="H63" s="254">
        <f t="shared" si="57"/>
        <v>67174.02</v>
      </c>
      <c r="I63" s="182"/>
      <c r="J63" s="106">
        <f>VLOOKUP(D63,產線配置圖!$A$3:$C$38,2,0)</f>
        <v>9</v>
      </c>
      <c r="K63" s="107">
        <f>VLOOKUP(D63,產線配置圖!$A$3:$C$38,3,0)</f>
        <v>1636</v>
      </c>
      <c r="L63" s="238">
        <f t="shared" si="51"/>
        <v>181.77777777777777</v>
      </c>
      <c r="M63" s="82">
        <v>11</v>
      </c>
      <c r="N63" s="107">
        <f t="shared" si="52"/>
        <v>1296.5454545454554</v>
      </c>
      <c r="O63" s="238">
        <f t="shared" si="53"/>
        <v>117.8677685950414</v>
      </c>
      <c r="P63" s="111">
        <f t="shared" si="54"/>
        <v>2</v>
      </c>
      <c r="Q63" s="255">
        <f t="shared" si="55"/>
        <v>-63.910009182736374</v>
      </c>
      <c r="R63" s="85">
        <f t="shared" si="58"/>
        <v>0.64841681989937205</v>
      </c>
      <c r="S63" s="377"/>
      <c r="T63" s="22">
        <v>0.59375</v>
      </c>
      <c r="U63" s="22">
        <v>0.67013888888888884</v>
      </c>
      <c r="V63" s="30">
        <f t="shared" si="56"/>
        <v>9.999999999999325</v>
      </c>
      <c r="W63" s="248">
        <f t="shared" si="17"/>
        <v>109.99999999999993</v>
      </c>
      <c r="X63" s="261"/>
      <c r="Y63" s="291"/>
      <c r="Z63" s="335"/>
      <c r="AA63" s="335"/>
      <c r="AB63" s="388" t="s">
        <v>178</v>
      </c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9">AVERAGE(J59:J68)</f>
        <v>11.8</v>
      </c>
      <c r="K69" s="240">
        <f t="shared" si="59"/>
        <v>1579.2</v>
      </c>
      <c r="L69" s="268">
        <f t="shared" si="59"/>
        <v>136.67606837606837</v>
      </c>
      <c r="M69" s="240">
        <f t="shared" si="59"/>
        <v>12.2</v>
      </c>
      <c r="N69" s="240">
        <f t="shared" si="59"/>
        <v>1404.2398268398251</v>
      </c>
      <c r="O69" s="268">
        <f t="shared" si="59"/>
        <v>114.99734659280099</v>
      </c>
      <c r="P69" s="269">
        <f>M69-J69</f>
        <v>0.39999999999999858</v>
      </c>
      <c r="Q69" s="222">
        <f>N69-K69</f>
        <v>-174.96017316017492</v>
      </c>
      <c r="R69" s="123">
        <f>O69/L69</f>
        <v>0.84138611798798812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-174.96017316017492</v>
      </c>
      <c r="AG69" s="124">
        <f>N69/K69</f>
        <v>0.88920961679320232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250">
        <f>VLOOKUP(D70,廠價表!$C$1:$E$41,3,0)</f>
        <v>50.67</v>
      </c>
      <c r="G70" s="55">
        <v>1591</v>
      </c>
      <c r="H70" s="243">
        <f>F70*G70</f>
        <v>80615.97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12</v>
      </c>
      <c r="N70" s="137">
        <f>G70/W70*60</f>
        <v>1193.2499999999898</v>
      </c>
      <c r="O70" s="138">
        <f>N70/M70</f>
        <v>99.437499999999147</v>
      </c>
      <c r="P70" s="56">
        <f>M70-J70</f>
        <v>-1</v>
      </c>
      <c r="Q70" s="230">
        <f>O70-L70</f>
        <v>-11.331730769231626</v>
      </c>
      <c r="R70" s="52">
        <f>O70/L70</f>
        <v>0.89769965277777009</v>
      </c>
      <c r="S70" s="376">
        <f>R79</f>
        <v>0.81020476152478271</v>
      </c>
      <c r="T70" s="245">
        <v>0.33333333333333298</v>
      </c>
      <c r="U70" s="245">
        <v>0.38888888888888901</v>
      </c>
      <c r="V70" s="55"/>
      <c r="W70" s="54">
        <f t="shared" si="17"/>
        <v>80.000000000000682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-246.75000000001023</v>
      </c>
      <c r="AG70" s="246">
        <f>N70/K70</f>
        <v>0.8286458333333262</v>
      </c>
      <c r="AH70" s="382">
        <f>AG79</f>
        <v>0.66804552416458873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1425</v>
      </c>
      <c r="H71" s="254">
        <f t="shared" ref="H71:H74" si="60">F71*G71</f>
        <v>80412.75</v>
      </c>
      <c r="I71" s="232"/>
      <c r="J71" s="79">
        <f>VLOOKUP(D71,產線配置圖!$A$3:$C$38,2,0)</f>
        <v>16</v>
      </c>
      <c r="K71" s="80">
        <f>VLOOKUP(D71,產線配置圖!$A$3:$C$38,3,0)</f>
        <v>1406</v>
      </c>
      <c r="L71" s="81">
        <f t="shared" ref="L71:L74" si="61">K71/J71</f>
        <v>87.875</v>
      </c>
      <c r="M71" s="82">
        <v>12</v>
      </c>
      <c r="N71" s="107">
        <f t="shared" ref="N71:N74" si="62">G71/W71*60</f>
        <v>814.28571428571036</v>
      </c>
      <c r="O71" s="238">
        <f t="shared" ref="O71:O74" si="63">N71/M71</f>
        <v>67.857142857142534</v>
      </c>
      <c r="P71" s="111">
        <f t="shared" ref="P71:P74" si="64">M71-J71</f>
        <v>-4</v>
      </c>
      <c r="Q71" s="255">
        <f t="shared" ref="Q71:Q74" si="65">O71-L71</f>
        <v>-20.017857142857466</v>
      </c>
      <c r="R71" s="85">
        <f>O71/L71</f>
        <v>0.77220077220076855</v>
      </c>
      <c r="S71" s="377"/>
      <c r="T71" s="22">
        <v>0.39583333333333298</v>
      </c>
      <c r="U71" s="22">
        <v>0.46875</v>
      </c>
      <c r="V71" s="30"/>
      <c r="W71" s="73">
        <f t="shared" si="17"/>
        <v>105.00000000000051</v>
      </c>
      <c r="X71" s="271"/>
      <c r="Y71" s="293"/>
      <c r="Z71" s="90"/>
      <c r="AA71" s="90"/>
      <c r="AB71" s="387" t="s">
        <v>199</v>
      </c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1233</v>
      </c>
      <c r="H72" s="254">
        <f t="shared" si="60"/>
        <v>34844.58</v>
      </c>
      <c r="I72" s="23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61"/>
        <v>181.77777777777777</v>
      </c>
      <c r="M72" s="82">
        <v>11</v>
      </c>
      <c r="N72" s="107">
        <f t="shared" si="62"/>
        <v>1479.5999999999674</v>
      </c>
      <c r="O72" s="238">
        <f t="shared" si="63"/>
        <v>134.50909090908794</v>
      </c>
      <c r="P72" s="111">
        <f t="shared" si="64"/>
        <v>2</v>
      </c>
      <c r="Q72" s="255">
        <f t="shared" si="65"/>
        <v>-47.268686868689826</v>
      </c>
      <c r="R72" s="85">
        <f t="shared" ref="R72:R74" si="66">O72/L72</f>
        <v>0.7399644365414374</v>
      </c>
      <c r="S72" s="377"/>
      <c r="T72" s="22">
        <v>0.53819444444444398</v>
      </c>
      <c r="U72" s="22">
        <v>0.57291666666666696</v>
      </c>
      <c r="V72" s="30"/>
      <c r="W72" s="73">
        <f t="shared" si="17"/>
        <v>50.000000000001101</v>
      </c>
      <c r="X72" s="272"/>
      <c r="Y72" s="288"/>
      <c r="Z72" s="90"/>
      <c r="AA72" s="90"/>
      <c r="AB72" s="388" t="s">
        <v>178</v>
      </c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81</v>
      </c>
      <c r="C73" s="86"/>
      <c r="D73" s="59" t="s">
        <v>134</v>
      </c>
      <c r="E73" s="87"/>
      <c r="F73" s="250">
        <f>VLOOKUP(D73,廠價表!$C$1:$E$41,3,0)</f>
        <v>56.43</v>
      </c>
      <c r="G73" s="202">
        <v>18</v>
      </c>
      <c r="H73" s="254">
        <f t="shared" si="60"/>
        <v>1015.74</v>
      </c>
      <c r="I73" s="232"/>
      <c r="J73" s="106">
        <f>VLOOKUP(D73,產線配置圖!$A$3:$C$38,2,0)</f>
        <v>16</v>
      </c>
      <c r="K73" s="107">
        <f>VLOOKUP(D73,產線配置圖!$A$3:$C$38,3,0)</f>
        <v>1406</v>
      </c>
      <c r="L73" s="238">
        <f t="shared" si="61"/>
        <v>87.875</v>
      </c>
      <c r="M73" s="82">
        <v>2</v>
      </c>
      <c r="N73" s="107">
        <f t="shared" si="62"/>
        <v>120.00000000000043</v>
      </c>
      <c r="O73" s="238">
        <f t="shared" si="63"/>
        <v>60.000000000000213</v>
      </c>
      <c r="P73" s="111">
        <f t="shared" si="64"/>
        <v>-14</v>
      </c>
      <c r="Q73" s="255">
        <f t="shared" si="65"/>
        <v>-27.874999999999787</v>
      </c>
      <c r="R73" s="85">
        <f t="shared" si="66"/>
        <v>0.68278805120910624</v>
      </c>
      <c r="S73" s="377"/>
      <c r="T73" s="22">
        <v>0.561805555555556</v>
      </c>
      <c r="U73" s="22">
        <v>0.56805555555555598</v>
      </c>
      <c r="V73" s="30"/>
      <c r="W73" s="73">
        <f t="shared" si="17"/>
        <v>8.999999999999968</v>
      </c>
      <c r="X73" s="22"/>
      <c r="Y73" s="84"/>
      <c r="Z73" s="90"/>
      <c r="AA73" s="90"/>
      <c r="AB73" s="388" t="s">
        <v>199</v>
      </c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 t="s">
        <v>81</v>
      </c>
      <c r="C74" s="58"/>
      <c r="D74" s="259" t="s">
        <v>132</v>
      </c>
      <c r="E74" s="60"/>
      <c r="F74" s="250">
        <f>VLOOKUP(D74,廠價表!$C$1:$E$41,3,0)</f>
        <v>50.67</v>
      </c>
      <c r="G74" s="273">
        <v>1138</v>
      </c>
      <c r="H74" s="254">
        <f t="shared" si="60"/>
        <v>57662.46</v>
      </c>
      <c r="I74" s="182"/>
      <c r="J74" s="106">
        <v>13</v>
      </c>
      <c r="K74" s="107">
        <v>1440</v>
      </c>
      <c r="L74" s="238">
        <f t="shared" si="61"/>
        <v>110.76923076923077</v>
      </c>
      <c r="M74" s="94">
        <v>12</v>
      </c>
      <c r="N74" s="107">
        <f t="shared" si="62"/>
        <v>1288.3018867924379</v>
      </c>
      <c r="O74" s="238">
        <f t="shared" si="63"/>
        <v>107.35849056603649</v>
      </c>
      <c r="P74" s="111">
        <f t="shared" si="64"/>
        <v>-1</v>
      </c>
      <c r="Q74" s="255">
        <f t="shared" si="65"/>
        <v>-3.4107402031942797</v>
      </c>
      <c r="R74" s="85">
        <f t="shared" si="66"/>
        <v>0.96920859538782944</v>
      </c>
      <c r="S74" s="377"/>
      <c r="T74" s="22">
        <v>0.57986111111111105</v>
      </c>
      <c r="U74" s="22">
        <v>0.61666666666666703</v>
      </c>
      <c r="V74" s="30"/>
      <c r="W74" s="73">
        <f t="shared" si="17"/>
        <v>53.000000000000611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/>
      <c r="I75" s="182"/>
      <c r="J75" s="106"/>
      <c r="K75" s="107"/>
      <c r="L75" s="238"/>
      <c r="M75" s="108"/>
      <c r="N75" s="276"/>
      <c r="O75" s="277"/>
      <c r="P75" s="180"/>
      <c r="Q75" s="181"/>
      <c r="R75" s="278"/>
      <c r="S75" s="377"/>
      <c r="T75" s="22"/>
      <c r="U75" s="22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ref="H76:H78" si="67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8">AVERAGE(J70:J78)</f>
        <v>13.4</v>
      </c>
      <c r="K79" s="240">
        <f t="shared" si="68"/>
        <v>1465.6</v>
      </c>
      <c r="L79" s="268">
        <f t="shared" si="68"/>
        <v>115.81324786324785</v>
      </c>
      <c r="M79" s="240">
        <f t="shared" si="68"/>
        <v>9.8000000000000007</v>
      </c>
      <c r="N79" s="240">
        <f t="shared" si="68"/>
        <v>979.08752021562123</v>
      </c>
      <c r="O79" s="268">
        <f t="shared" si="68"/>
        <v>93.832444866453272</v>
      </c>
      <c r="P79" s="269">
        <f>M79-J79</f>
        <v>-3.5999999999999996</v>
      </c>
      <c r="Q79" s="222">
        <f>N79-K79</f>
        <v>-486.51247978437868</v>
      </c>
      <c r="R79" s="223">
        <f>O79/L79</f>
        <v>0.81020476152478271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-486.51247978437868</v>
      </c>
      <c r="AG79" s="124">
        <f>N79/K79</f>
        <v>0.66804552416458873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5:A15"/>
    <mergeCell ref="S5:S15"/>
    <mergeCell ref="AB5:AC5"/>
    <mergeCell ref="AB22:AC22"/>
    <mergeCell ref="AB23:AC23"/>
    <mergeCell ref="AB24:AC24"/>
    <mergeCell ref="AB25:AC25"/>
    <mergeCell ref="AF3:AF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:AC2"/>
    <mergeCell ref="AH16:AH26"/>
    <mergeCell ref="AB17:AC17"/>
    <mergeCell ref="AB18:AC18"/>
    <mergeCell ref="AF1:AH2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J3:J4"/>
    <mergeCell ref="K3:K4"/>
    <mergeCell ref="L3:L4"/>
    <mergeCell ref="M3:M4"/>
    <mergeCell ref="G3:G4"/>
    <mergeCell ref="J1:L2"/>
    <mergeCell ref="M1:O2"/>
    <mergeCell ref="AD3:AE3"/>
    <mergeCell ref="AH5:AH15"/>
    <mergeCell ref="AB6:AC6"/>
    <mergeCell ref="AB7:AC7"/>
    <mergeCell ref="A2:B2"/>
    <mergeCell ref="A3:A4"/>
    <mergeCell ref="B3:B4"/>
    <mergeCell ref="D3:E4"/>
    <mergeCell ref="F3:F4"/>
    <mergeCell ref="AG3:AG4"/>
    <mergeCell ref="AH3:AH4"/>
    <mergeCell ref="S3:S4"/>
    <mergeCell ref="P3:P4"/>
    <mergeCell ref="Q3:Q4"/>
    <mergeCell ref="R3:R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A66D55-4BDD-4898-A87F-E888F4AA9C3C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7B93-C11F-40BD-AB7D-B979B1A49352}">
  <dimension ref="B1:O26"/>
  <sheetViews>
    <sheetView topLeftCell="A2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46105</v>
      </c>
      <c r="E3" s="466"/>
      <c r="F3" s="3" t="s">
        <v>72</v>
      </c>
      <c r="G3" s="467">
        <f>'0324'!E1</f>
        <v>57426</v>
      </c>
      <c r="H3" s="467"/>
      <c r="I3" s="3" t="s">
        <v>2</v>
      </c>
      <c r="J3" s="468">
        <f>'0324'!G1</f>
        <v>2712324.6000000006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125.46911827279474</v>
      </c>
      <c r="G6" s="473"/>
      <c r="H6" s="474">
        <f>AVERAGE(D13:H13,J13)</f>
        <v>122.34846799442387</v>
      </c>
      <c r="I6" s="474"/>
      <c r="J6" s="474">
        <f>AVERAGE(I13)</f>
        <v>144.19301994301995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116.22878120869238</v>
      </c>
      <c r="G7" s="497"/>
      <c r="H7" s="498">
        <f>AVERAGE(D14:H14,J14)</f>
        <v>115.11219144914861</v>
      </c>
      <c r="I7" s="498"/>
      <c r="J7" s="498">
        <f>AVERAGE(I14)</f>
        <v>122.92831976595505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0.9263536941097168</v>
      </c>
      <c r="G8" s="470"/>
      <c r="H8" s="470">
        <f>H7/H6</f>
        <v>0.94085519284471086</v>
      </c>
      <c r="I8" s="470"/>
      <c r="J8" s="470">
        <f>J7/J6</f>
        <v>0.85252614734424759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VALUE('0324'!L15)</f>
        <v>158.61538461538461</v>
      </c>
      <c r="E13" s="13">
        <f>VALUE('0324'!L26)</f>
        <v>170.39772727272725</v>
      </c>
      <c r="F13" s="13">
        <f>VALUE('0324'!L37)</f>
        <v>93.004901960784309</v>
      </c>
      <c r="G13" s="13">
        <f>VALUE('0324'!L48)</f>
        <v>103.16274509803921</v>
      </c>
      <c r="H13" s="13">
        <f>VALUE('0324'!L58)</f>
        <v>108.72254901960784</v>
      </c>
      <c r="I13" s="13">
        <f>VALUE('0324'!L69)</f>
        <v>144.19301994301995</v>
      </c>
      <c r="J13" s="13">
        <f>'0324'!L79</f>
        <v>100.1875</v>
      </c>
    </row>
    <row r="14" spans="2:15" ht="39.950000000000003" customHeight="1">
      <c r="B14" s="491"/>
      <c r="C14" s="12" t="s">
        <v>100</v>
      </c>
      <c r="D14" s="13">
        <f>VALUE('0324'!O15)</f>
        <v>146.55704303543055</v>
      </c>
      <c r="E14" s="13">
        <f>VALUE('0324'!O26)</f>
        <v>162.4793259596326</v>
      </c>
      <c r="F14" s="13">
        <f>VALUE('0324'!O37)</f>
        <v>86.857532057425601</v>
      </c>
      <c r="G14" s="13">
        <f>VALUE('0324'!O48)</f>
        <v>91.283040996637325</v>
      </c>
      <c r="H14" s="13">
        <f>VALUE('0324'!O58)</f>
        <v>104.62126930240737</v>
      </c>
      <c r="I14" s="13">
        <f>VALUE('0324'!O69)</f>
        <v>122.92831976595505</v>
      </c>
      <c r="J14" s="13">
        <f>'0324'!O79</f>
        <v>98.87493734335817</v>
      </c>
    </row>
    <row r="15" spans="2:15" ht="39.950000000000003" customHeight="1">
      <c r="B15" s="492"/>
      <c r="C15" s="10" t="s">
        <v>26</v>
      </c>
      <c r="D15" s="14">
        <f>D14/D13</f>
        <v>0.92397747791493556</v>
      </c>
      <c r="E15" s="14">
        <f t="shared" ref="E15:I15" si="1">E14/E13</f>
        <v>0.95352988892615342</v>
      </c>
      <c r="F15" s="14">
        <f t="shared" si="1"/>
        <v>0.93390273228876952</v>
      </c>
      <c r="G15" s="14">
        <f t="shared" si="1"/>
        <v>0.88484501754861045</v>
      </c>
      <c r="H15" s="14">
        <f t="shared" si="1"/>
        <v>0.96227756105625506</v>
      </c>
      <c r="I15" s="14">
        <f t="shared" si="1"/>
        <v>0.85252614734424759</v>
      </c>
      <c r="J15" s="15">
        <f>'0324'!S70</f>
        <v>0.98689893792497241</v>
      </c>
    </row>
    <row r="16" spans="2:15" ht="17.25" customHeight="1">
      <c r="B16" s="493" t="s">
        <v>101</v>
      </c>
      <c r="C16" s="10" t="s">
        <v>34</v>
      </c>
      <c r="D16" s="16">
        <f>'0324'!T5</f>
        <v>0.29166666666666702</v>
      </c>
      <c r="E16" s="16">
        <f>'0324'!T16</f>
        <v>0.29097222222222202</v>
      </c>
      <c r="F16" s="16">
        <f>'0324'!T27</f>
        <v>0.29166666666666702</v>
      </c>
      <c r="G16" s="16">
        <f>'0324'!T38</f>
        <v>0.33333333333333298</v>
      </c>
      <c r="H16" s="16">
        <f>'0324'!T49</f>
        <v>0.29166666666666702</v>
      </c>
      <c r="I16" s="16">
        <f>'0324'!T59</f>
        <v>0.29166666666666702</v>
      </c>
      <c r="J16" s="16">
        <f>'0324'!T70</f>
        <v>0.33194444444444399</v>
      </c>
    </row>
    <row r="17" spans="2:10" ht="17.25" customHeight="1">
      <c r="B17" s="494"/>
      <c r="C17" s="10" t="s">
        <v>35</v>
      </c>
      <c r="D17" s="18">
        <v>0.55763888888888902</v>
      </c>
      <c r="E17" s="19">
        <v>0.58541666666666703</v>
      </c>
      <c r="F17" s="19">
        <v>0.64097222222222205</v>
      </c>
      <c r="G17" s="20">
        <v>0.47916666666666702</v>
      </c>
      <c r="H17" s="21">
        <v>0.63055555555555598</v>
      </c>
      <c r="I17" s="22">
        <v>0.64583333333333304</v>
      </c>
      <c r="J17" s="22">
        <v>0.483333333333333</v>
      </c>
    </row>
    <row r="18" spans="2:10" ht="17.25" customHeight="1">
      <c r="B18" s="495" t="s">
        <v>102</v>
      </c>
      <c r="C18" s="330" t="s">
        <v>36</v>
      </c>
      <c r="D18" s="358">
        <f>'0324'!Z15</f>
        <v>0</v>
      </c>
      <c r="E18" s="359">
        <f>'0324'!Z26</f>
        <v>0</v>
      </c>
      <c r="F18" s="359">
        <f>'0324'!Z37</f>
        <v>0</v>
      </c>
      <c r="G18" s="360">
        <f>'0324'!Z48</f>
        <v>0</v>
      </c>
      <c r="H18" s="360">
        <f>'0324'!Z58</f>
        <v>0</v>
      </c>
      <c r="I18" s="359">
        <f>'0324'!Z69</f>
        <v>0</v>
      </c>
      <c r="J18" s="359">
        <f>'0324'!AA79</f>
        <v>0</v>
      </c>
    </row>
    <row r="19" spans="2:10" ht="17.25" customHeight="1">
      <c r="B19" s="496"/>
      <c r="C19" s="330" t="s">
        <v>37</v>
      </c>
      <c r="D19" s="358">
        <f>'0324'!AA15</f>
        <v>0</v>
      </c>
      <c r="E19" s="359">
        <f>'0324'!AA26</f>
        <v>0</v>
      </c>
      <c r="F19" s="359">
        <f>'0324'!AA37</f>
        <v>0</v>
      </c>
      <c r="G19" s="360">
        <f>'0324'!AA48</f>
        <v>0</v>
      </c>
      <c r="H19" s="360">
        <f>'0324'!AA58</f>
        <v>0</v>
      </c>
      <c r="I19" s="359">
        <f>'0324'!AA69</f>
        <v>0</v>
      </c>
      <c r="J19" s="359">
        <f>'0324'!AB79</f>
        <v>0</v>
      </c>
    </row>
    <row r="20" spans="2:10" ht="17.25" customHeight="1">
      <c r="B20" s="495" t="s">
        <v>103</v>
      </c>
      <c r="C20" s="330" t="s">
        <v>36</v>
      </c>
      <c r="D20" s="358">
        <f>'0324'!AD15</f>
        <v>0</v>
      </c>
      <c r="E20" s="359">
        <f>'0324'!AD26</f>
        <v>0</v>
      </c>
      <c r="F20" s="359">
        <f>'0324'!AD37</f>
        <v>0</v>
      </c>
      <c r="G20" s="360">
        <f>'0324'!AD48</f>
        <v>0</v>
      </c>
      <c r="H20" s="360">
        <f>'0324'!AD58</f>
        <v>0</v>
      </c>
      <c r="I20" s="359">
        <f>'0324'!AD69</f>
        <v>0</v>
      </c>
      <c r="J20" s="359">
        <f>'0324'!AD79</f>
        <v>0</v>
      </c>
    </row>
    <row r="21" spans="2:10" ht="17.25" customHeight="1">
      <c r="B21" s="496"/>
      <c r="C21" s="330" t="s">
        <v>85</v>
      </c>
      <c r="D21" s="358">
        <f>'0324'!AE15</f>
        <v>0</v>
      </c>
      <c r="E21" s="359">
        <f>'0324'!AE26</f>
        <v>0</v>
      </c>
      <c r="F21" s="359">
        <f>'0324'!AE37</f>
        <v>0</v>
      </c>
      <c r="G21" s="360">
        <f>'0324'!AE48</f>
        <v>0</v>
      </c>
      <c r="H21" s="360">
        <f>'0324'!AE58</f>
        <v>0</v>
      </c>
      <c r="I21" s="359">
        <f>'0324'!AE69</f>
        <v>0</v>
      </c>
      <c r="J21" s="359">
        <f>'0324'!AE79</f>
        <v>0</v>
      </c>
    </row>
    <row r="22" spans="2:10" ht="17.25" customHeight="1">
      <c r="B22" s="479" t="s">
        <v>104</v>
      </c>
      <c r="C22" s="480"/>
      <c r="D22" s="23">
        <f>VALUE('0324'!M15)</f>
        <v>13.333333333333334</v>
      </c>
      <c r="E22" s="23">
        <f>VALUE('0324'!M26)</f>
        <v>12.25</v>
      </c>
      <c r="F22" s="23">
        <f>VALUE('0324'!M37)</f>
        <v>15.333333333333334</v>
      </c>
      <c r="G22" s="23">
        <f>VALUE('0324'!M48)</f>
        <v>16</v>
      </c>
      <c r="H22" s="23">
        <f>VALUE('0324'!M58)</f>
        <v>14.75</v>
      </c>
      <c r="I22" s="23">
        <f>VALUE('0324'!M69)</f>
        <v>10.5</v>
      </c>
      <c r="J22" s="23">
        <f>'0324'!M79</f>
        <v>11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D154-C2EE-40EA-AF27-2FA2958C15D1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57426</v>
      </c>
      <c r="F1" s="30" t="s">
        <v>2</v>
      </c>
      <c r="G1" s="31">
        <f>SUM(H5:H79)</f>
        <v>2712324.6000000006</v>
      </c>
      <c r="H1" s="32" t="s">
        <v>3</v>
      </c>
      <c r="I1" s="33">
        <f>M15+M26+M48+M58+M69+M79+M37</f>
        <v>93.166666666666671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200</v>
      </c>
      <c r="B2" s="447"/>
      <c r="C2" s="28"/>
      <c r="D2" s="28" t="s">
        <v>14</v>
      </c>
      <c r="E2" s="35">
        <f>AVERAGE(O15,O26,O37,O48,O58,O69,O79)</f>
        <v>116.22878120869238</v>
      </c>
      <c r="F2" s="36" t="s">
        <v>15</v>
      </c>
      <c r="G2" s="37">
        <f>G1/E1</f>
        <v>47.231647685717277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3667</v>
      </c>
      <c r="H5" s="43">
        <f>F5*G5</f>
        <v>209789.07</v>
      </c>
      <c r="I5" s="44"/>
      <c r="J5" s="45">
        <v>14</v>
      </c>
      <c r="K5" s="46">
        <v>2100</v>
      </c>
      <c r="L5" s="47">
        <f t="shared" ref="L5:L7" si="0">K5/J5</f>
        <v>150</v>
      </c>
      <c r="M5" s="48">
        <v>14</v>
      </c>
      <c r="N5" s="46">
        <f t="shared" ref="N5:N7" si="1">G5/W5*60</f>
        <v>2056.2616822430073</v>
      </c>
      <c r="O5" s="47">
        <f t="shared" ref="O5:O7" si="2">N5/M5</f>
        <v>146.87583444592909</v>
      </c>
      <c r="P5" s="49">
        <f t="shared" ref="P5:P7" si="3">M5-J5</f>
        <v>0</v>
      </c>
      <c r="Q5" s="50">
        <f t="shared" ref="Q5:Q7" si="4">O5-L5</f>
        <v>-3.1241655540709132</v>
      </c>
      <c r="R5" s="51">
        <f t="shared" ref="R5:R7" si="5">O5/L5</f>
        <v>0.97917222963952721</v>
      </c>
      <c r="S5" s="376">
        <f>R15</f>
        <v>0.92397747791493556</v>
      </c>
      <c r="T5" s="319">
        <v>0.29166666666666702</v>
      </c>
      <c r="U5" s="320">
        <v>0.36597222222222198</v>
      </c>
      <c r="V5" s="53"/>
      <c r="W5" s="54">
        <f t="shared" ref="W5:W14" si="6">(U5-T5)*24*60</f>
        <v>106.99999999999915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-43.738317756992728</v>
      </c>
      <c r="AG5" s="52">
        <f t="shared" ref="AG5:AG11" si="8">N5/K5</f>
        <v>0.97917222963952733</v>
      </c>
      <c r="AH5" s="382">
        <f>AG15</f>
        <v>0.92528417184780953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5063</v>
      </c>
      <c r="H6" s="63">
        <f>F6*G6</f>
        <v>248795.82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2095.0344827586086</v>
      </c>
      <c r="O6" s="67">
        <f t="shared" si="2"/>
        <v>161.15649867373912</v>
      </c>
      <c r="P6" s="69">
        <f t="shared" si="3"/>
        <v>0</v>
      </c>
      <c r="Q6" s="70">
        <f t="shared" si="4"/>
        <v>-1.7665782493378117</v>
      </c>
      <c r="R6" s="71">
        <f t="shared" si="5"/>
        <v>0.98915697958385673</v>
      </c>
      <c r="S6" s="377"/>
      <c r="T6" s="16">
        <v>0.37847222222222199</v>
      </c>
      <c r="U6" s="16">
        <v>0.47916666666666702</v>
      </c>
      <c r="V6" s="30">
        <f>(T6-U5)*24*60</f>
        <v>18.000000000000014</v>
      </c>
      <c r="W6" s="73">
        <f t="shared" si="6"/>
        <v>145.00000000000085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-22.965517241391353</v>
      </c>
      <c r="AG6" s="72">
        <f t="shared" si="8"/>
        <v>0.98915697958385673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656</v>
      </c>
      <c r="H7" s="78">
        <f>F7*G7</f>
        <v>32235.84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1711.304347826105</v>
      </c>
      <c r="O7" s="81">
        <f t="shared" si="2"/>
        <v>131.63879598662345</v>
      </c>
      <c r="P7" s="74">
        <f t="shared" si="3"/>
        <v>0</v>
      </c>
      <c r="Q7" s="83">
        <f t="shared" si="4"/>
        <v>-31.284280936453484</v>
      </c>
      <c r="R7" s="72">
        <f t="shared" si="5"/>
        <v>0.80798127848258017</v>
      </c>
      <c r="S7" s="377"/>
      <c r="T7" s="18">
        <v>0.54166666666666696</v>
      </c>
      <c r="U7" s="18">
        <v>0.55763888888888902</v>
      </c>
      <c r="V7" s="30">
        <f>(T7-U6)*24*60</f>
        <v>89.999999999999915</v>
      </c>
      <c r="W7" s="73">
        <f t="shared" si="6"/>
        <v>22.999999999999758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-406.69565217389504</v>
      </c>
      <c r="AG7" s="72">
        <f t="shared" si="8"/>
        <v>0.80798127848258028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2112</v>
      </c>
      <c r="L15" s="117">
        <f t="shared" si="9"/>
        <v>158.61538461538461</v>
      </c>
      <c r="M15" s="120">
        <f t="shared" si="9"/>
        <v>13.333333333333334</v>
      </c>
      <c r="N15" s="120">
        <f t="shared" si="9"/>
        <v>1954.2001709425738</v>
      </c>
      <c r="O15" s="117">
        <f t="shared" si="9"/>
        <v>146.55704303543055</v>
      </c>
      <c r="P15" s="121">
        <f t="shared" ref="P15:P19" si="10">M15-J15</f>
        <v>0</v>
      </c>
      <c r="Q15" s="122">
        <f t="shared" ref="Q15:Q19" si="11">O15-L15</f>
        <v>-12.05834157995406</v>
      </c>
      <c r="R15" s="123">
        <f t="shared" ref="R15:R19" si="12">O15/L15</f>
        <v>0.92397747791493556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-157.79982905742622</v>
      </c>
      <c r="AG15" s="124">
        <f t="shared" ref="AG15:AG19" si="14">N15/K15</f>
        <v>0.92528417184780953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888</v>
      </c>
      <c r="H16" s="134">
        <f>F16*G16</f>
        <v>49976.639999999999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1567.0588235294208</v>
      </c>
      <c r="O16" s="141">
        <f>N16/M16</f>
        <v>104.47058823529473</v>
      </c>
      <c r="P16" s="142">
        <f>M16-J16</f>
        <v>0</v>
      </c>
      <c r="Q16" s="143">
        <f t="shared" si="11"/>
        <v>-15.529411764705273</v>
      </c>
      <c r="R16" s="144">
        <f>O16/L16</f>
        <v>0.87058823529412277</v>
      </c>
      <c r="S16" s="413">
        <f>R26</f>
        <v>0.95352988892615342</v>
      </c>
      <c r="T16" s="145">
        <v>0.29097222222222202</v>
      </c>
      <c r="U16" s="145">
        <v>0.31458333333333299</v>
      </c>
      <c r="V16" s="135"/>
      <c r="W16" s="146">
        <f t="shared" ref="W16:W78" si="17">(U16-T16)*24*60</f>
        <v>33.999999999999801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-232.94117647057919</v>
      </c>
      <c r="AG16" s="52">
        <f t="shared" si="14"/>
        <v>0.87058823529412266</v>
      </c>
      <c r="AH16" s="382">
        <f>AG26</f>
        <v>0.94939465287133196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4011</v>
      </c>
      <c r="H17" s="78">
        <f>F17*G17</f>
        <v>203237.37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2092.6956521739162</v>
      </c>
      <c r="O17" s="96">
        <f t="shared" ref="O17:O19" si="18">N17/M17</f>
        <v>174.39130434782635</v>
      </c>
      <c r="P17" s="97">
        <f t="shared" si="10"/>
        <v>0</v>
      </c>
      <c r="Q17" s="98">
        <f t="shared" si="11"/>
        <v>-2.1086956521736511</v>
      </c>
      <c r="R17" s="99">
        <f t="shared" si="12"/>
        <v>0.9880527158517074</v>
      </c>
      <c r="S17" s="414"/>
      <c r="T17" s="19">
        <v>0.32152777777777802</v>
      </c>
      <c r="U17" s="19">
        <v>0.40138888888888902</v>
      </c>
      <c r="V17" s="30">
        <f>(T17-U16)*24*60</f>
        <v>10.000000000000844</v>
      </c>
      <c r="W17" s="149">
        <f t="shared" si="17"/>
        <v>114.99999999999983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-25.304347826083813</v>
      </c>
      <c r="AG17" s="72">
        <f t="shared" si="14"/>
        <v>0.9880527158517074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3463</v>
      </c>
      <c r="H18" s="78">
        <f>F18*G18</f>
        <v>174500.57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2077.7999999999829</v>
      </c>
      <c r="O18" s="96">
        <f t="shared" si="18"/>
        <v>188.89090909090754</v>
      </c>
      <c r="P18" s="97">
        <f t="shared" si="10"/>
        <v>0</v>
      </c>
      <c r="Q18" s="98">
        <f t="shared" si="11"/>
        <v>-3.6545454545469909</v>
      </c>
      <c r="R18" s="99">
        <f t="shared" si="12"/>
        <v>0.98101983002832061</v>
      </c>
      <c r="S18" s="414"/>
      <c r="T18" s="19">
        <v>0.40833333333333299</v>
      </c>
      <c r="U18" s="19">
        <v>0.47777777777777802</v>
      </c>
      <c r="V18" s="30">
        <f>(T18-U17)*24*60</f>
        <v>9.999999999999325</v>
      </c>
      <c r="W18" s="149">
        <f t="shared" si="17"/>
        <v>100.00000000000084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-40.200000000017099</v>
      </c>
      <c r="AG18" s="72">
        <f t="shared" si="14"/>
        <v>0.98101983002832049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2104</v>
      </c>
      <c r="H19" s="78">
        <f>F19*G19</f>
        <v>106020.56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2003.8095238095204</v>
      </c>
      <c r="O19" s="96">
        <f t="shared" si="18"/>
        <v>182.16450216450187</v>
      </c>
      <c r="P19" s="97">
        <f t="shared" si="10"/>
        <v>0</v>
      </c>
      <c r="Q19" s="98">
        <f t="shared" si="11"/>
        <v>-10.380952380952664</v>
      </c>
      <c r="R19" s="99">
        <f t="shared" si="12"/>
        <v>0.94608570529250269</v>
      </c>
      <c r="S19" s="414"/>
      <c r="T19" s="19">
        <v>0.54166666666666696</v>
      </c>
      <c r="U19" s="19">
        <v>0.58541666666666703</v>
      </c>
      <c r="V19" s="30">
        <f>(T19-U18)*24*60</f>
        <v>92.000000000000071</v>
      </c>
      <c r="W19" s="149">
        <f t="shared" si="17"/>
        <v>63.000000000000099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-114.19047619047956</v>
      </c>
      <c r="AG19" s="72">
        <f t="shared" si="14"/>
        <v>0.94608570529250258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1935.3409998782101</v>
      </c>
      <c r="O26" s="158">
        <f t="shared" si="20"/>
        <v>162.4793259596326</v>
      </c>
      <c r="P26" s="159">
        <f t="shared" ref="P26:P29" si="21">M26-J26</f>
        <v>0</v>
      </c>
      <c r="Q26" s="160">
        <f t="shared" ref="Q26:Q29" si="22">O26-L26</f>
        <v>-7.9184013130946482</v>
      </c>
      <c r="R26" s="161">
        <f>O26/L26</f>
        <v>0.95352988892615342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29" si="23">N26-K26</f>
        <v>-103.15900012178986</v>
      </c>
      <c r="AG26" s="124">
        <f t="shared" ref="AG26:AG29" si="24">N26/K26</f>
        <v>0.94939465287133196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2865</v>
      </c>
      <c r="H27" s="134">
        <f>F27*G27</f>
        <v>166657.05000000002</v>
      </c>
      <c r="I27" s="135"/>
      <c r="J27" s="136">
        <f>VLOOKUP(D27,產線配置圖!$A$3:$C$38,2,0)</f>
        <v>16</v>
      </c>
      <c r="K27" s="137">
        <v>1636</v>
      </c>
      <c r="L27" s="138">
        <f t="shared" ref="L27:L29" si="25">K27/J27</f>
        <v>102.25</v>
      </c>
      <c r="M27" s="170">
        <v>15</v>
      </c>
      <c r="N27" s="140">
        <f>G27/W27*60</f>
        <v>1494.7826086956543</v>
      </c>
      <c r="O27" s="141">
        <f>N27/M27</f>
        <v>99.652173913043626</v>
      </c>
      <c r="P27" s="142">
        <f t="shared" si="21"/>
        <v>-1</v>
      </c>
      <c r="Q27" s="143">
        <f t="shared" si="22"/>
        <v>-2.5978260869563741</v>
      </c>
      <c r="R27" s="144">
        <f>O27/L27</f>
        <v>0.97459338790262717</v>
      </c>
      <c r="S27" s="413">
        <f>R37</f>
        <v>0.93390273228876952</v>
      </c>
      <c r="T27" s="171">
        <v>0.29166666666666702</v>
      </c>
      <c r="U27" s="171">
        <v>0.37152777777777801</v>
      </c>
      <c r="V27" s="135"/>
      <c r="W27" s="146">
        <f t="shared" si="17"/>
        <v>114.99999999999983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-141.21739130434571</v>
      </c>
      <c r="AG27" s="172">
        <f t="shared" si="24"/>
        <v>0.91368130115871293</v>
      </c>
      <c r="AH27" s="382">
        <f>AG37</f>
        <v>0.85892159611188312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2456</v>
      </c>
      <c r="H28" s="91">
        <f>F28*G28</f>
        <v>121621.12000000001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15</v>
      </c>
      <c r="N28" s="95">
        <f>G28/W28*60</f>
        <v>1248.8135593220247</v>
      </c>
      <c r="O28" s="96">
        <f>N28/M28</f>
        <v>83.254237288134988</v>
      </c>
      <c r="P28" s="97">
        <f t="shared" si="21"/>
        <v>-2</v>
      </c>
      <c r="Q28" s="98">
        <f t="shared" si="22"/>
        <v>-1.4516450648061863</v>
      </c>
      <c r="R28" s="99">
        <f t="shared" ref="R28:R29" si="26">O28/L28</f>
        <v>0.98286252354048254</v>
      </c>
      <c r="S28" s="414"/>
      <c r="T28" s="19">
        <v>0.37986111111111098</v>
      </c>
      <c r="U28" s="19">
        <v>0.46180555555555602</v>
      </c>
      <c r="V28" s="92">
        <f>(T28-U27)*24*60</f>
        <v>11.999999999999478</v>
      </c>
      <c r="W28" s="149">
        <f t="shared" si="17"/>
        <v>118.00000000000085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-191.18644067797527</v>
      </c>
      <c r="AG28" s="99">
        <f t="shared" si="24"/>
        <v>0.86723163841807271</v>
      </c>
      <c r="AH28" s="383"/>
    </row>
    <row r="29" spans="1:34" ht="15" customHeight="1">
      <c r="A29" s="411"/>
      <c r="B29" s="75" t="s">
        <v>120</v>
      </c>
      <c r="C29" s="173"/>
      <c r="D29" s="59" t="s">
        <v>124</v>
      </c>
      <c r="E29" s="104"/>
      <c r="F29" s="75">
        <f>VLOOKUP(D29,廠價表!$C$1:$E$41,3,0)</f>
        <v>44.3</v>
      </c>
      <c r="G29" s="90">
        <v>3583</v>
      </c>
      <c r="H29" s="91">
        <f>F29*G29</f>
        <v>158726.9</v>
      </c>
      <c r="I29" s="92"/>
      <c r="J29" s="79">
        <f>VLOOKUP(D29,產線配置圖!$A$3:$C$38,2,0)</f>
        <v>17</v>
      </c>
      <c r="K29" s="80">
        <f>VLOOKUP(D29,產線配置圖!$A$3:$C$38,3,0)</f>
        <v>1565</v>
      </c>
      <c r="L29" s="93">
        <f t="shared" si="25"/>
        <v>92.058823529411768</v>
      </c>
      <c r="M29" s="94">
        <v>16</v>
      </c>
      <c r="N29" s="95">
        <f>G29/W29*60</f>
        <v>1242.658959537571</v>
      </c>
      <c r="O29" s="96">
        <f>N29/M29</f>
        <v>77.66618497109819</v>
      </c>
      <c r="P29" s="97">
        <f t="shared" si="21"/>
        <v>-1</v>
      </c>
      <c r="Q29" s="98">
        <f t="shared" si="22"/>
        <v>-14.392638558313578</v>
      </c>
      <c r="R29" s="99">
        <f t="shared" si="26"/>
        <v>0.84365823930266404</v>
      </c>
      <c r="S29" s="414"/>
      <c r="T29" s="19">
        <v>0.52083333333333304</v>
      </c>
      <c r="U29" s="19">
        <v>0.64097222222222205</v>
      </c>
      <c r="V29" s="92">
        <f>(T29-U28)*24*60</f>
        <v>84.999999999998892</v>
      </c>
      <c r="W29" s="149">
        <f t="shared" si="17"/>
        <v>173.00000000000017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-322.34104046242896</v>
      </c>
      <c r="AG29" s="99">
        <f t="shared" si="24"/>
        <v>0.79403128404956613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/>
      <c r="AG30" s="99"/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/>
      <c r="AG31" s="99"/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16.666666666666668</v>
      </c>
      <c r="K37" s="155">
        <f t="shared" si="28"/>
        <v>1547</v>
      </c>
      <c r="L37" s="158">
        <f t="shared" si="28"/>
        <v>93.004901960784309</v>
      </c>
      <c r="M37" s="155">
        <f t="shared" si="28"/>
        <v>15.333333333333334</v>
      </c>
      <c r="N37" s="155">
        <f t="shared" si="28"/>
        <v>1328.7517091850832</v>
      </c>
      <c r="O37" s="158">
        <f t="shared" si="28"/>
        <v>86.857532057425601</v>
      </c>
      <c r="P37" s="159">
        <f>M37-J37</f>
        <v>-1.3333333333333339</v>
      </c>
      <c r="Q37" s="160">
        <f>N37-K37</f>
        <v>-218.2482908149168</v>
      </c>
      <c r="R37" s="161">
        <f t="shared" ref="R37:R39" si="29">O37/L37</f>
        <v>0.93390273228876952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39" si="30">N37-K37</f>
        <v>-218.2482908149168</v>
      </c>
      <c r="AG37" s="124">
        <f t="shared" ref="AG37:AG39" si="31">N37/K37</f>
        <v>0.85892159611188312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2896</v>
      </c>
      <c r="H38" s="134">
        <f>F38*G38</f>
        <v>144539.35999999999</v>
      </c>
      <c r="I38" s="135"/>
      <c r="J38" s="187">
        <f>VLOOKUP(D38,產線配置圖!$A$3:$C$38,2,0)</f>
        <v>15</v>
      </c>
      <c r="K38" s="188">
        <v>1714</v>
      </c>
      <c r="L38" s="189">
        <f t="shared" ref="L38:L39" si="32">K38/J38</f>
        <v>114.26666666666667</v>
      </c>
      <c r="M38" s="190">
        <v>15</v>
      </c>
      <c r="N38" s="140">
        <f>G38/W38*60</f>
        <v>1424.2622950819537</v>
      </c>
      <c r="O38" s="141">
        <f>N38/M38</f>
        <v>94.950819672130237</v>
      </c>
      <c r="P38" s="142">
        <f t="shared" ref="P38:P39" si="33">M38-J38</f>
        <v>0</v>
      </c>
      <c r="Q38" s="143">
        <f t="shared" ref="Q38:Q39" si="34">O38-L38</f>
        <v>-19.315846994536429</v>
      </c>
      <c r="R38" s="144">
        <f>O38/L38</f>
        <v>0.83095816515866605</v>
      </c>
      <c r="S38" s="404">
        <f>R48</f>
        <v>0.88484501754861045</v>
      </c>
      <c r="T38" s="191">
        <v>0.33333333333333298</v>
      </c>
      <c r="U38" s="191">
        <v>0.41805555555555601</v>
      </c>
      <c r="V38" s="192"/>
      <c r="W38" s="193">
        <f t="shared" si="17"/>
        <v>122.00000000000117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0"/>
        <v>-289.73770491804635</v>
      </c>
      <c r="AG38" s="195">
        <f t="shared" si="31"/>
        <v>0.83095816515866605</v>
      </c>
      <c r="AH38" s="398">
        <f>AG48</f>
        <v>0.88860071806691332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1837</v>
      </c>
      <c r="H39" s="91">
        <f>F39*G39</f>
        <v>81379.099999999991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2"/>
        <v>92.058823529411768</v>
      </c>
      <c r="M39" s="201">
        <v>17</v>
      </c>
      <c r="N39" s="202">
        <f>G39/W39*60</f>
        <v>1489.459459459455</v>
      </c>
      <c r="O39" s="203">
        <f>N39/M39</f>
        <v>87.615262321144414</v>
      </c>
      <c r="P39" s="97">
        <f t="shared" si="33"/>
        <v>0</v>
      </c>
      <c r="Q39" s="98">
        <f t="shared" si="34"/>
        <v>-4.4435612082673543</v>
      </c>
      <c r="R39" s="99">
        <f t="shared" si="29"/>
        <v>0.95173128399965179</v>
      </c>
      <c r="S39" s="405"/>
      <c r="T39" s="20">
        <v>0.42777777777777798</v>
      </c>
      <c r="U39" s="20">
        <v>0.47916666666666702</v>
      </c>
      <c r="V39" s="92">
        <f>(T39-U38)*24*60</f>
        <v>13.999999999999631</v>
      </c>
      <c r="W39" s="205">
        <f t="shared" si="17"/>
        <v>74.000000000000213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0"/>
        <v>-75.540540540544953</v>
      </c>
      <c r="AG39" s="206">
        <f t="shared" si="31"/>
        <v>0.95173128399965179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7"/>
        <v>0</v>
      </c>
      <c r="X40" s="208"/>
      <c r="Y40" s="209"/>
      <c r="Z40" s="337"/>
      <c r="AA40" s="337"/>
      <c r="AB40" s="388"/>
      <c r="AC40" s="388"/>
      <c r="AD40" s="92"/>
      <c r="AE40" s="92"/>
      <c r="AF40" s="314"/>
      <c r="AG40" s="206"/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/>
      <c r="AG41" s="206"/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</v>
      </c>
      <c r="K48" s="155">
        <f t="shared" si="36"/>
        <v>1639.5</v>
      </c>
      <c r="L48" s="158">
        <f t="shared" si="36"/>
        <v>103.16274509803921</v>
      </c>
      <c r="M48" s="155">
        <f t="shared" si="36"/>
        <v>16</v>
      </c>
      <c r="N48" s="155">
        <f t="shared" si="36"/>
        <v>1456.8608772707043</v>
      </c>
      <c r="O48" s="158">
        <f t="shared" si="36"/>
        <v>91.283040996637325</v>
      </c>
      <c r="P48" s="221">
        <f>M48-J48</f>
        <v>0</v>
      </c>
      <c r="Q48" s="222">
        <f>N48-K48</f>
        <v>-182.63912272929565</v>
      </c>
      <c r="R48" s="223">
        <f>O48/L48</f>
        <v>0.88484501754861045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-182.63912272929565</v>
      </c>
      <c r="AG48" s="162">
        <f t="shared" ref="AG48:AG53" si="38">N48/K48</f>
        <v>0.88860071806691332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1319</v>
      </c>
      <c r="H49" s="134">
        <f>F49*G49</f>
        <v>75011.53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39">K49/J49</f>
        <v>100.82352941176471</v>
      </c>
      <c r="M49" s="170">
        <v>14</v>
      </c>
      <c r="N49" s="140">
        <f>G49/W49*60</f>
        <v>1341.3559322033982</v>
      </c>
      <c r="O49" s="141">
        <f>N49/M49</f>
        <v>95.811138014528439</v>
      </c>
      <c r="P49" s="229">
        <f>M49-J49</f>
        <v>-3</v>
      </c>
      <c r="Q49" s="230">
        <f>O49-L49</f>
        <v>-5.0123913972362715</v>
      </c>
      <c r="R49" s="52">
        <f>O49/L49</f>
        <v>0.9502854995606671</v>
      </c>
      <c r="S49" s="376">
        <f>R58</f>
        <v>0.96227756105625506</v>
      </c>
      <c r="T49" s="191">
        <v>0.29166666666666702</v>
      </c>
      <c r="U49" s="191">
        <v>0.33263888888888898</v>
      </c>
      <c r="V49" s="55"/>
      <c r="W49" s="193">
        <f t="shared" si="17"/>
        <v>58.999999999999631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-372.6440677966018</v>
      </c>
      <c r="AG49" s="52">
        <f t="shared" si="38"/>
        <v>0.78258805846172586</v>
      </c>
      <c r="AH49" s="382">
        <f>AG58</f>
        <v>0.88941942735682222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3261</v>
      </c>
      <c r="H50" s="231">
        <f>F50*G50</f>
        <v>186561.81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1540.629921259851</v>
      </c>
      <c r="O50" s="235">
        <f>N50/M50</f>
        <v>102.7086614173234</v>
      </c>
      <c r="P50" s="74">
        <f>M50-J50</f>
        <v>0</v>
      </c>
      <c r="Q50" s="83">
        <f>O50-L50</f>
        <v>-6.3580052493432646</v>
      </c>
      <c r="R50" s="72">
        <f>O50/L50</f>
        <v>0.94170533084342978</v>
      </c>
      <c r="S50" s="377"/>
      <c r="T50" s="21">
        <v>0.33750000000000002</v>
      </c>
      <c r="U50" s="21">
        <v>0.42569444444444399</v>
      </c>
      <c r="V50" s="30">
        <f t="shared" ref="V50:V52" si="40">(T50-U49)*24*60</f>
        <v>6.9999999999998952</v>
      </c>
      <c r="W50" s="236">
        <f t="shared" si="17"/>
        <v>126.9999999999993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-95.370078740148983</v>
      </c>
      <c r="AG50" s="72">
        <f t="shared" si="38"/>
        <v>0.94170533084342967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1985</v>
      </c>
      <c r="H51" s="231">
        <f>F51*G51</f>
        <v>99190.45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15</v>
      </c>
      <c r="N51" s="234">
        <f>G51/W51*60</f>
        <v>1654.166666666667</v>
      </c>
      <c r="O51" s="235">
        <f>N51/M51</f>
        <v>110.2777777777778</v>
      </c>
      <c r="P51" s="74">
        <f>M51-J51</f>
        <v>-1</v>
      </c>
      <c r="Q51" s="83">
        <f>O51-L51</f>
        <v>-2.2222222222222001</v>
      </c>
      <c r="R51" s="72">
        <f>O51/L51</f>
        <v>0.98024691358024707</v>
      </c>
      <c r="S51" s="377"/>
      <c r="T51" s="21">
        <v>0.43263888888888902</v>
      </c>
      <c r="U51" s="19">
        <v>0.48263888888888901</v>
      </c>
      <c r="V51" s="30">
        <f t="shared" si="40"/>
        <v>10.000000000000844</v>
      </c>
      <c r="W51" s="236">
        <f t="shared" si="17"/>
        <v>71.999999999999986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-145.83333333333303</v>
      </c>
      <c r="AG51" s="72">
        <f t="shared" si="38"/>
        <v>0.91898148148148162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3510</v>
      </c>
      <c r="H52" s="231">
        <f>F52*G52</f>
        <v>175394.69999999998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15</v>
      </c>
      <c r="N52" s="234">
        <f>G52/W52*60</f>
        <v>1645.312499999998</v>
      </c>
      <c r="O52" s="235">
        <f>N52/M52</f>
        <v>109.68749999999986</v>
      </c>
      <c r="P52" s="74">
        <f>M52-J52</f>
        <v>-1</v>
      </c>
      <c r="Q52" s="83">
        <f>O52-L52</f>
        <v>-2.8125000000001421</v>
      </c>
      <c r="R52" s="72">
        <f>O52/L52</f>
        <v>0.97499999999999876</v>
      </c>
      <c r="S52" s="377"/>
      <c r="T52" s="21">
        <v>0.54166666666666696</v>
      </c>
      <c r="U52" s="21">
        <v>0.63055555555555598</v>
      </c>
      <c r="V52" s="30">
        <f t="shared" si="40"/>
        <v>85.000000000000256</v>
      </c>
      <c r="W52" s="236">
        <f t="shared" si="17"/>
        <v>128.00000000000017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-154.68750000000205</v>
      </c>
      <c r="AG52" s="72">
        <f t="shared" si="38"/>
        <v>0.91406249999999889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16</v>
      </c>
      <c r="K58" s="120">
        <f t="shared" si="41"/>
        <v>1737.5</v>
      </c>
      <c r="L58" s="117">
        <f t="shared" si="41"/>
        <v>108.72254901960784</v>
      </c>
      <c r="M58" s="120">
        <f t="shared" si="41"/>
        <v>14.75</v>
      </c>
      <c r="N58" s="120">
        <f t="shared" si="41"/>
        <v>1545.3662550324786</v>
      </c>
      <c r="O58" s="117">
        <f t="shared" si="41"/>
        <v>104.62126930240737</v>
      </c>
      <c r="P58" s="121">
        <f>M58-J58</f>
        <v>-1.25</v>
      </c>
      <c r="Q58" s="122">
        <f>N58-K58</f>
        <v>-192.13374496752135</v>
      </c>
      <c r="R58" s="123">
        <f t="shared" ref="R58:R64" si="42">O58/L58</f>
        <v>0.96227756105625506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-192.13374496752135</v>
      </c>
      <c r="AG58" s="124">
        <f t="shared" ref="AG58:AG61" si="44">N58/K58</f>
        <v>0.88941942735682222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2696</v>
      </c>
      <c r="H59" s="243">
        <f>F59*G59</f>
        <v>72765.039999999994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45">K59/J59</f>
        <v>120.38461538461539</v>
      </c>
      <c r="M59" s="244">
        <v>13</v>
      </c>
      <c r="N59" s="137">
        <f t="shared" ref="N59:N64" si="46">G59/W59*60</f>
        <v>1540.5714285714434</v>
      </c>
      <c r="O59" s="138">
        <f t="shared" ref="O59:O64" si="47">N59/M59</f>
        <v>118.50549450549565</v>
      </c>
      <c r="P59" s="56">
        <f t="shared" ref="P59:P64" si="48">M59-J59</f>
        <v>0</v>
      </c>
      <c r="Q59" s="230">
        <f t="shared" ref="Q59:Q64" si="49">O59-L59</f>
        <v>-1.8791208791197391</v>
      </c>
      <c r="R59" s="52">
        <f t="shared" si="42"/>
        <v>0.98439068918303096</v>
      </c>
      <c r="S59" s="376">
        <f>R69</f>
        <v>0.85252614734424759</v>
      </c>
      <c r="T59" s="245">
        <v>0.29166666666666702</v>
      </c>
      <c r="U59" s="245">
        <v>0.36458333333333298</v>
      </c>
      <c r="V59" s="55"/>
      <c r="W59" s="54">
        <f t="shared" si="17"/>
        <v>104.99999999999899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-24.428571428556552</v>
      </c>
      <c r="AG59" s="246">
        <f t="shared" si="44"/>
        <v>0.98439068918303096</v>
      </c>
      <c r="AH59" s="382">
        <f>AG69</f>
        <v>0.78673412147077049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1737</v>
      </c>
      <c r="H60" s="78">
        <f>F60*G60</f>
        <v>49087.62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1555.5223880596939</v>
      </c>
      <c r="O60" s="81">
        <f t="shared" si="47"/>
        <v>129.62686567164116</v>
      </c>
      <c r="P60" s="74">
        <f t="shared" si="48"/>
        <v>0</v>
      </c>
      <c r="Q60" s="83">
        <f t="shared" si="49"/>
        <v>-0.78980099502550161</v>
      </c>
      <c r="R60" s="72">
        <f t="shared" si="42"/>
        <v>0.99394401792951692</v>
      </c>
      <c r="S60" s="394"/>
      <c r="T60" s="22">
        <v>0.37361111111111101</v>
      </c>
      <c r="U60" s="22">
        <v>0.42013888888888901</v>
      </c>
      <c r="V60" s="30">
        <f t="shared" ref="V60:V64" si="50">(T60-U59)*24*60</f>
        <v>13.000000000000353</v>
      </c>
      <c r="W60" s="248">
        <f t="shared" si="17"/>
        <v>67.000000000000327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-9.477611940306133</v>
      </c>
      <c r="AG60" s="249">
        <f t="shared" si="44"/>
        <v>0.99394401792951681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75">
        <f>VLOOKUP(D61,廠價表!$C$1:$E$41,3,0)</f>
        <v>28.26</v>
      </c>
      <c r="G61" s="38">
        <v>1134</v>
      </c>
      <c r="H61" s="78">
        <f t="shared" ref="H61:H64" si="51">F61*G61</f>
        <v>32046.84</v>
      </c>
      <c r="I61" s="30"/>
      <c r="J61" s="79">
        <f>VLOOKUP(D61,產線配置圖!$A$3:$C$38,2,0)</f>
        <v>12</v>
      </c>
      <c r="K61" s="80">
        <f>VLOOKUP(D61,產線配置圖!$A$3:$C$38,3,0)</f>
        <v>1565</v>
      </c>
      <c r="L61" s="81">
        <f t="shared" si="45"/>
        <v>130.41666666666666</v>
      </c>
      <c r="M61" s="108">
        <v>12</v>
      </c>
      <c r="N61" s="80">
        <f t="shared" si="46"/>
        <v>1173.1034482758566</v>
      </c>
      <c r="O61" s="81">
        <f t="shared" si="47"/>
        <v>97.75862068965472</v>
      </c>
      <c r="P61" s="74">
        <f t="shared" si="48"/>
        <v>0</v>
      </c>
      <c r="Q61" s="83">
        <f t="shared" si="49"/>
        <v>-32.658045977011938</v>
      </c>
      <c r="R61" s="72">
        <f t="shared" si="42"/>
        <v>0.74958686790789564</v>
      </c>
      <c r="S61" s="377"/>
      <c r="T61" s="22">
        <v>0.43194444444444402</v>
      </c>
      <c r="U61" s="22">
        <v>0.47222222222222199</v>
      </c>
      <c r="V61" s="30">
        <f t="shared" si="50"/>
        <v>16.999999999999218</v>
      </c>
      <c r="W61" s="256">
        <f t="shared" si="17"/>
        <v>58.00000000000027</v>
      </c>
      <c r="X61" s="22"/>
      <c r="Y61" s="84"/>
      <c r="Z61" s="90"/>
      <c r="AA61" s="90"/>
      <c r="AB61" s="388" t="s">
        <v>201</v>
      </c>
      <c r="AC61" s="388"/>
      <c r="AD61" s="92"/>
      <c r="AE61" s="92"/>
      <c r="AF61" s="317">
        <f t="shared" si="43"/>
        <v>-391.89655172414336</v>
      </c>
      <c r="AG61" s="247">
        <f t="shared" si="44"/>
        <v>0.74958686790789564</v>
      </c>
      <c r="AH61" s="384"/>
    </row>
    <row r="62" spans="1:34" ht="15" customHeight="1">
      <c r="A62" s="392"/>
      <c r="B62" s="258" t="s">
        <v>128</v>
      </c>
      <c r="C62" s="58"/>
      <c r="D62" s="259" t="s">
        <v>129</v>
      </c>
      <c r="E62" s="60"/>
      <c r="F62" s="75">
        <f>VLOOKUP(D62,廠價表!$C$1:$E$41,3,0)</f>
        <v>26.99</v>
      </c>
      <c r="G62" s="260">
        <v>1100</v>
      </c>
      <c r="H62" s="78">
        <f t="shared" si="51"/>
        <v>29689</v>
      </c>
      <c r="I62" s="30"/>
      <c r="J62" s="79">
        <f>VLOOKUP(D62,產線配置圖!$A$3:$C$38,2,0)</f>
        <v>13</v>
      </c>
      <c r="K62" s="80">
        <f>VLOOKUP(D62,產線配置圖!$A$3:$C$38,3,0)</f>
        <v>1565</v>
      </c>
      <c r="L62" s="81">
        <f t="shared" si="45"/>
        <v>120.38461538461539</v>
      </c>
      <c r="M62" s="68">
        <v>13</v>
      </c>
      <c r="N62" s="80">
        <f t="shared" si="46"/>
        <v>1320.0000000000089</v>
      </c>
      <c r="O62" s="81">
        <f t="shared" si="47"/>
        <v>101.53846153846222</v>
      </c>
      <c r="P62" s="74">
        <f t="shared" si="48"/>
        <v>0</v>
      </c>
      <c r="Q62" s="83">
        <f t="shared" si="49"/>
        <v>-18.846153846153172</v>
      </c>
      <c r="R62" s="72">
        <f t="shared" si="42"/>
        <v>0.84345047923323246</v>
      </c>
      <c r="S62" s="377"/>
      <c r="T62" s="22">
        <v>0.54166666666666696</v>
      </c>
      <c r="U62" s="22">
        <v>0.57638888888888895</v>
      </c>
      <c r="V62" s="30">
        <f t="shared" si="50"/>
        <v>100.00000000000077</v>
      </c>
      <c r="W62" s="248">
        <f t="shared" si="17"/>
        <v>49.999999999999659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-244.99999999999113</v>
      </c>
      <c r="AG62" s="247">
        <f>N62/K62</f>
        <v>0.84345047923323246</v>
      </c>
      <c r="AH62" s="384"/>
    </row>
    <row r="63" spans="1:34" ht="15" customHeight="1">
      <c r="A63" s="392"/>
      <c r="B63" s="250" t="s">
        <v>128</v>
      </c>
      <c r="C63" s="251"/>
      <c r="D63" s="252" t="s">
        <v>138</v>
      </c>
      <c r="E63" s="253"/>
      <c r="F63" s="75">
        <f>VLOOKUP(D63,廠價表!$C$1:$E$41,3,0)</f>
        <v>28.26</v>
      </c>
      <c r="G63" s="38">
        <v>1599</v>
      </c>
      <c r="H63" s="78">
        <f t="shared" si="51"/>
        <v>45187.740000000005</v>
      </c>
      <c r="I63" s="30"/>
      <c r="J63" s="79">
        <f>VLOOKUP(D63,產線配置圖!$A$3:$C$38,2,0)</f>
        <v>9</v>
      </c>
      <c r="K63" s="80">
        <f>VLOOKUP(D63,產線配置圖!$A$3:$C$38,3,0)</f>
        <v>1636</v>
      </c>
      <c r="L63" s="81">
        <f t="shared" si="45"/>
        <v>181.77777777777777</v>
      </c>
      <c r="M63" s="108">
        <v>5</v>
      </c>
      <c r="N63" s="80">
        <f t="shared" si="46"/>
        <v>685.28571428571593</v>
      </c>
      <c r="O63" s="81">
        <f t="shared" si="47"/>
        <v>137.05714285714319</v>
      </c>
      <c r="P63" s="74">
        <f t="shared" si="48"/>
        <v>-4</v>
      </c>
      <c r="Q63" s="83">
        <f t="shared" si="49"/>
        <v>-44.720634920634581</v>
      </c>
      <c r="R63" s="72">
        <f t="shared" si="42"/>
        <v>0.75398183723367285</v>
      </c>
      <c r="S63" s="377"/>
      <c r="T63" s="22">
        <v>0.39236111111111099</v>
      </c>
      <c r="U63" s="22">
        <v>0.48958333333333298</v>
      </c>
      <c r="V63" s="30"/>
      <c r="W63" s="248">
        <f t="shared" si="17"/>
        <v>139.99999999999966</v>
      </c>
      <c r="X63" s="261"/>
      <c r="Y63" s="291"/>
      <c r="Z63" s="335"/>
      <c r="AA63" s="335"/>
      <c r="AB63" s="388" t="s">
        <v>202</v>
      </c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 t="s">
        <v>128</v>
      </c>
      <c r="C64" s="76"/>
      <c r="D64" s="175" t="s">
        <v>138</v>
      </c>
      <c r="E64" s="77"/>
      <c r="F64" s="75">
        <f>VLOOKUP(D64,廠價表!$C$1:$E$41,3,0)</f>
        <v>28.26</v>
      </c>
      <c r="G64" s="30">
        <v>1837</v>
      </c>
      <c r="H64" s="78">
        <f t="shared" si="51"/>
        <v>51913.62</v>
      </c>
      <c r="I64" s="30"/>
      <c r="J64" s="79">
        <f>VLOOKUP(D64,產線配置圖!$A$3:$C$38,2,0)</f>
        <v>9</v>
      </c>
      <c r="K64" s="80">
        <f>VLOOKUP(D64,產線配置圖!$A$3:$C$38,3,0)</f>
        <v>1636</v>
      </c>
      <c r="L64" s="81">
        <f t="shared" si="45"/>
        <v>181.77777777777777</v>
      </c>
      <c r="M64" s="82">
        <v>8</v>
      </c>
      <c r="N64" s="80">
        <f t="shared" si="46"/>
        <v>1224.6666666666667</v>
      </c>
      <c r="O64" s="81">
        <f t="shared" si="47"/>
        <v>153.08333333333334</v>
      </c>
      <c r="P64" s="74">
        <f t="shared" si="48"/>
        <v>-1</v>
      </c>
      <c r="Q64" s="83">
        <f t="shared" si="49"/>
        <v>-28.694444444444429</v>
      </c>
      <c r="R64" s="72">
        <f t="shared" si="42"/>
        <v>0.8421454767726162</v>
      </c>
      <c r="S64" s="377"/>
      <c r="T64" s="22">
        <v>0.58333333333333304</v>
      </c>
      <c r="U64" s="22">
        <v>0.64583333333333304</v>
      </c>
      <c r="V64" s="30">
        <f t="shared" si="50"/>
        <v>135.00000000000009</v>
      </c>
      <c r="W64" s="73">
        <f t="shared" si="17"/>
        <v>90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250"/>
      <c r="C65" s="251"/>
      <c r="D65" s="252"/>
      <c r="E65" s="253"/>
      <c r="F65" s="250"/>
      <c r="G65" s="38"/>
      <c r="H65" s="254"/>
      <c r="I65" s="182"/>
      <c r="J65" s="106"/>
      <c r="K65" s="107"/>
      <c r="L65" s="238"/>
      <c r="M65" s="108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2"/>
      <c r="U66" s="22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11.333333333333334</v>
      </c>
      <c r="K69" s="240">
        <f t="shared" si="52"/>
        <v>1588.6666666666667</v>
      </c>
      <c r="L69" s="268">
        <f t="shared" si="52"/>
        <v>144.19301994301995</v>
      </c>
      <c r="M69" s="240">
        <f t="shared" si="52"/>
        <v>10.5</v>
      </c>
      <c r="N69" s="240">
        <f t="shared" si="52"/>
        <v>1249.8582743098975</v>
      </c>
      <c r="O69" s="268">
        <f t="shared" si="52"/>
        <v>122.92831976595505</v>
      </c>
      <c r="P69" s="269">
        <f>M69-J69</f>
        <v>-0.83333333333333393</v>
      </c>
      <c r="Q69" s="222">
        <f>N69-K69</f>
        <v>-338.80839235676922</v>
      </c>
      <c r="R69" s="123">
        <f>O69/L69</f>
        <v>0.85252614734424759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-338.80839235676922</v>
      </c>
      <c r="AG69" s="124">
        <f>N69/K69</f>
        <v>0.78673412147077049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2452</v>
      </c>
      <c r="H70" s="243">
        <f>F70*G70</f>
        <v>124242.84000000001</v>
      </c>
      <c r="I70" s="55"/>
      <c r="J70" s="136">
        <f>VLOOKUP(D70,產線配置圖!$A$3:$C$38,2,0)</f>
        <v>10</v>
      </c>
      <c r="K70" s="137">
        <f>VLOOKUP(D70,產線配置圖!$A$3:$C$38,3,0)</f>
        <v>1125</v>
      </c>
      <c r="L70" s="138">
        <f>K70/J70</f>
        <v>112.5</v>
      </c>
      <c r="M70" s="244">
        <v>10</v>
      </c>
      <c r="N70" s="137">
        <f>G70/W70*60</f>
        <v>1106.165413533824</v>
      </c>
      <c r="O70" s="138">
        <f>N70/M70</f>
        <v>110.6165413533824</v>
      </c>
      <c r="P70" s="56">
        <f>M70-J70</f>
        <v>0</v>
      </c>
      <c r="Q70" s="230">
        <f>O70-L70</f>
        <v>-1.8834586466175978</v>
      </c>
      <c r="R70" s="52">
        <f>O70/L70</f>
        <v>0.98325814536339917</v>
      </c>
      <c r="S70" s="376">
        <f>R79</f>
        <v>0.98689893792497241</v>
      </c>
      <c r="T70" s="245">
        <v>0.33194444444444399</v>
      </c>
      <c r="U70" s="245">
        <v>0.42430555555555599</v>
      </c>
      <c r="V70" s="55"/>
      <c r="W70" s="54">
        <f t="shared" si="17"/>
        <v>133.00000000000128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-18.834586466176006</v>
      </c>
      <c r="AG70" s="246">
        <f>N70/K70</f>
        <v>0.98325814536339906</v>
      </c>
      <c r="AH70" s="382">
        <f>AG79</f>
        <v>0.85016413019906412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75">
        <f>VLOOKUP(D71,廠價表!$C$1:$E$41,3,0)</f>
        <v>56.43</v>
      </c>
      <c r="G71" s="30">
        <v>1307</v>
      </c>
      <c r="H71" s="78">
        <f>F71*G71</f>
        <v>73754.009999999995</v>
      </c>
      <c r="I71" s="30"/>
      <c r="J71" s="79">
        <f>VLOOKUP(D71,產線配置圖!$A$3:$C$38,2,0)</f>
        <v>16</v>
      </c>
      <c r="K71" s="80">
        <f>VLOOKUP(D71,產線配置圖!$A$3:$C$38,3,0)</f>
        <v>1406</v>
      </c>
      <c r="L71" s="81">
        <f>K71/J71</f>
        <v>87.875</v>
      </c>
      <c r="M71" s="82">
        <v>12</v>
      </c>
      <c r="N71" s="80">
        <f>G71/W71*60</f>
        <v>1045.6000000000072</v>
      </c>
      <c r="O71" s="81">
        <f>N71/M71</f>
        <v>87.133333333333937</v>
      </c>
      <c r="P71" s="74">
        <f>M71-J71</f>
        <v>-4</v>
      </c>
      <c r="Q71" s="83">
        <f>O71-L71</f>
        <v>-0.74166666666606318</v>
      </c>
      <c r="R71" s="72">
        <f>O71/L71</f>
        <v>0.99155998103367216</v>
      </c>
      <c r="S71" s="377"/>
      <c r="T71" s="22">
        <v>0.43125000000000002</v>
      </c>
      <c r="U71" s="22">
        <v>0.483333333333333</v>
      </c>
      <c r="V71" s="30">
        <f>(T71-U70)*24*60</f>
        <v>9.9999999999994049</v>
      </c>
      <c r="W71" s="73">
        <f t="shared" si="17"/>
        <v>74.999999999999488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4">AVERAGE(J70:J78)</f>
        <v>13</v>
      </c>
      <c r="K79" s="240">
        <f t="shared" si="54"/>
        <v>1265.5</v>
      </c>
      <c r="L79" s="268">
        <f t="shared" si="54"/>
        <v>100.1875</v>
      </c>
      <c r="M79" s="240">
        <f t="shared" si="54"/>
        <v>11</v>
      </c>
      <c r="N79" s="240">
        <f t="shared" si="54"/>
        <v>1075.8827067669156</v>
      </c>
      <c r="O79" s="268">
        <f t="shared" si="54"/>
        <v>98.87493734335817</v>
      </c>
      <c r="P79" s="269">
        <f>M79-J79</f>
        <v>-2</v>
      </c>
      <c r="Q79" s="222">
        <f>N79-K79</f>
        <v>-189.61729323308441</v>
      </c>
      <c r="R79" s="223">
        <f>O79/L79</f>
        <v>0.98689893792497241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-189.61729323308441</v>
      </c>
      <c r="AG79" s="124">
        <f>N79/K79</f>
        <v>0.85016413019906412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5:A15"/>
    <mergeCell ref="S5:S15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H3:AH4"/>
    <mergeCell ref="S3:S4"/>
    <mergeCell ref="P3:P4"/>
    <mergeCell ref="Q3:Q4"/>
    <mergeCell ref="R3:R4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  <mergeCell ref="M3:M4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1B06C6-2C93-47A1-9ACD-D727CDF9F4D3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EA7-4275-4BF4-8A15-D0A30A1A9C78}">
  <dimension ref="B1:O26"/>
  <sheetViews>
    <sheetView topLeftCell="A2" zoomScale="70" zoomScaleNormal="70" workbookViewId="0">
      <selection activeCell="M19" sqref="M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46106</v>
      </c>
      <c r="E3" s="466"/>
      <c r="F3" s="3" t="s">
        <v>72</v>
      </c>
      <c r="G3" s="467">
        <f>'0325'!E1</f>
        <v>53463</v>
      </c>
      <c r="H3" s="467"/>
      <c r="I3" s="3" t="s">
        <v>2</v>
      </c>
      <c r="J3" s="468">
        <f>'0325'!G1</f>
        <v>2521181.48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124.783842709578</v>
      </c>
      <c r="G6" s="473"/>
      <c r="H6" s="474">
        <f>AVERAGE(D13:H13,J13)</f>
        <v>120.75536635205752</v>
      </c>
      <c r="I6" s="474"/>
      <c r="J6" s="474">
        <f>AVERAGE(I13)</f>
        <v>148.95470085470089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116.62931046712642</v>
      </c>
      <c r="G7" s="497"/>
      <c r="H7" s="498">
        <f>AVERAGE(D14:H14,J14)</f>
        <v>113.81264543816758</v>
      </c>
      <c r="I7" s="498"/>
      <c r="J7" s="498">
        <f>AVERAGE(I14)</f>
        <v>133.52930064087954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0.93465073630221152</v>
      </c>
      <c r="G8" s="470"/>
      <c r="H8" s="470">
        <f>H7/H6</f>
        <v>0.94250590161228354</v>
      </c>
      <c r="I8" s="470"/>
      <c r="J8" s="470">
        <f>J7/J6</f>
        <v>0.8964423403537416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VALUE('0325'!L15)</f>
        <v>156.46153846153845</v>
      </c>
      <c r="E13" s="13">
        <f>VALUE('0325'!L26)</f>
        <v>170.39772727272725</v>
      </c>
      <c r="F13" s="13">
        <f>VALUE('0325'!L37)</f>
        <v>93.47794117647058</v>
      </c>
      <c r="G13" s="13">
        <f>VALUE('0325'!L48)</f>
        <v>96.150326797385617</v>
      </c>
      <c r="H13" s="13">
        <f>VALUE('0325'!L58)</f>
        <v>108.72254901960784</v>
      </c>
      <c r="I13" s="13">
        <f>VALUE('0325'!L69)</f>
        <v>148.95470085470089</v>
      </c>
      <c r="J13" s="13">
        <f>'0325'!L79</f>
        <v>99.322115384615387</v>
      </c>
    </row>
    <row r="14" spans="2:15" ht="39.950000000000003" customHeight="1">
      <c r="B14" s="491"/>
      <c r="C14" s="12" t="s">
        <v>100</v>
      </c>
      <c r="D14" s="13">
        <f>VALUE('0325'!O15)</f>
        <v>151.20319035802947</v>
      </c>
      <c r="E14" s="13">
        <f>VALUE('0325'!O26)</f>
        <v>157.2341164528068</v>
      </c>
      <c r="F14" s="13">
        <f>VALUE('0325'!O37)</f>
        <v>92.017816742082061</v>
      </c>
      <c r="G14" s="13">
        <f>VALUE('0325'!O48)</f>
        <v>91.608005307385767</v>
      </c>
      <c r="H14" s="13">
        <f>VALUE('0325'!O58)</f>
        <v>100.68740036210801</v>
      </c>
      <c r="I14" s="13">
        <f>VALUE('0325'!O69)</f>
        <v>133.52930064087954</v>
      </c>
      <c r="J14" s="13">
        <f>'0325'!O79</f>
        <v>90.125343406593345</v>
      </c>
    </row>
    <row r="15" spans="2:15" ht="39.950000000000003" customHeight="1">
      <c r="B15" s="492"/>
      <c r="C15" s="10" t="s">
        <v>26</v>
      </c>
      <c r="D15" s="14">
        <f>D14/D13</f>
        <v>0.96639207210146671</v>
      </c>
      <c r="E15" s="14">
        <f t="shared" ref="E15:I15" si="1">E14/E13</f>
        <v>0.9227477324339447</v>
      </c>
      <c r="F15" s="14">
        <f t="shared" si="1"/>
        <v>0.98438001077032655</v>
      </c>
      <c r="G15" s="14">
        <f t="shared" si="1"/>
        <v>0.95275812738970989</v>
      </c>
      <c r="H15" s="14">
        <f t="shared" si="1"/>
        <v>0.92609492023544526</v>
      </c>
      <c r="I15" s="14">
        <f t="shared" si="1"/>
        <v>0.8964423403537416</v>
      </c>
      <c r="J15" s="15">
        <f>'0325'!S70</f>
        <v>0.90740459018207154</v>
      </c>
    </row>
    <row r="16" spans="2:15" ht="17.25" customHeight="1">
      <c r="B16" s="493" t="s">
        <v>101</v>
      </c>
      <c r="C16" s="10" t="s">
        <v>34</v>
      </c>
      <c r="D16" s="16">
        <f>'0325'!T5</f>
        <v>0.29166666666666702</v>
      </c>
      <c r="E16" s="16">
        <f>'0325'!T16</f>
        <v>0.29027777777777802</v>
      </c>
      <c r="F16" s="16">
        <f>'0325'!T27</f>
        <v>0.29166666666666702</v>
      </c>
      <c r="G16" s="16">
        <f>'0325'!T38</f>
        <v>0.33333333333333298</v>
      </c>
      <c r="H16" s="16">
        <f>'0325'!T49</f>
        <v>0.29027777777777802</v>
      </c>
      <c r="I16" s="16">
        <f>'0325'!T59</f>
        <v>0.29027777777777802</v>
      </c>
      <c r="J16" s="16">
        <f>'0325'!T70</f>
        <v>0.33194444444444399</v>
      </c>
    </row>
    <row r="17" spans="2:10" ht="17.25" customHeight="1">
      <c r="B17" s="494"/>
      <c r="C17" s="10" t="s">
        <v>35</v>
      </c>
      <c r="D17" s="16">
        <v>0.48263888888888901</v>
      </c>
      <c r="E17" s="19">
        <v>0.56527777777777799</v>
      </c>
      <c r="F17" s="19">
        <v>0.453472222222222</v>
      </c>
      <c r="G17" s="20">
        <v>0.67847222222222203</v>
      </c>
      <c r="H17" s="21">
        <v>0.61111111111111105</v>
      </c>
      <c r="I17" s="22">
        <v>0.61805555555555602</v>
      </c>
      <c r="J17" s="22">
        <v>0.46527777777777801</v>
      </c>
    </row>
    <row r="18" spans="2:10" ht="17.25" customHeight="1">
      <c r="B18" s="495" t="s">
        <v>102</v>
      </c>
      <c r="C18" s="330" t="s">
        <v>36</v>
      </c>
      <c r="D18" s="358">
        <f>'0325'!Z15</f>
        <v>0</v>
      </c>
      <c r="E18" s="359">
        <f>'0325'!Z26</f>
        <v>0</v>
      </c>
      <c r="F18" s="359">
        <f>'0325'!Z37</f>
        <v>0</v>
      </c>
      <c r="G18" s="360">
        <f>'0325'!Z48</f>
        <v>0</v>
      </c>
      <c r="H18" s="360">
        <f>'0325'!Z58</f>
        <v>0</v>
      </c>
      <c r="I18" s="359">
        <f>'0325'!Z69</f>
        <v>0</v>
      </c>
      <c r="J18" s="359">
        <f>'0325'!AA79</f>
        <v>0</v>
      </c>
    </row>
    <row r="19" spans="2:10" ht="17.25" customHeight="1">
      <c r="B19" s="496"/>
      <c r="C19" s="330" t="s">
        <v>37</v>
      </c>
      <c r="D19" s="358">
        <f>'0325'!AA15</f>
        <v>0</v>
      </c>
      <c r="E19" s="359">
        <f>'0325'!AA26</f>
        <v>0</v>
      </c>
      <c r="F19" s="359">
        <f>'0325'!AA37</f>
        <v>0</v>
      </c>
      <c r="G19" s="360">
        <f>'0325'!AA48</f>
        <v>0</v>
      </c>
      <c r="H19" s="360">
        <f>'0325'!AA58</f>
        <v>0</v>
      </c>
      <c r="I19" s="359">
        <f>'0325'!AA69</f>
        <v>0</v>
      </c>
      <c r="J19" s="359">
        <f>'0325'!AB79</f>
        <v>0</v>
      </c>
    </row>
    <row r="20" spans="2:10" ht="17.25" customHeight="1">
      <c r="B20" s="495" t="s">
        <v>103</v>
      </c>
      <c r="C20" s="330" t="s">
        <v>36</v>
      </c>
      <c r="D20" s="358">
        <f>'0325'!AD15</f>
        <v>0</v>
      </c>
      <c r="E20" s="359">
        <f>'0325'!AD26</f>
        <v>0</v>
      </c>
      <c r="F20" s="359">
        <f>'0325'!AD37</f>
        <v>0</v>
      </c>
      <c r="G20" s="360">
        <f>'0325'!AD48</f>
        <v>0</v>
      </c>
      <c r="H20" s="360">
        <f>'0325'!AD58</f>
        <v>0</v>
      </c>
      <c r="I20" s="359">
        <f>'0325'!AD69</f>
        <v>0</v>
      </c>
      <c r="J20" s="359">
        <f>'0325'!AD79</f>
        <v>0</v>
      </c>
    </row>
    <row r="21" spans="2:10" ht="17.25" customHeight="1">
      <c r="B21" s="496"/>
      <c r="C21" s="330" t="s">
        <v>85</v>
      </c>
      <c r="D21" s="358">
        <f>'0325'!AE15</f>
        <v>0</v>
      </c>
      <c r="E21" s="359">
        <f>'0325'!AE26</f>
        <v>0</v>
      </c>
      <c r="F21" s="359">
        <f>'0325'!AE37</f>
        <v>0</v>
      </c>
      <c r="G21" s="360">
        <f>'0325'!AE48</f>
        <v>0</v>
      </c>
      <c r="H21" s="360">
        <f>'0325'!AE58</f>
        <v>0</v>
      </c>
      <c r="I21" s="359">
        <f>'0325'!AE69</f>
        <v>0</v>
      </c>
      <c r="J21" s="359">
        <f>'0325'!AE79</f>
        <v>0</v>
      </c>
    </row>
    <row r="22" spans="2:10" ht="17.25" customHeight="1">
      <c r="B22" s="479" t="s">
        <v>104</v>
      </c>
      <c r="C22" s="480"/>
      <c r="D22" s="23">
        <f>VALUE('0325'!M15)</f>
        <v>13.5</v>
      </c>
      <c r="E22" s="23">
        <f>VALUE('0325'!M26)</f>
        <v>12.25</v>
      </c>
      <c r="F22" s="23">
        <f>VALUE('0325'!M37)</f>
        <v>16.5</v>
      </c>
      <c r="G22" s="23">
        <f>VALUE('0325'!M48)</f>
        <v>16.666666666666668</v>
      </c>
      <c r="H22" s="23">
        <f>VALUE('0325'!M58)</f>
        <v>16</v>
      </c>
      <c r="I22" s="23">
        <f>VALUE('0325'!M69)</f>
        <v>10.199999999999999</v>
      </c>
      <c r="J22" s="23">
        <f>'0325'!M79</f>
        <v>12.5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0DDD-EB93-4083-B539-5D2E691ECFAA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M19" sqref="M19"/>
      <selection pane="topRight" activeCell="M19" sqref="M19"/>
      <selection pane="bottomLeft" activeCell="M19" sqref="M19"/>
      <selection pane="bottomRight" activeCell="M19" sqref="M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53463</v>
      </c>
      <c r="F1" s="30" t="s">
        <v>2</v>
      </c>
      <c r="G1" s="31">
        <f>SUM(H5:H79)</f>
        <v>2521181.48</v>
      </c>
      <c r="H1" s="32" t="s">
        <v>3</v>
      </c>
      <c r="I1" s="33">
        <f>M15+M26+M48+M58+M69+M79+M37</f>
        <v>97.616666666666674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203</v>
      </c>
      <c r="B2" s="447"/>
      <c r="C2" s="28"/>
      <c r="D2" s="28" t="s">
        <v>14</v>
      </c>
      <c r="E2" s="35">
        <f>AVERAGE(O15,O26,O37,O48,O58,O69,O79)</f>
        <v>116.62931046712642</v>
      </c>
      <c r="F2" s="36" t="s">
        <v>15</v>
      </c>
      <c r="G2" s="37">
        <f>G1/E1</f>
        <v>47.157501075510169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3396</v>
      </c>
      <c r="H5" s="43">
        <f>F5*G5</f>
        <v>194285.16</v>
      </c>
      <c r="I5" s="44"/>
      <c r="J5" s="45">
        <v>14</v>
      </c>
      <c r="K5" s="46">
        <v>2100</v>
      </c>
      <c r="L5" s="47">
        <f t="shared" ref="L5:L6" si="0">K5/J5</f>
        <v>150</v>
      </c>
      <c r="M5" s="48">
        <v>14</v>
      </c>
      <c r="N5" s="46">
        <f t="shared" ref="N5:N6" si="1">G5/W5*60</f>
        <v>2037.6000000000138</v>
      </c>
      <c r="O5" s="47">
        <f t="shared" ref="O5:O6" si="2">N5/M5</f>
        <v>145.54285714285814</v>
      </c>
      <c r="P5" s="49">
        <f t="shared" ref="P5:P6" si="3">M5-J5</f>
        <v>0</v>
      </c>
      <c r="Q5" s="50">
        <f t="shared" ref="Q5:Q6" si="4">O5-L5</f>
        <v>-4.4571428571418608</v>
      </c>
      <c r="R5" s="51">
        <f t="shared" ref="R5:R6" si="5">O5/L5</f>
        <v>0.97028571428572097</v>
      </c>
      <c r="S5" s="376">
        <f>R15</f>
        <v>0.96639207210146671</v>
      </c>
      <c r="T5" s="319">
        <v>0.29166666666666702</v>
      </c>
      <c r="U5" s="320">
        <v>0.36111111111111099</v>
      </c>
      <c r="V5" s="53"/>
      <c r="W5" s="54">
        <f t="shared" ref="W5:W14" si="6">(U5-T5)*24*60</f>
        <v>99.999999999999318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-62.399999999986221</v>
      </c>
      <c r="AG5" s="52">
        <f t="shared" ref="AG5:AG11" si="8">N5/K5</f>
        <v>0.97028571428572086</v>
      </c>
      <c r="AH5" s="382">
        <f>AG15</f>
        <v>0.96653053732850269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5268</v>
      </c>
      <c r="H6" s="63">
        <f>F6*G6</f>
        <v>258869.52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2039.2258064516107</v>
      </c>
      <c r="O6" s="67">
        <f t="shared" si="2"/>
        <v>156.86352357320081</v>
      </c>
      <c r="P6" s="69">
        <f t="shared" si="3"/>
        <v>0</v>
      </c>
      <c r="Q6" s="70">
        <f t="shared" si="4"/>
        <v>-6.0595533498761256</v>
      </c>
      <c r="R6" s="71">
        <f t="shared" si="5"/>
        <v>0.96280727405647326</v>
      </c>
      <c r="S6" s="377"/>
      <c r="T6" s="16">
        <v>0.375</v>
      </c>
      <c r="U6" s="16">
        <v>0.48263888888888901</v>
      </c>
      <c r="V6" s="30">
        <f>(T6-U5)*24*60</f>
        <v>20.000000000000171</v>
      </c>
      <c r="W6" s="73">
        <f t="shared" si="6"/>
        <v>155.00000000000017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-78.774193548389349</v>
      </c>
      <c r="AG6" s="72">
        <f t="shared" si="8"/>
        <v>0.96280727405647337</v>
      </c>
      <c r="AH6" s="384"/>
    </row>
    <row r="7" spans="1:34" ht="15" customHeight="1">
      <c r="A7" s="423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77"/>
      <c r="T7" s="18"/>
      <c r="U7" s="18"/>
      <c r="V7" s="30"/>
      <c r="W7" s="73">
        <f t="shared" si="6"/>
        <v>0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0</v>
      </c>
      <c r="AG7" s="72" t="e">
        <f t="shared" si="8"/>
        <v>#DIV/0!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13.5</v>
      </c>
      <c r="K15" s="120">
        <f t="shared" si="9"/>
        <v>2109</v>
      </c>
      <c r="L15" s="117">
        <f t="shared" si="9"/>
        <v>156.46153846153845</v>
      </c>
      <c r="M15" s="120">
        <f t="shared" si="9"/>
        <v>13.5</v>
      </c>
      <c r="N15" s="120">
        <f t="shared" si="9"/>
        <v>2038.4129032258122</v>
      </c>
      <c r="O15" s="117">
        <f t="shared" si="9"/>
        <v>151.20319035802947</v>
      </c>
      <c r="P15" s="121">
        <f t="shared" ref="P15:P19" si="10">M15-J15</f>
        <v>0</v>
      </c>
      <c r="Q15" s="122">
        <f t="shared" ref="Q15:Q19" si="11">O15-L15</f>
        <v>-5.258348103508979</v>
      </c>
      <c r="R15" s="123">
        <f t="shared" ref="R15:R19" si="12">O15/L15</f>
        <v>0.96639207210146671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-70.587096774187785</v>
      </c>
      <c r="AG15" s="124">
        <f t="shared" ref="AG15:AG19" si="14">N15/K15</f>
        <v>0.96653053732850269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795</v>
      </c>
      <c r="H16" s="134">
        <f>F16*G16</f>
        <v>44742.6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1538.7096774193403</v>
      </c>
      <c r="O16" s="141">
        <f>N16/M16</f>
        <v>102.58064516128935</v>
      </c>
      <c r="P16" s="142">
        <f>M16-J16</f>
        <v>0</v>
      </c>
      <c r="Q16" s="143">
        <f t="shared" si="11"/>
        <v>-17.419354838710646</v>
      </c>
      <c r="R16" s="144">
        <f>O16/L16</f>
        <v>0.85483870967741127</v>
      </c>
      <c r="S16" s="413">
        <f>R26</f>
        <v>0.9227477324339447</v>
      </c>
      <c r="T16" s="145">
        <v>0.29027777777777802</v>
      </c>
      <c r="U16" s="145">
        <v>0.311805555555556</v>
      </c>
      <c r="V16" s="135"/>
      <c r="W16" s="146">
        <f t="shared" ref="W16:W78" si="17">(U16-T16)*24*60</f>
        <v>31.000000000000291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-261.29032258065968</v>
      </c>
      <c r="AG16" s="52">
        <f t="shared" si="14"/>
        <v>0.85483870967741127</v>
      </c>
      <c r="AH16" s="382">
        <f>AG26</f>
        <v>0.92021478990389383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3636</v>
      </c>
      <c r="H17" s="78">
        <f>F17*G17</f>
        <v>184236.12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2097.6923076923135</v>
      </c>
      <c r="O17" s="96">
        <f t="shared" ref="O17:O19" si="18">N17/M17</f>
        <v>174.8076923076928</v>
      </c>
      <c r="P17" s="97">
        <f t="shared" si="10"/>
        <v>0</v>
      </c>
      <c r="Q17" s="98">
        <f t="shared" si="11"/>
        <v>-1.692307692307196</v>
      </c>
      <c r="R17" s="99">
        <f t="shared" si="12"/>
        <v>0.99041185443452018</v>
      </c>
      <c r="S17" s="414"/>
      <c r="T17" s="19">
        <v>0.31874999999999998</v>
      </c>
      <c r="U17" s="19">
        <v>0.390972222222222</v>
      </c>
      <c r="V17" s="30">
        <f>(T17-U16)*24*60</f>
        <v>9.999999999999325</v>
      </c>
      <c r="W17" s="149">
        <f t="shared" si="17"/>
        <v>103.99999999999972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-20.307692307686466</v>
      </c>
      <c r="AG17" s="72">
        <f t="shared" si="14"/>
        <v>0.99041185443452007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4007</v>
      </c>
      <c r="H18" s="78">
        <f>F18*G18</f>
        <v>201912.73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2003.4999999999834</v>
      </c>
      <c r="O18" s="96">
        <f t="shared" si="18"/>
        <v>182.13636363636212</v>
      </c>
      <c r="P18" s="97">
        <f t="shared" si="10"/>
        <v>0</v>
      </c>
      <c r="Q18" s="98">
        <f t="shared" si="11"/>
        <v>-10.409090909092413</v>
      </c>
      <c r="R18" s="99">
        <f t="shared" si="12"/>
        <v>0.94593956562794312</v>
      </c>
      <c r="S18" s="414"/>
      <c r="T18" s="19">
        <v>0.39722222222222198</v>
      </c>
      <c r="U18" s="19">
        <v>0.48055555555555601</v>
      </c>
      <c r="V18" s="30">
        <f>(T18-U17)*24*60</f>
        <v>8.999999999999968</v>
      </c>
      <c r="W18" s="149">
        <f t="shared" si="17"/>
        <v>120.00000000000101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-114.5000000000166</v>
      </c>
      <c r="AG18" s="72">
        <f t="shared" si="14"/>
        <v>0.94593956562794301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1056</v>
      </c>
      <c r="H19" s="78">
        <f>F19*G19</f>
        <v>53211.840000000004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1863.5294117647124</v>
      </c>
      <c r="O19" s="96">
        <f t="shared" si="18"/>
        <v>169.41176470588294</v>
      </c>
      <c r="P19" s="97">
        <f t="shared" si="10"/>
        <v>0</v>
      </c>
      <c r="Q19" s="98">
        <f t="shared" si="11"/>
        <v>-23.133689839571588</v>
      </c>
      <c r="R19" s="99">
        <f t="shared" si="12"/>
        <v>0.87985335777370755</v>
      </c>
      <c r="S19" s="414"/>
      <c r="T19" s="19">
        <v>0.54166666666666696</v>
      </c>
      <c r="U19" s="19">
        <v>0.56527777777777799</v>
      </c>
      <c r="V19" s="30">
        <f>(T19-U18)*24*60</f>
        <v>87.999999999999773</v>
      </c>
      <c r="W19" s="149">
        <f t="shared" si="17"/>
        <v>33.999999999999879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-254.47058823528755</v>
      </c>
      <c r="AG19" s="72">
        <f t="shared" si="14"/>
        <v>0.87985335777370743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1875.8578492190875</v>
      </c>
      <c r="O26" s="158">
        <f t="shared" si="20"/>
        <v>157.2341164528068</v>
      </c>
      <c r="P26" s="159">
        <f t="shared" ref="P26:P28" si="21">M26-J26</f>
        <v>0</v>
      </c>
      <c r="Q26" s="160">
        <f t="shared" ref="Q26:Q28" si="22">O26-L26</f>
        <v>-13.16361081992045</v>
      </c>
      <c r="R26" s="161">
        <f>O26/L26</f>
        <v>0.9227477324339447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-162.64215078091252</v>
      </c>
      <c r="AG26" s="124">
        <f t="shared" ref="AG26:AG31" si="24">N26/K26</f>
        <v>0.92021478990389383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2768</v>
      </c>
      <c r="H27" s="134">
        <f>F27*G27</f>
        <v>161014.56</v>
      </c>
      <c r="I27" s="135"/>
      <c r="J27" s="136">
        <f>VLOOKUP(D27,產線配置圖!$A$3:$C$38,2,0)</f>
        <v>16</v>
      </c>
      <c r="K27" s="137">
        <v>1636</v>
      </c>
      <c r="L27" s="138">
        <f t="shared" ref="L27:L28" si="25">K27/J27</f>
        <v>102.25</v>
      </c>
      <c r="M27" s="170">
        <v>16</v>
      </c>
      <c r="N27" s="140">
        <f>G27/W27*60</f>
        <v>1596.9230769230826</v>
      </c>
      <c r="O27" s="141">
        <f>N27/M27</f>
        <v>99.807692307692662</v>
      </c>
      <c r="P27" s="142">
        <f t="shared" si="21"/>
        <v>0</v>
      </c>
      <c r="Q27" s="143">
        <f t="shared" si="22"/>
        <v>-2.4423076923073381</v>
      </c>
      <c r="R27" s="144">
        <f>O27/L27</f>
        <v>0.97611435019748327</v>
      </c>
      <c r="S27" s="413">
        <f>R37</f>
        <v>0.98438001077032655</v>
      </c>
      <c r="T27" s="171">
        <v>0.29166666666666702</v>
      </c>
      <c r="U27" s="171">
        <v>0.36388888888888898</v>
      </c>
      <c r="V27" s="135"/>
      <c r="W27" s="146">
        <f t="shared" si="17"/>
        <v>103.99999999999963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-39.07692307691741</v>
      </c>
      <c r="AG27" s="172">
        <f t="shared" si="24"/>
        <v>0.97611435019748327</v>
      </c>
      <c r="AH27" s="382">
        <f>AG37</f>
        <v>0.98465477143143598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2291</v>
      </c>
      <c r="H28" s="91">
        <f>F28*G28</f>
        <v>113450.32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17</v>
      </c>
      <c r="N28" s="95">
        <f>G28/W28*60</f>
        <v>1431.8750000000146</v>
      </c>
      <c r="O28" s="96">
        <f>N28/M28</f>
        <v>84.227941176471447</v>
      </c>
      <c r="P28" s="97">
        <f t="shared" si="21"/>
        <v>0</v>
      </c>
      <c r="Q28" s="98">
        <f t="shared" si="22"/>
        <v>-0.47794117646972722</v>
      </c>
      <c r="R28" s="99">
        <f>O28/L28</f>
        <v>0.99435763888889905</v>
      </c>
      <c r="S28" s="414"/>
      <c r="T28" s="19">
        <v>0.38680555555555601</v>
      </c>
      <c r="U28" s="19">
        <v>0.453472222222222</v>
      </c>
      <c r="V28" s="92">
        <f>(T28-U27)*24*60</f>
        <v>33.000000000000526</v>
      </c>
      <c r="W28" s="149">
        <f t="shared" si="17"/>
        <v>95.999999999999019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-8.1249999999854481</v>
      </c>
      <c r="AG28" s="99">
        <f t="shared" si="24"/>
        <v>0.99435763888889894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1538</v>
      </c>
      <c r="L37" s="158">
        <f t="shared" si="27"/>
        <v>93.47794117647058</v>
      </c>
      <c r="M37" s="155">
        <f t="shared" si="27"/>
        <v>16.5</v>
      </c>
      <c r="N37" s="155">
        <f t="shared" si="27"/>
        <v>1514.3990384615486</v>
      </c>
      <c r="O37" s="158">
        <f t="shared" si="27"/>
        <v>92.017816742082061</v>
      </c>
      <c r="P37" s="159">
        <f>M37-J37</f>
        <v>0</v>
      </c>
      <c r="Q37" s="160">
        <f>N37-K37</f>
        <v>-23.600961538451429</v>
      </c>
      <c r="R37" s="161">
        <f t="shared" ref="R37:R40" si="28">O37/L37</f>
        <v>0.98438001077032655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-23.600961538451429</v>
      </c>
      <c r="AG37" s="124">
        <f t="shared" ref="AG37:AG41" si="30">N37/K37</f>
        <v>0.98465477143143598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2586</v>
      </c>
      <c r="H38" s="134">
        <f>F38*G38</f>
        <v>129067.26</v>
      </c>
      <c r="I38" s="135"/>
      <c r="J38" s="187">
        <f>VLOOKUP(D38,產線配置圖!$A$3:$C$38,2,0)</f>
        <v>15</v>
      </c>
      <c r="K38" s="188">
        <f>VLOOKUP(D38,產線配置圖!$A$3:$C$38,3,0)</f>
        <v>1565</v>
      </c>
      <c r="L38" s="189">
        <f t="shared" ref="L38:L40" si="31">K38/J38</f>
        <v>104.33333333333333</v>
      </c>
      <c r="M38" s="190">
        <v>16</v>
      </c>
      <c r="N38" s="140">
        <f>G38/W38*60</f>
        <v>1477.7142857142785</v>
      </c>
      <c r="O38" s="141">
        <f>N38/M38</f>
        <v>92.357142857142406</v>
      </c>
      <c r="P38" s="142">
        <f t="shared" ref="P38:P40" si="32">M38-J38</f>
        <v>1</v>
      </c>
      <c r="Q38" s="143">
        <f t="shared" ref="Q38:Q40" si="33">O38-L38</f>
        <v>-11.976190476190922</v>
      </c>
      <c r="R38" s="144">
        <f>O38/L38</f>
        <v>0.88521223185759501</v>
      </c>
      <c r="S38" s="404">
        <f>R48</f>
        <v>0.95275812738970989</v>
      </c>
      <c r="T38" s="191">
        <v>0.33333333333333298</v>
      </c>
      <c r="U38" s="191">
        <v>0.40625</v>
      </c>
      <c r="V38" s="192"/>
      <c r="W38" s="193">
        <f t="shared" si="17"/>
        <v>105.00000000000051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-87.285714285721497</v>
      </c>
      <c r="AG38" s="195">
        <f t="shared" si="30"/>
        <v>0.94422638064810127</v>
      </c>
      <c r="AH38" s="398">
        <f>AG48</f>
        <v>0.97543155012130611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2572</v>
      </c>
      <c r="H39" s="91">
        <f>F39*G39</f>
        <v>113939.59999999999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17</v>
      </c>
      <c r="N39" s="202">
        <f>G39/W39*60</f>
        <v>1543.1999999999871</v>
      </c>
      <c r="O39" s="203">
        <f t="shared" ref="O39:O40" si="34">N39/M39</f>
        <v>90.776470588234531</v>
      </c>
      <c r="P39" s="97">
        <f t="shared" si="32"/>
        <v>0</v>
      </c>
      <c r="Q39" s="98">
        <f t="shared" si="33"/>
        <v>-1.282352941177237</v>
      </c>
      <c r="R39" s="99">
        <f t="shared" si="28"/>
        <v>0.98607028753992776</v>
      </c>
      <c r="S39" s="405"/>
      <c r="T39" s="20">
        <v>0.41319444444444398</v>
      </c>
      <c r="U39" s="20">
        <v>0.48263888888888901</v>
      </c>
      <c r="V39" s="92">
        <f>(T39-U38)*24*60</f>
        <v>9.999999999999325</v>
      </c>
      <c r="W39" s="205">
        <f t="shared" si="17"/>
        <v>100.00000000000084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-21.800000000012915</v>
      </c>
      <c r="AG39" s="206">
        <f t="shared" si="30"/>
        <v>0.98607028753992787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2468</v>
      </c>
      <c r="H40" s="91">
        <f>F40*G40</f>
        <v>109332.4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17</v>
      </c>
      <c r="N40" s="202">
        <f>G40/W40*60</f>
        <v>1558.7368421052661</v>
      </c>
      <c r="O40" s="203">
        <f t="shared" si="34"/>
        <v>91.690402476780363</v>
      </c>
      <c r="P40" s="97">
        <f t="shared" si="32"/>
        <v>0</v>
      </c>
      <c r="Q40" s="98">
        <f t="shared" si="33"/>
        <v>-0.36842105263140468</v>
      </c>
      <c r="R40" s="99">
        <f t="shared" si="28"/>
        <v>0.99599798217588886</v>
      </c>
      <c r="S40" s="377"/>
      <c r="T40" s="20">
        <v>0.54513888888888895</v>
      </c>
      <c r="U40" s="20">
        <v>0.61111111111111105</v>
      </c>
      <c r="V40" s="92">
        <f>(T40-U39)*24*60</f>
        <v>89.999999999999915</v>
      </c>
      <c r="W40" s="205">
        <f t="shared" si="17"/>
        <v>94.999999999999829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-6.2631578947339221</v>
      </c>
      <c r="AG40" s="206">
        <f t="shared" si="30"/>
        <v>0.99599798217588886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>
        <v>0.67013888888888895</v>
      </c>
      <c r="U41" s="210">
        <v>0.67847222222222203</v>
      </c>
      <c r="V41" s="92"/>
      <c r="W41" s="205">
        <f t="shared" si="17"/>
        <v>11.999999999999638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1565</v>
      </c>
      <c r="L48" s="158">
        <f t="shared" si="36"/>
        <v>96.150326797385617</v>
      </c>
      <c r="M48" s="155">
        <f t="shared" si="36"/>
        <v>16.666666666666668</v>
      </c>
      <c r="N48" s="155">
        <f t="shared" si="36"/>
        <v>1526.5503759398441</v>
      </c>
      <c r="O48" s="158">
        <f t="shared" si="36"/>
        <v>91.608005307385767</v>
      </c>
      <c r="P48" s="221">
        <f>M48-J48</f>
        <v>0.3333333333333357</v>
      </c>
      <c r="Q48" s="222">
        <f>N48-K48</f>
        <v>-38.449624060155884</v>
      </c>
      <c r="R48" s="223">
        <f>O48/L48</f>
        <v>0.95275812738970989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-38.449624060155884</v>
      </c>
      <c r="AG48" s="162">
        <f t="shared" ref="AG48:AG53" si="38">N48/K48</f>
        <v>0.97543155012130611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1240</v>
      </c>
      <c r="H49" s="134">
        <f>F49*G49</f>
        <v>70518.8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39">K49/J49</f>
        <v>100.82352941176471</v>
      </c>
      <c r="M49" s="170">
        <v>17</v>
      </c>
      <c r="N49" s="140">
        <f>G49/W49*60</f>
        <v>1690.9090909091215</v>
      </c>
      <c r="O49" s="141">
        <f>N49/M49</f>
        <v>99.465240641713024</v>
      </c>
      <c r="P49" s="229">
        <f>M49-J49</f>
        <v>0</v>
      </c>
      <c r="Q49" s="230">
        <f>O49-L49</f>
        <v>-1.3582887700516864</v>
      </c>
      <c r="R49" s="52">
        <f>O49/L49</f>
        <v>0.98652805770660523</v>
      </c>
      <c r="S49" s="376">
        <f>R58</f>
        <v>0.92609492023544526</v>
      </c>
      <c r="T49" s="191">
        <v>0.29027777777777802</v>
      </c>
      <c r="U49" s="191">
        <v>0.32083333333333303</v>
      </c>
      <c r="V49" s="55"/>
      <c r="W49" s="193">
        <f t="shared" si="17"/>
        <v>43.999999999999204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-23.09090909087854</v>
      </c>
      <c r="AG49" s="52">
        <f t="shared" si="38"/>
        <v>0.98652805770660523</v>
      </c>
      <c r="AH49" s="382">
        <f>AG58</f>
        <v>0.92752368820825826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3158</v>
      </c>
      <c r="H50" s="231">
        <f>F50*G50</f>
        <v>180669.18</v>
      </c>
      <c r="I50" s="232"/>
      <c r="J50" s="79">
        <v>15</v>
      </c>
      <c r="K50" s="80">
        <v>1636</v>
      </c>
      <c r="L50" s="81">
        <f t="shared" si="39"/>
        <v>109.06666666666666</v>
      </c>
      <c r="M50" s="233">
        <v>15</v>
      </c>
      <c r="N50" s="234">
        <f>G50/W50*60</f>
        <v>1457.5384615384576</v>
      </c>
      <c r="O50" s="235">
        <f>N50/M50</f>
        <v>97.169230769230509</v>
      </c>
      <c r="P50" s="74">
        <f>M50-J50</f>
        <v>0</v>
      </c>
      <c r="Q50" s="83">
        <f>O50-L50</f>
        <v>-11.897435897436154</v>
      </c>
      <c r="R50" s="72">
        <f>O50/L50</f>
        <v>0.89091593003573211</v>
      </c>
      <c r="S50" s="377"/>
      <c r="T50" s="21">
        <v>0.32638888888888901</v>
      </c>
      <c r="U50" s="21">
        <v>0.41666666666666702</v>
      </c>
      <c r="V50" s="30">
        <f t="shared" ref="V50:V52" si="40">(T50-U49)*24*60</f>
        <v>8.0000000000006111</v>
      </c>
      <c r="W50" s="236">
        <f t="shared" si="17"/>
        <v>130.00000000000034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-178.46153846154243</v>
      </c>
      <c r="AG50" s="72">
        <f t="shared" si="38"/>
        <v>0.890915930035732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2469</v>
      </c>
      <c r="H51" s="231">
        <f>F51*G51</f>
        <v>123375.93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1683.4090909090939</v>
      </c>
      <c r="O51" s="235">
        <f>N51/M51</f>
        <v>105.21306818181837</v>
      </c>
      <c r="P51" s="74">
        <f>M51-J51</f>
        <v>0</v>
      </c>
      <c r="Q51" s="83">
        <f>O51-L51</f>
        <v>-7.2869318181816283</v>
      </c>
      <c r="R51" s="72">
        <f>O51/L51</f>
        <v>0.93522727272727446</v>
      </c>
      <c r="S51" s="377"/>
      <c r="T51" s="21">
        <v>0.42361111111111099</v>
      </c>
      <c r="U51" s="19">
        <v>0.484722222222222</v>
      </c>
      <c r="V51" s="30">
        <f t="shared" si="40"/>
        <v>9.999999999999325</v>
      </c>
      <c r="W51" s="236">
        <f t="shared" si="17"/>
        <v>87.999999999999844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-116.59090909090605</v>
      </c>
      <c r="AG51" s="72">
        <f t="shared" si="38"/>
        <v>0.93522727272727446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2610</v>
      </c>
      <c r="H52" s="231">
        <f>F52*G52</f>
        <v>130421.7</v>
      </c>
      <c r="I52" s="232"/>
      <c r="J52" s="79">
        <f>VLOOKUP(D52,產線配置圖!$A$3:$C$38,2,0)</f>
        <v>16</v>
      </c>
      <c r="K52" s="80">
        <v>1800</v>
      </c>
      <c r="L52" s="81">
        <f t="shared" si="39"/>
        <v>112.5</v>
      </c>
      <c r="M52" s="233">
        <v>16</v>
      </c>
      <c r="N52" s="234">
        <f>G52/W52*60</f>
        <v>1614.432989690722</v>
      </c>
      <c r="O52" s="235">
        <f>N52/M52</f>
        <v>100.90206185567013</v>
      </c>
      <c r="P52" s="74">
        <f>M52-J52</f>
        <v>0</v>
      </c>
      <c r="Q52" s="83">
        <f>O52-L52</f>
        <v>-11.597938144329873</v>
      </c>
      <c r="R52" s="72">
        <f>O52/L52</f>
        <v>0.89690721649484562</v>
      </c>
      <c r="S52" s="377"/>
      <c r="T52" s="21">
        <v>0.54374999999999996</v>
      </c>
      <c r="U52" s="21">
        <v>0.61111111111111105</v>
      </c>
      <c r="V52" s="30">
        <f t="shared" si="40"/>
        <v>85.000000000000256</v>
      </c>
      <c r="W52" s="236">
        <f t="shared" si="17"/>
        <v>96.999999999999972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-185.56701030927798</v>
      </c>
      <c r="AG52" s="72">
        <f t="shared" si="38"/>
        <v>0.89690721649484562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16</v>
      </c>
      <c r="K58" s="120">
        <f t="shared" si="41"/>
        <v>1737.5</v>
      </c>
      <c r="L58" s="117">
        <f t="shared" si="41"/>
        <v>108.72254901960784</v>
      </c>
      <c r="M58" s="120">
        <f t="shared" si="41"/>
        <v>16</v>
      </c>
      <c r="N58" s="120">
        <f t="shared" si="41"/>
        <v>1611.5724082618488</v>
      </c>
      <c r="O58" s="117">
        <f t="shared" si="41"/>
        <v>100.68740036210801</v>
      </c>
      <c r="P58" s="121">
        <f>M58-J58</f>
        <v>0</v>
      </c>
      <c r="Q58" s="122">
        <f>N58-K58</f>
        <v>-125.92759173815125</v>
      </c>
      <c r="R58" s="123">
        <f t="shared" ref="R58:R60" si="42">O58/L58</f>
        <v>0.92609492023544526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-125.92759173815125</v>
      </c>
      <c r="AG58" s="124">
        <f t="shared" ref="AG58:AG61" si="44">N58/K58</f>
        <v>0.92752368820825826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3425</v>
      </c>
      <c r="H59" s="243">
        <f>F59*G59</f>
        <v>92440.75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45">K59/J59</f>
        <v>120.38461538461539</v>
      </c>
      <c r="M59" s="244">
        <v>13</v>
      </c>
      <c r="N59" s="137">
        <f t="shared" ref="N59:N63" si="46">G59/W59*60</f>
        <v>1556.8181818181938</v>
      </c>
      <c r="O59" s="138">
        <f t="shared" ref="O59:O63" si="47">N59/M59</f>
        <v>119.75524475524568</v>
      </c>
      <c r="P59" s="56">
        <f t="shared" ref="P59:P63" si="48">M59-J59</f>
        <v>0</v>
      </c>
      <c r="Q59" s="230">
        <f t="shared" ref="Q59:Q63" si="49">O59-L59</f>
        <v>-0.62937062936970278</v>
      </c>
      <c r="R59" s="52">
        <f t="shared" si="42"/>
        <v>0.99477200116178521</v>
      </c>
      <c r="S59" s="376">
        <f>R69</f>
        <v>0.8964423403537416</v>
      </c>
      <c r="T59" s="245">
        <v>0.29027777777777802</v>
      </c>
      <c r="U59" s="245">
        <v>0.38194444444444398</v>
      </c>
      <c r="V59" s="55"/>
      <c r="W59" s="54">
        <f t="shared" si="17"/>
        <v>131.99999999999898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-8.181818181806193</v>
      </c>
      <c r="AG59" s="246">
        <f t="shared" si="44"/>
        <v>0.99477200116178521</v>
      </c>
      <c r="AH59" s="382">
        <f>AG69</f>
        <v>0.83279142205502987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1591</v>
      </c>
      <c r="H60" s="78">
        <f>F60*G60</f>
        <v>44961.66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1515.238095238095</v>
      </c>
      <c r="O60" s="81">
        <f t="shared" si="47"/>
        <v>126.26984126984125</v>
      </c>
      <c r="P60" s="74">
        <f t="shared" si="48"/>
        <v>0</v>
      </c>
      <c r="Q60" s="83">
        <f t="shared" si="49"/>
        <v>-4.1468253968254061</v>
      </c>
      <c r="R60" s="72">
        <f t="shared" si="42"/>
        <v>0.96820325574319177</v>
      </c>
      <c r="S60" s="394"/>
      <c r="T60" s="22">
        <v>0.38680555555555601</v>
      </c>
      <c r="U60" s="22">
        <v>0.43055555555555602</v>
      </c>
      <c r="V60" s="30">
        <f t="shared" ref="V60:V63" si="50">(T60-U59)*24*60</f>
        <v>7.000000000001334</v>
      </c>
      <c r="W60" s="248">
        <f t="shared" si="17"/>
        <v>63.000000000000014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-49.761904761905043</v>
      </c>
      <c r="AG60" s="249">
        <f t="shared" si="44"/>
        <v>0.96820325574319166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1043</v>
      </c>
      <c r="H61" s="254">
        <f>F61*G61</f>
        <v>29475.18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5"/>
        <v>130.41666666666666</v>
      </c>
      <c r="M61" s="108">
        <v>11</v>
      </c>
      <c r="N61" s="107">
        <f t="shared" si="46"/>
        <v>1251.6000000000085</v>
      </c>
      <c r="O61" s="238">
        <f t="shared" si="47"/>
        <v>113.78181818181896</v>
      </c>
      <c r="P61" s="111">
        <f t="shared" si="48"/>
        <v>-1</v>
      </c>
      <c r="Q61" s="255">
        <f t="shared" si="49"/>
        <v>-16.634848484847694</v>
      </c>
      <c r="R61" s="85">
        <f>O61/L61</f>
        <v>0.87244844612257355</v>
      </c>
      <c r="S61" s="377"/>
      <c r="T61" s="22">
        <v>0.4375</v>
      </c>
      <c r="U61" s="22">
        <v>0.47222222222222199</v>
      </c>
      <c r="V61" s="30">
        <f t="shared" si="50"/>
        <v>9.999999999999325</v>
      </c>
      <c r="W61" s="256">
        <f t="shared" si="17"/>
        <v>49.999999999999659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43"/>
        <v>-313.39999999999145</v>
      </c>
      <c r="AG61" s="247">
        <f t="shared" si="44"/>
        <v>0.79974440894569232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1591</v>
      </c>
      <c r="H62" s="254">
        <f>F62*G62</f>
        <v>44961.66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108">
        <v>7</v>
      </c>
      <c r="N62" s="107">
        <f t="shared" si="46"/>
        <v>1060.6666666666665</v>
      </c>
      <c r="O62" s="238">
        <f t="shared" si="47"/>
        <v>151.52380952380949</v>
      </c>
      <c r="P62" s="111">
        <f t="shared" si="48"/>
        <v>-2</v>
      </c>
      <c r="Q62" s="255">
        <f t="shared" si="49"/>
        <v>-30.253968253968281</v>
      </c>
      <c r="R62" s="85">
        <f t="shared" ref="R62:R63" si="51">O62/L62</f>
        <v>0.8335661893119104</v>
      </c>
      <c r="S62" s="377"/>
      <c r="T62" s="22">
        <v>0.4375</v>
      </c>
      <c r="U62" s="22">
        <v>0.5</v>
      </c>
      <c r="V62" s="30"/>
      <c r="W62" s="248">
        <f t="shared" si="17"/>
        <v>90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-575.33333333333348</v>
      </c>
      <c r="AG62" s="247">
        <f>N62/K62</f>
        <v>0.64832925835370814</v>
      </c>
      <c r="AH62" s="384"/>
    </row>
    <row r="63" spans="1:34" ht="15" customHeight="1">
      <c r="A63" s="392"/>
      <c r="B63" s="258" t="s">
        <v>128</v>
      </c>
      <c r="C63" s="58"/>
      <c r="D63" s="259" t="s">
        <v>138</v>
      </c>
      <c r="E63" s="60"/>
      <c r="F63" s="250">
        <f>VLOOKUP(D63,廠價表!$C$1:$E$41,3,0)</f>
        <v>28.26</v>
      </c>
      <c r="G63" s="260">
        <v>1980</v>
      </c>
      <c r="H63" s="254">
        <f>F63*G63</f>
        <v>55954.8</v>
      </c>
      <c r="I63" s="182"/>
      <c r="J63" s="106">
        <f>VLOOKUP(D63,產線配置圖!$A$3:$C$38,2,0)</f>
        <v>9</v>
      </c>
      <c r="K63" s="107">
        <f>VLOOKUP(D63,產線配置圖!$A$3:$C$38,3,0)</f>
        <v>1636</v>
      </c>
      <c r="L63" s="238">
        <f t="shared" si="45"/>
        <v>181.77777777777777</v>
      </c>
      <c r="M63" s="68">
        <v>8</v>
      </c>
      <c r="N63" s="107">
        <f t="shared" si="46"/>
        <v>1250.5263157894592</v>
      </c>
      <c r="O63" s="238">
        <f t="shared" si="47"/>
        <v>156.3157894736824</v>
      </c>
      <c r="P63" s="111">
        <f t="shared" si="48"/>
        <v>-1</v>
      </c>
      <c r="Q63" s="255">
        <f t="shared" si="49"/>
        <v>-25.461988304095371</v>
      </c>
      <c r="R63" s="85">
        <f t="shared" si="51"/>
        <v>0.85992793720240934</v>
      </c>
      <c r="S63" s="377"/>
      <c r="T63" s="22">
        <v>0.55208333333333304</v>
      </c>
      <c r="U63" s="22">
        <v>0.61805555555555602</v>
      </c>
      <c r="V63" s="30">
        <f t="shared" si="50"/>
        <v>74.999999999999574</v>
      </c>
      <c r="W63" s="248">
        <f t="shared" si="17"/>
        <v>95.000000000001108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</v>
      </c>
      <c r="K69" s="240">
        <f t="shared" si="52"/>
        <v>1593.4</v>
      </c>
      <c r="L69" s="268">
        <f t="shared" si="52"/>
        <v>148.95470085470089</v>
      </c>
      <c r="M69" s="240">
        <f t="shared" si="52"/>
        <v>10.199999999999999</v>
      </c>
      <c r="N69" s="240">
        <f t="shared" si="52"/>
        <v>1326.9698519024846</v>
      </c>
      <c r="O69" s="268">
        <f t="shared" si="52"/>
        <v>133.52930064087954</v>
      </c>
      <c r="P69" s="269">
        <f>M69-J69</f>
        <v>-0.80000000000000071</v>
      </c>
      <c r="Q69" s="222">
        <f>N69-K69</f>
        <v>-266.43014809751548</v>
      </c>
      <c r="R69" s="123">
        <f>O69/L69</f>
        <v>0.8964423403537416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-266.43014809751548</v>
      </c>
      <c r="AG69" s="124">
        <f>N69/K69</f>
        <v>0.83279142205502987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2413</v>
      </c>
      <c r="H70" s="243">
        <f>F70*G70</f>
        <v>122266.71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12</v>
      </c>
      <c r="N70" s="137">
        <f>G70/W70*60</f>
        <v>1292.6785714285677</v>
      </c>
      <c r="O70" s="138">
        <f>N70/M70</f>
        <v>107.72321428571398</v>
      </c>
      <c r="P70" s="56">
        <f>M70-J70</f>
        <v>-1</v>
      </c>
      <c r="Q70" s="230">
        <f>O70-L70</f>
        <v>-3.0460164835167944</v>
      </c>
      <c r="R70" s="52">
        <f>O70/L70</f>
        <v>0.97250124007936223</v>
      </c>
      <c r="S70" s="376">
        <f>R79</f>
        <v>0.90740459018207154</v>
      </c>
      <c r="T70" s="245">
        <v>0.33194444444444399</v>
      </c>
      <c r="U70" s="245">
        <v>0.40972222222222199</v>
      </c>
      <c r="V70" s="55"/>
      <c r="W70" s="54">
        <f t="shared" si="17"/>
        <v>112.00000000000033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-147.32142857143231</v>
      </c>
      <c r="AG70" s="246">
        <f>N70/K70</f>
        <v>0.89769345238094977</v>
      </c>
      <c r="AH70" s="382">
        <f>AG79</f>
        <v>0.78550095371950557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1100</v>
      </c>
      <c r="H71" s="363">
        <f>F71*G71</f>
        <v>62073</v>
      </c>
      <c r="I71" s="179"/>
      <c r="J71" s="106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13</v>
      </c>
      <c r="N71" s="107">
        <f>G71/W71*60</f>
        <v>942.85714285714516</v>
      </c>
      <c r="O71" s="238">
        <f>N71/M71</f>
        <v>72.52747252747271</v>
      </c>
      <c r="P71" s="111">
        <f>M71-J71</f>
        <v>-3</v>
      </c>
      <c r="Q71" s="255">
        <f>O71-L71</f>
        <v>-15.34752747252729</v>
      </c>
      <c r="R71" s="85">
        <f>O71/L71</f>
        <v>0.82534819376924851</v>
      </c>
      <c r="S71" s="377"/>
      <c r="T71" s="22">
        <v>0.41666666666666702</v>
      </c>
      <c r="U71" s="22">
        <v>0.46527777777777801</v>
      </c>
      <c r="V71" s="30">
        <f>(T71-U70)*24*60</f>
        <v>10.000000000000844</v>
      </c>
      <c r="W71" s="73">
        <f t="shared" si="17"/>
        <v>69.999999999999829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4">AVERAGE(J70:J78)</f>
        <v>14.5</v>
      </c>
      <c r="K79" s="240">
        <f t="shared" si="54"/>
        <v>1423</v>
      </c>
      <c r="L79" s="268">
        <f t="shared" si="54"/>
        <v>99.322115384615387</v>
      </c>
      <c r="M79" s="240">
        <f t="shared" si="54"/>
        <v>12.5</v>
      </c>
      <c r="N79" s="240">
        <f t="shared" si="54"/>
        <v>1117.7678571428564</v>
      </c>
      <c r="O79" s="268">
        <f t="shared" si="54"/>
        <v>90.125343406593345</v>
      </c>
      <c r="P79" s="269">
        <f>M79-J79</f>
        <v>-2</v>
      </c>
      <c r="Q79" s="222">
        <f>N79-K79</f>
        <v>-305.23214285714357</v>
      </c>
      <c r="R79" s="223">
        <f>O79/L79</f>
        <v>0.90740459018207154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-305.23214285714357</v>
      </c>
      <c r="AG79" s="124">
        <f>N79/K79</f>
        <v>0.78550095371950557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5:A15"/>
    <mergeCell ref="S5:S15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H3:AH4"/>
    <mergeCell ref="S3:S4"/>
    <mergeCell ref="P3:P4"/>
    <mergeCell ref="Q3:Q4"/>
    <mergeCell ref="R3:R4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  <mergeCell ref="M3:M4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9DFA46-128B-45A5-9281-6F6EFA6ACDFD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F1AE-ACA7-4ED6-A804-6F5CAC702E3F}">
  <dimension ref="B1:O26"/>
  <sheetViews>
    <sheetView topLeftCell="A2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46107</v>
      </c>
      <c r="E3" s="466"/>
      <c r="F3" s="3" t="s">
        <v>72</v>
      </c>
      <c r="G3" s="467">
        <f>'0326'!E1</f>
        <v>51604</v>
      </c>
      <c r="H3" s="467"/>
      <c r="I3" s="3" t="s">
        <v>2</v>
      </c>
      <c r="J3" s="468">
        <f>'0326'!G1</f>
        <v>2431866.1700000004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123.19923613967731</v>
      </c>
      <c r="G6" s="473"/>
      <c r="H6" s="474">
        <f>AVERAGE(D13:H13,J13)</f>
        <v>118.90665868717339</v>
      </c>
      <c r="I6" s="474"/>
      <c r="J6" s="474">
        <f>AVERAGE(I13)</f>
        <v>148.95470085470089</v>
      </c>
      <c r="K6" s="474"/>
      <c r="L6" s="499">
        <f>SUM(D18:J18)</f>
        <v>1</v>
      </c>
      <c r="M6" s="477">
        <f>SUM(D19:J19)</f>
        <v>9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112.98998113705025</v>
      </c>
      <c r="G7" s="497"/>
      <c r="H7" s="498">
        <f>AVERAGE(D14:H14,J14)</f>
        <v>110.8386883581494</v>
      </c>
      <c r="I7" s="498"/>
      <c r="J7" s="498">
        <f>AVERAGE(I14)</f>
        <v>125.89773781045537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0.91713215663892345</v>
      </c>
      <c r="G8" s="470"/>
      <c r="H8" s="470">
        <f>H7/H6</f>
        <v>0.93214870875945066</v>
      </c>
      <c r="I8" s="470"/>
      <c r="J8" s="470">
        <f>J7/J6</f>
        <v>0.84520822161405551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VALUE('0326'!L15)</f>
        <v>156.46153846153845</v>
      </c>
      <c r="E13" s="13">
        <f>VALUE('0326'!L26)</f>
        <v>161.96969696969697</v>
      </c>
      <c r="F13" s="13">
        <f>VALUE('0326'!L37)</f>
        <v>93.004901960784309</v>
      </c>
      <c r="G13" s="13">
        <f>VALUE('0326'!L48)</f>
        <v>96.150326797385617</v>
      </c>
      <c r="H13" s="13">
        <f>VALUE('0326'!L58)</f>
        <v>106.53137254901961</v>
      </c>
      <c r="I13" s="13">
        <f>VALUE('0326'!L69)</f>
        <v>148.95470085470089</v>
      </c>
      <c r="J13" s="13">
        <f>'0326'!L79</f>
        <v>99.322115384615387</v>
      </c>
    </row>
    <row r="14" spans="2:15" ht="39.950000000000003" customHeight="1">
      <c r="B14" s="491"/>
      <c r="C14" s="12" t="s">
        <v>100</v>
      </c>
      <c r="D14" s="13">
        <f>VALUE('0326'!O15)</f>
        <v>151.78997059278828</v>
      </c>
      <c r="E14" s="13">
        <f>VALUE('0326'!O26)</f>
        <v>153.92991232682434</v>
      </c>
      <c r="F14" s="13">
        <f>VALUE('0326'!O37)</f>
        <v>79.290158446556418</v>
      </c>
      <c r="G14" s="13">
        <f>VALUE('0326'!O48)</f>
        <v>90.910924369747775</v>
      </c>
      <c r="H14" s="13">
        <f>VALUE('0326'!O58)</f>
        <v>102.44083474265011</v>
      </c>
      <c r="I14" s="13">
        <f>VALUE('0326'!O69)</f>
        <v>125.89773781045537</v>
      </c>
      <c r="J14" s="13">
        <f>'0326'!O79</f>
        <v>86.670329670329508</v>
      </c>
    </row>
    <row r="15" spans="2:15" ht="39.950000000000003" customHeight="1">
      <c r="B15" s="492"/>
      <c r="C15" s="10" t="s">
        <v>26</v>
      </c>
      <c r="D15" s="14">
        <f>D14/D13</f>
        <v>0.97014238825282584</v>
      </c>
      <c r="E15" s="14">
        <f t="shared" ref="E15:I15" si="1">E14/E13</f>
        <v>0.95036241473998184</v>
      </c>
      <c r="F15" s="14">
        <f t="shared" si="1"/>
        <v>0.85253741227520741</v>
      </c>
      <c r="G15" s="14">
        <f t="shared" si="1"/>
        <v>0.94550822028219772</v>
      </c>
      <c r="H15" s="14">
        <f t="shared" si="1"/>
        <v>0.96160250536068836</v>
      </c>
      <c r="I15" s="14">
        <f t="shared" si="1"/>
        <v>0.84520822161405551</v>
      </c>
      <c r="J15" s="15">
        <f>'0326'!S70</f>
        <v>0.87261864424360025</v>
      </c>
    </row>
    <row r="16" spans="2:15" ht="17.25" customHeight="1">
      <c r="B16" s="493" t="s">
        <v>101</v>
      </c>
      <c r="C16" s="10" t="s">
        <v>34</v>
      </c>
      <c r="D16" s="16">
        <f>'0326'!T5</f>
        <v>0.29166666666666702</v>
      </c>
      <c r="E16" s="16">
        <f>'0326'!T16</f>
        <v>0.29027777777777802</v>
      </c>
      <c r="F16" s="16">
        <f>'0326'!T27</f>
        <v>0.29027777777777802</v>
      </c>
      <c r="G16" s="16">
        <f>'0326'!T38</f>
        <v>0.33333333333333298</v>
      </c>
      <c r="H16" s="16">
        <f>'0326'!T49</f>
        <v>0.29166666666666702</v>
      </c>
      <c r="I16" s="16">
        <f>'0326'!T59</f>
        <v>0.29166666666666702</v>
      </c>
      <c r="J16" s="16">
        <f>'0326'!T70</f>
        <v>0.33333333333333298</v>
      </c>
    </row>
    <row r="17" spans="2:10" ht="17.25" customHeight="1">
      <c r="B17" s="494"/>
      <c r="C17" s="10" t="s">
        <v>35</v>
      </c>
      <c r="D17" s="16">
        <v>0.47013888888888899</v>
      </c>
      <c r="E17" s="19">
        <v>0.49444444444444402</v>
      </c>
      <c r="F17" s="19">
        <v>0.625</v>
      </c>
      <c r="G17" s="20">
        <v>0.59375</v>
      </c>
      <c r="H17" s="21">
        <v>0.60416666666666696</v>
      </c>
      <c r="I17" s="22">
        <v>0.60763888888888895</v>
      </c>
      <c r="J17" s="22">
        <v>0.46527777777777801</v>
      </c>
    </row>
    <row r="18" spans="2:10" ht="17.25" customHeight="1">
      <c r="B18" s="495" t="s">
        <v>102</v>
      </c>
      <c r="C18" s="330" t="s">
        <v>36</v>
      </c>
      <c r="D18" s="358">
        <f>'0326'!Z15</f>
        <v>0</v>
      </c>
      <c r="E18" s="359">
        <f>'0326'!Z26</f>
        <v>0</v>
      </c>
      <c r="F18" s="359">
        <f>'0326'!Z37</f>
        <v>0</v>
      </c>
      <c r="G18" s="360">
        <f>'0326'!Z48</f>
        <v>1</v>
      </c>
      <c r="H18" s="360">
        <f>'0326'!Z58</f>
        <v>0</v>
      </c>
      <c r="I18" s="359">
        <f>'0326'!Z69</f>
        <v>0</v>
      </c>
      <c r="J18" s="359">
        <f>'0326'!AA79</f>
        <v>0</v>
      </c>
    </row>
    <row r="19" spans="2:10" ht="17.25" customHeight="1">
      <c r="B19" s="496"/>
      <c r="C19" s="330" t="s">
        <v>37</v>
      </c>
      <c r="D19" s="358">
        <f>'0326'!AA15</f>
        <v>0</v>
      </c>
      <c r="E19" s="359">
        <f>'0326'!AA26</f>
        <v>0</v>
      </c>
      <c r="F19" s="359">
        <f>'0326'!AA37</f>
        <v>0</v>
      </c>
      <c r="G19" s="360">
        <f>'0326'!AA48</f>
        <v>9</v>
      </c>
      <c r="H19" s="360">
        <f>'0326'!AA58</f>
        <v>0</v>
      </c>
      <c r="I19" s="359">
        <f>'0326'!AA69</f>
        <v>0</v>
      </c>
      <c r="J19" s="359">
        <f>'0326'!AB79</f>
        <v>0</v>
      </c>
    </row>
    <row r="20" spans="2:10" ht="17.25" customHeight="1">
      <c r="B20" s="495" t="s">
        <v>103</v>
      </c>
      <c r="C20" s="330" t="s">
        <v>36</v>
      </c>
      <c r="D20" s="358">
        <f>'0326'!AD15</f>
        <v>0</v>
      </c>
      <c r="E20" s="359">
        <f>'0326'!AD26</f>
        <v>0</v>
      </c>
      <c r="F20" s="359">
        <f>'0326'!AD37</f>
        <v>0</v>
      </c>
      <c r="G20" s="360">
        <f>'0326'!AD48</f>
        <v>0</v>
      </c>
      <c r="H20" s="360">
        <f>'0326'!AD58</f>
        <v>0</v>
      </c>
      <c r="I20" s="359">
        <f>'0326'!AD69</f>
        <v>0</v>
      </c>
      <c r="J20" s="359">
        <f>'0326'!AD79</f>
        <v>0</v>
      </c>
    </row>
    <row r="21" spans="2:10" ht="17.25" customHeight="1">
      <c r="B21" s="496"/>
      <c r="C21" s="330" t="s">
        <v>85</v>
      </c>
      <c r="D21" s="358">
        <f>'0326'!AE15</f>
        <v>0</v>
      </c>
      <c r="E21" s="359">
        <f>'0326'!AE26</f>
        <v>0</v>
      </c>
      <c r="F21" s="359">
        <f>'0326'!AE37</f>
        <v>0</v>
      </c>
      <c r="G21" s="360">
        <f>'0326'!AE48</f>
        <v>0</v>
      </c>
      <c r="H21" s="360">
        <f>'0326'!AE58</f>
        <v>0</v>
      </c>
      <c r="I21" s="359">
        <f>'0326'!AE69</f>
        <v>0</v>
      </c>
      <c r="J21" s="359">
        <f>'0326'!AE79</f>
        <v>0</v>
      </c>
    </row>
    <row r="22" spans="2:10" ht="17.25" customHeight="1">
      <c r="B22" s="479" t="s">
        <v>104</v>
      </c>
      <c r="C22" s="480"/>
      <c r="D22" s="23">
        <f>VALUE('0326'!M15)</f>
        <v>13.5</v>
      </c>
      <c r="E22" s="23">
        <f>VALUE('0326'!M26)</f>
        <v>12.666666666666666</v>
      </c>
      <c r="F22" s="23">
        <f>VALUE('0326'!M37)</f>
        <v>16.333333333333332</v>
      </c>
      <c r="G22" s="23">
        <f>VALUE('0326'!M48)</f>
        <v>16.333333333333332</v>
      </c>
      <c r="H22" s="23">
        <f>VALUE('0326'!M58)</f>
        <v>15</v>
      </c>
      <c r="I22" s="23">
        <f>VALUE('0326'!M69)</f>
        <v>11</v>
      </c>
      <c r="J22" s="23">
        <f>'0326'!M79</f>
        <v>13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3A4A-6026-4995-841E-B8D30715B80C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G76" sqref="G76"/>
      <selection pane="topRight" activeCell="G76" sqref="G76"/>
      <selection pane="bottomLeft" activeCell="G76" sqref="G76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51604</v>
      </c>
      <c r="F1" s="30" t="s">
        <v>2</v>
      </c>
      <c r="G1" s="31">
        <f>SUM(H5:H79)</f>
        <v>2431866.1700000004</v>
      </c>
      <c r="H1" s="32" t="s">
        <v>3</v>
      </c>
      <c r="I1" s="33">
        <f>M15+M26+M48+M58+M69+M79+M37</f>
        <v>97.833333333333329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204</v>
      </c>
      <c r="B2" s="447"/>
      <c r="C2" s="28"/>
      <c r="D2" s="28" t="s">
        <v>14</v>
      </c>
      <c r="E2" s="35">
        <f>AVERAGE(O15,O26,O37,O48,O58,O69,O79)</f>
        <v>112.98998113705025</v>
      </c>
      <c r="F2" s="36" t="s">
        <v>15</v>
      </c>
      <c r="G2" s="37">
        <f>G1/E1</f>
        <v>47.125536198744292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1</v>
      </c>
      <c r="AA2" s="339">
        <f>AA15+AA26+AA37+AA48+AA58+AA69+AA79</f>
        <v>9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3570</v>
      </c>
      <c r="H5" s="43">
        <f>F5*G5</f>
        <v>204239.7</v>
      </c>
      <c r="I5" s="44"/>
      <c r="J5" s="45">
        <v>14</v>
      </c>
      <c r="K5" s="46">
        <v>2100</v>
      </c>
      <c r="L5" s="47">
        <f t="shared" ref="L5:L6" si="0">K5/J5</f>
        <v>150</v>
      </c>
      <c r="M5" s="48">
        <v>14</v>
      </c>
      <c r="N5" s="46">
        <f t="shared" ref="N5:N6" si="1">G5/W5*60</f>
        <v>2040.0000000000196</v>
      </c>
      <c r="O5" s="47">
        <f t="shared" ref="O5:O6" si="2">N5/M5</f>
        <v>145.71428571428712</v>
      </c>
      <c r="P5" s="49">
        <f t="shared" ref="P5:P6" si="3">M5-J5</f>
        <v>0</v>
      </c>
      <c r="Q5" s="50">
        <f t="shared" ref="Q5:Q6" si="4">O5-L5</f>
        <v>-4.2857142857128849</v>
      </c>
      <c r="R5" s="51">
        <f t="shared" ref="R5:R6" si="5">O5/L5</f>
        <v>0.97142857142858074</v>
      </c>
      <c r="S5" s="376">
        <f>R15</f>
        <v>0.97014238825282584</v>
      </c>
      <c r="T5" s="319">
        <v>0.29166666666666702</v>
      </c>
      <c r="U5" s="320">
        <v>0.36458333333333298</v>
      </c>
      <c r="V5" s="53"/>
      <c r="W5" s="54">
        <f t="shared" ref="W5:W14" si="6">(U5-T5)*24*60</f>
        <v>104.99999999999899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-59.999999999980446</v>
      </c>
      <c r="AG5" s="52">
        <f t="shared" ref="AG5:AG11" si="8">N5/K5</f>
        <v>0.97142857142858074</v>
      </c>
      <c r="AH5" s="382">
        <f>AG15</f>
        <v>0.97018812734157944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4857</v>
      </c>
      <c r="H6" s="63">
        <f>F6*G6</f>
        <v>238672.98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2052.2535211267627</v>
      </c>
      <c r="O6" s="67">
        <f t="shared" si="2"/>
        <v>157.86565547128944</v>
      </c>
      <c r="P6" s="69">
        <f t="shared" si="3"/>
        <v>0</v>
      </c>
      <c r="Q6" s="70">
        <f t="shared" si="4"/>
        <v>-5.0574214517874907</v>
      </c>
      <c r="R6" s="71">
        <f t="shared" si="5"/>
        <v>0.96895822527231479</v>
      </c>
      <c r="S6" s="377"/>
      <c r="T6" s="16">
        <v>0.37152777777777801</v>
      </c>
      <c r="U6" s="16">
        <v>0.47013888888888899</v>
      </c>
      <c r="V6" s="30">
        <f>(T6-U5)*24*60</f>
        <v>10.000000000000844</v>
      </c>
      <c r="W6" s="73">
        <f t="shared" si="6"/>
        <v>141.99999999999983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-65.746478873237265</v>
      </c>
      <c r="AG6" s="72">
        <f t="shared" si="8"/>
        <v>0.96895822527231479</v>
      </c>
      <c r="AH6" s="384"/>
    </row>
    <row r="7" spans="1:34" ht="15" customHeight="1">
      <c r="A7" s="423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77"/>
      <c r="T7" s="18"/>
      <c r="U7" s="18"/>
      <c r="V7" s="30"/>
      <c r="W7" s="73">
        <f t="shared" si="6"/>
        <v>0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0</v>
      </c>
      <c r="AG7" s="72" t="e">
        <f t="shared" si="8"/>
        <v>#DIV/0!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13.5</v>
      </c>
      <c r="K15" s="120">
        <f t="shared" si="9"/>
        <v>2109</v>
      </c>
      <c r="L15" s="117">
        <f t="shared" si="9"/>
        <v>156.46153846153845</v>
      </c>
      <c r="M15" s="120">
        <f t="shared" si="9"/>
        <v>13.5</v>
      </c>
      <c r="N15" s="120">
        <f t="shared" si="9"/>
        <v>2046.1267605633911</v>
      </c>
      <c r="O15" s="117">
        <f t="shared" si="9"/>
        <v>151.78997059278828</v>
      </c>
      <c r="P15" s="121">
        <f t="shared" ref="P15:P18" si="10">M15-J15</f>
        <v>0</v>
      </c>
      <c r="Q15" s="122">
        <f t="shared" ref="Q15:Q18" si="11">O15-L15</f>
        <v>-4.6715678687501736</v>
      </c>
      <c r="R15" s="123">
        <f t="shared" ref="R15:R18" si="12">O15/L15</f>
        <v>0.97014238825282584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-62.873239436608856</v>
      </c>
      <c r="AG15" s="124">
        <f t="shared" ref="AG15:AG19" si="14">N15/K15</f>
        <v>0.97018812734157944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777</v>
      </c>
      <c r="H16" s="134">
        <f>F16*G16</f>
        <v>43729.56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8" si="15">K16/J16</f>
        <v>120</v>
      </c>
      <c r="M16" s="139">
        <v>15</v>
      </c>
      <c r="N16" s="140">
        <f t="shared" ref="N16:N18" si="16">G16/W16*60</f>
        <v>1554.0000000000261</v>
      </c>
      <c r="O16" s="141">
        <f>N16/M16</f>
        <v>103.60000000000174</v>
      </c>
      <c r="P16" s="142">
        <f>M16-J16</f>
        <v>0</v>
      </c>
      <c r="Q16" s="143">
        <f t="shared" si="11"/>
        <v>-16.399999999998258</v>
      </c>
      <c r="R16" s="144">
        <f>O16/L16</f>
        <v>0.86333333333334783</v>
      </c>
      <c r="S16" s="413">
        <f>R26</f>
        <v>0.95036241473998184</v>
      </c>
      <c r="T16" s="145">
        <v>0.29027777777777802</v>
      </c>
      <c r="U16" s="145">
        <v>0.31111111111111101</v>
      </c>
      <c r="V16" s="135"/>
      <c r="W16" s="146">
        <f t="shared" ref="W16:W78" si="17">(U16-T16)*24*60</f>
        <v>29.999999999999496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-245.99999999997385</v>
      </c>
      <c r="AG16" s="52">
        <f t="shared" si="14"/>
        <v>0.86333333333334783</v>
      </c>
      <c r="AH16" s="382">
        <f>AG26</f>
        <v>0.94449654394132598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3527</v>
      </c>
      <c r="H17" s="78">
        <f>F17*G17</f>
        <v>178713.09</v>
      </c>
      <c r="I17" s="30"/>
      <c r="J17" s="79">
        <f>VLOOKUP(D17,產線配置圖!$A$3:$C$38,2,0)</f>
        <v>12</v>
      </c>
      <c r="K17" s="80">
        <f>VLOOKUP(D17,產線配置圖!$A$3:$C$38,3,0)</f>
        <v>2100</v>
      </c>
      <c r="L17" s="81">
        <f t="shared" si="15"/>
        <v>175</v>
      </c>
      <c r="M17" s="148">
        <v>12</v>
      </c>
      <c r="N17" s="95">
        <f>G17/W17*60</f>
        <v>2074.7058823529501</v>
      </c>
      <c r="O17" s="96">
        <f t="shared" ref="O17:O18" si="18">N17/M17</f>
        <v>172.89215686274585</v>
      </c>
      <c r="P17" s="97">
        <f t="shared" si="10"/>
        <v>0</v>
      </c>
      <c r="Q17" s="98">
        <f t="shared" si="11"/>
        <v>-2.1078431372541502</v>
      </c>
      <c r="R17" s="99">
        <f t="shared" si="12"/>
        <v>0.98795518207283339</v>
      </c>
      <c r="S17" s="414"/>
      <c r="T17" s="19">
        <v>0.31874999999999998</v>
      </c>
      <c r="U17" s="19">
        <v>0.389583333333333</v>
      </c>
      <c r="V17" s="30">
        <f>(T17-U16)*24*60</f>
        <v>11.000000000000121</v>
      </c>
      <c r="W17" s="149">
        <f t="shared" si="17"/>
        <v>101.99999999999956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-25.294117647049916</v>
      </c>
      <c r="AG17" s="72">
        <f t="shared" si="14"/>
        <v>0.98795518207283339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4722</v>
      </c>
      <c r="H18" s="78">
        <f>F18*G18</f>
        <v>237941.58000000002</v>
      </c>
      <c r="I18" s="30"/>
      <c r="J18" s="79">
        <f>VLOOKUP(D18,產線配置圖!$A$3:$C$38,2,0)</f>
        <v>11</v>
      </c>
      <c r="K18" s="80">
        <f>VLOOKUP(D18,產線配置圖!$A$3:$C$38,3,0)</f>
        <v>2100</v>
      </c>
      <c r="L18" s="81">
        <f t="shared" si="15"/>
        <v>190.90909090909091</v>
      </c>
      <c r="M18" s="148">
        <v>11</v>
      </c>
      <c r="N18" s="95">
        <f t="shared" si="16"/>
        <v>2038.2733812949796</v>
      </c>
      <c r="O18" s="96">
        <f t="shared" si="18"/>
        <v>185.2975801177254</v>
      </c>
      <c r="P18" s="97">
        <f t="shared" si="10"/>
        <v>0</v>
      </c>
      <c r="Q18" s="98">
        <f t="shared" si="11"/>
        <v>-5.6115107913655038</v>
      </c>
      <c r="R18" s="99">
        <f t="shared" si="12"/>
        <v>0.97060637204522826</v>
      </c>
      <c r="S18" s="414"/>
      <c r="T18" s="19">
        <v>0.39791666666666697</v>
      </c>
      <c r="U18" s="19">
        <v>0.49444444444444402</v>
      </c>
      <c r="V18" s="30">
        <f>(T18-U17)*24*60</f>
        <v>12.000000000000917</v>
      </c>
      <c r="W18" s="149">
        <f t="shared" si="17"/>
        <v>138.99999999999895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-61.726618705020428</v>
      </c>
      <c r="AG18" s="72">
        <f t="shared" si="14"/>
        <v>0.97060637204522837</v>
      </c>
      <c r="AH18" s="384"/>
    </row>
    <row r="19" spans="1:34" ht="15" customHeight="1">
      <c r="A19" s="41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14"/>
      <c r="T19" s="19"/>
      <c r="U19" s="19"/>
      <c r="V19" s="30"/>
      <c r="W19" s="149">
        <f t="shared" si="17"/>
        <v>0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0</v>
      </c>
      <c r="AG19" s="72" t="e">
        <f t="shared" si="14"/>
        <v>#DIV/0!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12.666666666666666</v>
      </c>
      <c r="K26" s="155">
        <f t="shared" si="20"/>
        <v>2000</v>
      </c>
      <c r="L26" s="158">
        <f t="shared" si="20"/>
        <v>161.96969696969697</v>
      </c>
      <c r="M26" s="155">
        <f t="shared" si="20"/>
        <v>12.666666666666666</v>
      </c>
      <c r="N26" s="155">
        <f t="shared" si="20"/>
        <v>1888.9930878826519</v>
      </c>
      <c r="O26" s="158">
        <f t="shared" si="20"/>
        <v>153.92991232682434</v>
      </c>
      <c r="P26" s="159">
        <f t="shared" ref="P26:P29" si="21">M26-J26</f>
        <v>0</v>
      </c>
      <c r="Q26" s="160">
        <f t="shared" ref="Q26:Q29" si="22">O26-L26</f>
        <v>-8.0397846428726325</v>
      </c>
      <c r="R26" s="161">
        <f>O26/L26</f>
        <v>0.95036241473998184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-111.00691211734807</v>
      </c>
      <c r="AG26" s="124">
        <f t="shared" ref="AG26:AG31" si="24">N26/K26</f>
        <v>0.94449654394132598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2719</v>
      </c>
      <c r="H27" s="134">
        <f>F27*G27</f>
        <v>158164.23000000001</v>
      </c>
      <c r="I27" s="135"/>
      <c r="J27" s="136">
        <f>VLOOKUP(D27,產線配置圖!$A$3:$C$38,2,0)</f>
        <v>16</v>
      </c>
      <c r="K27" s="137">
        <v>1636</v>
      </c>
      <c r="L27" s="138">
        <f t="shared" ref="L27:L29" si="25">K27/J27</f>
        <v>102.25</v>
      </c>
      <c r="M27" s="170">
        <v>16</v>
      </c>
      <c r="N27" s="140">
        <f>G27/W27*60</f>
        <v>1631.4000000000112</v>
      </c>
      <c r="O27" s="141">
        <f>N27/M27</f>
        <v>101.9625000000007</v>
      </c>
      <c r="P27" s="142">
        <f t="shared" si="21"/>
        <v>0</v>
      </c>
      <c r="Q27" s="143">
        <f t="shared" si="22"/>
        <v>-0.28749999999929798</v>
      </c>
      <c r="R27" s="144">
        <f>O27/L27</f>
        <v>0.99718826405868655</v>
      </c>
      <c r="S27" s="413">
        <f>R37</f>
        <v>0.85253741227520741</v>
      </c>
      <c r="T27" s="171">
        <v>0.29027777777777802</v>
      </c>
      <c r="U27" s="171">
        <v>0.359722222222222</v>
      </c>
      <c r="V27" s="135"/>
      <c r="W27" s="146">
        <f t="shared" si="17"/>
        <v>99.999999999999318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-4.5999999999887677</v>
      </c>
      <c r="AG27" s="172">
        <f t="shared" si="24"/>
        <v>0.99718826405868655</v>
      </c>
      <c r="AH27" s="382">
        <f>AG37</f>
        <v>0.83212540228169118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2281</v>
      </c>
      <c r="H28" s="91">
        <f>F28*G28</f>
        <v>112955.12000000001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16</v>
      </c>
      <c r="N28" s="95">
        <f>G28/W28*60</f>
        <v>1279.065420560757</v>
      </c>
      <c r="O28" s="96">
        <f>N28/M28</f>
        <v>79.941588785047315</v>
      </c>
      <c r="P28" s="97">
        <f t="shared" si="21"/>
        <v>-1</v>
      </c>
      <c r="Q28" s="98">
        <f t="shared" si="22"/>
        <v>-4.7642935678938585</v>
      </c>
      <c r="R28" s="99">
        <f t="shared" ref="R28:R29" si="26">O28/L28</f>
        <v>0.94375486760125304</v>
      </c>
      <c r="S28" s="414"/>
      <c r="T28" s="19">
        <v>0.36666666666666697</v>
      </c>
      <c r="U28" s="19">
        <v>0.44097222222222199</v>
      </c>
      <c r="V28" s="92">
        <f>(T28-U27)*24*60</f>
        <v>10.000000000000764</v>
      </c>
      <c r="W28" s="149">
        <f t="shared" si="17"/>
        <v>106.99999999999922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-160.93457943924295</v>
      </c>
      <c r="AG28" s="99">
        <f t="shared" si="24"/>
        <v>0.88823987538941462</v>
      </c>
      <c r="AH28" s="383"/>
    </row>
    <row r="29" spans="1:34" ht="15" customHeight="1">
      <c r="A29" s="411"/>
      <c r="B29" s="75" t="s">
        <v>120</v>
      </c>
      <c r="C29" s="88"/>
      <c r="D29" s="59" t="s">
        <v>124</v>
      </c>
      <c r="E29" s="89"/>
      <c r="F29" s="75">
        <f>VLOOKUP(D29,廠價表!$C$1:$E$41,3,0)</f>
        <v>44.3</v>
      </c>
      <c r="G29" s="90">
        <v>666</v>
      </c>
      <c r="H29" s="91">
        <f>F29*G29</f>
        <v>29503.8</v>
      </c>
      <c r="I29" s="92"/>
      <c r="J29" s="79">
        <f>VLOOKUP(D29,產線配置圖!$A$3:$C$38,2,0)</f>
        <v>17</v>
      </c>
      <c r="K29" s="80">
        <f>VLOOKUP(D29,產線配置圖!$A$3:$C$38,3,0)</f>
        <v>1565</v>
      </c>
      <c r="L29" s="93">
        <f t="shared" si="25"/>
        <v>92.058823529411768</v>
      </c>
      <c r="M29" s="94">
        <v>17</v>
      </c>
      <c r="N29" s="95">
        <f>G29/W29*60</f>
        <v>951.42857142856042</v>
      </c>
      <c r="O29" s="96">
        <f>N29/M29</f>
        <v>55.966386554621202</v>
      </c>
      <c r="P29" s="97">
        <f t="shared" si="21"/>
        <v>0</v>
      </c>
      <c r="Q29" s="98">
        <f t="shared" si="22"/>
        <v>-36.092436974790566</v>
      </c>
      <c r="R29" s="99">
        <f t="shared" si="26"/>
        <v>0.60794157918757852</v>
      </c>
      <c r="S29" s="414"/>
      <c r="T29" s="19">
        <v>0.59583333333333299</v>
      </c>
      <c r="U29" s="19">
        <v>0.625</v>
      </c>
      <c r="V29" s="92">
        <f>(T29-U28)*24*60</f>
        <v>222.99999999999986</v>
      </c>
      <c r="W29" s="149">
        <f t="shared" si="17"/>
        <v>42.00000000000049</v>
      </c>
      <c r="X29" s="22"/>
      <c r="Y29" s="84"/>
      <c r="Z29" s="90"/>
      <c r="AA29" s="90"/>
      <c r="AB29" s="388" t="s">
        <v>205</v>
      </c>
      <c r="AC29" s="388"/>
      <c r="AD29" s="92"/>
      <c r="AE29" s="92"/>
      <c r="AF29" s="312">
        <f t="shared" si="23"/>
        <v>-613.57142857143958</v>
      </c>
      <c r="AG29" s="99">
        <f t="shared" si="24"/>
        <v>0.60794157918757852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8">AVERAGE(J27:J36)</f>
        <v>16.666666666666668</v>
      </c>
      <c r="K37" s="155">
        <f t="shared" si="28"/>
        <v>1547</v>
      </c>
      <c r="L37" s="158">
        <f t="shared" si="28"/>
        <v>93.004901960784309</v>
      </c>
      <c r="M37" s="155">
        <f t="shared" si="28"/>
        <v>16.333333333333332</v>
      </c>
      <c r="N37" s="155">
        <f t="shared" si="28"/>
        <v>1287.2979973297763</v>
      </c>
      <c r="O37" s="158">
        <f t="shared" si="28"/>
        <v>79.290158446556418</v>
      </c>
      <c r="P37" s="159">
        <f>M37-J37</f>
        <v>-0.3333333333333357</v>
      </c>
      <c r="Q37" s="160">
        <f>N37-K37</f>
        <v>-259.70200267022369</v>
      </c>
      <c r="R37" s="161">
        <f>O37/L37</f>
        <v>0.85253741227520741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-259.70200267022369</v>
      </c>
      <c r="AG37" s="124">
        <f t="shared" ref="AG37:AG41" si="30">N37/K37</f>
        <v>0.83212540228169118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2611</v>
      </c>
      <c r="H38" s="134">
        <f>F38*G38</f>
        <v>130315.01</v>
      </c>
      <c r="I38" s="135"/>
      <c r="J38" s="187">
        <f>VLOOKUP(D38,產線配置圖!$A$3:$C$38,2,0)</f>
        <v>15</v>
      </c>
      <c r="K38" s="188">
        <f>VLOOKUP(D38,產線配置圖!$A$3:$C$38,3,0)</f>
        <v>1565</v>
      </c>
      <c r="L38" s="189">
        <f t="shared" ref="L38:L40" si="31">K38/J38</f>
        <v>104.33333333333333</v>
      </c>
      <c r="M38" s="190">
        <v>15</v>
      </c>
      <c r="N38" s="140">
        <f>G38/W38*60</f>
        <v>1491.9999999999927</v>
      </c>
      <c r="O38" s="141">
        <f>N38/M38</f>
        <v>99.466666666666185</v>
      </c>
      <c r="P38" s="142">
        <f t="shared" ref="P38:P40" si="32">M38-J38</f>
        <v>0</v>
      </c>
      <c r="Q38" s="143">
        <f t="shared" ref="Q38:Q40" si="33">O38-L38</f>
        <v>-4.8666666666671432</v>
      </c>
      <c r="R38" s="144">
        <f>O38/L38</f>
        <v>0.9533546325878548</v>
      </c>
      <c r="S38" s="404">
        <f>R48</f>
        <v>0.94550822028219772</v>
      </c>
      <c r="T38" s="191">
        <v>0.33333333333333298</v>
      </c>
      <c r="U38" s="191">
        <v>0.40625</v>
      </c>
      <c r="V38" s="192"/>
      <c r="W38" s="193">
        <f t="shared" si="17"/>
        <v>105.00000000000051</v>
      </c>
      <c r="X38" s="194"/>
      <c r="Y38" s="302"/>
      <c r="Z38" s="336">
        <v>1</v>
      </c>
      <c r="AA38" s="336">
        <v>9</v>
      </c>
      <c r="AB38" s="406" t="s">
        <v>176</v>
      </c>
      <c r="AC38" s="406"/>
      <c r="AD38" s="192"/>
      <c r="AE38" s="192"/>
      <c r="AF38" s="313">
        <f t="shared" si="29"/>
        <v>-73.000000000007276</v>
      </c>
      <c r="AG38" s="195">
        <f t="shared" si="30"/>
        <v>0.9533546325878548</v>
      </c>
      <c r="AH38" s="398">
        <f>AG48</f>
        <v>0.94515949084639062</v>
      </c>
    </row>
    <row r="39" spans="1:34" ht="15" customHeight="1">
      <c r="A39" s="402"/>
      <c r="B39" s="75" t="s">
        <v>120</v>
      </c>
      <c r="C39" s="207"/>
      <c r="D39" s="198" t="s">
        <v>124</v>
      </c>
      <c r="E39" s="178"/>
      <c r="F39" s="75">
        <f>VLOOKUP(D39,廠價表!$C$1:$E$41,3,0)</f>
        <v>44.3</v>
      </c>
      <c r="G39" s="199">
        <v>2194</v>
      </c>
      <c r="H39" s="91">
        <f>F39*G39</f>
        <v>97194.2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17</v>
      </c>
      <c r="N39" s="202">
        <f>G39/W39*60</f>
        <v>1462.6666666666665</v>
      </c>
      <c r="O39" s="203">
        <f t="shared" ref="O39:O40" si="34">N39/M39</f>
        <v>86.039215686274503</v>
      </c>
      <c r="P39" s="97">
        <f t="shared" si="32"/>
        <v>0</v>
      </c>
      <c r="Q39" s="98">
        <f t="shared" si="33"/>
        <v>-6.0196078431372655</v>
      </c>
      <c r="R39" s="99">
        <f t="shared" ref="R39:R40" si="35">O39/L39</f>
        <v>0.93461128860489873</v>
      </c>
      <c r="S39" s="405"/>
      <c r="T39" s="20">
        <v>0.42013888888888901</v>
      </c>
      <c r="U39" s="20">
        <v>0.48263888888888901</v>
      </c>
      <c r="V39" s="92">
        <f>(T39-U38)*24*60</f>
        <v>20.000000000000171</v>
      </c>
      <c r="W39" s="205">
        <f t="shared" si="17"/>
        <v>90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-102.33333333333348</v>
      </c>
      <c r="AG39" s="206">
        <f t="shared" si="30"/>
        <v>0.93461128860489873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1730</v>
      </c>
      <c r="H40" s="91">
        <f>F40*G40</f>
        <v>76639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17</v>
      </c>
      <c r="N40" s="202">
        <f>G40/W40*60</f>
        <v>1482.8571428571447</v>
      </c>
      <c r="O40" s="203">
        <f t="shared" si="34"/>
        <v>87.226890756302623</v>
      </c>
      <c r="P40" s="97">
        <f t="shared" si="32"/>
        <v>0</v>
      </c>
      <c r="Q40" s="98">
        <f t="shared" si="33"/>
        <v>-4.8319327731091448</v>
      </c>
      <c r="R40" s="99">
        <f t="shared" si="35"/>
        <v>0.94751255134641821</v>
      </c>
      <c r="S40" s="377"/>
      <c r="T40" s="20">
        <v>0.54513888888888895</v>
      </c>
      <c r="U40" s="210">
        <v>0.59375</v>
      </c>
      <c r="V40" s="92">
        <f>(T40-U39)*24*60</f>
        <v>89.999999999999915</v>
      </c>
      <c r="W40" s="205">
        <f t="shared" si="17"/>
        <v>69.999999999999915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-82.142857142855291</v>
      </c>
      <c r="AG40" s="206">
        <f t="shared" si="30"/>
        <v>0.94751255134641832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16.333333333333332</v>
      </c>
      <c r="K48" s="155">
        <f t="shared" si="37"/>
        <v>1565</v>
      </c>
      <c r="L48" s="158">
        <f t="shared" si="37"/>
        <v>96.150326797385617</v>
      </c>
      <c r="M48" s="155">
        <f t="shared" si="37"/>
        <v>16.333333333333332</v>
      </c>
      <c r="N48" s="155">
        <f t="shared" si="37"/>
        <v>1479.1746031746013</v>
      </c>
      <c r="O48" s="158">
        <f t="shared" si="37"/>
        <v>90.910924369747775</v>
      </c>
      <c r="P48" s="221">
        <f>M48-J48</f>
        <v>0</v>
      </c>
      <c r="Q48" s="222">
        <f>N48-K48</f>
        <v>-85.825396825398684</v>
      </c>
      <c r="R48" s="223">
        <f>O48/L48</f>
        <v>0.94550822028219772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1</v>
      </c>
      <c r="AA48" s="334">
        <f>SUM(AA38:AA47)</f>
        <v>9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-85.825396825398684</v>
      </c>
      <c r="AG48" s="162">
        <f t="shared" ref="AG48:AG53" si="39">N48/K48</f>
        <v>0.94515949084639062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1195</v>
      </c>
      <c r="H49" s="134">
        <f>F49*G49</f>
        <v>67959.649999999994</v>
      </c>
      <c r="I49" s="135"/>
      <c r="J49" s="136">
        <f>VLOOKUP(D49,產線配置圖!$A$3:$C$38,2,0)</f>
        <v>17</v>
      </c>
      <c r="K49" s="137">
        <f>VLOOKUP(D49,產線配置圖!$A$3:$C$38,3,0)</f>
        <v>1565</v>
      </c>
      <c r="L49" s="138">
        <f t="shared" ref="L49:L52" si="40">K49/J49</f>
        <v>92.058823529411768</v>
      </c>
      <c r="M49" s="170">
        <v>15</v>
      </c>
      <c r="N49" s="140">
        <f>G49/W49*60</f>
        <v>1378.8461538461588</v>
      </c>
      <c r="O49" s="141">
        <f>N49/M49</f>
        <v>91.923076923077261</v>
      </c>
      <c r="P49" s="229">
        <f>M49-J49</f>
        <v>-2</v>
      </c>
      <c r="Q49" s="230">
        <f>O49-L49</f>
        <v>-0.13574660633450719</v>
      </c>
      <c r="R49" s="52">
        <f>O49/L49</f>
        <v>0.99852543622512036</v>
      </c>
      <c r="S49" s="376">
        <f>R58</f>
        <v>0.96160250536068836</v>
      </c>
      <c r="T49" s="191">
        <v>0.29166666666666702</v>
      </c>
      <c r="U49" s="191">
        <v>0.327777777777778</v>
      </c>
      <c r="V49" s="55"/>
      <c r="W49" s="193">
        <f t="shared" si="17"/>
        <v>51.999999999999815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-186.15384615384119</v>
      </c>
      <c r="AG49" s="52">
        <f t="shared" si="39"/>
        <v>0.88105185549275322</v>
      </c>
      <c r="AH49" s="382">
        <f>AG58</f>
        <v>0.90375681290383847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3103</v>
      </c>
      <c r="H50" s="231">
        <f>F50*G50</f>
        <v>177522.63</v>
      </c>
      <c r="I50" s="232"/>
      <c r="J50" s="79">
        <v>15</v>
      </c>
      <c r="K50" s="80">
        <v>1636</v>
      </c>
      <c r="L50" s="81">
        <f t="shared" si="40"/>
        <v>109.06666666666666</v>
      </c>
      <c r="M50" s="233">
        <v>15</v>
      </c>
      <c r="N50" s="234">
        <f>G50/W50*60</f>
        <v>1551.5000000000057</v>
      </c>
      <c r="O50" s="235">
        <f>N50/M50</f>
        <v>103.43333333333371</v>
      </c>
      <c r="P50" s="74">
        <f>M50-J50</f>
        <v>0</v>
      </c>
      <c r="Q50" s="83">
        <f>O50-L50</f>
        <v>-5.6333333333329563</v>
      </c>
      <c r="R50" s="72">
        <f>O50/L50</f>
        <v>0.94834963325183719</v>
      </c>
      <c r="S50" s="377"/>
      <c r="T50" s="21">
        <v>0.33541666666666697</v>
      </c>
      <c r="U50" s="21">
        <v>0.41875000000000001</v>
      </c>
      <c r="V50" s="30">
        <f t="shared" ref="V50:V52" si="41">(T50-U49)*24*60</f>
        <v>11.000000000000121</v>
      </c>
      <c r="W50" s="236">
        <f t="shared" si="17"/>
        <v>119.99999999999957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8"/>
        <v>-84.499999999994316</v>
      </c>
      <c r="AG50" s="72">
        <f t="shared" si="39"/>
        <v>0.94834963325183719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2119</v>
      </c>
      <c r="H51" s="231">
        <f>F51*G51</f>
        <v>105886.43</v>
      </c>
      <c r="I51" s="232"/>
      <c r="J51" s="79">
        <f>VLOOKUP(D51,產線配置圖!$A$3:$C$38,2,0)</f>
        <v>16</v>
      </c>
      <c r="K51" s="80">
        <v>1800</v>
      </c>
      <c r="L51" s="81">
        <f t="shared" si="40"/>
        <v>112.5</v>
      </c>
      <c r="M51" s="233">
        <v>15</v>
      </c>
      <c r="N51" s="234">
        <f>G51/W51*60</f>
        <v>1609.3670886075972</v>
      </c>
      <c r="O51" s="235">
        <f>N51/M51</f>
        <v>107.29113924050648</v>
      </c>
      <c r="P51" s="74">
        <f>M51-J51</f>
        <v>-1</v>
      </c>
      <c r="Q51" s="83">
        <f>O51-L51</f>
        <v>-5.2088607594935183</v>
      </c>
      <c r="R51" s="72">
        <f>O51/L51</f>
        <v>0.95369901547116875</v>
      </c>
      <c r="S51" s="377"/>
      <c r="T51" s="21">
        <v>0.42430555555555599</v>
      </c>
      <c r="U51" s="19">
        <v>0.47916666666666702</v>
      </c>
      <c r="V51" s="30">
        <f t="shared" si="41"/>
        <v>8.0000000000006111</v>
      </c>
      <c r="W51" s="236">
        <f t="shared" si="17"/>
        <v>78.999999999999886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-190.63291139240278</v>
      </c>
      <c r="AG51" s="72">
        <f t="shared" si="39"/>
        <v>0.89409282700422066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2544</v>
      </c>
      <c r="H52" s="231">
        <f>F52*G52</f>
        <v>127123.68</v>
      </c>
      <c r="I52" s="232"/>
      <c r="J52" s="79">
        <f>VLOOKUP(D52,產線配置圖!$A$3:$C$38,2,0)</f>
        <v>16</v>
      </c>
      <c r="K52" s="80">
        <v>1800</v>
      </c>
      <c r="L52" s="81">
        <f t="shared" si="40"/>
        <v>112.5</v>
      </c>
      <c r="M52" s="233">
        <v>15</v>
      </c>
      <c r="N52" s="234">
        <f>G52/W52*60</f>
        <v>1606.7368421052445</v>
      </c>
      <c r="O52" s="235">
        <f>N52/M52</f>
        <v>107.11578947368297</v>
      </c>
      <c r="P52" s="74">
        <f>M52-J52</f>
        <v>-1</v>
      </c>
      <c r="Q52" s="83">
        <f>O52-L52</f>
        <v>-5.3842105263170339</v>
      </c>
      <c r="R52" s="72">
        <f>O52/L52</f>
        <v>0.95214035087718196</v>
      </c>
      <c r="S52" s="377"/>
      <c r="T52" s="21">
        <v>0.53819444444444398</v>
      </c>
      <c r="U52" s="21">
        <v>0.60416666666666696</v>
      </c>
      <c r="V52" s="30">
        <f t="shared" si="41"/>
        <v>84.99999999999882</v>
      </c>
      <c r="W52" s="236">
        <f t="shared" si="17"/>
        <v>95.000000000001108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-193.26315789475552</v>
      </c>
      <c r="AG52" s="72">
        <f t="shared" si="39"/>
        <v>0.89263157894735801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16</v>
      </c>
      <c r="K58" s="120">
        <f t="shared" si="42"/>
        <v>1700.25</v>
      </c>
      <c r="L58" s="117">
        <f t="shared" si="42"/>
        <v>106.53137254901961</v>
      </c>
      <c r="M58" s="120">
        <f t="shared" si="42"/>
        <v>15</v>
      </c>
      <c r="N58" s="120">
        <f t="shared" si="42"/>
        <v>1536.6125211397514</v>
      </c>
      <c r="O58" s="117">
        <f t="shared" si="42"/>
        <v>102.44083474265011</v>
      </c>
      <c r="P58" s="121">
        <f>M58-J58</f>
        <v>-1</v>
      </c>
      <c r="Q58" s="122">
        <f>N58-K58</f>
        <v>-163.63747886024862</v>
      </c>
      <c r="R58" s="123">
        <f t="shared" ref="R58:R63" si="43">O58/L58</f>
        <v>0.96160250536068836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-163.63747886024862</v>
      </c>
      <c r="AG58" s="124">
        <f t="shared" ref="AG58:AG61" si="45">N58/K58</f>
        <v>0.90375681290383847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3339</v>
      </c>
      <c r="H59" s="243">
        <f>F59*G59</f>
        <v>90119.61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46">K59/J59</f>
        <v>120.38461538461539</v>
      </c>
      <c r="M59" s="244">
        <v>13</v>
      </c>
      <c r="N59" s="137">
        <f t="shared" ref="N59:N63" si="47">G59/W59*60</f>
        <v>1517.7272727272834</v>
      </c>
      <c r="O59" s="138">
        <f t="shared" ref="O59:O63" si="48">N59/M59</f>
        <v>116.74825174825257</v>
      </c>
      <c r="P59" s="56">
        <f t="shared" ref="P59:P63" si="49">M59-J59</f>
        <v>0</v>
      </c>
      <c r="Q59" s="230">
        <f t="shared" ref="Q59:Q63" si="50">O59-L59</f>
        <v>-3.636363636362816</v>
      </c>
      <c r="R59" s="52">
        <f t="shared" si="43"/>
        <v>0.96979378449027698</v>
      </c>
      <c r="S59" s="376">
        <f>R69</f>
        <v>0.84520822161405551</v>
      </c>
      <c r="T59" s="245">
        <v>0.29166666666666702</v>
      </c>
      <c r="U59" s="245">
        <v>0.38333333333333303</v>
      </c>
      <c r="V59" s="55"/>
      <c r="W59" s="54">
        <f t="shared" si="17"/>
        <v>131.99999999999906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-47.272727272716565</v>
      </c>
      <c r="AG59" s="246">
        <f t="shared" si="45"/>
        <v>0.96979378449027698</v>
      </c>
      <c r="AH59" s="382">
        <f>AG69</f>
        <v>0.84408924376473826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1491</v>
      </c>
      <c r="H60" s="78">
        <f>F60*G60</f>
        <v>42135.66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1516.2711864406854</v>
      </c>
      <c r="O60" s="81">
        <f t="shared" si="48"/>
        <v>126.35593220339045</v>
      </c>
      <c r="P60" s="74">
        <f t="shared" si="49"/>
        <v>0</v>
      </c>
      <c r="Q60" s="83">
        <f t="shared" si="50"/>
        <v>-4.060734463276205</v>
      </c>
      <c r="R60" s="72">
        <f t="shared" si="43"/>
        <v>0.96886337791737098</v>
      </c>
      <c r="S60" s="394"/>
      <c r="T60" s="22">
        <v>0.39374999999999999</v>
      </c>
      <c r="U60" s="22">
        <v>0.43472222222222201</v>
      </c>
      <c r="V60" s="30">
        <f t="shared" ref="V60:V61" si="51">(T60-U59)*24*60</f>
        <v>15.000000000000426</v>
      </c>
      <c r="W60" s="248">
        <f t="shared" si="17"/>
        <v>58.999999999999709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4"/>
        <v>-48.728813559314631</v>
      </c>
      <c r="AG60" s="249">
        <f t="shared" si="45"/>
        <v>0.96886337791737087</v>
      </c>
      <c r="AH60" s="389"/>
    </row>
    <row r="61" spans="1:34" ht="15" customHeight="1">
      <c r="A61" s="392"/>
      <c r="B61" s="250" t="s">
        <v>128</v>
      </c>
      <c r="C61" s="251"/>
      <c r="D61" s="257" t="s">
        <v>131</v>
      </c>
      <c r="E61" s="253"/>
      <c r="F61" s="75">
        <f>VLOOKUP(D61,廠價表!$C$1:$E$41,3,0)</f>
        <v>28.26</v>
      </c>
      <c r="G61" s="38">
        <v>1067</v>
      </c>
      <c r="H61" s="78">
        <f t="shared" ref="H61:H63" si="52">F61*G61</f>
        <v>30153.420000000002</v>
      </c>
      <c r="I61" s="30"/>
      <c r="J61" s="79">
        <f>VLOOKUP(D61,產線配置圖!$A$3:$C$38,2,0)</f>
        <v>12</v>
      </c>
      <c r="K61" s="80">
        <f>VLOOKUP(D61,產線配置圖!$A$3:$C$38,3,0)</f>
        <v>1565</v>
      </c>
      <c r="L61" s="81">
        <f t="shared" si="46"/>
        <v>130.41666666666666</v>
      </c>
      <c r="M61" s="108">
        <v>12</v>
      </c>
      <c r="N61" s="80">
        <f t="shared" si="47"/>
        <v>853.59999999998934</v>
      </c>
      <c r="O61" s="81">
        <f t="shared" si="48"/>
        <v>71.133333333332445</v>
      </c>
      <c r="P61" s="74">
        <f t="shared" si="49"/>
        <v>0</v>
      </c>
      <c r="Q61" s="83">
        <f t="shared" si="50"/>
        <v>-59.283333333334213</v>
      </c>
      <c r="R61" s="72">
        <f t="shared" si="43"/>
        <v>0.54543130990414657</v>
      </c>
      <c r="S61" s="377"/>
      <c r="T61" s="22">
        <v>0.45833333333333298</v>
      </c>
      <c r="U61" s="22">
        <v>0.51041666666666696</v>
      </c>
      <c r="V61" s="30">
        <f t="shared" si="51"/>
        <v>33.999999999999801</v>
      </c>
      <c r="W61" s="256">
        <f t="shared" si="17"/>
        <v>75.000000000000938</v>
      </c>
      <c r="X61" s="22"/>
      <c r="Y61" s="84"/>
      <c r="Z61" s="90"/>
      <c r="AA61" s="90"/>
      <c r="AB61" s="388" t="s">
        <v>201</v>
      </c>
      <c r="AC61" s="388"/>
      <c r="AD61" s="92"/>
      <c r="AE61" s="92"/>
      <c r="AF61" s="317">
        <f t="shared" si="44"/>
        <v>-711.40000000001066</v>
      </c>
      <c r="AG61" s="247">
        <f t="shared" si="45"/>
        <v>0.54543130990414657</v>
      </c>
      <c r="AH61" s="384"/>
    </row>
    <row r="62" spans="1:34" ht="15" customHeight="1">
      <c r="A62" s="392"/>
      <c r="B62" s="250" t="s">
        <v>128</v>
      </c>
      <c r="C62" s="251"/>
      <c r="D62" s="252" t="s">
        <v>138</v>
      </c>
      <c r="E62" s="253"/>
      <c r="F62" s="75">
        <f>VLOOKUP(D62,廠價表!$C$1:$E$41,3,0)</f>
        <v>28.26</v>
      </c>
      <c r="G62" s="38">
        <v>2047</v>
      </c>
      <c r="H62" s="78">
        <f t="shared" si="52"/>
        <v>57848.22</v>
      </c>
      <c r="I62" s="30"/>
      <c r="J62" s="79">
        <f>VLOOKUP(D62,產線配置圖!$A$3:$C$38,2,0)</f>
        <v>9</v>
      </c>
      <c r="K62" s="80">
        <f>VLOOKUP(D62,產線配置圖!$A$3:$C$38,3,0)</f>
        <v>1636</v>
      </c>
      <c r="L62" s="81">
        <f t="shared" si="46"/>
        <v>181.77777777777777</v>
      </c>
      <c r="M62" s="108">
        <v>9</v>
      </c>
      <c r="N62" s="80">
        <f t="shared" si="47"/>
        <v>1320.6451612903295</v>
      </c>
      <c r="O62" s="81">
        <f t="shared" si="48"/>
        <v>146.73835125448105</v>
      </c>
      <c r="P62" s="74">
        <f t="shared" si="49"/>
        <v>0</v>
      </c>
      <c r="Q62" s="83">
        <f t="shared" si="50"/>
        <v>-35.039426523296726</v>
      </c>
      <c r="R62" s="72">
        <f t="shared" si="43"/>
        <v>0.80724031863712065</v>
      </c>
      <c r="S62" s="377"/>
      <c r="T62" s="22">
        <v>0.43402777777777801</v>
      </c>
      <c r="U62" s="22">
        <v>0.49861111111111101</v>
      </c>
      <c r="V62" s="30"/>
      <c r="W62" s="248">
        <f t="shared" si="17"/>
        <v>92.999999999999517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-315.3548387096705</v>
      </c>
      <c r="AG62" s="247">
        <f>N62/K62</f>
        <v>0.80724031863712076</v>
      </c>
      <c r="AH62" s="384"/>
    </row>
    <row r="63" spans="1:34" ht="15" customHeight="1">
      <c r="A63" s="392"/>
      <c r="B63" s="258" t="s">
        <v>128</v>
      </c>
      <c r="C63" s="58"/>
      <c r="D63" s="259" t="s">
        <v>138</v>
      </c>
      <c r="E63" s="60"/>
      <c r="F63" s="75">
        <f>VLOOKUP(D63,廠價表!$C$1:$E$41,3,0)</f>
        <v>28.26</v>
      </c>
      <c r="G63" s="260">
        <v>1643</v>
      </c>
      <c r="H63" s="78">
        <f t="shared" si="52"/>
        <v>46431.18</v>
      </c>
      <c r="I63" s="30"/>
      <c r="J63" s="79">
        <f>VLOOKUP(D63,產線配置圖!$A$3:$C$38,2,0)</f>
        <v>9</v>
      </c>
      <c r="K63" s="80">
        <f>VLOOKUP(D63,產線配置圖!$A$3:$C$38,3,0)</f>
        <v>1636</v>
      </c>
      <c r="L63" s="81">
        <f t="shared" si="46"/>
        <v>181.77777777777777</v>
      </c>
      <c r="M63" s="68">
        <v>9</v>
      </c>
      <c r="N63" s="80">
        <f t="shared" si="47"/>
        <v>1516.6153846153827</v>
      </c>
      <c r="O63" s="81">
        <f t="shared" si="48"/>
        <v>168.5128205128203</v>
      </c>
      <c r="P63" s="74">
        <f t="shared" si="49"/>
        <v>0</v>
      </c>
      <c r="Q63" s="83">
        <f t="shared" si="50"/>
        <v>-13.264957264957474</v>
      </c>
      <c r="R63" s="72">
        <f t="shared" si="43"/>
        <v>0.92702651871355912</v>
      </c>
      <c r="S63" s="377"/>
      <c r="T63" s="22">
        <v>0.5625</v>
      </c>
      <c r="U63" s="22">
        <v>0.60763888888888895</v>
      </c>
      <c r="V63" s="30">
        <f>(T63-U62)*24*60</f>
        <v>92.000000000000156</v>
      </c>
      <c r="W63" s="248">
        <f t="shared" si="17"/>
        <v>65.000000000000085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250"/>
      <c r="C65" s="251"/>
      <c r="D65" s="252"/>
      <c r="E65" s="253"/>
      <c r="F65" s="250"/>
      <c r="G65" s="38"/>
      <c r="H65" s="254"/>
      <c r="I65" s="182"/>
      <c r="J65" s="106"/>
      <c r="K65" s="107"/>
      <c r="L65" s="238"/>
      <c r="M65" s="108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</v>
      </c>
      <c r="K69" s="240">
        <f t="shared" si="53"/>
        <v>1593.4</v>
      </c>
      <c r="L69" s="268">
        <f t="shared" si="53"/>
        <v>148.95470085470089</v>
      </c>
      <c r="M69" s="240">
        <f t="shared" si="53"/>
        <v>11</v>
      </c>
      <c r="N69" s="240">
        <f t="shared" si="53"/>
        <v>1344.971801014734</v>
      </c>
      <c r="O69" s="268">
        <f t="shared" si="53"/>
        <v>125.89773781045537</v>
      </c>
      <c r="P69" s="269">
        <f>M69-J69</f>
        <v>0</v>
      </c>
      <c r="Q69" s="222">
        <f>N69-K69</f>
        <v>-248.42819898526614</v>
      </c>
      <c r="R69" s="123">
        <f>O69/L69</f>
        <v>0.84520822161405551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-248.42819898526614</v>
      </c>
      <c r="AG69" s="124">
        <f>N69/K69</f>
        <v>0.84408924376473826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2319</v>
      </c>
      <c r="H70" s="243">
        <f>F70*G70</f>
        <v>117503.73000000001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1325.1428571428507</v>
      </c>
      <c r="O70" s="138">
        <f>N70/M70</f>
        <v>101.93406593406544</v>
      </c>
      <c r="P70" s="56">
        <f>M70-J70</f>
        <v>0</v>
      </c>
      <c r="Q70" s="230">
        <f>O70-L70</f>
        <v>-8.8351648351653296</v>
      </c>
      <c r="R70" s="52">
        <f>O70/L70</f>
        <v>0.92023809523809075</v>
      </c>
      <c r="S70" s="376">
        <f>R79</f>
        <v>0.87261864424360025</v>
      </c>
      <c r="T70" s="245">
        <v>0.33333333333333298</v>
      </c>
      <c r="U70" s="245">
        <v>0.40625</v>
      </c>
      <c r="V70" s="55"/>
      <c r="W70" s="54">
        <f t="shared" si="17"/>
        <v>105.00000000000051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-114.85714285714926</v>
      </c>
      <c r="AG70" s="246">
        <f>N70/K70</f>
        <v>0.92023809523809075</v>
      </c>
      <c r="AH70" s="382">
        <f>AG79</f>
        <v>0.79178797309506921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75">
        <f>VLOOKUP(D71,廠價表!$C$1:$E$41,3,0)</f>
        <v>56.43</v>
      </c>
      <c r="G71" s="30">
        <v>1083</v>
      </c>
      <c r="H71" s="78">
        <f>F71*G71</f>
        <v>61113.69</v>
      </c>
      <c r="I71" s="30"/>
      <c r="J71" s="79">
        <f>VLOOKUP(D71,產線配置圖!$A$3:$C$38,2,0)</f>
        <v>16</v>
      </c>
      <c r="K71" s="80">
        <f>VLOOKUP(D71,產線配置圖!$A$3:$C$38,3,0)</f>
        <v>1406</v>
      </c>
      <c r="L71" s="81">
        <f>K71/J71</f>
        <v>87.875</v>
      </c>
      <c r="M71" s="82">
        <v>13</v>
      </c>
      <c r="N71" s="80">
        <f>G71/W71*60</f>
        <v>928.28571428571649</v>
      </c>
      <c r="O71" s="81">
        <f>N71/M71</f>
        <v>71.406593406593572</v>
      </c>
      <c r="P71" s="74">
        <f>M71-J71</f>
        <v>-3</v>
      </c>
      <c r="Q71" s="83">
        <f>O71-L71</f>
        <v>-16.468406593406428</v>
      </c>
      <c r="R71" s="72">
        <f>O71/L71</f>
        <v>0.81259281259281446</v>
      </c>
      <c r="S71" s="377"/>
      <c r="T71" s="22">
        <v>0.41666666666666702</v>
      </c>
      <c r="U71" s="22">
        <v>0.46527777777777801</v>
      </c>
      <c r="V71" s="30">
        <f>(T71-U70)*24*60</f>
        <v>15.000000000000506</v>
      </c>
      <c r="W71" s="73">
        <f t="shared" si="17"/>
        <v>69.999999999999829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5">AVERAGE(J70:J78)</f>
        <v>14.5</v>
      </c>
      <c r="K79" s="240">
        <f t="shared" si="55"/>
        <v>1423</v>
      </c>
      <c r="L79" s="268">
        <f t="shared" si="55"/>
        <v>99.322115384615387</v>
      </c>
      <c r="M79" s="240">
        <f t="shared" si="55"/>
        <v>13</v>
      </c>
      <c r="N79" s="240">
        <f t="shared" si="55"/>
        <v>1126.7142857142835</v>
      </c>
      <c r="O79" s="268">
        <f t="shared" si="55"/>
        <v>86.670329670329508</v>
      </c>
      <c r="P79" s="269">
        <f>M79-J79</f>
        <v>-1.5</v>
      </c>
      <c r="Q79" s="222">
        <f>N79-K79</f>
        <v>-296.28571428571649</v>
      </c>
      <c r="R79" s="223">
        <f>O79/L79</f>
        <v>0.87261864424360025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-296.28571428571649</v>
      </c>
      <c r="AG79" s="124">
        <f>N79/K79</f>
        <v>0.79178797309506921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5:A15"/>
    <mergeCell ref="S5:S15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H3:AH4"/>
    <mergeCell ref="S3:S4"/>
    <mergeCell ref="P3:P4"/>
    <mergeCell ref="Q3:Q4"/>
    <mergeCell ref="R3:R4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  <mergeCell ref="M3:M4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7736A5-04AB-4E33-ABC9-3266B7680767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278A-6193-4BB2-A754-D0CC1BD8EFC6}">
  <dimension ref="B1:O26"/>
  <sheetViews>
    <sheetView topLeftCell="A2" zoomScale="70" zoomScaleNormal="70" workbookViewId="0">
      <selection activeCell="D49" sqref="D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46108</v>
      </c>
      <c r="E3" s="466"/>
      <c r="F3" s="3" t="s">
        <v>72</v>
      </c>
      <c r="G3" s="467">
        <f>'0327'!E1</f>
        <v>49468</v>
      </c>
      <c r="H3" s="467"/>
      <c r="I3" s="3" t="s">
        <v>2</v>
      </c>
      <c r="J3" s="468">
        <f>'0327'!G1</f>
        <v>2329359.0299999998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128.78967965585613</v>
      </c>
      <c r="G6" s="473"/>
      <c r="H6" s="474">
        <f>AVERAGE(D13:H13,J13)</f>
        <v>126.79647099451022</v>
      </c>
      <c r="I6" s="474"/>
      <c r="J6" s="474">
        <f>AVERAGE(I13)</f>
        <v>140.74893162393164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115.45163624128796</v>
      </c>
      <c r="G7" s="497"/>
      <c r="H7" s="498">
        <f>AVERAGE(D14:H14,J14)</f>
        <v>113.80606079089871</v>
      </c>
      <c r="I7" s="498"/>
      <c r="J7" s="498">
        <f>AVERAGE(I14)</f>
        <v>125.32508894362343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0.89643546400449725</v>
      </c>
      <c r="G8" s="470"/>
      <c r="H8" s="470">
        <f>H7/H6</f>
        <v>0.897549118664557</v>
      </c>
      <c r="I8" s="470"/>
      <c r="J8" s="470">
        <f>J7/J6</f>
        <v>0.8904159164666392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VALUE('0327'!L15)</f>
        <v>158.61538461538461</v>
      </c>
      <c r="E13" s="13">
        <f>VALUE('0327'!L26)</f>
        <v>170.46590909090909</v>
      </c>
      <c r="F13" s="13">
        <f>VALUE('0327'!L37)</f>
        <v>93.004901960784309</v>
      </c>
      <c r="G13" s="13">
        <f>VALUE('0327'!L48)</f>
        <v>103.16274509803921</v>
      </c>
      <c r="H13" s="13">
        <f>VALUE('0327'!L58)</f>
        <v>108.72254901960784</v>
      </c>
      <c r="I13" s="13">
        <f>VALUE('0327'!L69)</f>
        <v>140.74893162393164</v>
      </c>
      <c r="J13" s="13">
        <f>'0327'!L79</f>
        <v>126.80733618233619</v>
      </c>
    </row>
    <row r="14" spans="2:15" ht="39.950000000000003" customHeight="1">
      <c r="B14" s="491"/>
      <c r="C14" s="12" t="s">
        <v>100</v>
      </c>
      <c r="D14" s="13">
        <f>VALUE('0327'!O15)</f>
        <v>139.82647007632502</v>
      </c>
      <c r="E14" s="13">
        <f>VALUE('0327'!O26)</f>
        <v>152.18233426540385</v>
      </c>
      <c r="F14" s="13">
        <f>VALUE('0327'!O37)</f>
        <v>86.475222842796981</v>
      </c>
      <c r="G14" s="13">
        <f>VALUE('0327'!O48)</f>
        <v>94.377657004830979</v>
      </c>
      <c r="H14" s="13">
        <f>VALUE('0327'!O58)</f>
        <v>100.39922802275943</v>
      </c>
      <c r="I14" s="13">
        <f>VALUE('0327'!O69)</f>
        <v>125.32508894362343</v>
      </c>
      <c r="J14" s="13">
        <f>'0327'!O79</f>
        <v>109.57545253327601</v>
      </c>
    </row>
    <row r="15" spans="2:15" ht="39.950000000000003" customHeight="1">
      <c r="B15" s="492"/>
      <c r="C15" s="10" t="s">
        <v>26</v>
      </c>
      <c r="D15" s="14">
        <f>D14/D13</f>
        <v>0.88154418573822757</v>
      </c>
      <c r="E15" s="14">
        <f t="shared" ref="E15:I15" si="1">E14/E13</f>
        <v>0.89274351145627218</v>
      </c>
      <c r="F15" s="14">
        <f t="shared" si="1"/>
        <v>0.92979209718708611</v>
      </c>
      <c r="G15" s="14">
        <f t="shared" si="1"/>
        <v>0.91484243575663438</v>
      </c>
      <c r="H15" s="14">
        <f t="shared" si="1"/>
        <v>0.92344439058959771</v>
      </c>
      <c r="I15" s="14">
        <f t="shared" si="1"/>
        <v>0.8904159164666392</v>
      </c>
      <c r="J15" s="15">
        <f>'0327'!S70</f>
        <v>0.86410972607860426</v>
      </c>
    </row>
    <row r="16" spans="2:15" ht="17.25" customHeight="1">
      <c r="B16" s="493" t="s">
        <v>101</v>
      </c>
      <c r="C16" s="10" t="s">
        <v>34</v>
      </c>
      <c r="D16" s="16">
        <f>'0327'!T5</f>
        <v>0.3</v>
      </c>
      <c r="E16" s="16">
        <f>'0327'!T16</f>
        <v>0.3</v>
      </c>
      <c r="F16" s="16">
        <f>'0327'!T27</f>
        <v>0.29166666666666702</v>
      </c>
      <c r="G16" s="16">
        <f>'0327'!T38</f>
        <v>0.33333333333333298</v>
      </c>
      <c r="H16" s="16">
        <f>'0327'!T49</f>
        <v>0.29166666666666702</v>
      </c>
      <c r="I16" s="16">
        <f>'0327'!T59</f>
        <v>0.29166666666666702</v>
      </c>
      <c r="J16" s="16">
        <f>'0327'!T70</f>
        <v>0.33333333333333298</v>
      </c>
    </row>
    <row r="17" spans="2:10" ht="17.25" customHeight="1">
      <c r="B17" s="494"/>
      <c r="C17" s="10" t="s">
        <v>35</v>
      </c>
      <c r="D17" s="16">
        <v>0.59375</v>
      </c>
      <c r="E17" s="19">
        <v>0.56736111111111098</v>
      </c>
      <c r="F17" s="19">
        <v>0.64861111111111103</v>
      </c>
      <c r="G17" s="20">
        <v>0.48888888888888898</v>
      </c>
      <c r="H17" s="21">
        <v>0.60277777777777797</v>
      </c>
      <c r="I17" s="22">
        <v>0.625</v>
      </c>
      <c r="J17" s="22">
        <v>0.484722222222222</v>
      </c>
    </row>
    <row r="18" spans="2:10" ht="17.25" customHeight="1">
      <c r="B18" s="495" t="s">
        <v>102</v>
      </c>
      <c r="C18" s="330" t="s">
        <v>36</v>
      </c>
      <c r="D18" s="358">
        <f>'0327'!Z15</f>
        <v>0</v>
      </c>
      <c r="E18" s="359">
        <f>'0327'!Z26</f>
        <v>0</v>
      </c>
      <c r="F18" s="359">
        <f>'0327'!Z37</f>
        <v>0</v>
      </c>
      <c r="G18" s="360">
        <f>'0327'!Z48</f>
        <v>0</v>
      </c>
      <c r="H18" s="360">
        <f>'0327'!Z58</f>
        <v>0</v>
      </c>
      <c r="I18" s="359">
        <f>'0327'!Z69</f>
        <v>0</v>
      </c>
      <c r="J18" s="359">
        <f>'0327'!AA79</f>
        <v>0</v>
      </c>
    </row>
    <row r="19" spans="2:10" ht="17.25" customHeight="1">
      <c r="B19" s="496"/>
      <c r="C19" s="330" t="s">
        <v>37</v>
      </c>
      <c r="D19" s="358">
        <f>'0327'!AA15</f>
        <v>0</v>
      </c>
      <c r="E19" s="359">
        <f>'0327'!AA26</f>
        <v>0</v>
      </c>
      <c r="F19" s="359">
        <f>'0327'!AA37</f>
        <v>0</v>
      </c>
      <c r="G19" s="360">
        <f>'0327'!AA48</f>
        <v>0</v>
      </c>
      <c r="H19" s="360">
        <f>'0327'!AA58</f>
        <v>0</v>
      </c>
      <c r="I19" s="359">
        <f>'0327'!AA69</f>
        <v>0</v>
      </c>
      <c r="J19" s="359">
        <f>'0327'!AB79</f>
        <v>0</v>
      </c>
    </row>
    <row r="20" spans="2:10" ht="17.25" customHeight="1">
      <c r="B20" s="495" t="s">
        <v>103</v>
      </c>
      <c r="C20" s="330" t="s">
        <v>36</v>
      </c>
      <c r="D20" s="358">
        <f>'0327'!AD15</f>
        <v>0</v>
      </c>
      <c r="E20" s="359">
        <f>'0327'!AD26</f>
        <v>0</v>
      </c>
      <c r="F20" s="359">
        <f>'0327'!AD37</f>
        <v>0</v>
      </c>
      <c r="G20" s="360">
        <f>'0327'!AD48</f>
        <v>0</v>
      </c>
      <c r="H20" s="360">
        <f>'0327'!AD58</f>
        <v>0</v>
      </c>
      <c r="I20" s="359">
        <f>'0327'!AD69</f>
        <v>0</v>
      </c>
      <c r="J20" s="359">
        <f>'0327'!AD79</f>
        <v>0</v>
      </c>
    </row>
    <row r="21" spans="2:10" ht="17.25" customHeight="1">
      <c r="B21" s="496"/>
      <c r="C21" s="330" t="s">
        <v>85</v>
      </c>
      <c r="D21" s="358">
        <f>'0327'!AE15</f>
        <v>0</v>
      </c>
      <c r="E21" s="359">
        <f>'0327'!AE26</f>
        <v>0</v>
      </c>
      <c r="F21" s="359">
        <f>'0327'!AE37</f>
        <v>0</v>
      </c>
      <c r="G21" s="360">
        <f>'0327'!AE48</f>
        <v>0</v>
      </c>
      <c r="H21" s="360">
        <f>'0327'!AE58</f>
        <v>0</v>
      </c>
      <c r="I21" s="359">
        <f>'0327'!AE69</f>
        <v>0</v>
      </c>
      <c r="J21" s="359">
        <f>'0327'!AE79</f>
        <v>0</v>
      </c>
    </row>
    <row r="22" spans="2:10" ht="17.25" customHeight="1">
      <c r="B22" s="479" t="s">
        <v>104</v>
      </c>
      <c r="C22" s="480"/>
      <c r="D22" s="23">
        <f>VALUE('0327'!M15)</f>
        <v>13</v>
      </c>
      <c r="E22" s="23">
        <f>VALUE('0327'!M26)</f>
        <v>12.25</v>
      </c>
      <c r="F22" s="23">
        <f>VALUE('0327'!M37)</f>
        <v>13.333333333333334</v>
      </c>
      <c r="G22" s="23">
        <f>VALUE('0327'!M48)</f>
        <v>15.5</v>
      </c>
      <c r="H22" s="23">
        <f>VALUE('0327'!M58)</f>
        <v>14.5</v>
      </c>
      <c r="I22" s="23">
        <f>VALUE('0327'!M69)</f>
        <v>11.25</v>
      </c>
      <c r="J22" s="23">
        <f>'0327'!M79</f>
        <v>11.666666666666666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3EEB-D577-4CEA-B001-FE21436D3F6E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D49" sqref="D49"/>
      <selection pane="topRight" activeCell="D49" sqref="D49"/>
      <selection pane="bottomLeft" activeCell="D49" sqref="D49"/>
      <selection pane="bottomRight" activeCell="D49" sqref="D4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49468</v>
      </c>
      <c r="F1" s="30" t="s">
        <v>2</v>
      </c>
      <c r="G1" s="31">
        <f>SUM(H5:H79)</f>
        <v>2329359.0299999998</v>
      </c>
      <c r="H1" s="32" t="s">
        <v>3</v>
      </c>
      <c r="I1" s="33">
        <f>M15+M26+M48+M58+M69+M79+M37</f>
        <v>91.5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206</v>
      </c>
      <c r="B2" s="447"/>
      <c r="C2" s="28"/>
      <c r="D2" s="28" t="s">
        <v>14</v>
      </c>
      <c r="E2" s="35">
        <f>AVERAGE(O15,O26,O37,O48,O58,O69,O79)</f>
        <v>115.45163624128796</v>
      </c>
      <c r="F2" s="36" t="s">
        <v>15</v>
      </c>
      <c r="G2" s="37">
        <f>G1/E1</f>
        <v>47.088199037761783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4442</v>
      </c>
      <c r="H5" s="43">
        <f>F5*G5</f>
        <v>254126.82</v>
      </c>
      <c r="I5" s="44"/>
      <c r="J5" s="45">
        <v>14</v>
      </c>
      <c r="K5" s="46">
        <v>2100</v>
      </c>
      <c r="L5" s="47">
        <f t="shared" ref="L5:L7" si="0">K5/J5</f>
        <v>150</v>
      </c>
      <c r="M5" s="48">
        <v>13</v>
      </c>
      <c r="N5" s="46">
        <f t="shared" ref="N5:N7" si="1">G5/W5*60</f>
        <v>1825.4794520547921</v>
      </c>
      <c r="O5" s="47">
        <f t="shared" ref="O5:O7" si="2">N5/M5</f>
        <v>140.42149631190708</v>
      </c>
      <c r="P5" s="49">
        <f t="shared" ref="P5:P7" si="3">M5-J5</f>
        <v>-1</v>
      </c>
      <c r="Q5" s="50">
        <f t="shared" ref="Q5:Q7" si="4">O5-L5</f>
        <v>-9.5785036880929226</v>
      </c>
      <c r="R5" s="51">
        <f t="shared" ref="R5:R7" si="5">O5/L5</f>
        <v>0.93614330874604723</v>
      </c>
      <c r="S5" s="376">
        <f>R15</f>
        <v>0.88154418573822757</v>
      </c>
      <c r="T5" s="319">
        <v>0.3</v>
      </c>
      <c r="U5" s="16">
        <v>0.40138888888888902</v>
      </c>
      <c r="V5" s="53"/>
      <c r="W5" s="54">
        <f t="shared" ref="W5:W14" si="6">(U5-T5)*24*60</f>
        <v>146.0000000000002</v>
      </c>
      <c r="X5" s="55"/>
      <c r="Y5" s="290"/>
      <c r="Z5" s="169"/>
      <c r="AA5" s="169"/>
      <c r="AB5" s="381" t="s">
        <v>207</v>
      </c>
      <c r="AC5" s="381"/>
      <c r="AD5" s="135"/>
      <c r="AE5" s="135"/>
      <c r="AF5" s="229">
        <f t="shared" ref="AF5:AF11" si="7">N5-K5</f>
        <v>-274.52054794520791</v>
      </c>
      <c r="AG5" s="52">
        <f t="shared" ref="AG5:AG11" si="8">N5/K5</f>
        <v>0.86927592954990096</v>
      </c>
      <c r="AH5" s="382">
        <f>AG15</f>
        <v>0.86067429497737957</v>
      </c>
    </row>
    <row r="6" spans="1:34" ht="15" customHeight="1">
      <c r="A6" s="423"/>
      <c r="B6" s="75" t="s">
        <v>81</v>
      </c>
      <c r="C6" s="76"/>
      <c r="D6" s="59" t="s">
        <v>117</v>
      </c>
      <c r="E6" s="77"/>
      <c r="F6" s="75">
        <f>VLOOKUP(D6,廠價表!$C$1:$E$41,3,0)</f>
        <v>49.14</v>
      </c>
      <c r="G6" s="66">
        <v>2998</v>
      </c>
      <c r="H6" s="78">
        <f>F6*G6</f>
        <v>147321.72</v>
      </c>
      <c r="I6" s="73"/>
      <c r="J6" s="79">
        <f>VLOOKUP(D6,產線配置圖!$A$3:$C$38,2,0)</f>
        <v>13</v>
      </c>
      <c r="K6" s="80">
        <v>2118</v>
      </c>
      <c r="L6" s="81">
        <f t="shared" si="0"/>
        <v>162.92307692307693</v>
      </c>
      <c r="M6" s="82">
        <v>13</v>
      </c>
      <c r="N6" s="80">
        <f t="shared" si="1"/>
        <v>2044.0909090909142</v>
      </c>
      <c r="O6" s="81">
        <f t="shared" si="2"/>
        <v>157.23776223776264</v>
      </c>
      <c r="P6" s="74">
        <f t="shared" si="3"/>
        <v>0</v>
      </c>
      <c r="Q6" s="83">
        <f t="shared" si="4"/>
        <v>-5.685314685314296</v>
      </c>
      <c r="R6" s="72">
        <f t="shared" si="5"/>
        <v>0.96510430079835419</v>
      </c>
      <c r="S6" s="377"/>
      <c r="T6" s="18">
        <v>0.41527777777777802</v>
      </c>
      <c r="U6" s="18">
        <v>0.47638888888888897</v>
      </c>
      <c r="V6" s="30">
        <f>(T6-U5)*24*60</f>
        <v>20.000000000000171</v>
      </c>
      <c r="W6" s="73">
        <f t="shared" si="6"/>
        <v>87.999999999999773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-73.909090909085762</v>
      </c>
      <c r="AG6" s="72">
        <f t="shared" si="8"/>
        <v>0.96510430079835419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1874</v>
      </c>
      <c r="H7" s="78">
        <f>F7*G7</f>
        <v>92088.36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1583.6619718309701</v>
      </c>
      <c r="O7" s="81">
        <f t="shared" si="2"/>
        <v>121.82015167930538</v>
      </c>
      <c r="P7" s="74">
        <f t="shared" si="3"/>
        <v>0</v>
      </c>
      <c r="Q7" s="83">
        <f t="shared" si="4"/>
        <v>-41.102925243771551</v>
      </c>
      <c r="R7" s="72">
        <f t="shared" si="5"/>
        <v>0.74771575629413123</v>
      </c>
      <c r="S7" s="377"/>
      <c r="T7" s="16">
        <v>0.54444444444444395</v>
      </c>
      <c r="U7" s="16">
        <v>0.59375</v>
      </c>
      <c r="V7" s="30">
        <f>(T7-U6)*24*60</f>
        <v>97.999999999999176</v>
      </c>
      <c r="W7" s="73">
        <f t="shared" si="6"/>
        <v>71.000000000000711</v>
      </c>
      <c r="X7" s="22"/>
      <c r="Y7" s="84"/>
      <c r="Z7" s="90"/>
      <c r="AA7" s="90"/>
      <c r="AB7" s="388" t="s">
        <v>208</v>
      </c>
      <c r="AC7" s="388"/>
      <c r="AD7" s="92"/>
      <c r="AE7" s="92"/>
      <c r="AF7" s="307">
        <f t="shared" si="7"/>
        <v>-534.33802816902994</v>
      </c>
      <c r="AG7" s="72">
        <f t="shared" si="8"/>
        <v>0.74771575629413134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2112</v>
      </c>
      <c r="L15" s="117">
        <f t="shared" si="9"/>
        <v>158.61538461538461</v>
      </c>
      <c r="M15" s="120">
        <f t="shared" si="9"/>
        <v>13</v>
      </c>
      <c r="N15" s="120">
        <f t="shared" si="9"/>
        <v>1817.7441109922256</v>
      </c>
      <c r="O15" s="117">
        <f t="shared" si="9"/>
        <v>139.82647007632502</v>
      </c>
      <c r="P15" s="121">
        <f>M15-J15</f>
        <v>-0.33333333333333393</v>
      </c>
      <c r="Q15" s="122">
        <f t="shared" ref="Q15:Q19" si="10">O15-L15</f>
        <v>-18.78891453905959</v>
      </c>
      <c r="R15" s="123">
        <f>O15/L15</f>
        <v>0.88154418573822757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1">N15-K15</f>
        <v>-294.25588900777439</v>
      </c>
      <c r="AG15" s="124">
        <f t="shared" ref="AG15:AG19" si="12">N15/K15</f>
        <v>0.86067429497737957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661</v>
      </c>
      <c r="H16" s="134">
        <f>F16*G16</f>
        <v>37201.08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3">K16/J16</f>
        <v>120</v>
      </c>
      <c r="M16" s="139">
        <v>15</v>
      </c>
      <c r="N16" s="140">
        <f t="shared" ref="N16:N19" si="14">G16/W16*60</f>
        <v>1416.428571428605</v>
      </c>
      <c r="O16" s="141">
        <f>N16/M16</f>
        <v>94.428571428573662</v>
      </c>
      <c r="P16" s="142">
        <f>M16-J16</f>
        <v>0</v>
      </c>
      <c r="Q16" s="143">
        <f t="shared" si="10"/>
        <v>-25.571428571426338</v>
      </c>
      <c r="R16" s="144">
        <f>O16/L16</f>
        <v>0.78690476190478054</v>
      </c>
      <c r="S16" s="413">
        <f>R26</f>
        <v>0.89274351145627218</v>
      </c>
      <c r="T16" s="145">
        <v>0.3</v>
      </c>
      <c r="U16" s="19">
        <v>0.31944444444444398</v>
      </c>
      <c r="V16" s="135"/>
      <c r="W16" s="146">
        <f t="shared" ref="W16:W78" si="15">(U16-T16)*24*60</f>
        <v>27.999999999999339</v>
      </c>
      <c r="X16" s="141"/>
      <c r="Y16" s="296"/>
      <c r="Z16" s="169"/>
      <c r="AA16" s="169"/>
      <c r="AB16" s="381" t="s">
        <v>209</v>
      </c>
      <c r="AC16" s="381"/>
      <c r="AD16" s="135"/>
      <c r="AE16" s="135"/>
      <c r="AF16" s="229">
        <f t="shared" si="11"/>
        <v>-383.57142857139502</v>
      </c>
      <c r="AG16" s="52">
        <f t="shared" si="12"/>
        <v>0.78690476190478054</v>
      </c>
      <c r="AH16" s="382">
        <f>AG26</f>
        <v>0.8865613483665209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3380</v>
      </c>
      <c r="H17" s="78">
        <f>F17*G17</f>
        <v>171264.6</v>
      </c>
      <c r="I17" s="30"/>
      <c r="J17" s="79">
        <f>VLOOKUP(D17,產線配置圖!$A$3:$C$38,2,0)</f>
        <v>12</v>
      </c>
      <c r="K17" s="80">
        <v>2118</v>
      </c>
      <c r="L17" s="81">
        <f t="shared" si="13"/>
        <v>176.5</v>
      </c>
      <c r="M17" s="148">
        <v>12</v>
      </c>
      <c r="N17" s="95">
        <f t="shared" si="14"/>
        <v>1895.3271028037523</v>
      </c>
      <c r="O17" s="96">
        <f t="shared" ref="O17:O19" si="16">N17/M17</f>
        <v>157.94392523364601</v>
      </c>
      <c r="P17" s="97">
        <f t="shared" ref="P17:P19" si="17">M17-J17</f>
        <v>0</v>
      </c>
      <c r="Q17" s="98">
        <f t="shared" si="10"/>
        <v>-18.556074766353987</v>
      </c>
      <c r="R17" s="99">
        <f t="shared" ref="R17:R19" si="18">O17/L17</f>
        <v>0.89486643191867432</v>
      </c>
      <c r="S17" s="414"/>
      <c r="T17" s="19">
        <v>0.327777777777778</v>
      </c>
      <c r="U17" s="19">
        <v>0.40208333333333302</v>
      </c>
      <c r="V17" s="30">
        <f>(T17-U16)*24*60</f>
        <v>12.000000000000997</v>
      </c>
      <c r="W17" s="149">
        <f t="shared" si="15"/>
        <v>106.99999999999922</v>
      </c>
      <c r="X17" s="19"/>
      <c r="Y17" s="297"/>
      <c r="Z17" s="90"/>
      <c r="AA17" s="90"/>
      <c r="AB17" s="388" t="s">
        <v>210</v>
      </c>
      <c r="AC17" s="388"/>
      <c r="AD17" s="92"/>
      <c r="AE17" s="92"/>
      <c r="AF17" s="307">
        <f t="shared" si="11"/>
        <v>-222.67289719624773</v>
      </c>
      <c r="AG17" s="72">
        <f t="shared" si="12"/>
        <v>0.89486643191867432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3245</v>
      </c>
      <c r="H18" s="78">
        <f t="shared" ref="H18:H19" si="19">F18*G18</f>
        <v>163515.54999999999</v>
      </c>
      <c r="I18" s="30"/>
      <c r="J18" s="79">
        <f>VLOOKUP(D18,產線配置圖!$A$3:$C$38,2,0)</f>
        <v>11</v>
      </c>
      <c r="K18" s="80">
        <v>2119</v>
      </c>
      <c r="L18" s="81">
        <f t="shared" si="13"/>
        <v>192.63636363636363</v>
      </c>
      <c r="M18" s="148">
        <v>11</v>
      </c>
      <c r="N18" s="95">
        <f t="shared" si="14"/>
        <v>2071.2765957446741</v>
      </c>
      <c r="O18" s="96">
        <f t="shared" si="16"/>
        <v>188.2978723404249</v>
      </c>
      <c r="P18" s="97">
        <f t="shared" si="17"/>
        <v>0</v>
      </c>
      <c r="Q18" s="98">
        <f t="shared" si="10"/>
        <v>-4.3384912959387236</v>
      </c>
      <c r="R18" s="99">
        <f t="shared" si="18"/>
        <v>0.97747833683089858</v>
      </c>
      <c r="S18" s="414"/>
      <c r="T18" s="19">
        <v>0.41111111111111098</v>
      </c>
      <c r="U18" s="19">
        <v>0.47638888888888897</v>
      </c>
      <c r="V18" s="30">
        <f>(T18-U17)*24*60</f>
        <v>13.000000000000274</v>
      </c>
      <c r="W18" s="149">
        <f t="shared" si="15"/>
        <v>94.000000000000313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1"/>
        <v>-47.723404255325931</v>
      </c>
      <c r="AG18" s="72">
        <f t="shared" si="12"/>
        <v>0.97747833683089858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1140</v>
      </c>
      <c r="H19" s="78">
        <f t="shared" si="19"/>
        <v>57444.6</v>
      </c>
      <c r="I19" s="30"/>
      <c r="J19" s="79">
        <f>VLOOKUP(D19,產線配置圖!$A$3:$C$38,2,0)</f>
        <v>11</v>
      </c>
      <c r="K19" s="80">
        <v>2120</v>
      </c>
      <c r="L19" s="81">
        <f t="shared" si="13"/>
        <v>192.72727272727272</v>
      </c>
      <c r="M19" s="148">
        <v>11</v>
      </c>
      <c r="N19" s="95">
        <f t="shared" si="14"/>
        <v>1848.6486486486792</v>
      </c>
      <c r="O19" s="96">
        <f t="shared" si="16"/>
        <v>168.05896805897083</v>
      </c>
      <c r="P19" s="97">
        <f t="shared" si="17"/>
        <v>0</v>
      </c>
      <c r="Q19" s="98">
        <f t="shared" si="10"/>
        <v>-24.668304668301886</v>
      </c>
      <c r="R19" s="99">
        <f t="shared" si="18"/>
        <v>0.8720040795512638</v>
      </c>
      <c r="S19" s="414"/>
      <c r="T19" s="19">
        <v>0.54166666666666696</v>
      </c>
      <c r="U19" s="19">
        <v>0.56736111111111098</v>
      </c>
      <c r="V19" s="30">
        <f>(T19-U18)*24*60</f>
        <v>94.000000000000313</v>
      </c>
      <c r="W19" s="149">
        <f t="shared" si="15"/>
        <v>36.999999999999389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1"/>
        <v>-271.35135135132077</v>
      </c>
      <c r="AG19" s="72">
        <f t="shared" si="12"/>
        <v>0.8720040795512638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5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9"/>
      <c r="U21" s="19"/>
      <c r="V21" s="30"/>
      <c r="W21" s="149">
        <f t="shared" si="15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5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5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5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1">AVERAGE(J16:J25)</f>
        <v>12.25</v>
      </c>
      <c r="K26" s="155">
        <f t="shared" si="21"/>
        <v>2039.25</v>
      </c>
      <c r="L26" s="158">
        <f t="shared" si="21"/>
        <v>170.46590909090909</v>
      </c>
      <c r="M26" s="155">
        <f t="shared" si="21"/>
        <v>12.25</v>
      </c>
      <c r="N26" s="155">
        <f t="shared" si="21"/>
        <v>1807.9202296564276</v>
      </c>
      <c r="O26" s="158">
        <f t="shared" si="21"/>
        <v>152.18233426540385</v>
      </c>
      <c r="P26" s="159">
        <f t="shared" ref="P26:P29" si="22">M26-J26</f>
        <v>0</v>
      </c>
      <c r="Q26" s="160">
        <f t="shared" ref="Q26:Q29" si="23">O26-L26</f>
        <v>-18.283574825505241</v>
      </c>
      <c r="R26" s="161">
        <f>O26/L26</f>
        <v>0.89274351145627218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4">N26-K26</f>
        <v>-231.32977034357236</v>
      </c>
      <c r="AG26" s="124">
        <f t="shared" ref="AG26:AG31" si="25">N26/K26</f>
        <v>0.8865613483665209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2356</v>
      </c>
      <c r="H27" s="134">
        <f>F27*G27</f>
        <v>137048.51999999999</v>
      </c>
      <c r="I27" s="135"/>
      <c r="J27" s="136">
        <f>VLOOKUP(D27,產線配置圖!$A$3:$C$38,2,0)</f>
        <v>16</v>
      </c>
      <c r="K27" s="137">
        <v>1636</v>
      </c>
      <c r="L27" s="138">
        <f t="shared" ref="L27:L29" si="26">K27/J27</f>
        <v>102.25</v>
      </c>
      <c r="M27" s="170">
        <v>13</v>
      </c>
      <c r="N27" s="140">
        <f>G27/W27*60</f>
        <v>1308.8888888888896</v>
      </c>
      <c r="O27" s="141">
        <f>N27/M27</f>
        <v>100.68376068376074</v>
      </c>
      <c r="P27" s="142">
        <f t="shared" si="22"/>
        <v>-3</v>
      </c>
      <c r="Q27" s="143">
        <f t="shared" si="23"/>
        <v>-1.5662393162392618</v>
      </c>
      <c r="R27" s="144">
        <f>O27/L27</f>
        <v>0.98468225607589965</v>
      </c>
      <c r="S27" s="413">
        <f>R37</f>
        <v>0.92979209718708611</v>
      </c>
      <c r="T27" s="171">
        <v>0.29166666666666702</v>
      </c>
      <c r="U27" s="171">
        <v>0.36666666666666697</v>
      </c>
      <c r="V27" s="135"/>
      <c r="W27" s="146">
        <f t="shared" si="15"/>
        <v>107.99999999999994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4"/>
        <v>-327.1111111111104</v>
      </c>
      <c r="AG27" s="172">
        <f t="shared" si="25"/>
        <v>0.80005433306166851</v>
      </c>
      <c r="AH27" s="382">
        <f>AG37</f>
        <v>0.74421888159511806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1918</v>
      </c>
      <c r="H28" s="91">
        <f>F28*G28</f>
        <v>94979.36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6"/>
        <v>84.705882352941174</v>
      </c>
      <c r="M28" s="94">
        <v>14</v>
      </c>
      <c r="N28" s="95">
        <f>G28/W28*60</f>
        <v>1139.4059405940582</v>
      </c>
      <c r="O28" s="96">
        <f>N28/M28</f>
        <v>81.386138613861291</v>
      </c>
      <c r="P28" s="97">
        <f t="shared" si="22"/>
        <v>-3</v>
      </c>
      <c r="Q28" s="98">
        <f t="shared" si="23"/>
        <v>-3.3197437390798825</v>
      </c>
      <c r="R28" s="99">
        <f t="shared" ref="R28:R29" si="27">O28/L28</f>
        <v>0.96080858085808474</v>
      </c>
      <c r="S28" s="414"/>
      <c r="T28" s="19">
        <v>0.37222222222222201</v>
      </c>
      <c r="U28" s="19">
        <v>0.44236111111111098</v>
      </c>
      <c r="V28" s="92">
        <f>(T28-U27)*24*60</f>
        <v>7.9999999999992522</v>
      </c>
      <c r="W28" s="149">
        <f t="shared" si="15"/>
        <v>101.00000000000011</v>
      </c>
      <c r="X28" s="174"/>
      <c r="Y28" s="301"/>
      <c r="Z28" s="335"/>
      <c r="AA28" s="335"/>
      <c r="AB28" s="388" t="s">
        <v>211</v>
      </c>
      <c r="AC28" s="388"/>
      <c r="AD28" s="92"/>
      <c r="AE28" s="92"/>
      <c r="AF28" s="311">
        <f t="shared" si="24"/>
        <v>-300.59405940594183</v>
      </c>
      <c r="AG28" s="99">
        <f t="shared" si="25"/>
        <v>0.79125412541254037</v>
      </c>
      <c r="AH28" s="383"/>
    </row>
    <row r="29" spans="1:34" ht="15" customHeight="1">
      <c r="A29" s="411"/>
      <c r="B29" s="75" t="s">
        <v>120</v>
      </c>
      <c r="C29" s="88"/>
      <c r="D29" s="59" t="s">
        <v>124</v>
      </c>
      <c r="E29" s="89"/>
      <c r="F29" s="75">
        <f>VLOOKUP(D29,廠價表!$C$1:$E$41,3,0)</f>
        <v>44.3</v>
      </c>
      <c r="G29" s="90">
        <v>1609</v>
      </c>
      <c r="H29" s="91">
        <f>F29*G29</f>
        <v>71278.7</v>
      </c>
      <c r="I29" s="92"/>
      <c r="J29" s="79">
        <f>VLOOKUP(D29,產線配置圖!$A$3:$C$38,2,0)</f>
        <v>17</v>
      </c>
      <c r="K29" s="80">
        <f>VLOOKUP(D29,產線配置圖!$A$3:$C$38,3,0)</f>
        <v>1565</v>
      </c>
      <c r="L29" s="93">
        <f t="shared" si="26"/>
        <v>92.058823529411768</v>
      </c>
      <c r="M29" s="94">
        <v>13</v>
      </c>
      <c r="N29" s="95">
        <f>G29/W29*60</f>
        <v>1005.6249999999952</v>
      </c>
      <c r="O29" s="96">
        <f>N29/M29</f>
        <v>77.355769230768857</v>
      </c>
      <c r="P29" s="97">
        <f t="shared" si="22"/>
        <v>-4</v>
      </c>
      <c r="Q29" s="98">
        <f t="shared" si="23"/>
        <v>-14.703054298642911</v>
      </c>
      <c r="R29" s="99">
        <f t="shared" si="27"/>
        <v>0.84028631113295238</v>
      </c>
      <c r="S29" s="414"/>
      <c r="T29" s="19">
        <v>0.58194444444444404</v>
      </c>
      <c r="U29" s="19">
        <v>0.64861111111111103</v>
      </c>
      <c r="V29" s="92">
        <f>(T29-U28)*24*60</f>
        <v>200.9999999999996</v>
      </c>
      <c r="W29" s="149">
        <f t="shared" si="15"/>
        <v>96.000000000000455</v>
      </c>
      <c r="X29" s="22"/>
      <c r="Y29" s="84"/>
      <c r="Z29" s="90"/>
      <c r="AA29" s="90"/>
      <c r="AB29" s="388" t="s">
        <v>212</v>
      </c>
      <c r="AC29" s="388"/>
      <c r="AD29" s="92"/>
      <c r="AE29" s="92"/>
      <c r="AF29" s="312">
        <f t="shared" si="24"/>
        <v>-559.37500000000477</v>
      </c>
      <c r="AG29" s="99">
        <f t="shared" si="25"/>
        <v>0.64257188498402251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5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4"/>
        <v>0</v>
      </c>
      <c r="AG30" s="99" t="e">
        <f t="shared" si="25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5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4"/>
        <v>0</v>
      </c>
      <c r="AG31" s="99" t="e">
        <f t="shared" si="25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5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5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5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5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5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9">AVERAGE(J27:J36)</f>
        <v>16.666666666666668</v>
      </c>
      <c r="K37" s="155">
        <f t="shared" si="29"/>
        <v>1547</v>
      </c>
      <c r="L37" s="158">
        <f t="shared" si="29"/>
        <v>93.004901960784309</v>
      </c>
      <c r="M37" s="155">
        <f t="shared" si="29"/>
        <v>13.333333333333334</v>
      </c>
      <c r="N37" s="155">
        <f t="shared" si="29"/>
        <v>1151.3066098276477</v>
      </c>
      <c r="O37" s="158">
        <f t="shared" si="29"/>
        <v>86.475222842796981</v>
      </c>
      <c r="P37" s="159">
        <f>M37-J37</f>
        <v>-3.3333333333333339</v>
      </c>
      <c r="Q37" s="160">
        <f>N37-K37</f>
        <v>-395.69339017235234</v>
      </c>
      <c r="R37" s="161">
        <f t="shared" ref="R37:R39" si="30">O37/L37</f>
        <v>0.92979209718708611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31">N37-K37</f>
        <v>-395.69339017235234</v>
      </c>
      <c r="AG37" s="124">
        <f t="shared" ref="AG37:AG41" si="32">N37/K37</f>
        <v>0.74421888159511806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2233</v>
      </c>
      <c r="H38" s="134">
        <f>F38*G38</f>
        <v>111449.03</v>
      </c>
      <c r="I38" s="135"/>
      <c r="J38" s="187">
        <f>VLOOKUP(D38,產線配置圖!$A$3:$C$38,2,0)</f>
        <v>15</v>
      </c>
      <c r="K38" s="188">
        <v>1714</v>
      </c>
      <c r="L38" s="189">
        <f t="shared" ref="L38:L39" si="33">K38/J38</f>
        <v>114.26666666666667</v>
      </c>
      <c r="M38" s="190">
        <v>15</v>
      </c>
      <c r="N38" s="140">
        <f>G38/W38*60</f>
        <v>1488.6666666666665</v>
      </c>
      <c r="O38" s="141">
        <f>N38/M38</f>
        <v>99.24444444444444</v>
      </c>
      <c r="P38" s="142">
        <f t="shared" ref="P38:P39" si="34">M38-J38</f>
        <v>0</v>
      </c>
      <c r="Q38" s="143">
        <f t="shared" ref="Q38:Q39" si="35">O38-L38</f>
        <v>-15.022222222222226</v>
      </c>
      <c r="R38" s="144">
        <f>O38/L38</f>
        <v>0.86853364449630488</v>
      </c>
      <c r="S38" s="404">
        <f>R48</f>
        <v>0.91484243575663438</v>
      </c>
      <c r="T38" s="191">
        <v>0.33333333333333298</v>
      </c>
      <c r="U38" s="191">
        <v>0.39583333333333298</v>
      </c>
      <c r="V38" s="192"/>
      <c r="W38" s="193">
        <f t="shared" si="15"/>
        <v>90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31"/>
        <v>-225.33333333333348</v>
      </c>
      <c r="AG38" s="195">
        <f t="shared" si="32"/>
        <v>0.86853364449630488</v>
      </c>
      <c r="AH38" s="398">
        <f>AG48</f>
        <v>0.8907717534950127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2745</v>
      </c>
      <c r="H39" s="91">
        <f>F39*G39</f>
        <v>121603.49999999999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3"/>
        <v>92.058823529411768</v>
      </c>
      <c r="M39" s="201">
        <v>16</v>
      </c>
      <c r="N39" s="202">
        <f>G39/W39*60</f>
        <v>1432.1739130434803</v>
      </c>
      <c r="O39" s="203">
        <f>N39/M39</f>
        <v>89.510869565217519</v>
      </c>
      <c r="P39" s="97">
        <f t="shared" si="34"/>
        <v>-1</v>
      </c>
      <c r="Q39" s="98">
        <f t="shared" si="35"/>
        <v>-2.5479539641942495</v>
      </c>
      <c r="R39" s="99">
        <f t="shared" si="30"/>
        <v>0.97232254479788993</v>
      </c>
      <c r="S39" s="405"/>
      <c r="T39" s="20">
        <v>0.40902777777777799</v>
      </c>
      <c r="U39" s="20">
        <v>0.48888888888888898</v>
      </c>
      <c r="V39" s="92">
        <f>(T39-U38)*24*60</f>
        <v>19.00000000000081</v>
      </c>
      <c r="W39" s="205">
        <f t="shared" si="15"/>
        <v>114.99999999999983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31"/>
        <v>-132.8260869565197</v>
      </c>
      <c r="AG39" s="206">
        <f t="shared" si="32"/>
        <v>0.91512710098624939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5"/>
        <v>0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31"/>
        <v>0</v>
      </c>
      <c r="AG40" s="206" t="e">
        <f t="shared" si="32"/>
        <v>#DIV/0!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5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31"/>
        <v>0</v>
      </c>
      <c r="AG41" s="206" t="e">
        <f t="shared" si="32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5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7">AVERAGE(J38:J47)</f>
        <v>16</v>
      </c>
      <c r="K48" s="155">
        <f t="shared" si="37"/>
        <v>1639.5</v>
      </c>
      <c r="L48" s="158">
        <f t="shared" si="37"/>
        <v>103.16274509803921</v>
      </c>
      <c r="M48" s="155">
        <f t="shared" si="37"/>
        <v>15.5</v>
      </c>
      <c r="N48" s="155">
        <f t="shared" si="37"/>
        <v>1460.4202898550734</v>
      </c>
      <c r="O48" s="158">
        <f t="shared" si="37"/>
        <v>94.377657004830979</v>
      </c>
      <c r="P48" s="221">
        <f>M48-J48</f>
        <v>-0.5</v>
      </c>
      <c r="Q48" s="222">
        <f>N48-K48</f>
        <v>-179.07971014492659</v>
      </c>
      <c r="R48" s="223">
        <f>O48/L48</f>
        <v>0.91484243575663438</v>
      </c>
      <c r="S48" s="380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8">N48-K48</f>
        <v>-179.07971014492659</v>
      </c>
      <c r="AG48" s="162">
        <f t="shared" ref="AG48:AG53" si="39">N48/K48</f>
        <v>0.8907717534950127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916</v>
      </c>
      <c r="H49" s="134">
        <f>F49*G49</f>
        <v>52092.92</v>
      </c>
      <c r="I49" s="135"/>
      <c r="J49" s="136">
        <f>VLOOKUP(D49,產線配置圖!$A$3:$C$38,2,0)</f>
        <v>17</v>
      </c>
      <c r="K49" s="137">
        <v>1714</v>
      </c>
      <c r="L49" s="138">
        <f t="shared" ref="L49:L52" si="40">K49/J49</f>
        <v>100.82352941176471</v>
      </c>
      <c r="M49" s="170">
        <v>15</v>
      </c>
      <c r="N49" s="140">
        <f>G49/W49*60</f>
        <v>1278.1395348837254</v>
      </c>
      <c r="O49" s="141">
        <f>N49/M49</f>
        <v>85.209302325581703</v>
      </c>
      <c r="P49" s="229">
        <f>M49-J49</f>
        <v>-2</v>
      </c>
      <c r="Q49" s="230">
        <f>O49-L49</f>
        <v>-15.614227086183007</v>
      </c>
      <c r="R49" s="52">
        <f>O49/L49</f>
        <v>0.84513310357928173</v>
      </c>
      <c r="S49" s="376">
        <f>R58</f>
        <v>0.92344439058959771</v>
      </c>
      <c r="T49" s="191">
        <v>0.29166666666666702</v>
      </c>
      <c r="U49" s="191">
        <v>0.32152777777777802</v>
      </c>
      <c r="V49" s="55"/>
      <c r="W49" s="193">
        <f t="shared" si="15"/>
        <v>42.999999999999844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8"/>
        <v>-435.86046511627455</v>
      </c>
      <c r="AG49" s="52">
        <f t="shared" si="39"/>
        <v>0.74570567962877798</v>
      </c>
      <c r="AH49" s="382">
        <f>AG58</f>
        <v>0.83491378667090965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2805</v>
      </c>
      <c r="H50" s="231">
        <f>F50*G50</f>
        <v>160474.04999999999</v>
      </c>
      <c r="I50" s="232"/>
      <c r="J50" s="79">
        <v>15</v>
      </c>
      <c r="K50" s="80">
        <v>1636</v>
      </c>
      <c r="L50" s="81">
        <f t="shared" si="40"/>
        <v>109.06666666666666</v>
      </c>
      <c r="M50" s="233">
        <v>15</v>
      </c>
      <c r="N50" s="234">
        <f>G50/W50*60</f>
        <v>1426.2711864406685</v>
      </c>
      <c r="O50" s="235">
        <f>N50/M50</f>
        <v>95.084745762711236</v>
      </c>
      <c r="P50" s="74">
        <f>M50-J50</f>
        <v>0</v>
      </c>
      <c r="Q50" s="83">
        <f>O50-L50</f>
        <v>-13.981920903955427</v>
      </c>
      <c r="R50" s="72">
        <f>O50/L50</f>
        <v>0.87180390369234018</v>
      </c>
      <c r="S50" s="377"/>
      <c r="T50" s="21">
        <v>0.328472222222222</v>
      </c>
      <c r="U50" s="21">
        <v>0.41041666666666698</v>
      </c>
      <c r="V50" s="30">
        <f t="shared" ref="V50:V52" si="41">(T50-U49)*24*60</f>
        <v>9.999999999999325</v>
      </c>
      <c r="W50" s="236">
        <f t="shared" si="15"/>
        <v>118.00000000000078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8"/>
        <v>-209.72881355933146</v>
      </c>
      <c r="AG50" s="72">
        <f t="shared" si="39"/>
        <v>0.87180390369234018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2213</v>
      </c>
      <c r="H51" s="231">
        <f>F51*G51</f>
        <v>110583.61</v>
      </c>
      <c r="I51" s="232"/>
      <c r="J51" s="79">
        <f>VLOOKUP(D51,產線配置圖!$A$3:$C$38,2,0)</f>
        <v>16</v>
      </c>
      <c r="K51" s="80">
        <v>1800</v>
      </c>
      <c r="L51" s="81">
        <f t="shared" si="40"/>
        <v>112.5</v>
      </c>
      <c r="M51" s="233">
        <v>14</v>
      </c>
      <c r="N51" s="234">
        <f>G51/W51*60</f>
        <v>1562.1176470588453</v>
      </c>
      <c r="O51" s="235">
        <f>N51/M51</f>
        <v>111.57983193277467</v>
      </c>
      <c r="P51" s="74">
        <f>M51-J51</f>
        <v>-2</v>
      </c>
      <c r="Q51" s="83">
        <f>O51-L51</f>
        <v>-0.92016806722533317</v>
      </c>
      <c r="R51" s="72">
        <f>O51/L51</f>
        <v>0.99182072829133039</v>
      </c>
      <c r="S51" s="377"/>
      <c r="T51" s="21">
        <v>0.41666666666666702</v>
      </c>
      <c r="U51" s="19">
        <v>0.47569444444444398</v>
      </c>
      <c r="V51" s="30">
        <f t="shared" si="41"/>
        <v>9.000000000000048</v>
      </c>
      <c r="W51" s="236">
        <f t="shared" si="15"/>
        <v>84.99999999999882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8"/>
        <v>-237.88235294115475</v>
      </c>
      <c r="AG51" s="72">
        <f t="shared" si="39"/>
        <v>0.86784313725491402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2509</v>
      </c>
      <c r="H52" s="231">
        <f>F52*G52</f>
        <v>125374.73</v>
      </c>
      <c r="I52" s="232"/>
      <c r="J52" s="79">
        <f>VLOOKUP(D52,產線配置圖!$A$3:$C$38,2,0)</f>
        <v>16</v>
      </c>
      <c r="K52" s="80">
        <v>1800</v>
      </c>
      <c r="L52" s="81">
        <f t="shared" si="40"/>
        <v>112.5</v>
      </c>
      <c r="M52" s="233">
        <v>14</v>
      </c>
      <c r="N52" s="234">
        <f>G52/W52*60</f>
        <v>1536.1224489795823</v>
      </c>
      <c r="O52" s="235">
        <f>N52/M52</f>
        <v>109.72303206997016</v>
      </c>
      <c r="P52" s="74">
        <f>M52-J52</f>
        <v>-2</v>
      </c>
      <c r="Q52" s="83">
        <f>O52-L52</f>
        <v>-2.7769679300298407</v>
      </c>
      <c r="R52" s="72">
        <f>O52/L52</f>
        <v>0.97531584062195698</v>
      </c>
      <c r="S52" s="377"/>
      <c r="T52" s="21">
        <v>0.53472222222222199</v>
      </c>
      <c r="U52" s="21">
        <v>0.60277777777777797</v>
      </c>
      <c r="V52" s="30">
        <f t="shared" si="41"/>
        <v>85.000000000000341</v>
      </c>
      <c r="W52" s="236">
        <f t="shared" si="15"/>
        <v>98.000000000000611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8"/>
        <v>-263.87755102041774</v>
      </c>
      <c r="AG52" s="72">
        <f t="shared" si="39"/>
        <v>0.85340136054421234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5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8"/>
        <v>0</v>
      </c>
      <c r="AG53" s="72" t="e">
        <f t="shared" si="39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5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5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5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5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2">AVERAGE(J49:J57)</f>
        <v>16</v>
      </c>
      <c r="K58" s="120">
        <f t="shared" si="42"/>
        <v>1737.5</v>
      </c>
      <c r="L58" s="117">
        <f t="shared" si="42"/>
        <v>108.72254901960784</v>
      </c>
      <c r="M58" s="120">
        <f t="shared" si="42"/>
        <v>14.5</v>
      </c>
      <c r="N58" s="120">
        <f t="shared" si="42"/>
        <v>1450.6627043407054</v>
      </c>
      <c r="O58" s="117">
        <f t="shared" si="42"/>
        <v>100.39922802275943</v>
      </c>
      <c r="P58" s="121">
        <f>M58-J58</f>
        <v>-1.5</v>
      </c>
      <c r="Q58" s="122">
        <f>N58-K58</f>
        <v>-286.83729565929457</v>
      </c>
      <c r="R58" s="123">
        <f t="shared" ref="R58:R62" si="43">O58/L58</f>
        <v>0.92344439058959771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4">N58-K58</f>
        <v>-286.83729565929457</v>
      </c>
      <c r="AG58" s="124">
        <f t="shared" ref="AG58:AG61" si="45">N58/K58</f>
        <v>0.83491378667090965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3201</v>
      </c>
      <c r="H59" s="243">
        <f>F59*G59</f>
        <v>86394.989999999991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2" si="46">K59/J59</f>
        <v>120.38461538461539</v>
      </c>
      <c r="M59" s="244">
        <v>12</v>
      </c>
      <c r="N59" s="137">
        <f t="shared" ref="N59:N62" si="47">G59/W59*60</f>
        <v>1371.8571428571463</v>
      </c>
      <c r="O59" s="138">
        <f t="shared" ref="O59:O62" si="48">N59/M59</f>
        <v>114.32142857142885</v>
      </c>
      <c r="P59" s="56">
        <f t="shared" ref="P59:P62" si="49">M59-J59</f>
        <v>-1</v>
      </c>
      <c r="Q59" s="230">
        <f t="shared" ref="Q59:Q62" si="50">O59-L59</f>
        <v>-6.0631868131865332</v>
      </c>
      <c r="R59" s="52">
        <f t="shared" si="43"/>
        <v>0.94963486992241219</v>
      </c>
      <c r="S59" s="376">
        <f>R69</f>
        <v>0.8904159164666392</v>
      </c>
      <c r="T59" s="245">
        <v>0.29166666666666702</v>
      </c>
      <c r="U59" s="245">
        <v>0.38888888888888901</v>
      </c>
      <c r="V59" s="55"/>
      <c r="W59" s="54">
        <f t="shared" si="15"/>
        <v>139.99999999999966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4"/>
        <v>-193.1428571428537</v>
      </c>
      <c r="AG59" s="246">
        <f t="shared" si="45"/>
        <v>0.87658603377453437</v>
      </c>
      <c r="AH59" s="382">
        <f>AG69</f>
        <v>0.87828741156645973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1462</v>
      </c>
      <c r="H60" s="78">
        <f>F60*G60</f>
        <v>41316.120000000003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6"/>
        <v>130.41666666666666</v>
      </c>
      <c r="M60" s="82">
        <v>12</v>
      </c>
      <c r="N60" s="80">
        <f t="shared" si="47"/>
        <v>1512.413793103439</v>
      </c>
      <c r="O60" s="81">
        <f t="shared" si="48"/>
        <v>126.03448275861992</v>
      </c>
      <c r="P60" s="74">
        <f t="shared" si="49"/>
        <v>0</v>
      </c>
      <c r="Q60" s="83">
        <f t="shared" si="50"/>
        <v>-4.3821839080467413</v>
      </c>
      <c r="R60" s="72">
        <f t="shared" si="43"/>
        <v>0.96639858984245308</v>
      </c>
      <c r="S60" s="394"/>
      <c r="T60" s="22">
        <v>0.39583333333333298</v>
      </c>
      <c r="U60" s="22">
        <v>0.43611111111111101</v>
      </c>
      <c r="V60" s="30">
        <f t="shared" ref="V60:V62" si="51">(T60-U59)*24*60</f>
        <v>9.999999999999325</v>
      </c>
      <c r="W60" s="248">
        <f t="shared" si="15"/>
        <v>58.000000000000355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4"/>
        <v>-52.586206896560952</v>
      </c>
      <c r="AG60" s="249">
        <f t="shared" si="45"/>
        <v>0.96639858984245308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75">
        <f>VLOOKUP(D61,廠價表!$C$1:$E$41,3,0)</f>
        <v>28.26</v>
      </c>
      <c r="G61" s="38">
        <v>983</v>
      </c>
      <c r="H61" s="78">
        <f>F61*G61</f>
        <v>27779.58</v>
      </c>
      <c r="I61" s="30"/>
      <c r="J61" s="79">
        <f>VLOOKUP(D61,產線配置圖!$A$3:$C$38,2,0)</f>
        <v>12</v>
      </c>
      <c r="K61" s="80">
        <f>VLOOKUP(D61,產線配置圖!$A$3:$C$38,3,0)</f>
        <v>1565</v>
      </c>
      <c r="L61" s="81">
        <f t="shared" si="46"/>
        <v>130.41666666666666</v>
      </c>
      <c r="M61" s="108">
        <v>12</v>
      </c>
      <c r="N61" s="80">
        <f t="shared" si="47"/>
        <v>1310.6666666666667</v>
      </c>
      <c r="O61" s="81">
        <f t="shared" si="48"/>
        <v>109.22222222222223</v>
      </c>
      <c r="P61" s="74">
        <f t="shared" si="49"/>
        <v>0</v>
      </c>
      <c r="Q61" s="83">
        <f t="shared" si="50"/>
        <v>-21.194444444444429</v>
      </c>
      <c r="R61" s="72">
        <f t="shared" si="43"/>
        <v>0.83748668796592129</v>
      </c>
      <c r="S61" s="377"/>
      <c r="T61" s="22">
        <v>0.44444444444444398</v>
      </c>
      <c r="U61" s="22">
        <v>0.47569444444444398</v>
      </c>
      <c r="V61" s="30">
        <f t="shared" si="51"/>
        <v>11.999999999999478</v>
      </c>
      <c r="W61" s="256">
        <f t="shared" si="15"/>
        <v>45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44"/>
        <v>-254.33333333333326</v>
      </c>
      <c r="AG61" s="247">
        <f t="shared" si="45"/>
        <v>0.83748668796592129</v>
      </c>
      <c r="AH61" s="384"/>
    </row>
    <row r="62" spans="1:34" ht="15" customHeight="1">
      <c r="A62" s="392"/>
      <c r="B62" s="75" t="s">
        <v>128</v>
      </c>
      <c r="C62" s="76"/>
      <c r="D62" s="175" t="s">
        <v>138</v>
      </c>
      <c r="E62" s="77"/>
      <c r="F62" s="75">
        <f>VLOOKUP(D62,廠價表!$C$1:$E$41,3,0)</f>
        <v>28.26</v>
      </c>
      <c r="G62" s="30">
        <v>2731</v>
      </c>
      <c r="H62" s="78">
        <f>F62*G62</f>
        <v>77178.06</v>
      </c>
      <c r="I62" s="30"/>
      <c r="J62" s="79">
        <f>VLOOKUP(D62,產線配置圖!$A$3:$C$38,2,0)</f>
        <v>9</v>
      </c>
      <c r="K62" s="80">
        <f>VLOOKUP(D62,產線配置圖!$A$3:$C$38,3,0)</f>
        <v>1636</v>
      </c>
      <c r="L62" s="81">
        <f t="shared" si="46"/>
        <v>181.77777777777777</v>
      </c>
      <c r="M62" s="82">
        <v>9</v>
      </c>
      <c r="N62" s="80">
        <f t="shared" si="47"/>
        <v>1365.5000000000048</v>
      </c>
      <c r="O62" s="81">
        <f t="shared" si="48"/>
        <v>151.72222222222274</v>
      </c>
      <c r="P62" s="74">
        <f t="shared" si="49"/>
        <v>0</v>
      </c>
      <c r="Q62" s="83">
        <f t="shared" si="50"/>
        <v>-30.055555555555031</v>
      </c>
      <c r="R62" s="72">
        <f t="shared" si="43"/>
        <v>0.83465770171149434</v>
      </c>
      <c r="S62" s="377"/>
      <c r="T62" s="22">
        <v>0.54166666666666696</v>
      </c>
      <c r="U62" s="22">
        <v>0.625</v>
      </c>
      <c r="V62" s="30">
        <f t="shared" si="51"/>
        <v>95.000000000001108</v>
      </c>
      <c r="W62" s="248">
        <f t="shared" si="15"/>
        <v>119.99999999999957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-270.49999999999523</v>
      </c>
      <c r="AG62" s="247">
        <f>N62/K62</f>
        <v>0.83465770171149434</v>
      </c>
      <c r="AH62" s="384"/>
    </row>
    <row r="63" spans="1:34" ht="15" customHeight="1">
      <c r="A63" s="39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77"/>
      <c r="T63" s="22"/>
      <c r="U63" s="22"/>
      <c r="V63" s="30"/>
      <c r="W63" s="248">
        <f t="shared" si="15"/>
        <v>0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5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250"/>
      <c r="C65" s="251"/>
      <c r="D65" s="252"/>
      <c r="E65" s="253"/>
      <c r="F65" s="250"/>
      <c r="G65" s="38"/>
      <c r="H65" s="254"/>
      <c r="I65" s="182"/>
      <c r="J65" s="106"/>
      <c r="K65" s="107"/>
      <c r="L65" s="238"/>
      <c r="M65" s="108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5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2"/>
      <c r="U66" s="22"/>
      <c r="V66" s="30"/>
      <c r="W66" s="73">
        <f t="shared" si="15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5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5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2">AVERAGE(J59:J68)</f>
        <v>11.5</v>
      </c>
      <c r="K69" s="240">
        <f t="shared" si="52"/>
        <v>1582.75</v>
      </c>
      <c r="L69" s="268">
        <f t="shared" si="52"/>
        <v>140.74893162393164</v>
      </c>
      <c r="M69" s="240">
        <f t="shared" si="52"/>
        <v>11.25</v>
      </c>
      <c r="N69" s="240">
        <f t="shared" si="52"/>
        <v>1390.1094006568142</v>
      </c>
      <c r="O69" s="268">
        <f t="shared" si="52"/>
        <v>125.32508894362343</v>
      </c>
      <c r="P69" s="269">
        <f>M69-J69</f>
        <v>-0.25</v>
      </c>
      <c r="Q69" s="222">
        <f>N69-K69</f>
        <v>-192.64059934318584</v>
      </c>
      <c r="R69" s="123">
        <f>O69/L69</f>
        <v>0.8904159164666392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-192.64059934318584</v>
      </c>
      <c r="AG69" s="124">
        <f>N69/K69</f>
        <v>0.87828741156645973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2109</v>
      </c>
      <c r="H70" s="243">
        <f>F70*G70</f>
        <v>106863.03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1331.9999999999836</v>
      </c>
      <c r="O70" s="138">
        <f>N70/M70</f>
        <v>102.4615384615372</v>
      </c>
      <c r="P70" s="56">
        <f>M70-J70</f>
        <v>0</v>
      </c>
      <c r="Q70" s="230">
        <f>O70-L70</f>
        <v>-8.3076923076935714</v>
      </c>
      <c r="R70" s="52">
        <f>O70/L70</f>
        <v>0.92499999999998861</v>
      </c>
      <c r="S70" s="376">
        <f>R79</f>
        <v>0.86410972607860426</v>
      </c>
      <c r="T70" s="245">
        <v>0.33333333333333298</v>
      </c>
      <c r="U70" s="245">
        <v>0.39930555555555602</v>
      </c>
      <c r="V70" s="55"/>
      <c r="W70" s="54">
        <f t="shared" si="15"/>
        <v>95.00000000000118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-108.00000000001637</v>
      </c>
      <c r="AG70" s="246">
        <f>N70/K70</f>
        <v>0.92499999999998861</v>
      </c>
      <c r="AH70" s="382">
        <f>AG79</f>
        <v>0.81897633893872002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75">
        <f>VLOOKUP(D71,廠價表!$C$1:$E$41,3,0)</f>
        <v>56.43</v>
      </c>
      <c r="G71" s="30">
        <v>966</v>
      </c>
      <c r="H71" s="78">
        <f>F71*G71</f>
        <v>54511.38</v>
      </c>
      <c r="I71" s="30"/>
      <c r="J71" s="79">
        <f>VLOOKUP(D71,產線配置圖!$A$3:$C$38,2,0)</f>
        <v>16</v>
      </c>
      <c r="K71" s="80">
        <f>VLOOKUP(D71,產線配置圖!$A$3:$C$38,3,0)</f>
        <v>1406</v>
      </c>
      <c r="L71" s="81">
        <f t="shared" ref="L71:L72" si="53">K71/J71</f>
        <v>87.875</v>
      </c>
      <c r="M71" s="82">
        <v>13</v>
      </c>
      <c r="N71" s="80">
        <f t="shared" ref="N71:N72" si="54">G71/W71*60</f>
        <v>982.37288135591302</v>
      </c>
      <c r="O71" s="81">
        <f t="shared" ref="O71:O72" si="55">N71/M71</f>
        <v>75.567144719685615</v>
      </c>
      <c r="P71" s="74">
        <f t="shared" ref="P71:P72" si="56">M71-J71</f>
        <v>-3</v>
      </c>
      <c r="Q71" s="83">
        <f t="shared" ref="Q71:Q72" si="57">O71-L71</f>
        <v>-12.307855280314385</v>
      </c>
      <c r="R71" s="72">
        <f t="shared" ref="R71:R72" si="58">O71/L71</f>
        <v>0.85993905797650771</v>
      </c>
      <c r="S71" s="377"/>
      <c r="T71" s="22">
        <v>0.406944444444444</v>
      </c>
      <c r="U71" s="22">
        <v>0.44791666666666702</v>
      </c>
      <c r="V71" s="30">
        <f t="shared" ref="V71:V72" si="59">(T71-U70)*24*60</f>
        <v>10.999999999998682</v>
      </c>
      <c r="W71" s="73">
        <f t="shared" si="15"/>
        <v>59.000000000001151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75">
        <f>VLOOKUP(D72,廠價表!$C$1:$E$41,3,0)</f>
        <v>28.26</v>
      </c>
      <c r="G72" s="202">
        <v>972</v>
      </c>
      <c r="H72" s="78">
        <f>F72*G72</f>
        <v>27468.720000000001</v>
      </c>
      <c r="I72" s="30"/>
      <c r="J72" s="79">
        <f>VLOOKUP(D72,產線配置圖!$A$3:$C$38,2,0)</f>
        <v>9</v>
      </c>
      <c r="K72" s="80">
        <f>VLOOKUP(D72,產線配置圖!$A$3:$C$38,3,0)</f>
        <v>1636</v>
      </c>
      <c r="L72" s="81">
        <f t="shared" si="53"/>
        <v>181.77777777777777</v>
      </c>
      <c r="M72" s="82">
        <v>9</v>
      </c>
      <c r="N72" s="80">
        <f t="shared" si="54"/>
        <v>1356.2790697674468</v>
      </c>
      <c r="O72" s="81">
        <f t="shared" si="55"/>
        <v>150.6976744186052</v>
      </c>
      <c r="P72" s="74">
        <f t="shared" si="56"/>
        <v>0</v>
      </c>
      <c r="Q72" s="83">
        <f t="shared" si="57"/>
        <v>-31.080103359172568</v>
      </c>
      <c r="R72" s="72">
        <f t="shared" si="58"/>
        <v>0.82902143628817049</v>
      </c>
      <c r="S72" s="377"/>
      <c r="T72" s="22">
        <v>0.45486111111111099</v>
      </c>
      <c r="U72" s="22">
        <v>0.484722222222222</v>
      </c>
      <c r="V72" s="30">
        <f t="shared" si="59"/>
        <v>9.999999999999325</v>
      </c>
      <c r="W72" s="73">
        <f t="shared" si="15"/>
        <v>42.999999999999844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250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5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5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5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5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5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5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1">AVERAGE(J70:J78)</f>
        <v>12.666666666666666</v>
      </c>
      <c r="K79" s="240">
        <f t="shared" si="61"/>
        <v>1494</v>
      </c>
      <c r="L79" s="268">
        <f t="shared" si="61"/>
        <v>126.80733618233619</v>
      </c>
      <c r="M79" s="240">
        <f t="shared" si="61"/>
        <v>11.666666666666666</v>
      </c>
      <c r="N79" s="240">
        <f t="shared" si="61"/>
        <v>1223.5506503744477</v>
      </c>
      <c r="O79" s="268">
        <f t="shared" si="61"/>
        <v>109.57545253327601</v>
      </c>
      <c r="P79" s="269">
        <f>M79-J79</f>
        <v>-1</v>
      </c>
      <c r="Q79" s="222">
        <f>N79-K79</f>
        <v>-270.44934962555226</v>
      </c>
      <c r="R79" s="223">
        <f>O79/L79</f>
        <v>0.86410972607860426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-270.44934962555226</v>
      </c>
      <c r="AG79" s="124">
        <f>N79/K79</f>
        <v>0.81897633893872002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5:A15"/>
    <mergeCell ref="S5:S15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B22:AC22"/>
    <mergeCell ref="AB23:AC23"/>
    <mergeCell ref="AB24:AC24"/>
    <mergeCell ref="AB25:AC2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H3:AH4"/>
    <mergeCell ref="S3:S4"/>
    <mergeCell ref="P3:P4"/>
    <mergeCell ref="Q3:Q4"/>
    <mergeCell ref="R3:R4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  <mergeCell ref="M3:M4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C80805-47B5-4093-A03A-D803289B3967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66D9-05F4-47FF-9201-886A3B31623A}">
  <dimension ref="B1:O26"/>
  <sheetViews>
    <sheetView topLeftCell="A2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46109</v>
      </c>
      <c r="E3" s="466"/>
      <c r="F3" s="3" t="s">
        <v>72</v>
      </c>
      <c r="G3" s="467">
        <f>'0328'!E1</f>
        <v>52737</v>
      </c>
      <c r="H3" s="467"/>
      <c r="I3" s="3" t="s">
        <v>2</v>
      </c>
      <c r="J3" s="468">
        <f>'0328'!G1</f>
        <v>2476994.5500000003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125.25783282077398</v>
      </c>
      <c r="G6" s="473"/>
      <c r="H6" s="474">
        <f>AVERAGE(D13:H13,J13)</f>
        <v>121.30835481511951</v>
      </c>
      <c r="I6" s="474"/>
      <c r="J6" s="474">
        <f>AVERAGE(I13)</f>
        <v>148.95470085470089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115.49660070903981</v>
      </c>
      <c r="G7" s="497"/>
      <c r="H7" s="498">
        <f>AVERAGE(D14:H14,J14)</f>
        <v>113.85146704845067</v>
      </c>
      <c r="I7" s="498"/>
      <c r="J7" s="498">
        <f>AVERAGE(I14)</f>
        <v>125.36740267257464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0.92207088457532949</v>
      </c>
      <c r="G8" s="470"/>
      <c r="H8" s="470">
        <f>H7/H6</f>
        <v>0.93852947904508688</v>
      </c>
      <c r="I8" s="470"/>
      <c r="J8" s="470">
        <f>J7/J6</f>
        <v>0.84164784295639872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VALUE('0328'!L15)</f>
        <v>156.46153846153845</v>
      </c>
      <c r="E13" s="13">
        <f>VALUE('0328'!L26)</f>
        <v>163.0151515151515</v>
      </c>
      <c r="F13" s="13">
        <f>VALUE('0328'!L37)</f>
        <v>93.47794117647058</v>
      </c>
      <c r="G13" s="13">
        <f>VALUE('0328'!L48)</f>
        <v>103.16274509803921</v>
      </c>
      <c r="H13" s="13">
        <f>VALUE('0328'!L58)</f>
        <v>105.38980392156864</v>
      </c>
      <c r="I13" s="13">
        <f>VALUE('0328'!L69)</f>
        <v>148.95470085470089</v>
      </c>
      <c r="J13" s="13">
        <f>'0328'!L79</f>
        <v>106.34294871794873</v>
      </c>
    </row>
    <row r="14" spans="2:15" ht="39.950000000000003" customHeight="1">
      <c r="B14" s="491"/>
      <c r="C14" s="12" t="s">
        <v>100</v>
      </c>
      <c r="D14" s="13">
        <f>VALUE('0328'!O15)</f>
        <v>154.98620268620246</v>
      </c>
      <c r="E14" s="13">
        <f>VALUE('0328'!O26)</f>
        <v>158.26203862524665</v>
      </c>
      <c r="F14" s="13">
        <f>VALUE('0328'!O37)</f>
        <v>87.239898132427641</v>
      </c>
      <c r="G14" s="13">
        <f>VALUE('0328'!O48)</f>
        <v>90.135863095237525</v>
      </c>
      <c r="H14" s="13">
        <f>VALUE('0328'!O58)</f>
        <v>98.473466910988506</v>
      </c>
      <c r="I14" s="13">
        <f>VALUE('0328'!O69)</f>
        <v>125.36740267257464</v>
      </c>
      <c r="J14" s="13">
        <f>'0328'!O79</f>
        <v>94.011332840601298</v>
      </c>
    </row>
    <row r="15" spans="2:15" ht="39.950000000000003" customHeight="1">
      <c r="B15" s="492"/>
      <c r="C15" s="10" t="s">
        <v>26</v>
      </c>
      <c r="D15" s="14">
        <f>D14/D13</f>
        <v>0.99057061697179549</v>
      </c>
      <c r="E15" s="14">
        <f t="shared" ref="E15:I15" si="1">E14/E13</f>
        <v>0.97084250852925735</v>
      </c>
      <c r="F15" s="14">
        <f t="shared" si="1"/>
        <v>0.93326721828129944</v>
      </c>
      <c r="G15" s="14">
        <f t="shared" si="1"/>
        <v>0.87372493829607023</v>
      </c>
      <c r="H15" s="14">
        <f t="shared" si="1"/>
        <v>0.93437375577881054</v>
      </c>
      <c r="I15" s="14">
        <f t="shared" si="1"/>
        <v>0.84164784295639872</v>
      </c>
      <c r="J15" s="15">
        <f>'0328'!S70</f>
        <v>0.88403917677650323</v>
      </c>
    </row>
    <row r="16" spans="2:15" ht="17.25" customHeight="1">
      <c r="B16" s="493" t="s">
        <v>101</v>
      </c>
      <c r="C16" s="10" t="s">
        <v>34</v>
      </c>
      <c r="D16" s="16">
        <f>'0328'!T5</f>
        <v>0.29166666666666702</v>
      </c>
      <c r="E16" s="16">
        <f>'0328'!T16</f>
        <v>0.29027777777777802</v>
      </c>
      <c r="F16" s="16">
        <f>'0328'!T27</f>
        <v>0.29166666666666702</v>
      </c>
      <c r="G16" s="16">
        <f>'0328'!T38</f>
        <v>0.33333333333333298</v>
      </c>
      <c r="H16" s="16">
        <f>'0328'!T49</f>
        <v>0.29166666666666702</v>
      </c>
      <c r="I16" s="16">
        <f>'0328'!T59</f>
        <v>0.29166666666666702</v>
      </c>
      <c r="J16" s="16">
        <f>'0328'!T70</f>
        <v>0.33333333333333298</v>
      </c>
    </row>
    <row r="17" spans="2:10" ht="17.25" customHeight="1">
      <c r="B17" s="494"/>
      <c r="C17" s="10" t="s">
        <v>35</v>
      </c>
      <c r="D17" s="16">
        <v>0.47916666666666702</v>
      </c>
      <c r="E17" s="19">
        <v>0.49375000000000002</v>
      </c>
      <c r="F17" s="19">
        <v>0.44930555555555601</v>
      </c>
      <c r="G17" s="20">
        <v>0.49791666666666701</v>
      </c>
      <c r="H17" s="21">
        <v>0.66319444444444398</v>
      </c>
      <c r="I17" s="22">
        <v>0.63194444444444398</v>
      </c>
      <c r="J17" s="22">
        <v>0.64722222222222203</v>
      </c>
    </row>
    <row r="18" spans="2:10" ht="17.25" customHeight="1">
      <c r="B18" s="495" t="s">
        <v>102</v>
      </c>
      <c r="C18" s="330" t="s">
        <v>36</v>
      </c>
      <c r="D18" s="358">
        <f>'0328'!Z15</f>
        <v>0</v>
      </c>
      <c r="E18" s="359">
        <f>'0328'!Z26</f>
        <v>0</v>
      </c>
      <c r="F18" s="359">
        <f>'0328'!Z37</f>
        <v>0</v>
      </c>
      <c r="G18" s="360">
        <f>'0328'!Z48</f>
        <v>0</v>
      </c>
      <c r="H18" s="360">
        <f>'0328'!Z58</f>
        <v>0</v>
      </c>
      <c r="I18" s="359">
        <f>'0328'!Z69</f>
        <v>0</v>
      </c>
      <c r="J18" s="359">
        <f>'0328'!AA79</f>
        <v>0</v>
      </c>
    </row>
    <row r="19" spans="2:10" ht="17.25" customHeight="1">
      <c r="B19" s="496"/>
      <c r="C19" s="330" t="s">
        <v>37</v>
      </c>
      <c r="D19" s="358">
        <f>'0328'!AA15</f>
        <v>0</v>
      </c>
      <c r="E19" s="359">
        <f>'0328'!AA26</f>
        <v>0</v>
      </c>
      <c r="F19" s="359">
        <f>'0328'!AA37</f>
        <v>0</v>
      </c>
      <c r="G19" s="360">
        <f>'0328'!AA48</f>
        <v>0</v>
      </c>
      <c r="H19" s="360">
        <f>'0328'!AA58</f>
        <v>0</v>
      </c>
      <c r="I19" s="359">
        <f>'0328'!AA69</f>
        <v>0</v>
      </c>
      <c r="J19" s="359">
        <f>'0328'!AB79</f>
        <v>0</v>
      </c>
    </row>
    <row r="20" spans="2:10" ht="17.25" customHeight="1">
      <c r="B20" s="495" t="s">
        <v>103</v>
      </c>
      <c r="C20" s="330" t="s">
        <v>36</v>
      </c>
      <c r="D20" s="358">
        <f>'0328'!AD15</f>
        <v>0</v>
      </c>
      <c r="E20" s="359">
        <f>'0328'!AD26</f>
        <v>0</v>
      </c>
      <c r="F20" s="359">
        <f>'0328'!AD37</f>
        <v>0</v>
      </c>
      <c r="G20" s="360">
        <f>'0328'!AD48</f>
        <v>0</v>
      </c>
      <c r="H20" s="360">
        <f>'0328'!AD58</f>
        <v>0</v>
      </c>
      <c r="I20" s="359">
        <f>'0328'!AD69</f>
        <v>0</v>
      </c>
      <c r="J20" s="359">
        <f>'0328'!AD79</f>
        <v>0</v>
      </c>
    </row>
    <row r="21" spans="2:10" ht="17.25" customHeight="1">
      <c r="B21" s="496"/>
      <c r="C21" s="330" t="s">
        <v>85</v>
      </c>
      <c r="D21" s="358">
        <f>'0328'!AE15</f>
        <v>0</v>
      </c>
      <c r="E21" s="359">
        <f>'0328'!AE26</f>
        <v>0</v>
      </c>
      <c r="F21" s="359">
        <f>'0328'!AE37</f>
        <v>0</v>
      </c>
      <c r="G21" s="360">
        <f>'0328'!AE48</f>
        <v>0</v>
      </c>
      <c r="H21" s="360">
        <f>'0328'!AE58</f>
        <v>0</v>
      </c>
      <c r="I21" s="359">
        <f>'0328'!AE69</f>
        <v>0</v>
      </c>
      <c r="J21" s="359">
        <f>'0328'!AE79</f>
        <v>0</v>
      </c>
    </row>
    <row r="22" spans="2:10" ht="17.25" customHeight="1">
      <c r="B22" s="479" t="s">
        <v>104</v>
      </c>
      <c r="C22" s="480"/>
      <c r="D22" s="23">
        <f>VALUE('0328'!M15)</f>
        <v>13.5</v>
      </c>
      <c r="E22" s="23">
        <f>VALUE('0328'!M26)</f>
        <v>12.666666666666666</v>
      </c>
      <c r="F22" s="23">
        <f>VALUE('0328'!M37)</f>
        <v>15</v>
      </c>
      <c r="G22" s="23">
        <f>VALUE('0328'!M48)</f>
        <v>15.5</v>
      </c>
      <c r="H22" s="23">
        <f>VALUE('0328'!M58)</f>
        <v>16.2</v>
      </c>
      <c r="I22" s="23">
        <f>VALUE('0328'!M69)</f>
        <v>11</v>
      </c>
      <c r="J22" s="23">
        <f>'0328'!M79</f>
        <v>12.666666666666666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C0A3-6A25-4FBE-BDD8-FB7EA691C9D5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AB61" sqref="AB61:AC61"/>
      <selection pane="topRight" activeCell="AB61" sqref="AB61:AC61"/>
      <selection pane="bottomLeft" activeCell="AB61" sqref="AB61:AC61"/>
      <selection pane="bottom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52737</v>
      </c>
      <c r="F1" s="30" t="s">
        <v>2</v>
      </c>
      <c r="G1" s="31">
        <f>SUM(H5:H79)</f>
        <v>2476994.5500000003</v>
      </c>
      <c r="H1" s="32" t="s">
        <v>3</v>
      </c>
      <c r="I1" s="33">
        <f>M15+M26+M48+M58+M69+M79+M37</f>
        <v>96.533333333333331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228</v>
      </c>
      <c r="B2" s="447"/>
      <c r="C2" s="28"/>
      <c r="D2" s="28" t="s">
        <v>14</v>
      </c>
      <c r="E2" s="35">
        <f>AVERAGE(O15,O26,O37,O48,O58,O69,O79)</f>
        <v>115.49660070903981</v>
      </c>
      <c r="F2" s="36" t="s">
        <v>15</v>
      </c>
      <c r="G2" s="37">
        <f>G1/E1</f>
        <v>46.968817907730823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3770</v>
      </c>
      <c r="H5" s="43">
        <f>F5*G5</f>
        <v>215681.7</v>
      </c>
      <c r="I5" s="44"/>
      <c r="J5" s="45">
        <v>14</v>
      </c>
      <c r="K5" s="46">
        <v>2100</v>
      </c>
      <c r="L5" s="47">
        <f t="shared" ref="L5:L6" si="0">K5/J5</f>
        <v>150</v>
      </c>
      <c r="M5" s="48">
        <v>14</v>
      </c>
      <c r="N5" s="46">
        <f t="shared" ref="N5:N6" si="1">G5/W5*60</f>
        <v>2094.4444444444457</v>
      </c>
      <c r="O5" s="47">
        <f t="shared" ref="O5:O6" si="2">N5/M5</f>
        <v>149.60317460317469</v>
      </c>
      <c r="P5" s="49">
        <f t="shared" ref="P5:P6" si="3">M5-J5</f>
        <v>0</v>
      </c>
      <c r="Q5" s="50">
        <f t="shared" ref="Q5:Q6" si="4">O5-L5</f>
        <v>-0.3968253968253066</v>
      </c>
      <c r="R5" s="51">
        <f t="shared" ref="R5:R6" si="5">O5/L5</f>
        <v>0.99735449735449799</v>
      </c>
      <c r="S5" s="376">
        <f>R15</f>
        <v>0.99057061697179549</v>
      </c>
      <c r="T5" s="319">
        <v>0.29166666666666702</v>
      </c>
      <c r="U5" s="320">
        <v>0.36666666666666697</v>
      </c>
      <c r="V5" s="53"/>
      <c r="W5" s="54">
        <f t="shared" ref="W5:W14" si="6">(U5-T5)*24*60</f>
        <v>107.99999999999994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-5.5555555555542924</v>
      </c>
      <c r="AG5" s="52">
        <f t="shared" ref="AG5:AG11" si="8">N5/K5</f>
        <v>0.99735449735449799</v>
      </c>
      <c r="AH5" s="382">
        <f>AG15</f>
        <v>0.99081186449607372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5212</v>
      </c>
      <c r="H6" s="63">
        <f>F6*G6</f>
        <v>256117.68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2084.7999999999929</v>
      </c>
      <c r="O6" s="67">
        <f t="shared" si="2"/>
        <v>160.36923076923023</v>
      </c>
      <c r="P6" s="69">
        <f t="shared" si="3"/>
        <v>0</v>
      </c>
      <c r="Q6" s="70">
        <f t="shared" si="4"/>
        <v>-2.5538461538467061</v>
      </c>
      <c r="R6" s="71">
        <f t="shared" si="5"/>
        <v>0.98432483474976051</v>
      </c>
      <c r="S6" s="377"/>
      <c r="T6" s="16">
        <v>0.375</v>
      </c>
      <c r="U6" s="16">
        <v>0.47916666666666702</v>
      </c>
      <c r="V6" s="30">
        <f>(T6-U5)*24*60</f>
        <v>11.999999999999558</v>
      </c>
      <c r="W6" s="73">
        <f t="shared" si="6"/>
        <v>150.00000000000051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-33.200000000007094</v>
      </c>
      <c r="AG6" s="72">
        <f t="shared" si="8"/>
        <v>0.98432483474976062</v>
      </c>
      <c r="AH6" s="384"/>
    </row>
    <row r="7" spans="1:34" ht="15" customHeight="1">
      <c r="A7" s="423"/>
      <c r="B7" s="75" t="s">
        <v>189</v>
      </c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77"/>
      <c r="T7" s="18"/>
      <c r="U7" s="18"/>
      <c r="V7" s="30"/>
      <c r="W7" s="73">
        <f t="shared" si="6"/>
        <v>0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0</v>
      </c>
      <c r="AG7" s="72" t="e">
        <f t="shared" si="8"/>
        <v>#DIV/0!</v>
      </c>
      <c r="AH7" s="384"/>
    </row>
    <row r="8" spans="1:34" ht="15" customHeight="1">
      <c r="A8" s="423"/>
      <c r="B8" s="75" t="s">
        <v>189</v>
      </c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13.5</v>
      </c>
      <c r="K15" s="120">
        <f t="shared" si="9"/>
        <v>2109</v>
      </c>
      <c r="L15" s="117">
        <f t="shared" si="9"/>
        <v>156.46153846153845</v>
      </c>
      <c r="M15" s="120">
        <f t="shared" si="9"/>
        <v>13.5</v>
      </c>
      <c r="N15" s="120">
        <f t="shared" si="9"/>
        <v>2089.6222222222195</v>
      </c>
      <c r="O15" s="117">
        <f t="shared" si="9"/>
        <v>154.98620268620246</v>
      </c>
      <c r="P15" s="121">
        <f t="shared" ref="P15:P18" si="10">M15-J15</f>
        <v>0</v>
      </c>
      <c r="Q15" s="122">
        <f t="shared" ref="Q15:Q18" si="11">O15-L15</f>
        <v>-1.4753357753359921</v>
      </c>
      <c r="R15" s="123">
        <f t="shared" ref="R15:R18" si="12">O15/L15</f>
        <v>0.99057061697179549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-19.377777777780466</v>
      </c>
      <c r="AG15" s="124">
        <f t="shared" ref="AG15:AG19" si="14">N15/K15</f>
        <v>0.99081186449607372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902</v>
      </c>
      <c r="H16" s="134">
        <f>F16*G16</f>
        <v>50764.56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8" si="15">K16/J16</f>
        <v>120</v>
      </c>
      <c r="M16" s="139">
        <v>15</v>
      </c>
      <c r="N16" s="140">
        <f t="shared" ref="N16:N18" si="16">G16/W16*60</f>
        <v>1691.2500000000186</v>
      </c>
      <c r="O16" s="141">
        <f>N16/M16</f>
        <v>112.75000000000124</v>
      </c>
      <c r="P16" s="142">
        <f>M16-J16</f>
        <v>0</v>
      </c>
      <c r="Q16" s="143">
        <f t="shared" si="11"/>
        <v>-7.2499999999987637</v>
      </c>
      <c r="R16" s="144">
        <f>O16/L16</f>
        <v>0.93958333333334365</v>
      </c>
      <c r="S16" s="413">
        <f>R26</f>
        <v>0.97084250852925735</v>
      </c>
      <c r="T16" s="145">
        <v>0.29027777777777802</v>
      </c>
      <c r="U16" s="145">
        <v>0.3125</v>
      </c>
      <c r="V16" s="135"/>
      <c r="W16" s="146">
        <f t="shared" ref="W16:W78" si="17">(U16-T16)*24*60</f>
        <v>31.999999999999645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-108.74999999998136</v>
      </c>
      <c r="AG16" s="52">
        <f t="shared" si="14"/>
        <v>0.93958333333334365</v>
      </c>
      <c r="AH16" s="382">
        <f>AG26</f>
        <v>0.96873415343022584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3681</v>
      </c>
      <c r="H17" s="78">
        <f>F17*G17</f>
        <v>186516.27000000002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2083.5849056603802</v>
      </c>
      <c r="O17" s="96">
        <f t="shared" ref="O17:O18" si="18">N17/M17</f>
        <v>173.63207547169836</v>
      </c>
      <c r="P17" s="97">
        <f t="shared" si="10"/>
        <v>0</v>
      </c>
      <c r="Q17" s="98">
        <f t="shared" si="11"/>
        <v>-2.8679245283016428</v>
      </c>
      <c r="R17" s="99">
        <f t="shared" si="12"/>
        <v>0.98375113581698781</v>
      </c>
      <c r="S17" s="414"/>
      <c r="T17" s="19">
        <v>0.31805555555555598</v>
      </c>
      <c r="U17" s="19">
        <v>0.391666666666667</v>
      </c>
      <c r="V17" s="30">
        <f>(T17-U16)*24*60</f>
        <v>8.0000000000006111</v>
      </c>
      <c r="W17" s="149">
        <f t="shared" si="17"/>
        <v>105.99999999999986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-34.415094339619827</v>
      </c>
      <c r="AG17" s="72">
        <f t="shared" si="14"/>
        <v>0.98375113581698781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4663</v>
      </c>
      <c r="H18" s="78">
        <f>F18*G18</f>
        <v>234968.57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2072.4444444444443</v>
      </c>
      <c r="O18" s="96">
        <f t="shared" si="18"/>
        <v>188.40404040404039</v>
      </c>
      <c r="P18" s="97">
        <f t="shared" si="10"/>
        <v>0</v>
      </c>
      <c r="Q18" s="98">
        <f t="shared" si="11"/>
        <v>-4.1414141414141454</v>
      </c>
      <c r="R18" s="99">
        <f t="shared" si="12"/>
        <v>0.97849123911446856</v>
      </c>
      <c r="S18" s="414"/>
      <c r="T18" s="19">
        <v>0.4</v>
      </c>
      <c r="U18" s="19">
        <v>0.49375000000000002</v>
      </c>
      <c r="V18" s="30">
        <f>(T18-U17)*24*60</f>
        <v>11.999999999999558</v>
      </c>
      <c r="W18" s="149">
        <f t="shared" si="17"/>
        <v>135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-45.555555555555657</v>
      </c>
      <c r="AG18" s="72">
        <f t="shared" si="14"/>
        <v>0.97849123911446856</v>
      </c>
      <c r="AH18" s="384"/>
    </row>
    <row r="19" spans="1:34" ht="15" customHeight="1">
      <c r="A19" s="419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14"/>
      <c r="T19" s="19"/>
      <c r="U19" s="19"/>
      <c r="V19" s="30"/>
      <c r="W19" s="149">
        <f t="shared" si="17"/>
        <v>0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0</v>
      </c>
      <c r="AG19" s="72" t="e">
        <f t="shared" si="14"/>
        <v>#DIV/0!</v>
      </c>
      <c r="AH19" s="385"/>
    </row>
    <row r="20" spans="1:34" ht="15" customHeight="1">
      <c r="A20" s="419"/>
      <c r="B20" s="75" t="s">
        <v>189</v>
      </c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12.666666666666666</v>
      </c>
      <c r="K26" s="155">
        <f t="shared" si="20"/>
        <v>2012</v>
      </c>
      <c r="L26" s="158">
        <f t="shared" si="20"/>
        <v>163.0151515151515</v>
      </c>
      <c r="M26" s="155">
        <f t="shared" si="20"/>
        <v>12.666666666666666</v>
      </c>
      <c r="N26" s="155">
        <f t="shared" si="20"/>
        <v>1949.0931167016145</v>
      </c>
      <c r="O26" s="158">
        <f t="shared" si="20"/>
        <v>158.26203862524665</v>
      </c>
      <c r="P26" s="159">
        <f t="shared" ref="P26:P28" si="21">M26-J26</f>
        <v>0</v>
      </c>
      <c r="Q26" s="160">
        <f t="shared" ref="Q26:Q28" si="22">O26-L26</f>
        <v>-4.7531128899048554</v>
      </c>
      <c r="R26" s="161">
        <f>O26/L26</f>
        <v>0.97084250852925735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-62.906883298385537</v>
      </c>
      <c r="AG26" s="124">
        <f t="shared" ref="AG26:AG31" si="24">N26/K26</f>
        <v>0.96873415343022584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2427</v>
      </c>
      <c r="H27" s="134">
        <f>F27*G27</f>
        <v>141178.59</v>
      </c>
      <c r="I27" s="135"/>
      <c r="J27" s="136">
        <f>VLOOKUP(D27,產線配置圖!$A$3:$C$38,2,0)</f>
        <v>16</v>
      </c>
      <c r="K27" s="137">
        <v>1636</v>
      </c>
      <c r="L27" s="138">
        <f t="shared" ref="L27:L28" si="25">K27/J27</f>
        <v>102.25</v>
      </c>
      <c r="M27" s="170">
        <v>15</v>
      </c>
      <c r="N27" s="140">
        <f>G27/W27*60</f>
        <v>1532.8421052631634</v>
      </c>
      <c r="O27" s="141">
        <f>N27/M27</f>
        <v>102.1894736842109</v>
      </c>
      <c r="P27" s="142">
        <f t="shared" si="21"/>
        <v>-1</v>
      </c>
      <c r="Q27" s="143">
        <f t="shared" si="22"/>
        <v>-6.0526315789104501E-2</v>
      </c>
      <c r="R27" s="144">
        <f>O27/L27</f>
        <v>0.99940805559130463</v>
      </c>
      <c r="S27" s="413">
        <f>R37</f>
        <v>0.93326721828129944</v>
      </c>
      <c r="T27" s="171">
        <v>0.29166666666666702</v>
      </c>
      <c r="U27" s="171">
        <v>0.35763888888888901</v>
      </c>
      <c r="V27" s="135"/>
      <c r="W27" s="146">
        <f t="shared" si="17"/>
        <v>94.999999999999659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-103.15789473683662</v>
      </c>
      <c r="AG27" s="172">
        <f t="shared" si="24"/>
        <v>0.93694505211684798</v>
      </c>
      <c r="AH27" s="382">
        <f>AG37</f>
        <v>0.85084426006919023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2241</v>
      </c>
      <c r="H28" s="91">
        <f>F28*G28</f>
        <v>110974.32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15</v>
      </c>
      <c r="N28" s="95">
        <f>G28/W28*60</f>
        <v>1084.3548387096657</v>
      </c>
      <c r="O28" s="96">
        <f>N28/M28</f>
        <v>72.290322580644386</v>
      </c>
      <c r="P28" s="97">
        <f t="shared" si="21"/>
        <v>-2</v>
      </c>
      <c r="Q28" s="98">
        <f t="shared" si="22"/>
        <v>-12.415559772296788</v>
      </c>
      <c r="R28" s="99">
        <f>O28/L28</f>
        <v>0.85342741935482958</v>
      </c>
      <c r="S28" s="414"/>
      <c r="T28" s="19">
        <v>0.36319444444444399</v>
      </c>
      <c r="U28" s="19">
        <v>0.44930555555555601</v>
      </c>
      <c r="V28" s="92">
        <f>(T28-U27)*24*60</f>
        <v>7.9999999999991722</v>
      </c>
      <c r="W28" s="149">
        <f t="shared" si="17"/>
        <v>124.00000000000132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-355.64516129033427</v>
      </c>
      <c r="AG28" s="99">
        <f t="shared" si="24"/>
        <v>0.75302419354837902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1538</v>
      </c>
      <c r="L37" s="158">
        <f t="shared" si="27"/>
        <v>93.47794117647058</v>
      </c>
      <c r="M37" s="155">
        <f t="shared" si="27"/>
        <v>15</v>
      </c>
      <c r="N37" s="155">
        <f t="shared" si="27"/>
        <v>1308.5984719864146</v>
      </c>
      <c r="O37" s="158">
        <f t="shared" si="27"/>
        <v>87.239898132427641</v>
      </c>
      <c r="P37" s="159">
        <f>M37-J37</f>
        <v>-1.5</v>
      </c>
      <c r="Q37" s="160">
        <f>N37-K37</f>
        <v>-229.40152801358545</v>
      </c>
      <c r="R37" s="161">
        <f t="shared" ref="R37:R39" si="28">O37/L37</f>
        <v>0.93326721828129944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-229.40152801358545</v>
      </c>
      <c r="AG37" s="124">
        <f t="shared" ref="AG37:AG41" si="30">N37/K37</f>
        <v>0.85084426006919023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2441</v>
      </c>
      <c r="H38" s="134">
        <f>F38*G38</f>
        <v>121830.31</v>
      </c>
      <c r="I38" s="135"/>
      <c r="J38" s="187">
        <f>VLOOKUP(D38,產線配置圖!$A$3:$C$38,2,0)</f>
        <v>15</v>
      </c>
      <c r="K38" s="188">
        <v>1714</v>
      </c>
      <c r="L38" s="189">
        <f t="shared" ref="L38:L39" si="31">K38/J38</f>
        <v>114.26666666666667</v>
      </c>
      <c r="M38" s="190">
        <v>15</v>
      </c>
      <c r="N38" s="140">
        <f>G38/W38*60</f>
        <v>1394.8571428571361</v>
      </c>
      <c r="O38" s="141">
        <f>N38/M38</f>
        <v>92.990476190475732</v>
      </c>
      <c r="P38" s="142">
        <f t="shared" ref="P38:P39" si="32">M38-J38</f>
        <v>0</v>
      </c>
      <c r="Q38" s="143">
        <f t="shared" ref="Q38:Q39" si="33">O38-L38</f>
        <v>-21.276190476190934</v>
      </c>
      <c r="R38" s="144">
        <f>O38/L38</f>
        <v>0.81380230038339318</v>
      </c>
      <c r="S38" s="404">
        <f>R48</f>
        <v>0.87372493829607023</v>
      </c>
      <c r="T38" s="191">
        <v>0.33333333333333298</v>
      </c>
      <c r="U38" s="191">
        <v>0.40625</v>
      </c>
      <c r="V38" s="192"/>
      <c r="W38" s="193">
        <f t="shared" si="17"/>
        <v>105.00000000000051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-319.14285714286393</v>
      </c>
      <c r="AG38" s="195">
        <f t="shared" si="30"/>
        <v>0.8138023003833933</v>
      </c>
      <c r="AH38" s="398">
        <f>AG48</f>
        <v>0.85128305668103843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2793</v>
      </c>
      <c r="H39" s="91">
        <f>F39*G39</f>
        <v>123729.9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16</v>
      </c>
      <c r="N39" s="202">
        <f>G39/W39*60</f>
        <v>1396.4999999999891</v>
      </c>
      <c r="O39" s="203">
        <f>N39/M39</f>
        <v>87.281249999999318</v>
      </c>
      <c r="P39" s="97">
        <f t="shared" si="32"/>
        <v>-1</v>
      </c>
      <c r="Q39" s="98">
        <f t="shared" si="33"/>
        <v>-4.7775735294124502</v>
      </c>
      <c r="R39" s="99">
        <f t="shared" si="28"/>
        <v>0.94810303514376248</v>
      </c>
      <c r="S39" s="405"/>
      <c r="T39" s="20">
        <v>0.41458333333333303</v>
      </c>
      <c r="U39" s="20">
        <v>0.49791666666666701</v>
      </c>
      <c r="V39" s="92">
        <f>(T39-U38)*24*60</f>
        <v>11.999999999999558</v>
      </c>
      <c r="W39" s="205">
        <f t="shared" si="17"/>
        <v>120.00000000000094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-168.50000000001091</v>
      </c>
      <c r="AG39" s="206">
        <f t="shared" si="30"/>
        <v>0.89233226837060009</v>
      </c>
      <c r="AH39" s="399"/>
    </row>
    <row r="40" spans="1:34" ht="15" customHeight="1">
      <c r="A40" s="40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77"/>
      <c r="T40" s="20"/>
      <c r="U40" s="20"/>
      <c r="V40" s="92"/>
      <c r="W40" s="205">
        <f t="shared" si="17"/>
        <v>0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0</v>
      </c>
      <c r="AG40" s="206" t="e">
        <f t="shared" si="30"/>
        <v>#DIV/0!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4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4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4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4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5">AVERAGE(J38:J47)</f>
        <v>16</v>
      </c>
      <c r="K48" s="155">
        <f t="shared" si="35"/>
        <v>1639.5</v>
      </c>
      <c r="L48" s="158">
        <f t="shared" si="35"/>
        <v>103.16274509803921</v>
      </c>
      <c r="M48" s="155">
        <f t="shared" si="35"/>
        <v>15.5</v>
      </c>
      <c r="N48" s="155">
        <f t="shared" si="35"/>
        <v>1395.6785714285625</v>
      </c>
      <c r="O48" s="158">
        <f t="shared" si="35"/>
        <v>90.135863095237525</v>
      </c>
      <c r="P48" s="221">
        <f>M48-J48</f>
        <v>-0.5</v>
      </c>
      <c r="Q48" s="222">
        <f>N48-K48</f>
        <v>-243.82142857143754</v>
      </c>
      <c r="R48" s="223">
        <f>O48/L48</f>
        <v>0.87372493829607023</v>
      </c>
      <c r="S48" s="380"/>
      <c r="T48" s="224"/>
      <c r="U48" s="224"/>
      <c r="V48" s="225"/>
      <c r="W48" s="226">
        <f t="shared" si="34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6">N48-K48</f>
        <v>-243.82142857143754</v>
      </c>
      <c r="AG48" s="162">
        <f t="shared" ref="AG48:AG53" si="37">N48/K48</f>
        <v>0.85128305668103843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VLOOKUP(D49,廠價表!$C$1:$E$41,3,0)</f>
        <v>56.87</v>
      </c>
      <c r="G49" s="228">
        <v>1194</v>
      </c>
      <c r="H49" s="134">
        <f>F49*G49</f>
        <v>67902.78</v>
      </c>
      <c r="I49" s="135"/>
      <c r="J49" s="136">
        <f>VLOOKUP(D49,產線配置圖!$A$3:$C$38,2,0)</f>
        <v>17</v>
      </c>
      <c r="K49" s="137">
        <v>1714</v>
      </c>
      <c r="L49" s="138">
        <f t="shared" ref="L49:L53" si="38">K49/J49</f>
        <v>100.82352941176471</v>
      </c>
      <c r="M49" s="170">
        <v>17</v>
      </c>
      <c r="N49" s="140">
        <f>G49/W49*60</f>
        <v>1705.7142857143244</v>
      </c>
      <c r="O49" s="141">
        <f>N49/M49</f>
        <v>100.33613445378379</v>
      </c>
      <c r="P49" s="229">
        <f>M49-J49</f>
        <v>0</v>
      </c>
      <c r="Q49" s="230">
        <f>O49-L49</f>
        <v>-0.48739495798092491</v>
      </c>
      <c r="R49" s="52">
        <f>O49/L49</f>
        <v>0.995165860976852</v>
      </c>
      <c r="S49" s="376">
        <f>R58</f>
        <v>0.93437375577881054</v>
      </c>
      <c r="T49" s="191">
        <v>0.29166666666666702</v>
      </c>
      <c r="U49" s="191">
        <v>0.32083333333333303</v>
      </c>
      <c r="V49" s="55"/>
      <c r="W49" s="193">
        <f t="shared" si="17"/>
        <v>41.999999999999048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6"/>
        <v>-8.2857142856755672</v>
      </c>
      <c r="AG49" s="52">
        <f t="shared" si="37"/>
        <v>0.99516586097685211</v>
      </c>
      <c r="AH49" s="382">
        <f>AG58</f>
        <v>0.9358073144097192</v>
      </c>
    </row>
    <row r="50" spans="1:34" ht="15" customHeight="1">
      <c r="A50" s="396"/>
      <c r="B50" s="75" t="s">
        <v>81</v>
      </c>
      <c r="C50" s="76"/>
      <c r="D50" s="59" t="s">
        <v>113</v>
      </c>
      <c r="E50" s="77"/>
      <c r="F50" s="75">
        <f>VLOOKUP(D50,廠價表!$C$1:$E$41,3,0)</f>
        <v>57.21</v>
      </c>
      <c r="G50" s="202">
        <v>2963</v>
      </c>
      <c r="H50" s="231">
        <f>F50*G50</f>
        <v>169513.23</v>
      </c>
      <c r="I50" s="232"/>
      <c r="J50" s="79">
        <v>15</v>
      </c>
      <c r="K50" s="80">
        <v>1636</v>
      </c>
      <c r="L50" s="81">
        <f t="shared" si="38"/>
        <v>109.06666666666666</v>
      </c>
      <c r="M50" s="233">
        <v>15</v>
      </c>
      <c r="N50" s="234">
        <f>G50/W50*60</f>
        <v>1493.949579831931</v>
      </c>
      <c r="O50" s="235">
        <f>N50/M50</f>
        <v>99.596638655462073</v>
      </c>
      <c r="P50" s="74">
        <f>M50-J50</f>
        <v>0</v>
      </c>
      <c r="Q50" s="83">
        <f>O50-L50</f>
        <v>-9.4700280112045903</v>
      </c>
      <c r="R50" s="72">
        <f>O50/L50</f>
        <v>0.9131721148116938</v>
      </c>
      <c r="S50" s="377"/>
      <c r="T50" s="21">
        <v>0.328472222222222</v>
      </c>
      <c r="U50" s="21">
        <v>0.41111111111111098</v>
      </c>
      <c r="V50" s="30">
        <f t="shared" ref="V50:V53" si="39">(T50-U49)*24*60</f>
        <v>11.000000000000121</v>
      </c>
      <c r="W50" s="236">
        <f t="shared" si="17"/>
        <v>119.00000000000014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6"/>
        <v>-142.05042016806897</v>
      </c>
      <c r="AG50" s="72">
        <f t="shared" si="37"/>
        <v>0.9131721148116938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2840</v>
      </c>
      <c r="H51" s="231">
        <f>F51*G51</f>
        <v>141914.79999999999</v>
      </c>
      <c r="I51" s="232"/>
      <c r="J51" s="79">
        <f>VLOOKUP(D51,產線配置圖!$A$3:$C$38,2,0)</f>
        <v>16</v>
      </c>
      <c r="K51" s="80">
        <v>1800</v>
      </c>
      <c r="L51" s="81">
        <f t="shared" si="38"/>
        <v>112.5</v>
      </c>
      <c r="M51" s="233">
        <v>16</v>
      </c>
      <c r="N51" s="234">
        <f>G51/W51*60</f>
        <v>1738.7755102040962</v>
      </c>
      <c r="O51" s="235">
        <f>N51/M51</f>
        <v>108.67346938775601</v>
      </c>
      <c r="P51" s="74">
        <f>M51-J51</f>
        <v>0</v>
      </c>
      <c r="Q51" s="83">
        <f>O51-L51</f>
        <v>-3.8265306122439853</v>
      </c>
      <c r="R51" s="72">
        <f>O51/L51</f>
        <v>0.9659863945578312</v>
      </c>
      <c r="S51" s="377"/>
      <c r="T51" s="21">
        <v>0.41805555555555601</v>
      </c>
      <c r="U51" s="19">
        <v>0.48611111111111099</v>
      </c>
      <c r="V51" s="30">
        <f t="shared" si="39"/>
        <v>10.000000000000844</v>
      </c>
      <c r="W51" s="236">
        <f t="shared" si="17"/>
        <v>97.999999999999176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6"/>
        <v>-61.224489795903764</v>
      </c>
      <c r="AG51" s="72">
        <f t="shared" si="37"/>
        <v>0.9659863945578312</v>
      </c>
      <c r="AH51" s="384"/>
    </row>
    <row r="52" spans="1:34" ht="15" customHeight="1">
      <c r="A52" s="396"/>
      <c r="B52" s="75" t="s">
        <v>81</v>
      </c>
      <c r="C52" s="86"/>
      <c r="D52" s="59" t="s">
        <v>127</v>
      </c>
      <c r="E52" s="87"/>
      <c r="F52" s="75">
        <f>VLOOKUP(D52,廠價表!$C$1:$E$41,3,0)</f>
        <v>49.97</v>
      </c>
      <c r="G52" s="202">
        <v>2055</v>
      </c>
      <c r="H52" s="231">
        <f t="shared" ref="H52:H53" si="40">F52*G52</f>
        <v>102688.34999999999</v>
      </c>
      <c r="I52" s="232"/>
      <c r="J52" s="79">
        <f>VLOOKUP(D52,產線配置圖!$A$3:$C$38,2,0)</f>
        <v>16</v>
      </c>
      <c r="K52" s="80">
        <v>1800</v>
      </c>
      <c r="L52" s="81">
        <f t="shared" si="38"/>
        <v>112.5</v>
      </c>
      <c r="M52" s="233">
        <v>16</v>
      </c>
      <c r="N52" s="234">
        <f t="shared" ref="N52:N53" si="41">G52/W52*60</f>
        <v>1503.6585365853771</v>
      </c>
      <c r="O52" s="235">
        <f t="shared" ref="O52:O53" si="42">N52/M52</f>
        <v>93.978658536586067</v>
      </c>
      <c r="P52" s="74">
        <f t="shared" ref="P52:P53" si="43">M52-J52</f>
        <v>0</v>
      </c>
      <c r="Q52" s="83">
        <f t="shared" ref="Q52:Q53" si="44">O52-L52</f>
        <v>-18.521341463413933</v>
      </c>
      <c r="R52" s="72">
        <f t="shared" ref="R52:R53" si="45">O52/L52</f>
        <v>0.83536585365854277</v>
      </c>
      <c r="S52" s="377"/>
      <c r="T52" s="21">
        <v>0.54513888888888895</v>
      </c>
      <c r="U52" s="21">
        <v>0.60208333333333297</v>
      </c>
      <c r="V52" s="30">
        <f t="shared" si="39"/>
        <v>85.000000000000256</v>
      </c>
      <c r="W52" s="236">
        <f t="shared" si="17"/>
        <v>81.999999999999389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6"/>
        <v>-296.34146341462292</v>
      </c>
      <c r="AG52" s="72">
        <f t="shared" si="37"/>
        <v>0.83536585365854277</v>
      </c>
      <c r="AH52" s="384"/>
    </row>
    <row r="53" spans="1:34" ht="15" customHeight="1">
      <c r="A53" s="396"/>
      <c r="B53" s="101" t="s">
        <v>120</v>
      </c>
      <c r="C53" s="102"/>
      <c r="D53" s="103" t="s">
        <v>124</v>
      </c>
      <c r="E53" s="104"/>
      <c r="F53" s="75">
        <f>VLOOKUP(D53,廠價表!$C$1:$E$41,3,0)</f>
        <v>44.3</v>
      </c>
      <c r="G53" s="202">
        <v>1857</v>
      </c>
      <c r="H53" s="231">
        <f t="shared" si="40"/>
        <v>82265.099999999991</v>
      </c>
      <c r="I53" s="232"/>
      <c r="J53" s="79">
        <f>VLOOKUP(D53,產線配置圖!$A$3:$C$38,2,0)</f>
        <v>17</v>
      </c>
      <c r="K53" s="95">
        <f>VLOOKUP(D53,產線配置圖!$A$3:$C$38,3,0)</f>
        <v>1565</v>
      </c>
      <c r="L53" s="81">
        <f t="shared" si="38"/>
        <v>92.058823529411768</v>
      </c>
      <c r="M53" s="108">
        <v>17</v>
      </c>
      <c r="N53" s="234">
        <f t="shared" si="41"/>
        <v>1526.3013698630291</v>
      </c>
      <c r="O53" s="235">
        <f t="shared" si="42"/>
        <v>89.782433521354648</v>
      </c>
      <c r="P53" s="74">
        <f t="shared" si="43"/>
        <v>0</v>
      </c>
      <c r="Q53" s="83">
        <f t="shared" si="44"/>
        <v>-2.2763900080571204</v>
      </c>
      <c r="R53" s="72">
        <f t="shared" si="45"/>
        <v>0.97527244080704723</v>
      </c>
      <c r="S53" s="377"/>
      <c r="T53" s="21">
        <v>0.61250000000000004</v>
      </c>
      <c r="U53" s="21">
        <v>0.66319444444444398</v>
      </c>
      <c r="V53" s="30">
        <f t="shared" si="39"/>
        <v>15.000000000000586</v>
      </c>
      <c r="W53" s="236">
        <f t="shared" si="17"/>
        <v>72.999999999999261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6"/>
        <v>-38.698630136970905</v>
      </c>
      <c r="AG53" s="72">
        <f t="shared" si="37"/>
        <v>0.97527244080704734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6">AVERAGE(J49:J57)</f>
        <v>16.2</v>
      </c>
      <c r="K58" s="120">
        <f t="shared" si="46"/>
        <v>1703</v>
      </c>
      <c r="L58" s="117">
        <f t="shared" si="46"/>
        <v>105.38980392156864</v>
      </c>
      <c r="M58" s="120">
        <f t="shared" si="46"/>
        <v>16.2</v>
      </c>
      <c r="N58" s="120">
        <f t="shared" si="46"/>
        <v>1593.6798564397518</v>
      </c>
      <c r="O58" s="117">
        <f t="shared" si="46"/>
        <v>98.473466910988506</v>
      </c>
      <c r="P58" s="121">
        <f>M58-J58</f>
        <v>0</v>
      </c>
      <c r="Q58" s="122">
        <f>N58-K58</f>
        <v>-109.3201435602482</v>
      </c>
      <c r="R58" s="123">
        <f t="shared" ref="R58:R60" si="47">O58/L58</f>
        <v>0.93437375577881054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8">N58-K58</f>
        <v>-109.3201435602482</v>
      </c>
      <c r="AG58" s="124">
        <f t="shared" ref="AG58:AG61" si="49">N58/K58</f>
        <v>0.9358073144097192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1820</v>
      </c>
      <c r="H59" s="243">
        <f>F59*G59</f>
        <v>49121.799999999996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50">K59/J59</f>
        <v>120.38461538461539</v>
      </c>
      <c r="M59" s="244">
        <v>13</v>
      </c>
      <c r="N59" s="137">
        <f t="shared" ref="N59:N63" si="51">G59/W59*60</f>
        <v>1495.8904109589175</v>
      </c>
      <c r="O59" s="138">
        <f t="shared" ref="O59:O63" si="52">N59/M59</f>
        <v>115.06849315068597</v>
      </c>
      <c r="P59" s="56">
        <f t="shared" ref="P59:P63" si="53">M59-J59</f>
        <v>0</v>
      </c>
      <c r="Q59" s="230">
        <f t="shared" ref="Q59:Q63" si="54">O59-L59</f>
        <v>-5.3161222339294198</v>
      </c>
      <c r="R59" s="52">
        <f t="shared" si="47"/>
        <v>0.9558405181846118</v>
      </c>
      <c r="S59" s="376">
        <f>R69</f>
        <v>0.84164784295639872</v>
      </c>
      <c r="T59" s="245">
        <v>0.29166666666666702</v>
      </c>
      <c r="U59" s="245">
        <v>0.34236111111111101</v>
      </c>
      <c r="V59" s="55"/>
      <c r="W59" s="54">
        <f t="shared" si="17"/>
        <v>72.999999999999346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8"/>
        <v>-69.109589041082472</v>
      </c>
      <c r="AG59" s="246">
        <f t="shared" si="49"/>
        <v>0.9558405181846118</v>
      </c>
      <c r="AH59" s="382">
        <f>AG69</f>
        <v>0.84083479795698934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1637</v>
      </c>
      <c r="H60" s="78">
        <f>F60*G60</f>
        <v>46261.62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50"/>
        <v>130.41666666666666</v>
      </c>
      <c r="M60" s="82">
        <v>12</v>
      </c>
      <c r="N60" s="80">
        <f t="shared" si="51"/>
        <v>1403.1428571428605</v>
      </c>
      <c r="O60" s="81">
        <f t="shared" si="52"/>
        <v>116.92857142857171</v>
      </c>
      <c r="P60" s="74">
        <f t="shared" si="53"/>
        <v>0</v>
      </c>
      <c r="Q60" s="83">
        <f t="shared" si="54"/>
        <v>-13.488095238094942</v>
      </c>
      <c r="R60" s="72">
        <f t="shared" si="47"/>
        <v>0.89657690552259472</v>
      </c>
      <c r="S60" s="394"/>
      <c r="T60" s="22">
        <v>0.35416666666666702</v>
      </c>
      <c r="U60" s="22">
        <v>0.40277777777777801</v>
      </c>
      <c r="V60" s="30">
        <f t="shared" ref="V60:V63" si="55">(T60-U59)*24*60</f>
        <v>17.000000000000661</v>
      </c>
      <c r="W60" s="248">
        <f t="shared" si="17"/>
        <v>69.999999999999829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8"/>
        <v>-161.85714285713948</v>
      </c>
      <c r="AG60" s="249">
        <f t="shared" si="49"/>
        <v>0.89657690552259461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1166</v>
      </c>
      <c r="H61" s="254">
        <f>F61*G61</f>
        <v>32951.160000000003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50"/>
        <v>130.41666666666666</v>
      </c>
      <c r="M61" s="108">
        <v>12</v>
      </c>
      <c r="N61" s="107">
        <f t="shared" si="51"/>
        <v>985.35211267606758</v>
      </c>
      <c r="O61" s="238">
        <f t="shared" si="52"/>
        <v>82.112676056338969</v>
      </c>
      <c r="P61" s="111">
        <f t="shared" si="53"/>
        <v>0</v>
      </c>
      <c r="Q61" s="255">
        <f t="shared" si="54"/>
        <v>-48.303990610327688</v>
      </c>
      <c r="R61" s="85">
        <f>O61/L61</f>
        <v>0.62961796337128928</v>
      </c>
      <c r="S61" s="377"/>
      <c r="T61" s="22">
        <v>0.40763888888888899</v>
      </c>
      <c r="U61" s="22">
        <v>0.45694444444444399</v>
      </c>
      <c r="V61" s="30">
        <f t="shared" si="55"/>
        <v>6.9999999999998153</v>
      </c>
      <c r="W61" s="256">
        <f t="shared" si="17"/>
        <v>70.99999999999919</v>
      </c>
      <c r="X61" s="22"/>
      <c r="Y61" s="84"/>
      <c r="Z61" s="90"/>
      <c r="AA61" s="90"/>
      <c r="AB61" s="388" t="s">
        <v>201</v>
      </c>
      <c r="AC61" s="388"/>
      <c r="AD61" s="92"/>
      <c r="AE61" s="92"/>
      <c r="AF61" s="317">
        <f t="shared" si="48"/>
        <v>-579.64788732393242</v>
      </c>
      <c r="AG61" s="247">
        <f t="shared" si="49"/>
        <v>0.62961796337128917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1340</v>
      </c>
      <c r="H62" s="254">
        <f t="shared" ref="H62:H63" si="56">F62*G62</f>
        <v>37868.400000000001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50"/>
        <v>181.77777777777777</v>
      </c>
      <c r="M62" s="108">
        <v>9</v>
      </c>
      <c r="N62" s="107">
        <f t="shared" si="51"/>
        <v>1461.8181818181997</v>
      </c>
      <c r="O62" s="238">
        <f t="shared" si="52"/>
        <v>162.42424242424443</v>
      </c>
      <c r="P62" s="111">
        <f t="shared" si="53"/>
        <v>0</v>
      </c>
      <c r="Q62" s="255">
        <f t="shared" si="54"/>
        <v>-19.353535353533346</v>
      </c>
      <c r="R62" s="85">
        <f t="shared" ref="R62:R63" si="57">O62/L62</f>
        <v>0.89353189597689475</v>
      </c>
      <c r="S62" s="377"/>
      <c r="T62" s="22">
        <v>0.46180555555555602</v>
      </c>
      <c r="U62" s="22">
        <v>0.5</v>
      </c>
      <c r="V62" s="30">
        <f t="shared" si="55"/>
        <v>7.000000000001334</v>
      </c>
      <c r="W62" s="248">
        <f t="shared" si="17"/>
        <v>54.999999999999325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-174.18181818180028</v>
      </c>
      <c r="AG62" s="247">
        <f>N62/K62</f>
        <v>0.89353189597689464</v>
      </c>
      <c r="AH62" s="384"/>
    </row>
    <row r="63" spans="1:34" ht="15" customHeight="1">
      <c r="A63" s="392"/>
      <c r="B63" s="75" t="s">
        <v>128</v>
      </c>
      <c r="C63" s="76"/>
      <c r="D63" s="175" t="s">
        <v>138</v>
      </c>
      <c r="E63" s="77"/>
      <c r="F63" s="250">
        <f>VLOOKUP(D63,廠價表!$C$1:$E$41,3,0)</f>
        <v>28.26</v>
      </c>
      <c r="G63" s="30">
        <v>2480</v>
      </c>
      <c r="H63" s="254">
        <f t="shared" si="56"/>
        <v>70084.800000000003</v>
      </c>
      <c r="I63" s="182"/>
      <c r="J63" s="106">
        <f>VLOOKUP(D63,產線配置圖!$A$3:$C$38,2,0)</f>
        <v>9</v>
      </c>
      <c r="K63" s="107">
        <f>VLOOKUP(D63,產線配置圖!$A$3:$C$38,3,0)</f>
        <v>1636</v>
      </c>
      <c r="L63" s="238">
        <f t="shared" si="50"/>
        <v>181.77777777777777</v>
      </c>
      <c r="M63" s="82">
        <v>9</v>
      </c>
      <c r="N63" s="107">
        <f t="shared" si="51"/>
        <v>1352.7272727272893</v>
      </c>
      <c r="O63" s="238">
        <f t="shared" si="52"/>
        <v>150.30303030303216</v>
      </c>
      <c r="P63" s="111">
        <f t="shared" si="53"/>
        <v>0</v>
      </c>
      <c r="Q63" s="255">
        <f t="shared" si="54"/>
        <v>-31.474747474745612</v>
      </c>
      <c r="R63" s="85">
        <f t="shared" si="57"/>
        <v>0.82685041120249969</v>
      </c>
      <c r="S63" s="377"/>
      <c r="T63" s="22">
        <v>0.55555555555555602</v>
      </c>
      <c r="U63" s="22">
        <v>0.63194444444444398</v>
      </c>
      <c r="V63" s="30">
        <f t="shared" si="55"/>
        <v>80.000000000000682</v>
      </c>
      <c r="W63" s="248">
        <f t="shared" si="17"/>
        <v>109.99999999999865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107"/>
      <c r="O65" s="238"/>
      <c r="P65" s="111"/>
      <c r="Q65" s="255"/>
      <c r="R65" s="85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8">AVERAGE(J59:J68)</f>
        <v>11</v>
      </c>
      <c r="K69" s="240">
        <f t="shared" si="58"/>
        <v>1593.4</v>
      </c>
      <c r="L69" s="268">
        <f t="shared" si="58"/>
        <v>148.95470085470089</v>
      </c>
      <c r="M69" s="240">
        <f t="shared" si="58"/>
        <v>11</v>
      </c>
      <c r="N69" s="240">
        <f t="shared" si="58"/>
        <v>1339.7861670646669</v>
      </c>
      <c r="O69" s="268">
        <f t="shared" si="58"/>
        <v>125.36740267257464</v>
      </c>
      <c r="P69" s="269">
        <f>M69-J69</f>
        <v>0</v>
      </c>
      <c r="Q69" s="222">
        <f>N69-K69</f>
        <v>-253.61383293533322</v>
      </c>
      <c r="R69" s="123">
        <f>O69/L69</f>
        <v>0.84164784295639872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-253.61383293533322</v>
      </c>
      <c r="AG69" s="124">
        <f>N69/K69</f>
        <v>0.84083479795698934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2284</v>
      </c>
      <c r="H70" s="243">
        <f>F70*G70</f>
        <v>115730.28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12</v>
      </c>
      <c r="N70" s="137">
        <f>G70/W70*60</f>
        <v>1305.1428571428507</v>
      </c>
      <c r="O70" s="138">
        <f>N70/M70</f>
        <v>108.76190476190423</v>
      </c>
      <c r="P70" s="56">
        <f>M70-J70</f>
        <v>-1</v>
      </c>
      <c r="Q70" s="230">
        <f>O70-L70</f>
        <v>-2.0073260073265402</v>
      </c>
      <c r="R70" s="52">
        <f>O70/L70</f>
        <v>0.98187830687830202</v>
      </c>
      <c r="S70" s="376">
        <f>R79</f>
        <v>0.88403917677650323</v>
      </c>
      <c r="T70" s="245">
        <v>0.33333333333333298</v>
      </c>
      <c r="U70" s="245">
        <v>0.40625</v>
      </c>
      <c r="V70" s="55"/>
      <c r="W70" s="54">
        <f t="shared" si="17"/>
        <v>105.00000000000051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-134.85714285714926</v>
      </c>
      <c r="AG70" s="246">
        <f>N70/K70</f>
        <v>0.90634920634920191</v>
      </c>
      <c r="AH70" s="382">
        <f>AG79</f>
        <v>0.80654728542769116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1316</v>
      </c>
      <c r="H71" s="254">
        <f t="shared" ref="H71:H72" si="59">F71*G71</f>
        <v>74261.88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60">K71/J71</f>
        <v>87.875</v>
      </c>
      <c r="M71" s="82">
        <v>13</v>
      </c>
      <c r="N71" s="107">
        <f t="shared" ref="N71:N72" si="61">G71/W71*60</f>
        <v>962.92682926830093</v>
      </c>
      <c r="O71" s="238">
        <f t="shared" ref="O71:O72" si="62">N71/M71</f>
        <v>74.071294559100068</v>
      </c>
      <c r="P71" s="111">
        <f t="shared" ref="P71:P72" si="63">M71-J71</f>
        <v>-3</v>
      </c>
      <c r="Q71" s="255">
        <f t="shared" ref="Q71:Q72" si="64">O71-L71</f>
        <v>-13.803705440899932</v>
      </c>
      <c r="R71" s="85">
        <f t="shared" ref="R71:R72" si="65">O71/L71</f>
        <v>0.84291658104239053</v>
      </c>
      <c r="S71" s="377"/>
      <c r="T71" s="22">
        <v>0.41527777777777802</v>
      </c>
      <c r="U71" s="22">
        <v>0.47222222222222199</v>
      </c>
      <c r="V71" s="30">
        <f t="shared" ref="V71:V72" si="66">(T71-U70)*24*60</f>
        <v>13.000000000000353</v>
      </c>
      <c r="W71" s="73">
        <f t="shared" si="17"/>
        <v>81.999999999999304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86"/>
      <c r="D72" s="175" t="s">
        <v>129</v>
      </c>
      <c r="E72" s="87"/>
      <c r="F72" s="250">
        <f>VLOOKUP(D72,廠價表!$C$1:$E$41,3,0)</f>
        <v>26.99</v>
      </c>
      <c r="G72" s="30">
        <v>1655</v>
      </c>
      <c r="H72" s="254">
        <f t="shared" si="59"/>
        <v>44668.45</v>
      </c>
      <c r="I72" s="182"/>
      <c r="J72" s="106">
        <f>VLOOKUP(D72,產線配置圖!$A$3:$C$38,2,0)</f>
        <v>13</v>
      </c>
      <c r="K72" s="107">
        <f>VLOOKUP(D72,產線配置圖!$A$3:$C$38,3,0)</f>
        <v>1565</v>
      </c>
      <c r="L72" s="238">
        <f t="shared" si="60"/>
        <v>120.38461538461539</v>
      </c>
      <c r="M72" s="82">
        <v>13</v>
      </c>
      <c r="N72" s="107">
        <f t="shared" si="61"/>
        <v>1289.6103896103941</v>
      </c>
      <c r="O72" s="238">
        <f t="shared" si="62"/>
        <v>99.200799200799551</v>
      </c>
      <c r="P72" s="111">
        <f t="shared" si="63"/>
        <v>0</v>
      </c>
      <c r="Q72" s="255">
        <f t="shared" si="64"/>
        <v>-21.183816183815836</v>
      </c>
      <c r="R72" s="85">
        <f t="shared" si="65"/>
        <v>0.82403219783411763</v>
      </c>
      <c r="S72" s="377"/>
      <c r="T72" s="22">
        <v>0.59375</v>
      </c>
      <c r="U72" s="22">
        <v>0.64722222222222203</v>
      </c>
      <c r="V72" s="30">
        <f t="shared" si="66"/>
        <v>175.00000000000034</v>
      </c>
      <c r="W72" s="73">
        <f t="shared" si="17"/>
        <v>76.99999999999973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8">AVERAGE(J70:J78)</f>
        <v>14</v>
      </c>
      <c r="K79" s="240">
        <f t="shared" si="68"/>
        <v>1470.3333333333333</v>
      </c>
      <c r="L79" s="268">
        <f t="shared" si="68"/>
        <v>106.34294871794873</v>
      </c>
      <c r="M79" s="240">
        <f t="shared" si="68"/>
        <v>12.666666666666666</v>
      </c>
      <c r="N79" s="240">
        <f t="shared" si="68"/>
        <v>1185.8933586738485</v>
      </c>
      <c r="O79" s="268">
        <f t="shared" si="68"/>
        <v>94.011332840601298</v>
      </c>
      <c r="P79" s="269">
        <f>M79-J79</f>
        <v>-1.3333333333333339</v>
      </c>
      <c r="Q79" s="222">
        <f>N79-K79</f>
        <v>-284.43997465948473</v>
      </c>
      <c r="R79" s="223">
        <f>O79/L79</f>
        <v>0.88403917677650323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-284.43997465948473</v>
      </c>
      <c r="AG79" s="124">
        <f>N79/K79</f>
        <v>0.80654728542769116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H3:AH4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ED0637-5C4F-4F82-B9A9-BE0C3A8C2A0C}">
          <x14:formula1>
            <xm:f>'C:\Users\CHENG191\Desktop\生產日報(工廠寄)\長家\114.12\人時性\[長家生產日報1201-1224.xlsx]廠價表'!#REF!</xm:f>
          </x14:formula1>
          <xm:sqref>D1:D48 D50:D1048576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14FF-2149-4302-A062-C5251C357F62}">
  <dimension ref="B1:O26"/>
  <sheetViews>
    <sheetView topLeftCell="A2"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46110</v>
      </c>
      <c r="E3" s="466"/>
      <c r="F3" s="3" t="s">
        <v>72</v>
      </c>
      <c r="G3" s="467">
        <f>'0329'!E1</f>
        <v>62624</v>
      </c>
      <c r="H3" s="467"/>
      <c r="I3" s="3" t="s">
        <v>2</v>
      </c>
      <c r="J3" s="468">
        <f>'0329'!G1</f>
        <v>2941801.4999999991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129.18691466485583</v>
      </c>
      <c r="G6" s="473"/>
      <c r="H6" s="474">
        <f>AVERAGE(D13:H13,J13)</f>
        <v>126.68589711849516</v>
      </c>
      <c r="I6" s="474"/>
      <c r="J6" s="474">
        <f>AVERAGE(I13)</f>
        <v>144.19301994301995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119.8738589782824</v>
      </c>
      <c r="G7" s="497"/>
      <c r="H7" s="498">
        <f>AVERAGE(D14:H14,J14)</f>
        <v>118.60100717179272</v>
      </c>
      <c r="I7" s="498"/>
      <c r="J7" s="498">
        <f>AVERAGE(I14)</f>
        <v>127.51096981722047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0.92791022441604165</v>
      </c>
      <c r="G8" s="470"/>
      <c r="H8" s="470">
        <f>H7/H6</f>
        <v>0.93618161034025538</v>
      </c>
      <c r="I8" s="470"/>
      <c r="J8" s="470">
        <f>J7/J6</f>
        <v>0.88430750578362505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VALUE('0329'!L15)</f>
        <v>158.61538461538461</v>
      </c>
      <c r="E13" s="13">
        <f>VALUE('0329'!L26)</f>
        <v>170.39772727272725</v>
      </c>
      <c r="F13" s="13">
        <f>VALUE('0329'!L37)</f>
        <v>93.47794117647058</v>
      </c>
      <c r="G13" s="13">
        <f>VALUE('0329'!L48)</f>
        <v>99.461437908496734</v>
      </c>
      <c r="H13" s="13">
        <f>VALUE('0329'!L58)</f>
        <v>111.35555555555555</v>
      </c>
      <c r="I13" s="13">
        <f>VALUE('0329'!L69)</f>
        <v>144.19301994301995</v>
      </c>
      <c r="J13" s="13">
        <f>'0329'!L79</f>
        <v>126.80733618233619</v>
      </c>
    </row>
    <row r="14" spans="2:15" ht="39.950000000000003" customHeight="1">
      <c r="B14" s="491"/>
      <c r="C14" s="12" t="s">
        <v>100</v>
      </c>
      <c r="D14" s="13">
        <f>VALUE('0329'!O15)</f>
        <v>155.60198624904572</v>
      </c>
      <c r="E14" s="13">
        <f>VALUE('0329'!O26)</f>
        <v>164.96562932949024</v>
      </c>
      <c r="F14" s="13">
        <f>VALUE('0329'!O37)</f>
        <v>88.846000000000473</v>
      </c>
      <c r="G14" s="13">
        <f>VALUE('0329'!O48)</f>
        <v>89.858145593869878</v>
      </c>
      <c r="H14" s="13">
        <f>VALUE('0329'!O58)</f>
        <v>105.3790040805719</v>
      </c>
      <c r="I14" s="13">
        <f>VALUE('0329'!O69)</f>
        <v>127.51096981722047</v>
      </c>
      <c r="J14" s="13">
        <f>'0329'!O79</f>
        <v>106.95527777777806</v>
      </c>
    </row>
    <row r="15" spans="2:15" ht="39.950000000000003" customHeight="1">
      <c r="B15" s="492"/>
      <c r="C15" s="10" t="s">
        <v>26</v>
      </c>
      <c r="D15" s="14">
        <f>D14/D13</f>
        <v>0.98100185317051136</v>
      </c>
      <c r="E15" s="14">
        <f t="shared" ref="E15:I15" si="1">E14/E13</f>
        <v>0.96812106575492785</v>
      </c>
      <c r="F15" s="14">
        <f t="shared" si="1"/>
        <v>0.95044883190435503</v>
      </c>
      <c r="G15" s="14">
        <f t="shared" si="1"/>
        <v>0.90344707942527669</v>
      </c>
      <c r="H15" s="14">
        <f t="shared" si="1"/>
        <v>0.94632911267725717</v>
      </c>
      <c r="I15" s="14">
        <f t="shared" si="1"/>
        <v>0.88430750578362505</v>
      </c>
      <c r="J15" s="15">
        <f>'0329'!S70</f>
        <v>0.84344708277750702</v>
      </c>
    </row>
    <row r="16" spans="2:15" ht="17.25" customHeight="1">
      <c r="B16" s="493" t="s">
        <v>101</v>
      </c>
      <c r="C16" s="10" t="s">
        <v>34</v>
      </c>
      <c r="D16" s="16">
        <f>'0329'!T5</f>
        <v>0.29166666666666702</v>
      </c>
      <c r="E16" s="16">
        <f>'0329'!T16</f>
        <v>0.29305555555555601</v>
      </c>
      <c r="F16" s="16">
        <f>'0329'!T27</f>
        <v>0.29166666666666702</v>
      </c>
      <c r="G16" s="16">
        <f>'0329'!T38</f>
        <v>0.33333333333333298</v>
      </c>
      <c r="H16" s="16">
        <f>'0329'!T49</f>
        <v>0.29166666666666702</v>
      </c>
      <c r="I16" s="16">
        <f>'0329'!T59</f>
        <v>0.29166666666666702</v>
      </c>
      <c r="J16" s="16">
        <f>'0329'!T70</f>
        <v>0.33333333333333298</v>
      </c>
    </row>
    <row r="17" spans="2:10" ht="17.25" customHeight="1">
      <c r="B17" s="494"/>
      <c r="C17" s="10" t="s">
        <v>35</v>
      </c>
      <c r="D17" s="18">
        <v>0.59722222222222199</v>
      </c>
      <c r="E17" s="19">
        <v>0.61250000000000004</v>
      </c>
      <c r="F17" s="19">
        <v>0.47222222222222199</v>
      </c>
      <c r="G17" s="20">
        <v>0.67361111111111105</v>
      </c>
      <c r="H17" s="21">
        <v>0.63541666666666696</v>
      </c>
      <c r="I17" s="22">
        <v>0.70138888888888895</v>
      </c>
      <c r="J17" s="22">
        <v>0.57083333333333297</v>
      </c>
    </row>
    <row r="18" spans="2:10" ht="17.25" customHeight="1">
      <c r="B18" s="495" t="s">
        <v>102</v>
      </c>
      <c r="C18" s="330" t="s">
        <v>36</v>
      </c>
      <c r="D18" s="358">
        <f>'0329'!Z15</f>
        <v>0</v>
      </c>
      <c r="E18" s="359">
        <f>'0329'!Z26</f>
        <v>0</v>
      </c>
      <c r="F18" s="359">
        <f>'0329'!Z37</f>
        <v>0</v>
      </c>
      <c r="G18" s="360">
        <f>'0329'!Z48</f>
        <v>0</v>
      </c>
      <c r="H18" s="360">
        <f>'0329'!Z58</f>
        <v>0</v>
      </c>
      <c r="I18" s="359">
        <f>'0329'!Z69</f>
        <v>0</v>
      </c>
      <c r="J18" s="359">
        <f>'0329'!AA79</f>
        <v>0</v>
      </c>
    </row>
    <row r="19" spans="2:10" ht="17.25" customHeight="1">
      <c r="B19" s="496"/>
      <c r="C19" s="330" t="s">
        <v>37</v>
      </c>
      <c r="D19" s="358">
        <f>'0329'!AA15</f>
        <v>0</v>
      </c>
      <c r="E19" s="359">
        <f>'0329'!AA26</f>
        <v>0</v>
      </c>
      <c r="F19" s="359">
        <f>'0329'!AA37</f>
        <v>0</v>
      </c>
      <c r="G19" s="360">
        <f>'0329'!AA48</f>
        <v>0</v>
      </c>
      <c r="H19" s="360">
        <f>'0329'!AA58</f>
        <v>0</v>
      </c>
      <c r="I19" s="359">
        <f>'0329'!AA69</f>
        <v>0</v>
      </c>
      <c r="J19" s="359">
        <f>'0329'!AB79</f>
        <v>0</v>
      </c>
    </row>
    <row r="20" spans="2:10" ht="17.25" customHeight="1">
      <c r="B20" s="495" t="s">
        <v>103</v>
      </c>
      <c r="C20" s="330" t="s">
        <v>36</v>
      </c>
      <c r="D20" s="358">
        <f>'0329'!AD15</f>
        <v>0</v>
      </c>
      <c r="E20" s="359">
        <f>'0329'!AD26</f>
        <v>0</v>
      </c>
      <c r="F20" s="359">
        <f>'0329'!AD37</f>
        <v>0</v>
      </c>
      <c r="G20" s="360">
        <f>'0329'!AD48</f>
        <v>0</v>
      </c>
      <c r="H20" s="360">
        <f>'0329'!AD58</f>
        <v>0</v>
      </c>
      <c r="I20" s="359">
        <f>'0329'!AD69</f>
        <v>0</v>
      </c>
      <c r="J20" s="359">
        <f>'0329'!AD79</f>
        <v>0</v>
      </c>
    </row>
    <row r="21" spans="2:10" ht="17.25" customHeight="1">
      <c r="B21" s="496"/>
      <c r="C21" s="330" t="s">
        <v>85</v>
      </c>
      <c r="D21" s="358">
        <f>'0329'!AE15</f>
        <v>0</v>
      </c>
      <c r="E21" s="359">
        <f>'0329'!AE26</f>
        <v>0</v>
      </c>
      <c r="F21" s="359">
        <f>'0329'!AE37</f>
        <v>0</v>
      </c>
      <c r="G21" s="360">
        <f>'0329'!AE48</f>
        <v>0</v>
      </c>
      <c r="H21" s="360">
        <f>'0329'!AE58</f>
        <v>0</v>
      </c>
      <c r="I21" s="359">
        <f>'0329'!AE69</f>
        <v>0</v>
      </c>
      <c r="J21" s="359">
        <f>'0329'!AE79</f>
        <v>0</v>
      </c>
    </row>
    <row r="22" spans="2:10" ht="17.25" customHeight="1">
      <c r="B22" s="479" t="s">
        <v>104</v>
      </c>
      <c r="C22" s="480"/>
      <c r="D22" s="23">
        <f>VALUE('0329'!M15)</f>
        <v>13.333333333333334</v>
      </c>
      <c r="E22" s="23">
        <f>VALUE('0329'!M26)</f>
        <v>12.25</v>
      </c>
      <c r="F22" s="23">
        <f>VALUE('0329'!M37)</f>
        <v>15</v>
      </c>
      <c r="G22" s="23">
        <f>VALUE('0329'!M48)</f>
        <v>15.666666666666666</v>
      </c>
      <c r="H22" s="23">
        <f>VALUE('0329'!M58)</f>
        <v>15.333333333333334</v>
      </c>
      <c r="I22" s="23">
        <f>VALUE('0329'!M69)</f>
        <v>11</v>
      </c>
      <c r="J22" s="23">
        <f>'0329'!M79</f>
        <v>11.333333333333334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E9D2-D3D5-4297-B3C1-42BFBFEF750B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62624</v>
      </c>
      <c r="F1" s="30" t="s">
        <v>2</v>
      </c>
      <c r="G1" s="31">
        <f>SUM(H5:H79)</f>
        <v>2941801.4999999991</v>
      </c>
      <c r="H1" s="32" t="s">
        <v>3</v>
      </c>
      <c r="I1" s="33">
        <f>M15+M26+M48+M58+M69+M79+M37</f>
        <v>93.916666666666671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229</v>
      </c>
      <c r="B2" s="447"/>
      <c r="C2" s="28"/>
      <c r="D2" s="28" t="s">
        <v>14</v>
      </c>
      <c r="E2" s="35">
        <f>AVERAGE(O15,O26,O37,O48,O58,O69,O79)</f>
        <v>119.8738589782824</v>
      </c>
      <c r="F2" s="36" t="s">
        <v>15</v>
      </c>
      <c r="G2" s="37">
        <f>G1/E1</f>
        <v>46.975624361267229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4562</v>
      </c>
      <c r="H5" s="43">
        <f>F5*G5</f>
        <v>260992.02</v>
      </c>
      <c r="I5" s="44"/>
      <c r="J5" s="45">
        <v>14</v>
      </c>
      <c r="K5" s="46">
        <v>2100</v>
      </c>
      <c r="L5" s="47">
        <f t="shared" ref="L5:L7" si="0">K5/J5</f>
        <v>150</v>
      </c>
      <c r="M5" s="48">
        <v>14</v>
      </c>
      <c r="N5" s="46">
        <f t="shared" ref="N5:N7" si="1">G5/W5*60</f>
        <v>2012.6470588235388</v>
      </c>
      <c r="O5" s="47">
        <f t="shared" ref="O5:O7" si="2">N5/M5</f>
        <v>143.76050420168136</v>
      </c>
      <c r="P5" s="49">
        <f t="shared" ref="P5:P7" si="3">M5-J5</f>
        <v>0</v>
      </c>
      <c r="Q5" s="50">
        <f t="shared" ref="Q5:Q7" si="4">O5-L5</f>
        <v>-6.239495798318643</v>
      </c>
      <c r="R5" s="51">
        <f t="shared" ref="R5:R7" si="5">O5/L5</f>
        <v>0.9584033613445424</v>
      </c>
      <c r="S5" s="376">
        <f>R15</f>
        <v>0.98100185317051136</v>
      </c>
      <c r="T5" s="319">
        <v>0.29166666666666702</v>
      </c>
      <c r="U5" s="320">
        <v>0.38611111111111102</v>
      </c>
      <c r="V5" s="53"/>
      <c r="W5" s="54">
        <f t="shared" ref="W5:W14" si="6">(U5-T5)*24*60</f>
        <v>135.99999999999935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-87.352941176461172</v>
      </c>
      <c r="AG5" s="52">
        <f t="shared" ref="AG5:AG11" si="8">N5/K5</f>
        <v>0.95840336134454229</v>
      </c>
      <c r="AH5" s="382">
        <f>AG15</f>
        <v>0.98046685099660114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3830</v>
      </c>
      <c r="H6" s="63">
        <f>F6*G6</f>
        <v>188206.2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2089.0909090909058</v>
      </c>
      <c r="O6" s="67">
        <f t="shared" si="2"/>
        <v>160.69930069930044</v>
      </c>
      <c r="P6" s="69">
        <f t="shared" si="3"/>
        <v>0</v>
      </c>
      <c r="Q6" s="70">
        <f t="shared" si="4"/>
        <v>-2.2237762237764969</v>
      </c>
      <c r="R6" s="71">
        <f t="shared" si="5"/>
        <v>0.98635075972186281</v>
      </c>
      <c r="S6" s="377"/>
      <c r="T6" s="16">
        <v>0.40208333333333302</v>
      </c>
      <c r="U6" s="16">
        <v>0.47847222222222202</v>
      </c>
      <c r="V6" s="30">
        <f>(T6-U5)*24*60</f>
        <v>22.99999999999968</v>
      </c>
      <c r="W6" s="73">
        <f t="shared" si="6"/>
        <v>110.00000000000017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-28.909090909094175</v>
      </c>
      <c r="AG6" s="72">
        <f t="shared" si="8"/>
        <v>0.98635075972186304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2814</v>
      </c>
      <c r="H7" s="78">
        <f>F7*G7</f>
        <v>138279.96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2110.5000000000205</v>
      </c>
      <c r="O7" s="81">
        <f t="shared" si="2"/>
        <v>162.34615384615543</v>
      </c>
      <c r="P7" s="74">
        <f t="shared" si="3"/>
        <v>0</v>
      </c>
      <c r="Q7" s="83">
        <f t="shared" si="4"/>
        <v>-0.5769230769215028</v>
      </c>
      <c r="R7" s="72">
        <f t="shared" si="5"/>
        <v>0.99645892351275756</v>
      </c>
      <c r="S7" s="377"/>
      <c r="T7" s="18">
        <v>0.54166666666666696</v>
      </c>
      <c r="U7" s="18">
        <v>0.59722222222222199</v>
      </c>
      <c r="V7" s="30">
        <f>(T7-U6)*24*60</f>
        <v>91.000000000000711</v>
      </c>
      <c r="W7" s="73">
        <f t="shared" si="6"/>
        <v>79.999999999999233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-7.4999999999795364</v>
      </c>
      <c r="AG7" s="72">
        <f t="shared" si="8"/>
        <v>0.99645892351275756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2112</v>
      </c>
      <c r="L15" s="117">
        <f t="shared" si="9"/>
        <v>158.61538461538461</v>
      </c>
      <c r="M15" s="120">
        <f t="shared" si="9"/>
        <v>13.333333333333334</v>
      </c>
      <c r="N15" s="120">
        <f t="shared" si="9"/>
        <v>2070.7459893048217</v>
      </c>
      <c r="O15" s="117">
        <f t="shared" si="9"/>
        <v>155.60198624904572</v>
      </c>
      <c r="P15" s="121">
        <f t="shared" ref="P15:P19" si="10">M15-J15</f>
        <v>0</v>
      </c>
      <c r="Q15" s="122">
        <f t="shared" ref="Q15:Q19" si="11">O15-L15</f>
        <v>-3.0133983663388904</v>
      </c>
      <c r="R15" s="123">
        <f t="shared" ref="R15:R19" si="12">O15/L15</f>
        <v>0.98100185317051136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-41.254010695178295</v>
      </c>
      <c r="AG15" s="124">
        <f t="shared" ref="AG15:AG19" si="14">N15/K15</f>
        <v>0.98046685099660114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812</v>
      </c>
      <c r="H16" s="134">
        <f>F16*G16</f>
        <v>45699.360000000001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1740.0000000000412</v>
      </c>
      <c r="O16" s="141">
        <f>N16/M16</f>
        <v>116.00000000000274</v>
      </c>
      <c r="P16" s="142">
        <f>M16-J16</f>
        <v>0</v>
      </c>
      <c r="Q16" s="143">
        <f t="shared" si="11"/>
        <v>-3.9999999999972573</v>
      </c>
      <c r="R16" s="144">
        <f>O16/L16</f>
        <v>0.96666666666668954</v>
      </c>
      <c r="S16" s="413">
        <f>R26</f>
        <v>0.96812106575492785</v>
      </c>
      <c r="T16" s="145">
        <v>0.29305555555555601</v>
      </c>
      <c r="U16" s="145">
        <v>0.3125</v>
      </c>
      <c r="V16" s="135"/>
      <c r="W16" s="146">
        <f t="shared" ref="W16:W78" si="17">(U16-T16)*24*60</f>
        <v>27.999999999999339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-59.999999999958845</v>
      </c>
      <c r="AG16" s="52">
        <f t="shared" si="14"/>
        <v>0.96666666666668954</v>
      </c>
      <c r="AH16" s="382">
        <f>AG26</f>
        <v>0.96706449532464356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4465</v>
      </c>
      <c r="H17" s="78">
        <f>F17*G17</f>
        <v>226241.55000000002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1955.4744525547426</v>
      </c>
      <c r="O17" s="96">
        <f t="shared" ref="O17:O19" si="18">N17/M17</f>
        <v>162.95620437956188</v>
      </c>
      <c r="P17" s="97">
        <f t="shared" si="10"/>
        <v>0</v>
      </c>
      <c r="Q17" s="98">
        <f t="shared" si="11"/>
        <v>-13.543795620438118</v>
      </c>
      <c r="R17" s="99">
        <f t="shared" si="12"/>
        <v>0.92326461404850924</v>
      </c>
      <c r="S17" s="414"/>
      <c r="T17" s="19">
        <v>0.32222222222222202</v>
      </c>
      <c r="U17" s="19">
        <v>0.41736111111111102</v>
      </c>
      <c r="V17" s="30">
        <f>(T17-U16)*24*60</f>
        <v>13.99999999999971</v>
      </c>
      <c r="W17" s="149">
        <f t="shared" si="17"/>
        <v>137.00000000000014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-162.52554744525742</v>
      </c>
      <c r="AG17" s="72">
        <f t="shared" si="14"/>
        <v>0.92326461404850924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2701</v>
      </c>
      <c r="H18" s="78">
        <f>F18*G18</f>
        <v>136103.39000000001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2104.6753246752928</v>
      </c>
      <c r="O18" s="96">
        <f t="shared" si="18"/>
        <v>191.33412042502661</v>
      </c>
      <c r="P18" s="97">
        <f t="shared" si="10"/>
        <v>0</v>
      </c>
      <c r="Q18" s="98">
        <f t="shared" si="11"/>
        <v>-1.2113341204279209</v>
      </c>
      <c r="R18" s="99">
        <f t="shared" si="12"/>
        <v>0.99370884073432142</v>
      </c>
      <c r="S18" s="414"/>
      <c r="T18" s="19">
        <v>0.42569444444444399</v>
      </c>
      <c r="U18" s="19">
        <v>0.47916666666666702</v>
      </c>
      <c r="V18" s="30">
        <f>(T18-U17)*24*60</f>
        <v>11.999999999999478</v>
      </c>
      <c r="W18" s="149">
        <f t="shared" si="17"/>
        <v>77.000000000001165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-13.324675324707187</v>
      </c>
      <c r="AG18" s="72">
        <f t="shared" si="14"/>
        <v>0.99370884073432142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3545</v>
      </c>
      <c r="H19" s="78">
        <f>F19*G19</f>
        <v>178632.55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2085.2941176470663</v>
      </c>
      <c r="O19" s="96">
        <f t="shared" si="18"/>
        <v>189.57219251336966</v>
      </c>
      <c r="P19" s="97">
        <f t="shared" si="10"/>
        <v>0</v>
      </c>
      <c r="Q19" s="98">
        <f t="shared" si="11"/>
        <v>-2.9732620320848753</v>
      </c>
      <c r="R19" s="99">
        <f t="shared" si="12"/>
        <v>0.9845581292006923</v>
      </c>
      <c r="S19" s="414"/>
      <c r="T19" s="19">
        <v>0.54166666666666696</v>
      </c>
      <c r="U19" s="19">
        <v>0.61250000000000004</v>
      </c>
      <c r="V19" s="30">
        <f>(T19-U18)*24*60</f>
        <v>89.999999999999915</v>
      </c>
      <c r="W19" s="149">
        <f t="shared" si="17"/>
        <v>101.99999999999963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-32.705882352933713</v>
      </c>
      <c r="AG19" s="72">
        <f t="shared" si="14"/>
        <v>0.9845581292006923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1971.360973719286</v>
      </c>
      <c r="O26" s="158">
        <f t="shared" si="20"/>
        <v>164.96562932949024</v>
      </c>
      <c r="P26" s="159">
        <f t="shared" ref="P26:P28" si="21">M26-J26</f>
        <v>0</v>
      </c>
      <c r="Q26" s="160">
        <f t="shared" ref="Q26:Q28" si="22">O26-L26</f>
        <v>-5.4320979432370109</v>
      </c>
      <c r="R26" s="161">
        <f>O26/L26</f>
        <v>0.96812106575492785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-67.139026280714006</v>
      </c>
      <c r="AG26" s="124">
        <f t="shared" ref="AG26:AG31" si="24">N26/K26</f>
        <v>0.96706449532464356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2973</v>
      </c>
      <c r="H27" s="134">
        <f>F27*G27</f>
        <v>172939.41</v>
      </c>
      <c r="I27" s="135"/>
      <c r="J27" s="136">
        <f>VLOOKUP(D27,產線配置圖!$A$3:$C$38,2,0)</f>
        <v>16</v>
      </c>
      <c r="K27" s="137">
        <v>1636</v>
      </c>
      <c r="L27" s="138">
        <f t="shared" ref="L27:L28" si="25">K27/J27</f>
        <v>102.25</v>
      </c>
      <c r="M27" s="170">
        <v>15</v>
      </c>
      <c r="N27" s="140">
        <f>G27/W27*60</f>
        <v>1486.5000000000064</v>
      </c>
      <c r="O27" s="141">
        <f>N27/M27</f>
        <v>99.100000000000421</v>
      </c>
      <c r="P27" s="142">
        <f t="shared" si="21"/>
        <v>-1</v>
      </c>
      <c r="Q27" s="143">
        <f t="shared" si="22"/>
        <v>-3.1499999999995794</v>
      </c>
      <c r="R27" s="144">
        <f>O27/L27</f>
        <v>0.96919315403423389</v>
      </c>
      <c r="S27" s="413">
        <f>R37</f>
        <v>0.95044883190435503</v>
      </c>
      <c r="T27" s="171">
        <v>0.29166666666666702</v>
      </c>
      <c r="U27" s="171">
        <v>0.375</v>
      </c>
      <c r="V27" s="135"/>
      <c r="W27" s="146">
        <f t="shared" si="17"/>
        <v>119.99999999999949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-149.49999999999363</v>
      </c>
      <c r="AG27" s="172">
        <f t="shared" si="24"/>
        <v>0.90861858190709432</v>
      </c>
      <c r="AH27" s="382">
        <f>AG37</f>
        <v>0.86650845253576536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2456</v>
      </c>
      <c r="H28" s="91">
        <f>F28*G28</f>
        <v>121621.12000000001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15</v>
      </c>
      <c r="N28" s="95">
        <f>G28/W28*60</f>
        <v>1178.8800000000078</v>
      </c>
      <c r="O28" s="96">
        <f>N28/M28</f>
        <v>78.592000000000525</v>
      </c>
      <c r="P28" s="97">
        <f t="shared" si="21"/>
        <v>-2</v>
      </c>
      <c r="Q28" s="98">
        <f t="shared" si="22"/>
        <v>-6.1138823529406494</v>
      </c>
      <c r="R28" s="99">
        <f>O28/L28</f>
        <v>0.92782222222222843</v>
      </c>
      <c r="S28" s="414"/>
      <c r="T28" s="19">
        <v>0.38541666666666702</v>
      </c>
      <c r="U28" s="19">
        <v>0.47222222222222199</v>
      </c>
      <c r="V28" s="92">
        <f>(T28-U27)*24*60</f>
        <v>15.000000000000506</v>
      </c>
      <c r="W28" s="149">
        <f t="shared" si="17"/>
        <v>124.99999999999916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-261.11999999999216</v>
      </c>
      <c r="AG28" s="99">
        <f t="shared" si="24"/>
        <v>0.81866666666667209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1538</v>
      </c>
      <c r="L37" s="158">
        <f t="shared" si="27"/>
        <v>93.47794117647058</v>
      </c>
      <c r="M37" s="155">
        <f t="shared" si="27"/>
        <v>15</v>
      </c>
      <c r="N37" s="155">
        <f t="shared" si="27"/>
        <v>1332.6900000000071</v>
      </c>
      <c r="O37" s="158">
        <f t="shared" si="27"/>
        <v>88.846000000000473</v>
      </c>
      <c r="P37" s="159">
        <f>M37-J37</f>
        <v>-1.5</v>
      </c>
      <c r="Q37" s="160">
        <f>N37-K37</f>
        <v>-205.3099999999929</v>
      </c>
      <c r="R37" s="161">
        <f t="shared" ref="R37:R40" si="28">O37/L37</f>
        <v>0.95044883190435503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-205.3099999999929</v>
      </c>
      <c r="AG37" s="124">
        <f t="shared" ref="AG37:AG41" si="30">N37/K37</f>
        <v>0.86650845253576536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3014</v>
      </c>
      <c r="H38" s="134">
        <f>F38*G38</f>
        <v>150428.74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15</v>
      </c>
      <c r="N38" s="140">
        <f>G38/W38*60</f>
        <v>1446.7199999999921</v>
      </c>
      <c r="O38" s="141">
        <f>N38/M38</f>
        <v>96.447999999999467</v>
      </c>
      <c r="P38" s="142">
        <f t="shared" ref="P38:P40" si="32">M38-J38</f>
        <v>0</v>
      </c>
      <c r="Q38" s="143">
        <f t="shared" ref="Q38:Q40" si="33">O38-L38</f>
        <v>-17.818666666667198</v>
      </c>
      <c r="R38" s="144">
        <f>O38/L38</f>
        <v>0.84406067677945862</v>
      </c>
      <c r="S38" s="404">
        <f>R48</f>
        <v>0.90344707942527669</v>
      </c>
      <c r="T38" s="191">
        <v>0.33333333333333298</v>
      </c>
      <c r="U38" s="191">
        <v>0.42013888888888901</v>
      </c>
      <c r="V38" s="192"/>
      <c r="W38" s="193">
        <f t="shared" si="17"/>
        <v>125.00000000000068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-267.28000000000793</v>
      </c>
      <c r="AG38" s="195">
        <f t="shared" si="30"/>
        <v>0.84406067677945862</v>
      </c>
      <c r="AH38" s="398">
        <f>AG48</f>
        <v>0.87050846170639018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2060</v>
      </c>
      <c r="H39" s="91">
        <f>F39*G39</f>
        <v>91258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16</v>
      </c>
      <c r="N39" s="202">
        <f>G39/W39*60</f>
        <v>1420.6896551724294</v>
      </c>
      <c r="O39" s="203">
        <f t="shared" ref="O39:O40" si="34">N39/M39</f>
        <v>88.793103448276838</v>
      </c>
      <c r="P39" s="97">
        <f t="shared" si="32"/>
        <v>-1</v>
      </c>
      <c r="Q39" s="98">
        <f t="shared" si="33"/>
        <v>-3.2657200811349298</v>
      </c>
      <c r="R39" s="99">
        <f t="shared" si="28"/>
        <v>0.96452572435827877</v>
      </c>
      <c r="S39" s="405"/>
      <c r="T39" s="20">
        <v>0.42916666666666697</v>
      </c>
      <c r="U39" s="20">
        <v>0.48958333333333298</v>
      </c>
      <c r="V39" s="92">
        <f>(T39-U38)*24*60</f>
        <v>13.000000000000274</v>
      </c>
      <c r="W39" s="205">
        <f t="shared" si="17"/>
        <v>86.999999999999048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-144.31034482757059</v>
      </c>
      <c r="AG39" s="206">
        <f t="shared" si="30"/>
        <v>0.90778891704308584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4048</v>
      </c>
      <c r="H40" s="91">
        <f>F40*G40</f>
        <v>179326.4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16</v>
      </c>
      <c r="N40" s="202">
        <f>G40/W40*60</f>
        <v>1349.3333333333333</v>
      </c>
      <c r="O40" s="203">
        <f t="shared" si="34"/>
        <v>84.333333333333329</v>
      </c>
      <c r="P40" s="97">
        <f t="shared" si="32"/>
        <v>-1</v>
      </c>
      <c r="Q40" s="98">
        <f t="shared" si="33"/>
        <v>-7.7254901960784395</v>
      </c>
      <c r="R40" s="99">
        <f t="shared" si="28"/>
        <v>0.91608093716719907</v>
      </c>
      <c r="S40" s="377"/>
      <c r="T40" s="20">
        <v>0.54861111111111105</v>
      </c>
      <c r="U40" s="20">
        <v>0.67361111111111105</v>
      </c>
      <c r="V40" s="92">
        <f>(T40-U39)*24*60</f>
        <v>85.000000000000412</v>
      </c>
      <c r="W40" s="205">
        <f t="shared" si="17"/>
        <v>180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-215.66666666666674</v>
      </c>
      <c r="AG40" s="206">
        <f t="shared" si="30"/>
        <v>0.86219382321618743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15.666666666666666</v>
      </c>
      <c r="N48" s="155">
        <f t="shared" si="36"/>
        <v>1405.5809961685848</v>
      </c>
      <c r="O48" s="158">
        <f t="shared" si="36"/>
        <v>89.858145593869878</v>
      </c>
      <c r="P48" s="221">
        <f>M48-J48</f>
        <v>-0.66666666666666607</v>
      </c>
      <c r="Q48" s="222">
        <f>N48-K48</f>
        <v>-209.08567049808198</v>
      </c>
      <c r="R48" s="223">
        <f>O48/L48</f>
        <v>0.90344707942527669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-209.08567049808198</v>
      </c>
      <c r="AG48" s="162">
        <f t="shared" ref="AG48:AG53" si="38">N48/K48</f>
        <v>0.87050846170639018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113</v>
      </c>
      <c r="E49" s="132"/>
      <c r="F49" s="129">
        <f>VLOOKUP(D49,廠價表!$C$1:$E$41,3,0)</f>
        <v>57.21</v>
      </c>
      <c r="G49" s="228">
        <v>3808</v>
      </c>
      <c r="H49" s="134">
        <f>F49*G49</f>
        <v>217855.68</v>
      </c>
      <c r="I49" s="135"/>
      <c r="J49" s="136">
        <v>15</v>
      </c>
      <c r="K49" s="137">
        <v>1636</v>
      </c>
      <c r="L49" s="138">
        <f t="shared" ref="L49:L51" si="39">K49/J49</f>
        <v>109.06666666666666</v>
      </c>
      <c r="M49" s="170">
        <v>15</v>
      </c>
      <c r="N49" s="140">
        <f>G49/W49*60</f>
        <v>1513.1125827814592</v>
      </c>
      <c r="O49" s="141">
        <f>N49/M49</f>
        <v>100.87417218543061</v>
      </c>
      <c r="P49" s="229">
        <f>M49-J49</f>
        <v>0</v>
      </c>
      <c r="Q49" s="230">
        <f>O49-L49</f>
        <v>-8.1924944812360536</v>
      </c>
      <c r="R49" s="52">
        <f>O49/L49</f>
        <v>0.92488544179795795</v>
      </c>
      <c r="S49" s="376">
        <f>R58</f>
        <v>0.94632911267725717</v>
      </c>
      <c r="T49" s="191">
        <v>0.29166666666666702</v>
      </c>
      <c r="U49" s="191">
        <v>0.39652777777777798</v>
      </c>
      <c r="V49" s="55"/>
      <c r="W49" s="193">
        <f t="shared" si="17"/>
        <v>150.99999999999977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-122.8874172185408</v>
      </c>
      <c r="AG49" s="52">
        <f t="shared" si="38"/>
        <v>0.92488544179795795</v>
      </c>
      <c r="AH49" s="382">
        <f>AG58</f>
        <v>0.92531088231084468</v>
      </c>
    </row>
    <row r="50" spans="1:34" ht="15" customHeight="1">
      <c r="A50" s="396"/>
      <c r="B50" s="75" t="s">
        <v>81</v>
      </c>
      <c r="C50" s="76"/>
      <c r="D50" s="59" t="s">
        <v>127</v>
      </c>
      <c r="E50" s="77"/>
      <c r="F50" s="75">
        <f>VLOOKUP(D50,廠價表!$C$1:$E$41,3,0)</f>
        <v>49.97</v>
      </c>
      <c r="G50" s="202">
        <v>2853</v>
      </c>
      <c r="H50" s="231">
        <f>F50*G50</f>
        <v>142564.41</v>
      </c>
      <c r="I50" s="232"/>
      <c r="J50" s="79">
        <f>VLOOKUP(D50,產線配置圖!$A$3:$C$38,2,0)</f>
        <v>16</v>
      </c>
      <c r="K50" s="80">
        <v>1800</v>
      </c>
      <c r="L50" s="81">
        <f t="shared" si="39"/>
        <v>112.5</v>
      </c>
      <c r="M50" s="233">
        <v>16</v>
      </c>
      <c r="N50" s="234">
        <f>G50/W50*60</f>
        <v>1645.9615384615445</v>
      </c>
      <c r="O50" s="235">
        <f>N50/M50</f>
        <v>102.87259615384653</v>
      </c>
      <c r="P50" s="74">
        <f>M50-J50</f>
        <v>0</v>
      </c>
      <c r="Q50" s="83">
        <f>O50-L50</f>
        <v>-9.6274038461534701</v>
      </c>
      <c r="R50" s="72">
        <f>O50/L50</f>
        <v>0.91442307692308022</v>
      </c>
      <c r="S50" s="377"/>
      <c r="T50" s="21">
        <v>0.40347222222222201</v>
      </c>
      <c r="U50" s="21">
        <v>0.47569444444444398</v>
      </c>
      <c r="V50" s="30">
        <f t="shared" ref="V50:V52" si="40">(T50-U49)*24*60</f>
        <v>9.9999999999994049</v>
      </c>
      <c r="W50" s="236">
        <f t="shared" si="17"/>
        <v>103.99999999999963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-154.03846153845552</v>
      </c>
      <c r="AG50" s="72">
        <f t="shared" si="38"/>
        <v>0.91442307692308022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3456</v>
      </c>
      <c r="H51" s="231">
        <f>F51*G51</f>
        <v>172696.32000000001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15</v>
      </c>
      <c r="N51" s="234">
        <f>G51/W51*60</f>
        <v>1685.8536585365782</v>
      </c>
      <c r="O51" s="235">
        <f>N51/M51</f>
        <v>112.39024390243854</v>
      </c>
      <c r="P51" s="74">
        <f>M51-J51</f>
        <v>-1</v>
      </c>
      <c r="Q51" s="83">
        <f>O51-L51</f>
        <v>-0.10975609756145843</v>
      </c>
      <c r="R51" s="72">
        <f>O51/L51</f>
        <v>0.99902439024389811</v>
      </c>
      <c r="S51" s="377"/>
      <c r="T51" s="21">
        <v>0.53472222222222199</v>
      </c>
      <c r="U51" s="19">
        <v>0.62013888888888902</v>
      </c>
      <c r="V51" s="30">
        <f t="shared" si="40"/>
        <v>85.000000000000341</v>
      </c>
      <c r="W51" s="236">
        <f t="shared" si="17"/>
        <v>123.00000000000053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-114.14634146342178</v>
      </c>
      <c r="AG51" s="72">
        <f t="shared" si="38"/>
        <v>0.93658536585365459</v>
      </c>
      <c r="AH51" s="384"/>
    </row>
    <row r="52" spans="1:34" ht="15" customHeight="1">
      <c r="A52" s="396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77"/>
      <c r="T52" s="21">
        <v>0.63194444444444398</v>
      </c>
      <c r="U52" s="21">
        <v>0.63541666666666696</v>
      </c>
      <c r="V52" s="30">
        <f t="shared" si="40"/>
        <v>16.99999999999914</v>
      </c>
      <c r="W52" s="236">
        <f t="shared" si="17"/>
        <v>5.0000000000011013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0</v>
      </c>
      <c r="AG52" s="72" t="e">
        <f t="shared" si="38"/>
        <v>#DIV/0!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15.666666666666666</v>
      </c>
      <c r="K58" s="120">
        <f t="shared" si="41"/>
        <v>1745.3333333333333</v>
      </c>
      <c r="L58" s="117">
        <f t="shared" si="41"/>
        <v>111.35555555555555</v>
      </c>
      <c r="M58" s="120">
        <f t="shared" si="41"/>
        <v>15.333333333333334</v>
      </c>
      <c r="N58" s="120">
        <f t="shared" si="41"/>
        <v>1614.9759265931941</v>
      </c>
      <c r="O58" s="117">
        <f t="shared" si="41"/>
        <v>105.3790040805719</v>
      </c>
      <c r="P58" s="121">
        <f>M58-J58</f>
        <v>-0.33333333333333215</v>
      </c>
      <c r="Q58" s="122">
        <f>N58-K58</f>
        <v>-130.35740674013914</v>
      </c>
      <c r="R58" s="123">
        <f t="shared" ref="R58:R60" si="42">O58/L58</f>
        <v>0.94632911267725717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-130.35740674013914</v>
      </c>
      <c r="AG58" s="124">
        <f t="shared" ref="AG58:AG61" si="44">N58/K58</f>
        <v>0.92531088231084468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2483</v>
      </c>
      <c r="H59" s="243">
        <f>F59*G59</f>
        <v>67016.17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4" si="45">K59/J59</f>
        <v>120.38461538461539</v>
      </c>
      <c r="M59" s="244">
        <v>12</v>
      </c>
      <c r="N59" s="137">
        <f t="shared" ref="N59:N64" si="46">G59/W59*60</f>
        <v>1354.3636363636342</v>
      </c>
      <c r="O59" s="138">
        <f t="shared" ref="O59:O64" si="47">N59/M59</f>
        <v>112.86363636363619</v>
      </c>
      <c r="P59" s="56">
        <f t="shared" ref="P59:P64" si="48">M59-J59</f>
        <v>-1</v>
      </c>
      <c r="Q59" s="230">
        <f t="shared" ref="Q59:Q64" si="49">O59-L59</f>
        <v>-7.5209790209791976</v>
      </c>
      <c r="R59" s="52">
        <f t="shared" si="42"/>
        <v>0.93752541388323984</v>
      </c>
      <c r="S59" s="376">
        <f>R69</f>
        <v>0.88430750578362505</v>
      </c>
      <c r="T59" s="245">
        <v>0.29166666666666702</v>
      </c>
      <c r="U59" s="245">
        <v>0.36805555555555602</v>
      </c>
      <c r="V59" s="55"/>
      <c r="W59" s="54">
        <f t="shared" si="17"/>
        <v>110.00000000000017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-210.63636363636579</v>
      </c>
      <c r="AG59" s="246">
        <f t="shared" si="44"/>
        <v>0.86540807435375988</v>
      </c>
      <c r="AH59" s="382">
        <f>AG69</f>
        <v>0.8627522149133604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1750</v>
      </c>
      <c r="H60" s="78">
        <f>F60*G60</f>
        <v>49455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1458.3333333333337</v>
      </c>
      <c r="O60" s="81">
        <f t="shared" si="47"/>
        <v>121.52777777777781</v>
      </c>
      <c r="P60" s="74">
        <f t="shared" si="48"/>
        <v>0</v>
      </c>
      <c r="Q60" s="83">
        <f t="shared" si="49"/>
        <v>-8.8888888888888431</v>
      </c>
      <c r="R60" s="72">
        <f t="shared" si="42"/>
        <v>0.93184238551650722</v>
      </c>
      <c r="S60" s="394"/>
      <c r="T60" s="22">
        <v>0.37708333333333299</v>
      </c>
      <c r="U60" s="22">
        <v>0.42708333333333298</v>
      </c>
      <c r="V60" s="30">
        <f t="shared" ref="V60:V64" si="50">(T60-U59)*24*60</f>
        <v>12.999999999998835</v>
      </c>
      <c r="W60" s="248">
        <f t="shared" si="17"/>
        <v>71.999999999999986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-106.66666666666629</v>
      </c>
      <c r="AG60" s="249">
        <f t="shared" si="44"/>
        <v>0.93184238551650711</v>
      </c>
      <c r="AH60" s="389"/>
    </row>
    <row r="61" spans="1:34" ht="15" customHeight="1">
      <c r="A61" s="392"/>
      <c r="B61" s="250" t="s">
        <v>128</v>
      </c>
      <c r="C61" s="251"/>
      <c r="D61" s="252" t="s">
        <v>131</v>
      </c>
      <c r="E61" s="253"/>
      <c r="F61" s="250">
        <f>VLOOKUP(D61,廠價表!$C$1:$E$41,3,0)</f>
        <v>28.26</v>
      </c>
      <c r="G61" s="38">
        <v>986</v>
      </c>
      <c r="H61" s="254">
        <f>F61*G61</f>
        <v>27864.36</v>
      </c>
      <c r="I61" s="182"/>
      <c r="J61" s="106">
        <f>VLOOKUP(D61,產線配置圖!$A$3:$C$38,2,0)</f>
        <v>12</v>
      </c>
      <c r="K61" s="107">
        <f>VLOOKUP(D61,產線配置圖!$A$3:$C$38,3,0)</f>
        <v>1565</v>
      </c>
      <c r="L61" s="238">
        <f t="shared" si="45"/>
        <v>130.41666666666666</v>
      </c>
      <c r="M61" s="108">
        <v>12</v>
      </c>
      <c r="N61" s="107">
        <f t="shared" si="46"/>
        <v>1183.200000000008</v>
      </c>
      <c r="O61" s="238">
        <f t="shared" si="47"/>
        <v>98.600000000000662</v>
      </c>
      <c r="P61" s="111">
        <f t="shared" si="48"/>
        <v>0</v>
      </c>
      <c r="Q61" s="255">
        <f t="shared" si="49"/>
        <v>-31.816666666665995</v>
      </c>
      <c r="R61" s="85">
        <f>O61/L61</f>
        <v>0.75603833865815206</v>
      </c>
      <c r="S61" s="377"/>
      <c r="T61" s="22">
        <v>0.4375</v>
      </c>
      <c r="U61" s="22">
        <v>0.47222222222222199</v>
      </c>
      <c r="V61" s="30">
        <f t="shared" si="50"/>
        <v>15.000000000000506</v>
      </c>
      <c r="W61" s="256">
        <f t="shared" si="17"/>
        <v>49.999999999999659</v>
      </c>
      <c r="X61" s="22"/>
      <c r="Y61" s="84"/>
      <c r="Z61" s="90"/>
      <c r="AA61" s="90"/>
      <c r="AB61" s="388" t="s">
        <v>201</v>
      </c>
      <c r="AC61" s="388"/>
      <c r="AD61" s="92"/>
      <c r="AE61" s="92"/>
      <c r="AF61" s="317">
        <f t="shared" si="43"/>
        <v>-381.799999999992</v>
      </c>
      <c r="AG61" s="247">
        <f t="shared" si="44"/>
        <v>0.75603833865815206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1851</v>
      </c>
      <c r="H62" s="254">
        <f t="shared" ref="H62:H64" si="51">F62*G62</f>
        <v>52309.26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108">
        <v>9</v>
      </c>
      <c r="N62" s="107">
        <f t="shared" si="46"/>
        <v>1388.2500000000146</v>
      </c>
      <c r="O62" s="238">
        <f t="shared" si="47"/>
        <v>154.25000000000162</v>
      </c>
      <c r="P62" s="111">
        <f t="shared" si="48"/>
        <v>0</v>
      </c>
      <c r="Q62" s="255">
        <f t="shared" si="49"/>
        <v>-27.527777777776151</v>
      </c>
      <c r="R62" s="85">
        <f t="shared" ref="R62:R64" si="52">O62/L62</f>
        <v>0.84856356968216051</v>
      </c>
      <c r="S62" s="377"/>
      <c r="T62" s="22">
        <v>0.48263888888888901</v>
      </c>
      <c r="U62" s="22">
        <v>0.53819444444444398</v>
      </c>
      <c r="V62" s="30">
        <f t="shared" si="50"/>
        <v>15.000000000000506</v>
      </c>
      <c r="W62" s="248">
        <f t="shared" si="17"/>
        <v>79.999999999999162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-247.74999999998545</v>
      </c>
      <c r="AG62" s="247">
        <f>N62/K62</f>
        <v>0.84856356968216051</v>
      </c>
      <c r="AH62" s="384"/>
    </row>
    <row r="63" spans="1:34" ht="15" customHeight="1">
      <c r="A63" s="392"/>
      <c r="B63" s="258" t="s">
        <v>128</v>
      </c>
      <c r="C63" s="58"/>
      <c r="D63" s="259" t="s">
        <v>129</v>
      </c>
      <c r="E63" s="60"/>
      <c r="F63" s="250">
        <f>VLOOKUP(D63,廠價表!$C$1:$E$41,3,0)</f>
        <v>26.99</v>
      </c>
      <c r="G63" s="260">
        <v>1809</v>
      </c>
      <c r="H63" s="254">
        <f t="shared" si="51"/>
        <v>48824.909999999996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45"/>
        <v>120.38461538461539</v>
      </c>
      <c r="M63" s="68">
        <v>12</v>
      </c>
      <c r="N63" s="107">
        <f t="shared" si="46"/>
        <v>1356.750000000013</v>
      </c>
      <c r="O63" s="238">
        <f t="shared" si="47"/>
        <v>113.06250000000108</v>
      </c>
      <c r="P63" s="111">
        <f t="shared" si="48"/>
        <v>-1</v>
      </c>
      <c r="Q63" s="255">
        <f t="shared" si="49"/>
        <v>-7.3221153846143068</v>
      </c>
      <c r="R63" s="85">
        <f t="shared" si="52"/>
        <v>0.93917731629393864</v>
      </c>
      <c r="S63" s="377"/>
      <c r="T63" s="22">
        <v>0.59027777777777801</v>
      </c>
      <c r="U63" s="22">
        <v>0.64583333333333304</v>
      </c>
      <c r="V63" s="30">
        <f t="shared" si="50"/>
        <v>75.000000000001009</v>
      </c>
      <c r="W63" s="248">
        <f t="shared" si="17"/>
        <v>79.999999999999233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 t="s">
        <v>128</v>
      </c>
      <c r="C64" s="86"/>
      <c r="D64" s="175" t="s">
        <v>138</v>
      </c>
      <c r="E64" s="87"/>
      <c r="F64" s="250">
        <f>VLOOKUP(D64,廠價表!$C$1:$E$41,3,0)</f>
        <v>28.26</v>
      </c>
      <c r="G64" s="30">
        <v>1730</v>
      </c>
      <c r="H64" s="254">
        <f t="shared" si="51"/>
        <v>48889.8</v>
      </c>
      <c r="I64" s="182"/>
      <c r="J64" s="106">
        <f>VLOOKUP(D64,產線配置圖!$A$3:$C$38,2,0)</f>
        <v>9</v>
      </c>
      <c r="K64" s="107">
        <f>VLOOKUP(D64,產線配置圖!$A$3:$C$38,3,0)</f>
        <v>1636</v>
      </c>
      <c r="L64" s="238">
        <f t="shared" si="45"/>
        <v>181.77777777777777</v>
      </c>
      <c r="M64" s="82">
        <v>9</v>
      </c>
      <c r="N64" s="107">
        <f t="shared" si="46"/>
        <v>1482.8571428571483</v>
      </c>
      <c r="O64" s="238">
        <f t="shared" si="47"/>
        <v>164.76190476190538</v>
      </c>
      <c r="P64" s="111">
        <f t="shared" si="48"/>
        <v>0</v>
      </c>
      <c r="Q64" s="255">
        <f t="shared" si="49"/>
        <v>-17.015873015872387</v>
      </c>
      <c r="R64" s="85">
        <f t="shared" si="52"/>
        <v>0.90639189661194897</v>
      </c>
      <c r="S64" s="377"/>
      <c r="T64" s="22">
        <v>0.65277777777777801</v>
      </c>
      <c r="U64" s="22">
        <v>0.70138888888888895</v>
      </c>
      <c r="V64" s="30">
        <f t="shared" si="50"/>
        <v>10.000000000000764</v>
      </c>
      <c r="W64" s="73">
        <f t="shared" si="17"/>
        <v>69.999999999999744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2"/>
      <c r="U66" s="22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11.333333333333334</v>
      </c>
      <c r="K69" s="240">
        <f t="shared" si="53"/>
        <v>1588.6666666666667</v>
      </c>
      <c r="L69" s="268">
        <f t="shared" si="53"/>
        <v>144.19301994301995</v>
      </c>
      <c r="M69" s="240">
        <f t="shared" si="53"/>
        <v>11</v>
      </c>
      <c r="N69" s="240">
        <f t="shared" si="53"/>
        <v>1370.6256854256919</v>
      </c>
      <c r="O69" s="268">
        <f t="shared" si="53"/>
        <v>127.51096981722047</v>
      </c>
      <c r="P69" s="269">
        <f>M69-J69</f>
        <v>-0.33333333333333393</v>
      </c>
      <c r="Q69" s="222">
        <f>N69-K69</f>
        <v>-218.04098124097482</v>
      </c>
      <c r="R69" s="123">
        <f>O69/L69</f>
        <v>0.88430750578362505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-218.04098124097482</v>
      </c>
      <c r="AG69" s="124">
        <f>N69/K69</f>
        <v>0.8627522149133604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2782</v>
      </c>
      <c r="H70" s="243">
        <f>F70*G70</f>
        <v>140963.94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1335.3599999999929</v>
      </c>
      <c r="O70" s="138">
        <f>N70/M70</f>
        <v>102.71999999999944</v>
      </c>
      <c r="P70" s="56">
        <f>M70-J70</f>
        <v>0</v>
      </c>
      <c r="Q70" s="230">
        <f>O70-L70</f>
        <v>-8.049230769231329</v>
      </c>
      <c r="R70" s="52">
        <f>O70/L70</f>
        <v>0.92733333333332824</v>
      </c>
      <c r="S70" s="376">
        <f>R79</f>
        <v>0.84344708277750702</v>
      </c>
      <c r="T70" s="245">
        <v>0.33333333333333298</v>
      </c>
      <c r="U70" s="245">
        <v>0.42013888888888901</v>
      </c>
      <c r="V70" s="55"/>
      <c r="W70" s="54">
        <f t="shared" si="17"/>
        <v>125.00000000000068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-104.64000000000715</v>
      </c>
      <c r="AG70" s="246">
        <f>N70/K70</f>
        <v>0.92733333333332835</v>
      </c>
      <c r="AH70" s="382">
        <f>AG79</f>
        <v>0.78312918340026838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1127</v>
      </c>
      <c r="H71" s="254">
        <f t="shared" ref="H71:H72" si="54">F71*G71</f>
        <v>63596.61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 t="shared" ref="L71:L72" si="55">K71/J71</f>
        <v>87.875</v>
      </c>
      <c r="M71" s="82">
        <v>12</v>
      </c>
      <c r="N71" s="107">
        <f t="shared" ref="N71:N72" si="56">G71/W71*60</f>
        <v>845.24999999999272</v>
      </c>
      <c r="O71" s="238">
        <f t="shared" ref="O71:O72" si="57">N71/M71</f>
        <v>70.437499999999389</v>
      </c>
      <c r="P71" s="111">
        <f t="shared" ref="P71:P72" si="58">M71-J71</f>
        <v>-4</v>
      </c>
      <c r="Q71" s="255">
        <f t="shared" ref="Q71:Q72" si="59">O71-L71</f>
        <v>-17.437500000000611</v>
      </c>
      <c r="R71" s="85">
        <f t="shared" ref="R71:R72" si="60">O71/L71</f>
        <v>0.80156472261734724</v>
      </c>
      <c r="S71" s="377"/>
      <c r="T71" s="22">
        <v>0.42708333333333298</v>
      </c>
      <c r="U71" s="22">
        <v>0.48263888888888901</v>
      </c>
      <c r="V71" s="30">
        <f t="shared" ref="V71:V72" si="61">(T71-U70)*24*60</f>
        <v>9.999999999999325</v>
      </c>
      <c r="W71" s="73">
        <f t="shared" si="17"/>
        <v>80.000000000000682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128</v>
      </c>
      <c r="C72" s="76"/>
      <c r="D72" s="59" t="s">
        <v>138</v>
      </c>
      <c r="E72" s="77"/>
      <c r="F72" s="250">
        <f>VLOOKUP(D72,廠價表!$C$1:$E$41,3,0)</f>
        <v>28.26</v>
      </c>
      <c r="G72" s="202">
        <v>709</v>
      </c>
      <c r="H72" s="254">
        <f t="shared" si="54"/>
        <v>20036.34</v>
      </c>
      <c r="I72" s="182"/>
      <c r="J72" s="106">
        <f>VLOOKUP(D72,產線配置圖!$A$3:$C$38,2,0)</f>
        <v>9</v>
      </c>
      <c r="K72" s="107">
        <f>VLOOKUP(D72,產線配置圖!$A$3:$C$38,3,0)</f>
        <v>1636</v>
      </c>
      <c r="L72" s="238">
        <f t="shared" si="55"/>
        <v>181.77777777777777</v>
      </c>
      <c r="M72" s="82">
        <v>9</v>
      </c>
      <c r="N72" s="107">
        <f t="shared" si="56"/>
        <v>1329.375000000018</v>
      </c>
      <c r="O72" s="238">
        <f t="shared" si="57"/>
        <v>147.70833333333533</v>
      </c>
      <c r="P72" s="111">
        <f t="shared" si="58"/>
        <v>0</v>
      </c>
      <c r="Q72" s="255">
        <f t="shared" si="59"/>
        <v>-34.069444444442439</v>
      </c>
      <c r="R72" s="85">
        <f t="shared" si="60"/>
        <v>0.81257640586798163</v>
      </c>
      <c r="S72" s="377"/>
      <c r="T72" s="22">
        <v>0.54861111111111105</v>
      </c>
      <c r="U72" s="22">
        <v>0.57083333333333297</v>
      </c>
      <c r="V72" s="30">
        <f t="shared" si="61"/>
        <v>94.999999999999744</v>
      </c>
      <c r="W72" s="73">
        <f t="shared" si="17"/>
        <v>31.999999999999567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 t="s">
        <v>189</v>
      </c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63">AVERAGE(J70:J78)</f>
        <v>12.666666666666666</v>
      </c>
      <c r="K79" s="240">
        <f t="shared" si="63"/>
        <v>1494</v>
      </c>
      <c r="L79" s="268">
        <f t="shared" si="63"/>
        <v>126.80733618233619</v>
      </c>
      <c r="M79" s="240">
        <f t="shared" si="63"/>
        <v>11.333333333333334</v>
      </c>
      <c r="N79" s="240">
        <f t="shared" si="63"/>
        <v>1169.995000000001</v>
      </c>
      <c r="O79" s="268">
        <f t="shared" si="63"/>
        <v>106.95527777777806</v>
      </c>
      <c r="P79" s="269">
        <f>M79-J79</f>
        <v>-1.3333333333333321</v>
      </c>
      <c r="Q79" s="222">
        <f>N79-K79</f>
        <v>-324.00499999999897</v>
      </c>
      <c r="R79" s="223">
        <f>O79/L79</f>
        <v>0.84344708277750702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-324.00499999999897</v>
      </c>
      <c r="AG79" s="124">
        <f>N79/K79</f>
        <v>0.78312918340026838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W3:W4"/>
    <mergeCell ref="X3:Y3"/>
    <mergeCell ref="Z3:AA3"/>
    <mergeCell ref="AH3:AH4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55F142-738F-48CA-9670-036A1FF8079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68D2-BB47-43DF-8301-A72CCD9C3BC5}">
  <dimension ref="B1:O26"/>
  <sheetViews>
    <sheetView topLeftCell="A2" zoomScale="70" zoomScaleNormal="70" workbookViewId="0">
      <selection activeCell="R18" sqref="R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46111</v>
      </c>
      <c r="E3" s="466"/>
      <c r="F3" s="3" t="s">
        <v>72</v>
      </c>
      <c r="G3" s="467">
        <f>'0330'!E1</f>
        <v>59405</v>
      </c>
      <c r="H3" s="467"/>
      <c r="I3" s="3" t="s">
        <v>2</v>
      </c>
      <c r="J3" s="468">
        <f>'0330'!G1</f>
        <v>2811701.7100000004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125.65406464450584</v>
      </c>
      <c r="G6" s="473"/>
      <c r="H6" s="474">
        <f>AVERAGE(D13:H13,J13)</f>
        <v>122.1050269855417</v>
      </c>
      <c r="I6" s="474"/>
      <c r="J6" s="474">
        <f>AVERAGE(I13)</f>
        <v>146.94829059829061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116.23942546007359</v>
      </c>
      <c r="G7" s="497"/>
      <c r="H7" s="498">
        <f>AVERAGE(D14:H14,J14)</f>
        <v>112.34505024128116</v>
      </c>
      <c r="I7" s="498"/>
      <c r="J7" s="498">
        <f>AVERAGE(I14)</f>
        <v>139.60567677282828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0.92507493322187651</v>
      </c>
      <c r="G8" s="470"/>
      <c r="H8" s="470">
        <f>H7/H6</f>
        <v>0.92006900137357817</v>
      </c>
      <c r="I8" s="470"/>
      <c r="J8" s="470">
        <f>J7/J6</f>
        <v>0.9500326693453367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VALUE('0330'!L15)</f>
        <v>158.61538461538461</v>
      </c>
      <c r="E13" s="13">
        <f>VALUE('0330'!L26)</f>
        <v>170.39772727272725</v>
      </c>
      <c r="F13" s="13">
        <f>VALUE('0330'!L37)</f>
        <v>93.47794117647058</v>
      </c>
      <c r="G13" s="13">
        <f>VALUE('0330'!L48)</f>
        <v>99.461437908496734</v>
      </c>
      <c r="H13" s="13">
        <f>VALUE('0330'!L58)</f>
        <v>111.35555555555555</v>
      </c>
      <c r="I13" s="13">
        <f>VALUE('0330'!L69)</f>
        <v>146.94829059829061</v>
      </c>
      <c r="J13" s="13">
        <f>'0330'!L79</f>
        <v>99.322115384615387</v>
      </c>
    </row>
    <row r="14" spans="2:15" ht="39.950000000000003" customHeight="1">
      <c r="B14" s="491"/>
      <c r="C14" s="12" t="s">
        <v>100</v>
      </c>
      <c r="D14" s="13">
        <f>VALUE('0330'!O15)</f>
        <v>147.3968169761271</v>
      </c>
      <c r="E14" s="13">
        <f>VALUE('0330'!O26)</f>
        <v>157.28224311057835</v>
      </c>
      <c r="F14" s="13">
        <f>VALUE('0330'!O37)</f>
        <v>89.45774496919546</v>
      </c>
      <c r="G14" s="13">
        <f>VALUE('0330'!O48)</f>
        <v>88.082932900432752</v>
      </c>
      <c r="H14" s="13">
        <f>VALUE('0330'!O58)</f>
        <v>102.56426426426465</v>
      </c>
      <c r="I14" s="13">
        <f>VALUE('0330'!O69)</f>
        <v>139.60567677282828</v>
      </c>
      <c r="J14" s="13">
        <f>'0330'!O79</f>
        <v>89.286299227088563</v>
      </c>
    </row>
    <row r="15" spans="2:15" ht="39.950000000000003" customHeight="1">
      <c r="B15" s="492"/>
      <c r="C15" s="10" t="s">
        <v>26</v>
      </c>
      <c r="D15" s="14">
        <f>D14/D13</f>
        <v>0.92927188200274113</v>
      </c>
      <c r="E15" s="14">
        <f t="shared" ref="E15:I15" si="1">E14/E13</f>
        <v>0.92303016963860596</v>
      </c>
      <c r="F15" s="14">
        <f t="shared" si="1"/>
        <v>0.95699310279324967</v>
      </c>
      <c r="G15" s="14">
        <f t="shared" si="1"/>
        <v>0.88559882857784478</v>
      </c>
      <c r="H15" s="14">
        <f t="shared" si="1"/>
        <v>0.92105206383793836</v>
      </c>
      <c r="I15" s="14">
        <f t="shared" si="1"/>
        <v>0.9500326693453367</v>
      </c>
      <c r="J15" s="15">
        <f>'0330'!S70</f>
        <v>0.89895688267749752</v>
      </c>
    </row>
    <row r="16" spans="2:15" ht="17.25" customHeight="1">
      <c r="B16" s="493" t="s">
        <v>101</v>
      </c>
      <c r="C16" s="10" t="s">
        <v>34</v>
      </c>
      <c r="D16" s="16">
        <f>'0330'!T5</f>
        <v>0.29166666666666702</v>
      </c>
      <c r="E16" s="16">
        <f>'0330'!T16</f>
        <v>0.29513888888888901</v>
      </c>
      <c r="F16" s="16">
        <f>'0330'!T27</f>
        <v>0.29166666666666702</v>
      </c>
      <c r="G16" s="16">
        <f>'0330'!T38</f>
        <v>0.33333333333333298</v>
      </c>
      <c r="H16" s="16">
        <f>'0330'!T49</f>
        <v>0.29166666666666702</v>
      </c>
      <c r="I16" s="16">
        <f>'0330'!T59</f>
        <v>0.29166666666666702</v>
      </c>
      <c r="J16" s="16">
        <f>'0330'!T70</f>
        <v>0.33333333333333298</v>
      </c>
    </row>
    <row r="17" spans="2:10" ht="17.25" customHeight="1">
      <c r="B17" s="494"/>
      <c r="C17" s="10" t="s">
        <v>35</v>
      </c>
      <c r="D17" s="18">
        <v>0.60069444444444398</v>
      </c>
      <c r="E17" s="19">
        <v>0.61319444444444404</v>
      </c>
      <c r="F17" s="19">
        <v>0.47083333333333299</v>
      </c>
      <c r="G17" s="20">
        <v>0.65972222222222199</v>
      </c>
      <c r="H17" s="21">
        <v>0.58333333333333304</v>
      </c>
      <c r="I17" s="22">
        <v>0.64583333333333304</v>
      </c>
      <c r="J17" s="22">
        <v>0.50694444444444398</v>
      </c>
    </row>
    <row r="18" spans="2:10" ht="17.25" customHeight="1">
      <c r="B18" s="495" t="s">
        <v>102</v>
      </c>
      <c r="C18" s="330" t="s">
        <v>36</v>
      </c>
      <c r="D18" s="358">
        <f>'0330'!Z15</f>
        <v>0</v>
      </c>
      <c r="E18" s="359">
        <f>'0330'!Z26</f>
        <v>0</v>
      </c>
      <c r="F18" s="359">
        <f>'0330'!Z37</f>
        <v>0</v>
      </c>
      <c r="G18" s="360">
        <f>'0330'!Z48</f>
        <v>0</v>
      </c>
      <c r="H18" s="360">
        <f>'0330'!Z58</f>
        <v>0</v>
      </c>
      <c r="I18" s="359">
        <f>'0330'!Z69</f>
        <v>0</v>
      </c>
      <c r="J18" s="359">
        <f>'0330'!AA79</f>
        <v>0</v>
      </c>
    </row>
    <row r="19" spans="2:10" ht="17.25" customHeight="1">
      <c r="B19" s="496"/>
      <c r="C19" s="330" t="s">
        <v>37</v>
      </c>
      <c r="D19" s="358">
        <f>'0330'!AA15</f>
        <v>0</v>
      </c>
      <c r="E19" s="359">
        <f>'0330'!AA26</f>
        <v>0</v>
      </c>
      <c r="F19" s="359">
        <f>'0330'!AA37</f>
        <v>0</v>
      </c>
      <c r="G19" s="360">
        <f>'0330'!AA48</f>
        <v>0</v>
      </c>
      <c r="H19" s="360">
        <f>'0330'!AA58</f>
        <v>0</v>
      </c>
      <c r="I19" s="359">
        <f>'0330'!AA69</f>
        <v>0</v>
      </c>
      <c r="J19" s="359">
        <f>'0330'!AB79</f>
        <v>0</v>
      </c>
    </row>
    <row r="20" spans="2:10" ht="17.25" customHeight="1">
      <c r="B20" s="495" t="s">
        <v>103</v>
      </c>
      <c r="C20" s="330" t="s">
        <v>36</v>
      </c>
      <c r="D20" s="358">
        <f>'0330'!AD15</f>
        <v>0</v>
      </c>
      <c r="E20" s="359">
        <f>'0330'!AD26</f>
        <v>0</v>
      </c>
      <c r="F20" s="359">
        <f>'0330'!AD37</f>
        <v>0</v>
      </c>
      <c r="G20" s="360">
        <f>'0330'!AD48</f>
        <v>0</v>
      </c>
      <c r="H20" s="360">
        <f>'0330'!AD58</f>
        <v>0</v>
      </c>
      <c r="I20" s="359">
        <f>'0330'!AD69</f>
        <v>0</v>
      </c>
      <c r="J20" s="359">
        <f>'0330'!AD79</f>
        <v>0</v>
      </c>
    </row>
    <row r="21" spans="2:10" ht="17.25" customHeight="1">
      <c r="B21" s="496"/>
      <c r="C21" s="330" t="s">
        <v>85</v>
      </c>
      <c r="D21" s="358">
        <f>'0330'!AE15</f>
        <v>0</v>
      </c>
      <c r="E21" s="359">
        <f>'0330'!AE26</f>
        <v>0</v>
      </c>
      <c r="F21" s="359">
        <f>'0330'!AE37</f>
        <v>0</v>
      </c>
      <c r="G21" s="360">
        <f>'0330'!AE48</f>
        <v>0</v>
      </c>
      <c r="H21" s="360">
        <f>'0330'!AE58</f>
        <v>0</v>
      </c>
      <c r="I21" s="359">
        <f>'0330'!AE69</f>
        <v>0</v>
      </c>
      <c r="J21" s="359">
        <f>'0330'!AE79</f>
        <v>0</v>
      </c>
    </row>
    <row r="22" spans="2:10" ht="17.25" customHeight="1">
      <c r="B22" s="479" t="s">
        <v>104</v>
      </c>
      <c r="C22" s="480"/>
      <c r="D22" s="23">
        <f>VALUE('0330'!M15)</f>
        <v>13</v>
      </c>
      <c r="E22" s="23">
        <f>VALUE('0330'!M26)</f>
        <v>12.25</v>
      </c>
      <c r="F22" s="23">
        <f>VALUE('0330'!M37)</f>
        <v>14.5</v>
      </c>
      <c r="G22" s="23">
        <f>VALUE('0330'!M48)</f>
        <v>15.666666666666666</v>
      </c>
      <c r="H22" s="23">
        <f>VALUE('0330'!M58)</f>
        <v>15</v>
      </c>
      <c r="I22" s="23">
        <f>VALUE('0330'!M69)</f>
        <v>11.2</v>
      </c>
      <c r="J22" s="23">
        <f>'0330'!M79</f>
        <v>11.5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2768-ABC6-4A25-AA17-6CD82988C354}">
  <sheetPr>
    <tabColor theme="9" tint="0.79998168889431442"/>
  </sheetPr>
  <dimension ref="A1:AJ92"/>
  <sheetViews>
    <sheetView zoomScale="69" zoomScaleNormal="69" workbookViewId="0">
      <pane xSplit="5" ySplit="4" topLeftCell="H41" activePane="bottomRight" state="frozen"/>
      <selection activeCell="R18" sqref="R18"/>
      <selection pane="topRight" activeCell="R18" sqref="R18"/>
      <selection pane="bottomLeft" activeCell="R18" sqref="R18"/>
      <selection pane="bottomRight" activeCell="R18" sqref="R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59405</v>
      </c>
      <c r="F1" s="30" t="s">
        <v>2</v>
      </c>
      <c r="G1" s="31">
        <f>SUM(H5:H79)</f>
        <v>2811701.7100000004</v>
      </c>
      <c r="H1" s="32" t="s">
        <v>3</v>
      </c>
      <c r="I1" s="33">
        <f>M15+M26+M48+M58+M69+M79+M37</f>
        <v>93.11666666666666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230</v>
      </c>
      <c r="B2" s="447"/>
      <c r="C2" s="28"/>
      <c r="D2" s="28" t="s">
        <v>14</v>
      </c>
      <c r="E2" s="35">
        <f>AVERAGE(O15,O26,O37,O48,O58,O69,O79)</f>
        <v>116.23942546007359</v>
      </c>
      <c r="F2" s="36" t="s">
        <v>15</v>
      </c>
      <c r="G2" s="37">
        <f>G1/E1</f>
        <v>47.331061526807517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4486</v>
      </c>
      <c r="H5" s="43">
        <f>F5*G5</f>
        <v>256644.06</v>
      </c>
      <c r="I5" s="44"/>
      <c r="J5" s="45">
        <v>14</v>
      </c>
      <c r="K5" s="46">
        <v>2100</v>
      </c>
      <c r="L5" s="47">
        <f t="shared" ref="L5:L7" si="0">K5/J5</f>
        <v>150</v>
      </c>
      <c r="M5" s="48">
        <v>13</v>
      </c>
      <c r="N5" s="46">
        <f t="shared" ref="N5:N7" si="1">G5/W5*60</f>
        <v>1856.2758620689742</v>
      </c>
      <c r="O5" s="47">
        <f t="shared" ref="O5:O7" si="2">N5/M5</f>
        <v>142.79045092838263</v>
      </c>
      <c r="P5" s="49">
        <f t="shared" ref="P5:P7" si="3">M5-J5</f>
        <v>-1</v>
      </c>
      <c r="Q5" s="50">
        <f t="shared" ref="Q5:Q7" si="4">O5-L5</f>
        <v>-7.2095490716173742</v>
      </c>
      <c r="R5" s="51">
        <f t="shared" ref="R5:R7" si="5">O5/L5</f>
        <v>0.95193633952255086</v>
      </c>
      <c r="S5" s="376">
        <f>R15</f>
        <v>0.92927188200274113</v>
      </c>
      <c r="T5" s="319">
        <v>0.29166666666666702</v>
      </c>
      <c r="U5" s="320">
        <v>0.39236111111111099</v>
      </c>
      <c r="V5" s="53"/>
      <c r="W5" s="54">
        <f t="shared" ref="W5:W14" si="6">(U5-T5)*24*60</f>
        <v>144.99999999999932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-243.72413793102578</v>
      </c>
      <c r="AG5" s="52">
        <f t="shared" ref="AG5:AG11" si="8">N5/K5</f>
        <v>0.88394088669951154</v>
      </c>
      <c r="AH5" s="382">
        <f>AG15</f>
        <v>0.90727207419017641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3337</v>
      </c>
      <c r="H6" s="63">
        <f>F6*G6</f>
        <v>163980.18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2002.1999999999832</v>
      </c>
      <c r="O6" s="67">
        <f t="shared" si="2"/>
        <v>154.01538461538331</v>
      </c>
      <c r="P6" s="69">
        <f t="shared" si="3"/>
        <v>0</v>
      </c>
      <c r="Q6" s="70">
        <f t="shared" si="4"/>
        <v>-8.9076923076936225</v>
      </c>
      <c r="R6" s="71">
        <f t="shared" si="5"/>
        <v>0.94532577903681914</v>
      </c>
      <c r="S6" s="377"/>
      <c r="T6" s="16">
        <v>0.40972222222222199</v>
      </c>
      <c r="U6" s="16">
        <v>0.47916666666666702</v>
      </c>
      <c r="V6" s="30">
        <f>(T6-U5)*24*60</f>
        <v>24.999999999999829</v>
      </c>
      <c r="W6" s="73">
        <f t="shared" si="6"/>
        <v>100.00000000000084</v>
      </c>
      <c r="X6" s="22"/>
      <c r="Y6" s="84"/>
      <c r="Z6" s="90"/>
      <c r="AA6" s="90"/>
      <c r="AB6" s="417"/>
      <c r="AC6" s="417"/>
      <c r="AD6" s="149"/>
      <c r="AE6" s="149"/>
      <c r="AF6" s="307">
        <f t="shared" si="7"/>
        <v>-115.80000000001678</v>
      </c>
      <c r="AG6" s="72">
        <f t="shared" si="8"/>
        <v>0.94532577903681925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2835</v>
      </c>
      <c r="H7" s="78">
        <f>F7*G7</f>
        <v>139311.9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1890</v>
      </c>
      <c r="O7" s="81">
        <f t="shared" si="2"/>
        <v>145.38461538461539</v>
      </c>
      <c r="P7" s="74">
        <f t="shared" si="3"/>
        <v>0</v>
      </c>
      <c r="Q7" s="83">
        <f t="shared" si="4"/>
        <v>-17.538461538461547</v>
      </c>
      <c r="R7" s="72">
        <f t="shared" si="5"/>
        <v>0.8923512747875354</v>
      </c>
      <c r="S7" s="377"/>
      <c r="T7" s="18">
        <v>0.53819444444444398</v>
      </c>
      <c r="U7" s="18">
        <v>0.60069444444444398</v>
      </c>
      <c r="V7" s="30">
        <f>(T7-U6)*24*60</f>
        <v>84.99999999999882</v>
      </c>
      <c r="W7" s="73">
        <f t="shared" si="6"/>
        <v>90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-228</v>
      </c>
      <c r="AG7" s="72">
        <f t="shared" si="8"/>
        <v>0.8923512747875354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2112</v>
      </c>
      <c r="L15" s="117">
        <f t="shared" si="9"/>
        <v>158.61538461538461</v>
      </c>
      <c r="M15" s="120">
        <f t="shared" si="9"/>
        <v>13</v>
      </c>
      <c r="N15" s="120">
        <f t="shared" si="9"/>
        <v>1916.1586206896525</v>
      </c>
      <c r="O15" s="117">
        <f t="shared" si="9"/>
        <v>147.3968169761271</v>
      </c>
      <c r="P15" s="121">
        <f t="shared" ref="P15:P19" si="10">M15-J15</f>
        <v>-0.33333333333333393</v>
      </c>
      <c r="Q15" s="122">
        <f t="shared" ref="Q15:Q19" si="11">O15-L15</f>
        <v>-11.218567639257515</v>
      </c>
      <c r="R15" s="123">
        <f t="shared" ref="R15:R19" si="12">O15/L15</f>
        <v>0.92927188200274113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-195.84137931034752</v>
      </c>
      <c r="AG15" s="124">
        <f t="shared" ref="AG15:AG19" si="14">N15/K15</f>
        <v>0.90727207419017641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939</v>
      </c>
      <c r="H16" s="134">
        <f>F16*G16</f>
        <v>52846.92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1657.0588235294215</v>
      </c>
      <c r="O16" s="141">
        <f>N16/M16</f>
        <v>110.47058823529477</v>
      </c>
      <c r="P16" s="142">
        <f>M16-J16</f>
        <v>0</v>
      </c>
      <c r="Q16" s="143">
        <f t="shared" si="11"/>
        <v>-9.5294117647052303</v>
      </c>
      <c r="R16" s="144">
        <f>O16/L16</f>
        <v>0.92058823529412304</v>
      </c>
      <c r="S16" s="413">
        <f>R26</f>
        <v>0.92303016963860596</v>
      </c>
      <c r="T16" s="145">
        <v>0.29513888888888901</v>
      </c>
      <c r="U16" s="145">
        <v>0.31874999999999998</v>
      </c>
      <c r="V16" s="135"/>
      <c r="W16" s="146">
        <f t="shared" ref="W16:W78" si="17">(U16-T16)*24*60</f>
        <v>33.999999999999801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-142.94117647057851</v>
      </c>
      <c r="AG16" s="52">
        <f t="shared" si="14"/>
        <v>0.92058823529412304</v>
      </c>
      <c r="AH16" s="382">
        <f>AG26</f>
        <v>0.92419405023043699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4270</v>
      </c>
      <c r="H17" s="78">
        <f>F17*G17</f>
        <v>216360.9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2082.926829268285</v>
      </c>
      <c r="O17" s="96">
        <f t="shared" ref="O17:O19" si="18">N17/M17</f>
        <v>173.57723577235708</v>
      </c>
      <c r="P17" s="97">
        <f t="shared" si="10"/>
        <v>0</v>
      </c>
      <c r="Q17" s="98">
        <f t="shared" si="11"/>
        <v>-2.9227642276429151</v>
      </c>
      <c r="R17" s="99">
        <f t="shared" si="12"/>
        <v>0.98344042930513931</v>
      </c>
      <c r="S17" s="414"/>
      <c r="T17" s="19">
        <v>0.32638888888888901</v>
      </c>
      <c r="U17" s="19">
        <v>0.41180555555555598</v>
      </c>
      <c r="V17" s="30">
        <f>(T17-U16)*24*60</f>
        <v>11.000000000000201</v>
      </c>
      <c r="W17" s="149">
        <f t="shared" si="17"/>
        <v>123.00000000000044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-35.073170731714981</v>
      </c>
      <c r="AG17" s="72">
        <f t="shared" si="14"/>
        <v>0.98344042930513931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2948</v>
      </c>
      <c r="H18" s="78">
        <f>F18*G18</f>
        <v>148549.72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2080.9411764705801</v>
      </c>
      <c r="O18" s="96">
        <f t="shared" si="18"/>
        <v>189.17647058823457</v>
      </c>
      <c r="P18" s="97">
        <f t="shared" si="10"/>
        <v>0</v>
      </c>
      <c r="Q18" s="98">
        <f t="shared" si="11"/>
        <v>-3.3689839572199674</v>
      </c>
      <c r="R18" s="99">
        <f t="shared" si="12"/>
        <v>0.98250291618063279</v>
      </c>
      <c r="S18" s="414"/>
      <c r="T18" s="19">
        <v>0.41875000000000001</v>
      </c>
      <c r="U18" s="19">
        <v>0.47777777777777802</v>
      </c>
      <c r="V18" s="30">
        <f>(T18-U17)*24*60</f>
        <v>9.9999999999994049</v>
      </c>
      <c r="W18" s="149">
        <f t="shared" si="17"/>
        <v>85.000000000000341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-37.058823529419897</v>
      </c>
      <c r="AG18" s="72">
        <f t="shared" si="14"/>
        <v>0.98250291618063268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2944</v>
      </c>
      <c r="H19" s="78">
        <f>F19*G19</f>
        <v>148348.16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1714.9514563106964</v>
      </c>
      <c r="O19" s="96">
        <f t="shared" si="18"/>
        <v>155.90467784642695</v>
      </c>
      <c r="P19" s="97">
        <f t="shared" si="10"/>
        <v>0</v>
      </c>
      <c r="Q19" s="98">
        <f t="shared" si="11"/>
        <v>-36.640776699027583</v>
      </c>
      <c r="R19" s="99">
        <f t="shared" si="12"/>
        <v>0.80970323716274628</v>
      </c>
      <c r="S19" s="414"/>
      <c r="T19" s="19">
        <v>0.54166666666666696</v>
      </c>
      <c r="U19" s="19">
        <v>0.61319444444444404</v>
      </c>
      <c r="V19" s="30">
        <f>(T19-U18)*24*60</f>
        <v>92.000000000000071</v>
      </c>
      <c r="W19" s="149">
        <f t="shared" si="17"/>
        <v>102.99999999999899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-403.04854368930364</v>
      </c>
      <c r="AG19" s="72">
        <f t="shared" si="14"/>
        <v>0.80970323716274617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1883.9695713947458</v>
      </c>
      <c r="O26" s="158">
        <f t="shared" si="20"/>
        <v>157.28224311057835</v>
      </c>
      <c r="P26" s="159">
        <f t="shared" ref="P26:P28" si="21">M26-J26</f>
        <v>0</v>
      </c>
      <c r="Q26" s="160">
        <f t="shared" ref="Q26:Q28" si="22">O26-L26</f>
        <v>-13.115484162148903</v>
      </c>
      <c r="R26" s="161">
        <f>O26/L26</f>
        <v>0.92303016963860596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-154.5304286052542</v>
      </c>
      <c r="AG26" s="124">
        <f t="shared" ref="AG26:AG31" si="24">N26/K26</f>
        <v>0.92419405023043699</v>
      </c>
      <c r="AH26" s="386"/>
    </row>
    <row r="27" spans="1:34" ht="15" customHeight="1">
      <c r="A27" s="410" t="s">
        <v>45</v>
      </c>
      <c r="B27" s="167" t="s">
        <v>81</v>
      </c>
      <c r="C27" s="130"/>
      <c r="D27" s="168" t="s">
        <v>137</v>
      </c>
      <c r="E27" s="132"/>
      <c r="F27" s="129">
        <f>VLOOKUP(D27,廠價表!$C$1:$E$41,3,0)</f>
        <v>58.17</v>
      </c>
      <c r="G27" s="169">
        <v>2818</v>
      </c>
      <c r="H27" s="134">
        <f>F27*G27</f>
        <v>163923.06</v>
      </c>
      <c r="I27" s="135"/>
      <c r="J27" s="136">
        <f>VLOOKUP(D27,產線配置圖!$A$3:$C$38,2,0)</f>
        <v>16</v>
      </c>
      <c r="K27" s="137">
        <v>1636</v>
      </c>
      <c r="L27" s="138">
        <f t="shared" ref="L27:L28" si="25">K27/J27</f>
        <v>102.25</v>
      </c>
      <c r="M27" s="170">
        <v>15</v>
      </c>
      <c r="N27" s="140">
        <f>G27/W27*60</f>
        <v>1445.1282051282053</v>
      </c>
      <c r="O27" s="141">
        <f>N27/M27</f>
        <v>96.341880341880355</v>
      </c>
      <c r="P27" s="142">
        <f t="shared" si="21"/>
        <v>-1</v>
      </c>
      <c r="Q27" s="143">
        <f t="shared" si="22"/>
        <v>-5.9081196581196451</v>
      </c>
      <c r="R27" s="144">
        <f>O27/L27</f>
        <v>0.94221887864919662</v>
      </c>
      <c r="S27" s="413">
        <f>R37</f>
        <v>0.95699310279324967</v>
      </c>
      <c r="T27" s="171">
        <v>0.29166666666666702</v>
      </c>
      <c r="U27" s="171">
        <v>0.37291666666666701</v>
      </c>
      <c r="V27" s="135"/>
      <c r="W27" s="146">
        <f t="shared" si="17"/>
        <v>116.99999999999999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-190.87179487179469</v>
      </c>
      <c r="AG27" s="172">
        <f t="shared" si="24"/>
        <v>0.88333019873362184</v>
      </c>
      <c r="AH27" s="382">
        <f>AG37</f>
        <v>0.84563027941461422</v>
      </c>
    </row>
    <row r="28" spans="1:34" ht="15" customHeight="1">
      <c r="A28" s="411"/>
      <c r="B28" s="75" t="s">
        <v>120</v>
      </c>
      <c r="C28" s="173"/>
      <c r="D28" s="59" t="s">
        <v>122</v>
      </c>
      <c r="E28" s="104"/>
      <c r="F28" s="75">
        <f>VLOOKUP(D28,廠價表!$C$1:$E$41,3,0)</f>
        <v>49.52</v>
      </c>
      <c r="G28" s="90">
        <v>2524</v>
      </c>
      <c r="H28" s="91">
        <f>F28*G28</f>
        <v>124988.48000000001</v>
      </c>
      <c r="I28" s="92"/>
      <c r="J28" s="79">
        <f>VLOOKUP(D28,產線配置圖!$A$3:$C$38,2,0)</f>
        <v>17</v>
      </c>
      <c r="K28" s="80">
        <f>VLOOKUP(D28,產線配置圖!$A$3:$C$38,3,0)</f>
        <v>1440</v>
      </c>
      <c r="L28" s="93">
        <f t="shared" si="25"/>
        <v>84.705882352941174</v>
      </c>
      <c r="M28" s="94">
        <v>14</v>
      </c>
      <c r="N28" s="95">
        <f>G28/W28*60</f>
        <v>1156.0305343511477</v>
      </c>
      <c r="O28" s="96">
        <f>N28/M28</f>
        <v>82.573609596510551</v>
      </c>
      <c r="P28" s="97">
        <f t="shared" si="21"/>
        <v>-3</v>
      </c>
      <c r="Q28" s="98">
        <f t="shared" si="22"/>
        <v>-2.1322727564306234</v>
      </c>
      <c r="R28" s="99">
        <f>O28/L28</f>
        <v>0.97482733551436074</v>
      </c>
      <c r="S28" s="414"/>
      <c r="T28" s="19">
        <v>0.37986111111111098</v>
      </c>
      <c r="U28" s="19">
        <v>0.47083333333333299</v>
      </c>
      <c r="V28" s="92">
        <f>(T28-U27)*24*60</f>
        <v>9.999999999999325</v>
      </c>
      <c r="W28" s="149">
        <f t="shared" si="17"/>
        <v>130.99999999999969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-283.96946564885229</v>
      </c>
      <c r="AG28" s="99">
        <f t="shared" si="24"/>
        <v>0.80279898218829704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16.5</v>
      </c>
      <c r="K37" s="155">
        <f t="shared" si="27"/>
        <v>1538</v>
      </c>
      <c r="L37" s="158">
        <f t="shared" si="27"/>
        <v>93.47794117647058</v>
      </c>
      <c r="M37" s="155">
        <f t="shared" si="27"/>
        <v>14.5</v>
      </c>
      <c r="N37" s="155">
        <f t="shared" si="27"/>
        <v>1300.5793697396766</v>
      </c>
      <c r="O37" s="158">
        <f t="shared" si="27"/>
        <v>89.45774496919546</v>
      </c>
      <c r="P37" s="159">
        <f>M37-J37</f>
        <v>-2</v>
      </c>
      <c r="Q37" s="160">
        <f>N37-K37</f>
        <v>-237.42063026032338</v>
      </c>
      <c r="R37" s="161">
        <f t="shared" ref="R37:R40" si="28">O37/L37</f>
        <v>0.95699310279324967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-237.42063026032338</v>
      </c>
      <c r="AG37" s="124">
        <f t="shared" ref="AG37:AG41" si="30">N37/K37</f>
        <v>0.84563027941461422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2980</v>
      </c>
      <c r="H38" s="134">
        <f>F38*G38</f>
        <v>148731.79999999999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15</v>
      </c>
      <c r="N38" s="140">
        <f>G38/W38*60</f>
        <v>1430.3999999999921</v>
      </c>
      <c r="O38" s="141">
        <f>N38/M38</f>
        <v>95.359999999999474</v>
      </c>
      <c r="P38" s="142">
        <f t="shared" ref="P38:P40" si="32">M38-J38</f>
        <v>0</v>
      </c>
      <c r="Q38" s="143">
        <f t="shared" ref="Q38:Q40" si="33">O38-L38</f>
        <v>-18.906666666667192</v>
      </c>
      <c r="R38" s="144">
        <f>O38/L38</f>
        <v>0.83453908984830349</v>
      </c>
      <c r="S38" s="404">
        <f>R48</f>
        <v>0.88559882857784478</v>
      </c>
      <c r="T38" s="191">
        <v>0.33333333333333298</v>
      </c>
      <c r="U38" s="191">
        <v>0.42013888888888901</v>
      </c>
      <c r="V38" s="192"/>
      <c r="W38" s="193">
        <f t="shared" si="17"/>
        <v>125.00000000000068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-283.60000000000787</v>
      </c>
      <c r="AG38" s="195">
        <f t="shared" si="30"/>
        <v>0.83453908984830349</v>
      </c>
      <c r="AH38" s="398">
        <f>AG48</f>
        <v>0.85314219224210841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2417</v>
      </c>
      <c r="H39" s="91">
        <f>F39*G39</f>
        <v>107073.09999999999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16</v>
      </c>
      <c r="N39" s="202">
        <f>G39/W39*60</f>
        <v>1318.3636363636342</v>
      </c>
      <c r="O39" s="203">
        <f t="shared" ref="O39:O40" si="34">N39/M39</f>
        <v>82.397727272727138</v>
      </c>
      <c r="P39" s="97">
        <f t="shared" si="32"/>
        <v>-1</v>
      </c>
      <c r="Q39" s="98">
        <f t="shared" si="33"/>
        <v>-9.6610962566846297</v>
      </c>
      <c r="R39" s="99">
        <f t="shared" si="28"/>
        <v>0.8950551844321798</v>
      </c>
      <c r="S39" s="405"/>
      <c r="T39" s="20">
        <v>0.42708333333333298</v>
      </c>
      <c r="U39" s="20">
        <v>0.50347222222222199</v>
      </c>
      <c r="V39" s="92">
        <f>(T39-U38)*24*60</f>
        <v>9.999999999999325</v>
      </c>
      <c r="W39" s="205">
        <f t="shared" si="17"/>
        <v>110.00000000000017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-246.63636363636579</v>
      </c>
      <c r="AG39" s="206">
        <f t="shared" si="30"/>
        <v>0.84240487946558096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3229</v>
      </c>
      <c r="H40" s="91">
        <f>F40*G40</f>
        <v>143044.69999999998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16</v>
      </c>
      <c r="N40" s="202">
        <f>G40/W40*60</f>
        <v>1383.8571428571463</v>
      </c>
      <c r="O40" s="203">
        <f t="shared" si="34"/>
        <v>86.491071428571644</v>
      </c>
      <c r="P40" s="97">
        <f t="shared" si="32"/>
        <v>-1</v>
      </c>
      <c r="Q40" s="98">
        <f t="shared" si="33"/>
        <v>-5.5677521008401243</v>
      </c>
      <c r="R40" s="99">
        <f t="shared" si="28"/>
        <v>0.9395196257416728</v>
      </c>
      <c r="S40" s="377"/>
      <c r="T40" s="20">
        <v>0.5625</v>
      </c>
      <c r="U40" s="20">
        <v>0.65972222222222199</v>
      </c>
      <c r="V40" s="92">
        <f>(T40-U39)*24*60</f>
        <v>85.000000000000341</v>
      </c>
      <c r="W40" s="205">
        <f t="shared" si="17"/>
        <v>139.99999999999966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-181.1428571428537</v>
      </c>
      <c r="AG40" s="206">
        <f t="shared" si="30"/>
        <v>0.88425376540392731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15.666666666666666</v>
      </c>
      <c r="N48" s="155">
        <f t="shared" si="36"/>
        <v>1377.5402597402579</v>
      </c>
      <c r="O48" s="158">
        <f t="shared" si="36"/>
        <v>88.082932900432752</v>
      </c>
      <c r="P48" s="221">
        <f>M48-J48</f>
        <v>-0.66666666666666607</v>
      </c>
      <c r="Q48" s="222">
        <f>N48-K48</f>
        <v>-237.12640692640889</v>
      </c>
      <c r="R48" s="223">
        <f>O48/L48</f>
        <v>0.88559882857784478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-237.12640692640889</v>
      </c>
      <c r="AG48" s="162">
        <f t="shared" ref="AG48:AG53" si="38">N48/K48</f>
        <v>0.85314219224210841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113</v>
      </c>
      <c r="E49" s="132"/>
      <c r="F49" s="129">
        <f>VLOOKUP(D49,廠價表!$C$1:$E$41,3,0)</f>
        <v>57.21</v>
      </c>
      <c r="G49" s="228">
        <v>3643</v>
      </c>
      <c r="H49" s="134">
        <f>F49*G49</f>
        <v>208416.03</v>
      </c>
      <c r="I49" s="135"/>
      <c r="J49" s="136">
        <v>15</v>
      </c>
      <c r="K49" s="137">
        <v>1636</v>
      </c>
      <c r="L49" s="138">
        <f t="shared" ref="L49:L51" si="39">K49/J49</f>
        <v>109.06666666666666</v>
      </c>
      <c r="M49" s="170">
        <v>15</v>
      </c>
      <c r="N49" s="140">
        <f>G49/W49*60</f>
        <v>1476.8918918919035</v>
      </c>
      <c r="O49" s="141">
        <f>N49/M49</f>
        <v>98.459459459460234</v>
      </c>
      <c r="P49" s="229">
        <f>M49-J49</f>
        <v>0</v>
      </c>
      <c r="Q49" s="230">
        <f>O49-L49</f>
        <v>-10.607207207206429</v>
      </c>
      <c r="R49" s="52">
        <f>O49/L49</f>
        <v>0.90274565519065009</v>
      </c>
      <c r="S49" s="376">
        <f>R58</f>
        <v>0.92105206383793836</v>
      </c>
      <c r="T49" s="191">
        <v>0.29166666666666702</v>
      </c>
      <c r="U49" s="191">
        <v>0.39444444444444399</v>
      </c>
      <c r="V49" s="55"/>
      <c r="W49" s="193">
        <f t="shared" si="17"/>
        <v>147.99999999999883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-159.10810810809653</v>
      </c>
      <c r="AG49" s="52">
        <f t="shared" si="38"/>
        <v>0.90274565519065009</v>
      </c>
      <c r="AH49" s="382">
        <f>AG58</f>
        <v>0.88147285941403919</v>
      </c>
    </row>
    <row r="50" spans="1:34" ht="15" customHeight="1">
      <c r="A50" s="396"/>
      <c r="B50" s="75" t="s">
        <v>81</v>
      </c>
      <c r="C50" s="76"/>
      <c r="D50" s="59" t="s">
        <v>127</v>
      </c>
      <c r="E50" s="77"/>
      <c r="F50" s="75">
        <f>VLOOKUP(D50,廠價表!$C$1:$E$41,3,0)</f>
        <v>49.97</v>
      </c>
      <c r="G50" s="202">
        <v>2907</v>
      </c>
      <c r="H50" s="231">
        <f>F50*G50</f>
        <v>145262.79</v>
      </c>
      <c r="I50" s="232"/>
      <c r="J50" s="79">
        <f>VLOOKUP(D50,產線配置圖!$A$3:$C$38,2,0)</f>
        <v>16</v>
      </c>
      <c r="K50" s="80">
        <v>1800</v>
      </c>
      <c r="L50" s="81">
        <f t="shared" si="39"/>
        <v>112.5</v>
      </c>
      <c r="M50" s="233">
        <v>15</v>
      </c>
      <c r="N50" s="234">
        <f>G50/W50*60</f>
        <v>1614.9999999999998</v>
      </c>
      <c r="O50" s="235">
        <f>N50/M50</f>
        <v>107.66666666666666</v>
      </c>
      <c r="P50" s="74">
        <f>M50-J50</f>
        <v>-1</v>
      </c>
      <c r="Q50" s="83">
        <f>O50-L50</f>
        <v>-4.8333333333333428</v>
      </c>
      <c r="R50" s="72">
        <f>O50/L50</f>
        <v>0.95703703703703691</v>
      </c>
      <c r="S50" s="377"/>
      <c r="T50" s="21">
        <v>0.39722222222222198</v>
      </c>
      <c r="U50" s="21">
        <v>0.47222222222222199</v>
      </c>
      <c r="V50" s="30">
        <f t="shared" ref="V50:V52" si="40">(T50-U49)*24*60</f>
        <v>4.0000000000003055</v>
      </c>
      <c r="W50" s="236">
        <f t="shared" si="17"/>
        <v>108.00000000000001</v>
      </c>
      <c r="X50" s="22"/>
      <c r="Y50" s="84"/>
      <c r="Z50" s="90"/>
      <c r="AA50" s="90"/>
      <c r="AB50" s="388"/>
      <c r="AC50" s="388"/>
      <c r="AD50" s="92"/>
      <c r="AE50" s="92"/>
      <c r="AF50" s="307">
        <f t="shared" si="37"/>
        <v>-185.00000000000023</v>
      </c>
      <c r="AG50" s="72">
        <f t="shared" si="38"/>
        <v>0.89722222222222214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3047</v>
      </c>
      <c r="H51" s="231">
        <f>F51*G51</f>
        <v>152258.59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15</v>
      </c>
      <c r="N51" s="234">
        <f>G51/W51*60</f>
        <v>1523.5000000000055</v>
      </c>
      <c r="O51" s="235">
        <f>N51/M51</f>
        <v>101.56666666666703</v>
      </c>
      <c r="P51" s="74">
        <f>M51-J51</f>
        <v>-1</v>
      </c>
      <c r="Q51" s="83">
        <f>O51-L51</f>
        <v>-10.933333333332968</v>
      </c>
      <c r="R51" s="72">
        <f>O51/L51</f>
        <v>0.90281481481481807</v>
      </c>
      <c r="S51" s="377"/>
      <c r="T51" s="21">
        <v>0.52777777777777801</v>
      </c>
      <c r="U51" s="19">
        <v>0.61111111111111105</v>
      </c>
      <c r="V51" s="30">
        <f t="shared" si="40"/>
        <v>80.000000000000682</v>
      </c>
      <c r="W51" s="236">
        <f t="shared" si="17"/>
        <v>119.99999999999957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-276.49999999999454</v>
      </c>
      <c r="AG51" s="72">
        <f t="shared" si="38"/>
        <v>0.84638888888889197</v>
      </c>
      <c r="AH51" s="384"/>
    </row>
    <row r="52" spans="1:34" ht="15" customHeight="1">
      <c r="A52" s="396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77"/>
      <c r="T52" s="21">
        <v>0.52986111111111101</v>
      </c>
      <c r="U52" s="21">
        <v>0.58333333333333304</v>
      </c>
      <c r="V52" s="30">
        <f t="shared" si="40"/>
        <v>-117.00000000000006</v>
      </c>
      <c r="W52" s="236">
        <f t="shared" si="17"/>
        <v>76.99999999999973</v>
      </c>
      <c r="X52" s="22">
        <v>0.47916666666666702</v>
      </c>
      <c r="Y52" s="84">
        <v>0.52083333333333304</v>
      </c>
      <c r="Z52" s="90"/>
      <c r="AA52" s="90"/>
      <c r="AB52" s="388"/>
      <c r="AC52" s="388"/>
      <c r="AD52" s="92"/>
      <c r="AE52" s="92"/>
      <c r="AF52" s="307">
        <f t="shared" si="37"/>
        <v>0</v>
      </c>
      <c r="AG52" s="72" t="e">
        <f t="shared" si="38"/>
        <v>#DIV/0!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15.666666666666666</v>
      </c>
      <c r="K58" s="120">
        <f t="shared" si="41"/>
        <v>1745.3333333333333</v>
      </c>
      <c r="L58" s="117">
        <f t="shared" si="41"/>
        <v>111.35555555555555</v>
      </c>
      <c r="M58" s="120">
        <f t="shared" si="41"/>
        <v>15</v>
      </c>
      <c r="N58" s="120">
        <f t="shared" si="41"/>
        <v>1538.4639639639697</v>
      </c>
      <c r="O58" s="117">
        <f t="shared" si="41"/>
        <v>102.56426426426465</v>
      </c>
      <c r="P58" s="121">
        <f>M58-J58</f>
        <v>-0.66666666666666607</v>
      </c>
      <c r="Q58" s="122">
        <f>N58-K58</f>
        <v>-206.86936936936354</v>
      </c>
      <c r="R58" s="123">
        <f t="shared" ref="R58:R60" si="42">O58/L58</f>
        <v>0.92105206383793836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-206.86936936936354</v>
      </c>
      <c r="AG58" s="124">
        <f t="shared" ref="AG58:AG61" si="44">N58/K58</f>
        <v>0.88147285941403919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2625</v>
      </c>
      <c r="H59" s="243">
        <f>F59*G59</f>
        <v>70848.75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45">K59/J59</f>
        <v>120.38461538461539</v>
      </c>
      <c r="M59" s="244">
        <v>13</v>
      </c>
      <c r="N59" s="137">
        <f t="shared" ref="N59:N63" si="46">G59/W59*60</f>
        <v>1500.0000000000146</v>
      </c>
      <c r="O59" s="138">
        <f t="shared" ref="O59:O63" si="47">N59/M59</f>
        <v>115.38461538461651</v>
      </c>
      <c r="P59" s="56">
        <f t="shared" ref="P59:P63" si="48">M59-J59</f>
        <v>0</v>
      </c>
      <c r="Q59" s="230">
        <f t="shared" ref="Q59:Q63" si="49">O59-L59</f>
        <v>-4.9999999999988773</v>
      </c>
      <c r="R59" s="52">
        <f t="shared" si="42"/>
        <v>0.95846645367413075</v>
      </c>
      <c r="S59" s="376">
        <f>R69</f>
        <v>0.9500326693453367</v>
      </c>
      <c r="T59" s="245">
        <v>0.29166666666666702</v>
      </c>
      <c r="U59" s="245">
        <v>0.36458333333333298</v>
      </c>
      <c r="V59" s="55"/>
      <c r="W59" s="54">
        <f t="shared" si="17"/>
        <v>104.99999999999899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-64.999999999985448</v>
      </c>
      <c r="AG59" s="246">
        <f t="shared" si="44"/>
        <v>0.95846645367413075</v>
      </c>
      <c r="AH59" s="382">
        <f>AG69</f>
        <v>0.95356474127540325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1816</v>
      </c>
      <c r="H60" s="78">
        <f>F60*G60</f>
        <v>51320.160000000003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1534.6478873239612</v>
      </c>
      <c r="O60" s="81">
        <f t="shared" si="47"/>
        <v>127.88732394366343</v>
      </c>
      <c r="P60" s="74">
        <f t="shared" si="48"/>
        <v>0</v>
      </c>
      <c r="Q60" s="83">
        <f t="shared" si="49"/>
        <v>-2.529342723003225</v>
      </c>
      <c r="R60" s="72">
        <f t="shared" si="42"/>
        <v>0.98060567880125327</v>
      </c>
      <c r="S60" s="394"/>
      <c r="T60" s="22">
        <v>0.37291666666666701</v>
      </c>
      <c r="U60" s="22">
        <v>0.422222222222222</v>
      </c>
      <c r="V60" s="30">
        <f t="shared" ref="V60:V63" si="50">(T60-U59)*24*60</f>
        <v>12.000000000000997</v>
      </c>
      <c r="W60" s="248">
        <f t="shared" si="17"/>
        <v>70.99999999999919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-30.352112676038814</v>
      </c>
      <c r="AG60" s="249">
        <f t="shared" si="44"/>
        <v>0.98060567880125316</v>
      </c>
      <c r="AH60" s="389"/>
    </row>
    <row r="61" spans="1:34" ht="15" customHeight="1">
      <c r="A61" s="392"/>
      <c r="B61" s="250" t="s">
        <v>128</v>
      </c>
      <c r="C61" s="251"/>
      <c r="D61" s="252" t="s">
        <v>138</v>
      </c>
      <c r="E61" s="253"/>
      <c r="F61" s="250">
        <f>VLOOKUP(D61,廠價表!$C$1:$E$41,3,0)</f>
        <v>28.26</v>
      </c>
      <c r="G61" s="38">
        <v>2021</v>
      </c>
      <c r="H61" s="254">
        <f>F61*G61</f>
        <v>57113.460000000006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 t="shared" si="45"/>
        <v>181.77777777777777</v>
      </c>
      <c r="M61" s="108">
        <v>9</v>
      </c>
      <c r="N61" s="107">
        <f t="shared" si="46"/>
        <v>1515.7500000000159</v>
      </c>
      <c r="O61" s="238">
        <f t="shared" si="47"/>
        <v>168.41666666666845</v>
      </c>
      <c r="P61" s="111">
        <f t="shared" si="48"/>
        <v>0</v>
      </c>
      <c r="Q61" s="255">
        <f t="shared" si="49"/>
        <v>-13.361111111109324</v>
      </c>
      <c r="R61" s="85">
        <f>O61/L61</f>
        <v>0.92649755501223474</v>
      </c>
      <c r="S61" s="377"/>
      <c r="T61" s="22">
        <v>0.43055555555555602</v>
      </c>
      <c r="U61" s="22">
        <v>0.48611111111111099</v>
      </c>
      <c r="V61" s="30">
        <f t="shared" si="50"/>
        <v>12.000000000000997</v>
      </c>
      <c r="W61" s="256">
        <f t="shared" si="17"/>
        <v>79.999999999999162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43"/>
        <v>-120.24999999998408</v>
      </c>
      <c r="AG61" s="247">
        <f t="shared" si="44"/>
        <v>0.92649755501223463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2154</v>
      </c>
      <c r="H62" s="254">
        <f t="shared" ref="H62:H63" si="51">F62*G62</f>
        <v>60872.04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108">
        <v>9</v>
      </c>
      <c r="N62" s="107">
        <f t="shared" si="46"/>
        <v>1520.4705882353139</v>
      </c>
      <c r="O62" s="238">
        <f t="shared" si="47"/>
        <v>168.94117647059045</v>
      </c>
      <c r="P62" s="111">
        <f t="shared" si="48"/>
        <v>0</v>
      </c>
      <c r="Q62" s="255">
        <f t="shared" si="49"/>
        <v>-12.836601307187323</v>
      </c>
      <c r="R62" s="85">
        <f t="shared" ref="R62:R63" si="52">O62/L62</f>
        <v>0.92938300014383501</v>
      </c>
      <c r="S62" s="377"/>
      <c r="T62" s="22">
        <v>0.54166666666666696</v>
      </c>
      <c r="U62" s="22">
        <v>0.60069444444444398</v>
      </c>
      <c r="V62" s="30">
        <f t="shared" si="50"/>
        <v>80.000000000000597</v>
      </c>
      <c r="W62" s="248">
        <f t="shared" si="17"/>
        <v>84.999999999998892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-115.52941176468607</v>
      </c>
      <c r="AG62" s="247">
        <f>N62/K62</f>
        <v>0.9293830001438349</v>
      </c>
      <c r="AH62" s="384"/>
    </row>
    <row r="63" spans="1:34" ht="15" customHeight="1">
      <c r="A63" s="392"/>
      <c r="B63" s="258" t="s">
        <v>128</v>
      </c>
      <c r="C63" s="58"/>
      <c r="D63" s="259" t="s">
        <v>129</v>
      </c>
      <c r="E63" s="60"/>
      <c r="F63" s="250">
        <f>VLOOKUP(D63,廠價表!$C$1:$E$41,3,0)</f>
        <v>26.99</v>
      </c>
      <c r="G63" s="260">
        <v>1399</v>
      </c>
      <c r="H63" s="254">
        <f t="shared" si="51"/>
        <v>37759.009999999995</v>
      </c>
      <c r="I63" s="182"/>
      <c r="J63" s="106">
        <f>VLOOKUP(D63,產線配置圖!$A$3:$C$38,2,0)</f>
        <v>13</v>
      </c>
      <c r="K63" s="107">
        <f>VLOOKUP(D63,產線配置圖!$A$3:$C$38,3,0)</f>
        <v>1565</v>
      </c>
      <c r="L63" s="238">
        <f t="shared" si="45"/>
        <v>120.38461538461539</v>
      </c>
      <c r="M63" s="68">
        <v>13</v>
      </c>
      <c r="N63" s="107">
        <f t="shared" si="46"/>
        <v>1526.1818181818323</v>
      </c>
      <c r="O63" s="238">
        <f t="shared" si="47"/>
        <v>117.39860139860249</v>
      </c>
      <c r="P63" s="111">
        <f t="shared" si="48"/>
        <v>0</v>
      </c>
      <c r="Q63" s="255">
        <f t="shared" si="49"/>
        <v>-2.9860139860128925</v>
      </c>
      <c r="R63" s="85">
        <f t="shared" si="52"/>
        <v>0.97519604995644238</v>
      </c>
      <c r="S63" s="377"/>
      <c r="T63" s="22">
        <v>0.60763888888888895</v>
      </c>
      <c r="U63" s="22">
        <v>0.64583333333333304</v>
      </c>
      <c r="V63" s="30">
        <f t="shared" si="50"/>
        <v>10.000000000000764</v>
      </c>
      <c r="W63" s="248">
        <f t="shared" si="17"/>
        <v>54.999999999999488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118"/>
      <c r="I69" s="267"/>
      <c r="J69" s="240">
        <f t="shared" ref="J69:O69" si="53">AVERAGE(J59:J68)</f>
        <v>11.2</v>
      </c>
      <c r="K69" s="240">
        <f t="shared" si="53"/>
        <v>1593.4</v>
      </c>
      <c r="L69" s="268">
        <f t="shared" si="53"/>
        <v>146.94829059829061</v>
      </c>
      <c r="M69" s="240">
        <f t="shared" si="53"/>
        <v>11.2</v>
      </c>
      <c r="N69" s="240">
        <f t="shared" si="53"/>
        <v>1519.4100587482276</v>
      </c>
      <c r="O69" s="268">
        <f t="shared" si="53"/>
        <v>139.60567677282828</v>
      </c>
      <c r="P69" s="269">
        <f>M69-J69</f>
        <v>0</v>
      </c>
      <c r="Q69" s="222">
        <f>N69-K69</f>
        <v>-73.989941251772507</v>
      </c>
      <c r="R69" s="123">
        <f>O69/L69</f>
        <v>0.9500326693453367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-73.989941251772507</v>
      </c>
      <c r="AG69" s="124">
        <f>N69/K69</f>
        <v>0.95356474127540325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55">
        <v>2673</v>
      </c>
      <c r="H70" s="243">
        <f>F70*G70</f>
        <v>135440.91</v>
      </c>
      <c r="I70" s="55"/>
      <c r="J70" s="136">
        <v>13</v>
      </c>
      <c r="K70" s="137">
        <v>1440</v>
      </c>
      <c r="L70" s="138">
        <f>K70/J70</f>
        <v>110.76923076923077</v>
      </c>
      <c r="M70" s="244">
        <v>10</v>
      </c>
      <c r="N70" s="137">
        <f>G70/W70*60</f>
        <v>1055.1315789473638</v>
      </c>
      <c r="O70" s="138">
        <f>N70/M70</f>
        <v>105.51315789473638</v>
      </c>
      <c r="P70" s="56">
        <f>M70-J70</f>
        <v>-3</v>
      </c>
      <c r="Q70" s="230">
        <f>O70-L70</f>
        <v>-5.256072874494393</v>
      </c>
      <c r="R70" s="52">
        <f>O70/L70</f>
        <v>0.95254934210525899</v>
      </c>
      <c r="S70" s="376">
        <f>R79</f>
        <v>0.89895688267749752</v>
      </c>
      <c r="T70" s="245">
        <v>0.33333333333333298</v>
      </c>
      <c r="U70" s="245">
        <v>0.43888888888888899</v>
      </c>
      <c r="V70" s="55"/>
      <c r="W70" s="54">
        <f t="shared" si="17"/>
        <v>152.00000000000065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-384.86842105263622</v>
      </c>
      <c r="AG70" s="246">
        <f>N70/K70</f>
        <v>0.73273026315789147</v>
      </c>
      <c r="AH70" s="382">
        <f>AG79</f>
        <v>0.70446391645119244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30">
        <v>1393</v>
      </c>
      <c r="H71" s="254">
        <f>F71*G71</f>
        <v>78606.990000000005</v>
      </c>
      <c r="I71" s="182"/>
      <c r="J71" s="106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13</v>
      </c>
      <c r="N71" s="107">
        <f>G71/W71*60</f>
        <v>949.77272727272975</v>
      </c>
      <c r="O71" s="238">
        <f>N71/M71</f>
        <v>73.059440559440745</v>
      </c>
      <c r="P71" s="111">
        <f>M71-J71</f>
        <v>-3</v>
      </c>
      <c r="Q71" s="255">
        <f>O71-L71</f>
        <v>-14.815559440559255</v>
      </c>
      <c r="R71" s="85">
        <f>O71/L71</f>
        <v>0.83140188403346504</v>
      </c>
      <c r="S71" s="377"/>
      <c r="T71" s="22">
        <v>0.44583333333333303</v>
      </c>
      <c r="U71" s="22">
        <v>0.50694444444444398</v>
      </c>
      <c r="V71" s="30">
        <f>(T71-U70)*24*60</f>
        <v>9.9999999999994049</v>
      </c>
      <c r="W71" s="73">
        <f t="shared" si="17"/>
        <v>87.999999999999773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5">AVERAGE(J70:J78)</f>
        <v>14.5</v>
      </c>
      <c r="K79" s="240">
        <f t="shared" si="55"/>
        <v>1423</v>
      </c>
      <c r="L79" s="268">
        <f t="shared" si="55"/>
        <v>99.322115384615387</v>
      </c>
      <c r="M79" s="240">
        <f t="shared" si="55"/>
        <v>11.5</v>
      </c>
      <c r="N79" s="240">
        <f t="shared" si="55"/>
        <v>1002.4521531100468</v>
      </c>
      <c r="O79" s="268">
        <f t="shared" si="55"/>
        <v>89.286299227088563</v>
      </c>
      <c r="P79" s="269">
        <f>M79-J79</f>
        <v>-3</v>
      </c>
      <c r="Q79" s="222">
        <f>N79-K79</f>
        <v>-420.54784688995323</v>
      </c>
      <c r="R79" s="223">
        <f>O79/L79</f>
        <v>0.89895688267749752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-420.54784688995323</v>
      </c>
      <c r="AG79" s="124">
        <f>N79/K79</f>
        <v>0.70446391645119244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920234-12A9-47E4-81CF-F8E23462940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EF88-7347-4429-8776-3D7AD7B31C76}">
  <dimension ref="B1:O26"/>
  <sheetViews>
    <sheetView topLeftCell="A2" zoomScale="70" zoomScaleNormal="70" workbookViewId="0">
      <selection activeCell="D13" sqref="D1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80" width="8.85546875" style="2" customWidth="1"/>
    <col min="81" max="16384" width="8.85546875" style="2"/>
  </cols>
  <sheetData>
    <row r="1" spans="2:15" ht="27.75" customHeight="1">
      <c r="B1" s="465" t="s">
        <v>70</v>
      </c>
      <c r="C1" s="465"/>
      <c r="D1" s="465"/>
      <c r="E1" s="465"/>
      <c r="F1" s="465"/>
      <c r="G1" s="465"/>
      <c r="H1" s="465"/>
      <c r="I1" s="465"/>
      <c r="J1" s="465"/>
      <c r="K1" s="465"/>
      <c r="L1" s="1"/>
      <c r="M1" s="1"/>
    </row>
    <row r="2" spans="2:15" ht="27.75" customHeight="1"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1"/>
      <c r="M2" s="1"/>
    </row>
    <row r="3" spans="2:15" ht="46.5" customHeight="1">
      <c r="B3" s="462" t="s">
        <v>71</v>
      </c>
      <c r="C3" s="462"/>
      <c r="D3" s="466">
        <v>46112</v>
      </c>
      <c r="E3" s="466"/>
      <c r="F3" s="3" t="s">
        <v>72</v>
      </c>
      <c r="G3" s="467">
        <f>'0331'!E1</f>
        <v>53356</v>
      </c>
      <c r="H3" s="467"/>
      <c r="I3" s="3" t="s">
        <v>2</v>
      </c>
      <c r="J3" s="468">
        <f>'0331'!G1</f>
        <v>2486146.87</v>
      </c>
      <c r="K3" s="468"/>
      <c r="L3" s="4"/>
    </row>
    <row r="4" spans="2:15" ht="24" customHeight="1">
      <c r="B4" s="462" t="s">
        <v>73</v>
      </c>
      <c r="C4" s="462"/>
      <c r="D4" s="463">
        <v>3</v>
      </c>
      <c r="E4" s="463"/>
      <c r="F4" s="464" t="s">
        <v>74</v>
      </c>
      <c r="G4" s="464"/>
      <c r="H4" s="464" t="s">
        <v>75</v>
      </c>
      <c r="I4" s="464"/>
      <c r="J4" s="463" t="s">
        <v>76</v>
      </c>
      <c r="K4" s="464"/>
      <c r="L4" s="482" t="s">
        <v>77</v>
      </c>
      <c r="M4" s="475"/>
      <c r="N4" s="475" t="s">
        <v>78</v>
      </c>
      <c r="O4" s="475"/>
    </row>
    <row r="5" spans="2:15" ht="24" customHeight="1">
      <c r="B5" s="462" t="s">
        <v>14</v>
      </c>
      <c r="C5" s="462"/>
      <c r="D5" s="463" t="s">
        <v>79</v>
      </c>
      <c r="E5" s="463"/>
      <c r="F5" s="463" t="s">
        <v>80</v>
      </c>
      <c r="G5" s="463"/>
      <c r="H5" s="471" t="s">
        <v>81</v>
      </c>
      <c r="I5" s="471"/>
      <c r="J5" s="472" t="s">
        <v>82</v>
      </c>
      <c r="K5" s="47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62"/>
      <c r="C6" s="462"/>
      <c r="D6" s="462" t="s">
        <v>86</v>
      </c>
      <c r="E6" s="462"/>
      <c r="F6" s="473">
        <f>AVERAGE(D13:J13)</f>
        <v>127.80206256162137</v>
      </c>
      <c r="G6" s="473"/>
      <c r="H6" s="474">
        <f>AVERAGE(D13:H13,J13)</f>
        <v>122.56458580907109</v>
      </c>
      <c r="I6" s="474"/>
      <c r="J6" s="474">
        <f>AVERAGE(I13)</f>
        <v>159.2269230769231</v>
      </c>
      <c r="K6" s="474"/>
      <c r="L6" s="499">
        <f>SUM(D18:J18)</f>
        <v>0</v>
      </c>
      <c r="M6" s="477">
        <f>SUM(D19:J19)</f>
        <v>0</v>
      </c>
      <c r="N6" s="500">
        <f>SUM(D20:J20)</f>
        <v>0</v>
      </c>
      <c r="O6" s="477">
        <f>SUM(D20:J20)</f>
        <v>0</v>
      </c>
    </row>
    <row r="7" spans="2:15" ht="39.6" customHeight="1">
      <c r="B7" s="462"/>
      <c r="C7" s="462"/>
      <c r="D7" s="469" t="s">
        <v>87</v>
      </c>
      <c r="E7" s="469"/>
      <c r="F7" s="497">
        <f>AVERAGE(D14:J14)</f>
        <v>115.81645712897854</v>
      </c>
      <c r="G7" s="497"/>
      <c r="H7" s="498">
        <f>AVERAGE(D14:H14,J14)</f>
        <v>111.83139807419512</v>
      </c>
      <c r="I7" s="498"/>
      <c r="J7" s="498">
        <f>AVERAGE(I14)</f>
        <v>139.72681145767905</v>
      </c>
      <c r="K7" s="498"/>
      <c r="L7" s="476" t="e">
        <f t="shared" ref="L7:O8" si="0">AVERAGE(K14:L14)</f>
        <v>#DIV/0!</v>
      </c>
      <c r="M7" s="477" t="e">
        <f t="shared" si="0"/>
        <v>#DIV/0!</v>
      </c>
      <c r="N7" s="478" t="e">
        <f t="shared" si="0"/>
        <v>#DIV/0!</v>
      </c>
      <c r="O7" s="477" t="e">
        <f t="shared" si="0"/>
        <v>#DIV/0!</v>
      </c>
    </row>
    <row r="8" spans="2:15" ht="39.6" customHeight="1">
      <c r="B8" s="462"/>
      <c r="C8" s="462"/>
      <c r="D8" s="469" t="s">
        <v>27</v>
      </c>
      <c r="E8" s="469"/>
      <c r="F8" s="470">
        <f>F7/F6</f>
        <v>0.90621743348732098</v>
      </c>
      <c r="G8" s="470"/>
      <c r="H8" s="470">
        <f>H7/H6</f>
        <v>0.91242831145698211</v>
      </c>
      <c r="I8" s="470"/>
      <c r="J8" s="470">
        <f>J7/J6</f>
        <v>0.87753257274321961</v>
      </c>
      <c r="K8" s="470"/>
      <c r="L8" s="476" t="e">
        <f t="shared" si="0"/>
        <v>#DIV/0!</v>
      </c>
      <c r="M8" s="477" t="e">
        <f t="shared" si="0"/>
        <v>#DIV/0!</v>
      </c>
      <c r="N8" s="478" t="e">
        <f t="shared" si="0"/>
        <v>#DIV/0!</v>
      </c>
      <c r="O8" s="47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9" t="s">
        <v>89</v>
      </c>
      <c r="C10" s="480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>
      <c r="B11" s="486" t="s">
        <v>91</v>
      </c>
      <c r="C11" s="48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8"/>
      <c r="C12" s="48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90" t="s">
        <v>14</v>
      </c>
      <c r="C13" s="12" t="s">
        <v>99</v>
      </c>
      <c r="D13" s="13">
        <f>VALUE('0331'!L15)</f>
        <v>158.61538461538461</v>
      </c>
      <c r="E13" s="13">
        <f>VALUE('0331'!L26)</f>
        <v>170.39772727272725</v>
      </c>
      <c r="F13" s="13">
        <f>VALUE('0331'!L37)</f>
        <v>96.235294117647058</v>
      </c>
      <c r="G13" s="13">
        <f>VALUE('0331'!L48)</f>
        <v>99.461437908496734</v>
      </c>
      <c r="H13" s="13">
        <f>VALUE('0331'!L58)</f>
        <v>111.35555555555555</v>
      </c>
      <c r="I13" s="13">
        <f>VALUE('0331'!L69)</f>
        <v>159.2269230769231</v>
      </c>
      <c r="J13" s="13">
        <f>'0331'!L79</f>
        <v>99.322115384615387</v>
      </c>
    </row>
    <row r="14" spans="2:15" ht="39.950000000000003" customHeight="1">
      <c r="B14" s="491"/>
      <c r="C14" s="12" t="s">
        <v>100</v>
      </c>
      <c r="D14" s="13">
        <f>VALUE('0331'!O15)</f>
        <v>150.70036398200759</v>
      </c>
      <c r="E14" s="13">
        <f>VALUE('0331'!O26)</f>
        <v>154.55984337680451</v>
      </c>
      <c r="F14" s="13">
        <f>VALUE('0331'!O37)</f>
        <v>86.315789473684944</v>
      </c>
      <c r="G14" s="13">
        <f>VALUE('0331'!O48)</f>
        <v>90.184917229987931</v>
      </c>
      <c r="H14" s="13">
        <f>VALUE('0331'!O58)</f>
        <v>101.78904666482454</v>
      </c>
      <c r="I14" s="13">
        <f>VALUE('0331'!O69)</f>
        <v>139.72681145767905</v>
      </c>
      <c r="J14" s="13">
        <f>'0331'!O79</f>
        <v>87.438427717861174</v>
      </c>
    </row>
    <row r="15" spans="2:15" ht="39.950000000000003" customHeight="1">
      <c r="B15" s="492"/>
      <c r="C15" s="10" t="s">
        <v>26</v>
      </c>
      <c r="D15" s="14">
        <f>D14/D13</f>
        <v>0.95009928795640086</v>
      </c>
      <c r="E15" s="14">
        <f t="shared" ref="E15:I15" si="1">E14/E13</f>
        <v>0.90705343228801594</v>
      </c>
      <c r="F15" s="14">
        <f t="shared" si="1"/>
        <v>0.89692446274611493</v>
      </c>
      <c r="G15" s="14">
        <f t="shared" si="1"/>
        <v>0.90673248976107623</v>
      </c>
      <c r="H15" s="14">
        <f t="shared" si="1"/>
        <v>0.91409042105709526</v>
      </c>
      <c r="I15" s="14">
        <f t="shared" si="1"/>
        <v>0.87753257274321961</v>
      </c>
      <c r="J15" s="15">
        <f>'0331'!S70</f>
        <v>0.88035204827509195</v>
      </c>
    </row>
    <row r="16" spans="2:15" ht="17.25" customHeight="1">
      <c r="B16" s="493" t="s">
        <v>101</v>
      </c>
      <c r="C16" s="10" t="s">
        <v>34</v>
      </c>
      <c r="D16" s="16">
        <f>'0331'!T5</f>
        <v>0.29166666666666702</v>
      </c>
      <c r="E16" s="16">
        <f>'0331'!T16</f>
        <v>0.29097222222222202</v>
      </c>
      <c r="F16" s="16">
        <f>'0331'!T27</f>
        <v>0.29166666666666702</v>
      </c>
      <c r="G16" s="16">
        <f>'0331'!T38</f>
        <v>0.33333333333333298</v>
      </c>
      <c r="H16" s="16">
        <f>'0331'!T49</f>
        <v>0.29166666666666702</v>
      </c>
      <c r="I16" s="16">
        <f>'0331'!T59</f>
        <v>0.29166666666666702</v>
      </c>
      <c r="J16" s="16">
        <f>'0331'!T70</f>
        <v>0.33333333333333298</v>
      </c>
    </row>
    <row r="17" spans="2:10" ht="17.25" customHeight="1">
      <c r="B17" s="494"/>
      <c r="C17" s="10" t="s">
        <v>35</v>
      </c>
      <c r="D17" s="18">
        <v>0.60069444444444398</v>
      </c>
      <c r="E17" s="19">
        <v>0.61319444444444404</v>
      </c>
      <c r="F17" s="19">
        <v>0.47083333333333299</v>
      </c>
      <c r="G17" s="20">
        <v>0.65972222222222199</v>
      </c>
      <c r="H17" s="21">
        <v>0.58333333333333304</v>
      </c>
      <c r="I17" s="22">
        <v>0.64583333333333304</v>
      </c>
      <c r="J17" s="22">
        <v>0.50694444444444398</v>
      </c>
    </row>
    <row r="18" spans="2:10" ht="17.25" customHeight="1">
      <c r="B18" s="495" t="s">
        <v>102</v>
      </c>
      <c r="C18" s="330" t="s">
        <v>36</v>
      </c>
      <c r="D18" s="358">
        <f>'0331'!Z15</f>
        <v>0</v>
      </c>
      <c r="E18" s="359">
        <f>'0331'!Z26</f>
        <v>0</v>
      </c>
      <c r="F18" s="359">
        <f>'0331'!Z37</f>
        <v>0</v>
      </c>
      <c r="G18" s="360">
        <f>'0331'!Z48</f>
        <v>0</v>
      </c>
      <c r="H18" s="360">
        <f>'0331'!Z58</f>
        <v>0</v>
      </c>
      <c r="I18" s="359">
        <f>'0331'!Z69</f>
        <v>0</v>
      </c>
      <c r="J18" s="359">
        <f>'0331'!AA79</f>
        <v>0</v>
      </c>
    </row>
    <row r="19" spans="2:10" ht="17.25" customHeight="1">
      <c r="B19" s="496"/>
      <c r="C19" s="330" t="s">
        <v>37</v>
      </c>
      <c r="D19" s="358">
        <f>'0331'!AA15</f>
        <v>0</v>
      </c>
      <c r="E19" s="359">
        <f>'0331'!AA26</f>
        <v>0</v>
      </c>
      <c r="F19" s="359">
        <f>'0331'!AA37</f>
        <v>0</v>
      </c>
      <c r="G19" s="360">
        <f>'0331'!AA48</f>
        <v>0</v>
      </c>
      <c r="H19" s="360">
        <f>'0331'!AA58</f>
        <v>0</v>
      </c>
      <c r="I19" s="359">
        <f>'0331'!AA69</f>
        <v>0</v>
      </c>
      <c r="J19" s="359">
        <f>'0331'!AB79</f>
        <v>0</v>
      </c>
    </row>
    <row r="20" spans="2:10" ht="17.25" customHeight="1">
      <c r="B20" s="495" t="s">
        <v>103</v>
      </c>
      <c r="C20" s="330" t="s">
        <v>36</v>
      </c>
      <c r="D20" s="358">
        <f>'0331'!AD15</f>
        <v>0</v>
      </c>
      <c r="E20" s="359">
        <f>'0331'!AD26</f>
        <v>0</v>
      </c>
      <c r="F20" s="359">
        <f>'0331'!AD37</f>
        <v>0</v>
      </c>
      <c r="G20" s="360">
        <f>'0331'!AD48</f>
        <v>0</v>
      </c>
      <c r="H20" s="360">
        <f>'0331'!AD58</f>
        <v>0</v>
      </c>
      <c r="I20" s="359">
        <f>'0331'!AD69</f>
        <v>0</v>
      </c>
      <c r="J20" s="359">
        <f>'0331'!AD79</f>
        <v>0</v>
      </c>
    </row>
    <row r="21" spans="2:10" ht="17.25" customHeight="1">
      <c r="B21" s="496"/>
      <c r="C21" s="330" t="s">
        <v>85</v>
      </c>
      <c r="D21" s="358">
        <f>'0331'!AE15</f>
        <v>0</v>
      </c>
      <c r="E21" s="359">
        <f>'0331'!AE26</f>
        <v>0</v>
      </c>
      <c r="F21" s="359">
        <f>'0331'!AE37</f>
        <v>0</v>
      </c>
      <c r="G21" s="360">
        <f>'0331'!AE48</f>
        <v>0</v>
      </c>
      <c r="H21" s="360">
        <f>'0331'!AE58</f>
        <v>0</v>
      </c>
      <c r="I21" s="359">
        <f>'0331'!AE69</f>
        <v>0</v>
      </c>
      <c r="J21" s="359">
        <f>'0331'!AE79</f>
        <v>0</v>
      </c>
    </row>
    <row r="22" spans="2:10" ht="17.25" customHeight="1">
      <c r="B22" s="479" t="s">
        <v>104</v>
      </c>
      <c r="C22" s="480"/>
      <c r="D22" s="23">
        <f>VALUE('0331'!M15)</f>
        <v>13.333333333333334</v>
      </c>
      <c r="E22" s="23">
        <f>VALUE('0331'!M26)</f>
        <v>12.25</v>
      </c>
      <c r="F22" s="23">
        <f>VALUE('0331'!M37)</f>
        <v>15</v>
      </c>
      <c r="G22" s="23">
        <f>VALUE('0331'!M48)</f>
        <v>16.333333333333332</v>
      </c>
      <c r="H22" s="23">
        <f>VALUE('0331'!M58)</f>
        <v>15.666666666666666</v>
      </c>
      <c r="I22" s="23">
        <f>VALUE('0331'!M69)</f>
        <v>10.4</v>
      </c>
      <c r="J22" s="23">
        <f>'0331'!M79</f>
        <v>13</v>
      </c>
    </row>
    <row r="23" spans="2:10" ht="17.25" customHeight="1">
      <c r="B23" s="479" t="s">
        <v>105</v>
      </c>
      <c r="C23" s="48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9" t="s">
        <v>109</v>
      </c>
      <c r="C24" s="480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9" t="s">
        <v>111</v>
      </c>
      <c r="C25" s="480"/>
      <c r="D25" s="25"/>
      <c r="E25" s="25"/>
      <c r="F25" s="25"/>
      <c r="G25" s="25"/>
      <c r="H25" s="25"/>
      <c r="I25" s="25"/>
      <c r="J25" s="25"/>
    </row>
    <row r="26" spans="2:10">
      <c r="B26" s="481"/>
      <c r="C26" s="48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3A8C-C0BF-4A11-BE16-A6711D072FFD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R18" sqref="R18"/>
      <selection pane="topRight" activeCell="R18" sqref="R18"/>
      <selection pane="bottomLeft" activeCell="R18" sqref="R18"/>
      <selection pane="bottomRight" activeCell="M39" sqref="M3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80" width="8.7109375" style="34" customWidth="1"/>
    <col min="8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53356</v>
      </c>
      <c r="F1" s="30" t="s">
        <v>2</v>
      </c>
      <c r="G1" s="31">
        <f>SUM(H5:H79)</f>
        <v>2486146.87</v>
      </c>
      <c r="H1" s="32" t="s">
        <v>3</v>
      </c>
      <c r="I1" s="33">
        <f>M15+M26+M48+M58+M69+M79+M37</f>
        <v>95.983333333333334</v>
      </c>
      <c r="J1" s="444" t="s">
        <v>4</v>
      </c>
      <c r="K1" s="444"/>
      <c r="L1" s="444"/>
      <c r="M1" s="444" t="s">
        <v>5</v>
      </c>
      <c r="N1" s="444"/>
      <c r="O1" s="444"/>
      <c r="P1" s="444" t="s">
        <v>6</v>
      </c>
      <c r="Q1" s="444"/>
      <c r="R1" s="444"/>
      <c r="S1" s="444"/>
      <c r="T1" s="444" t="s">
        <v>7</v>
      </c>
      <c r="U1" s="444"/>
      <c r="V1" s="444"/>
      <c r="W1" s="444"/>
      <c r="X1" s="444"/>
      <c r="Y1" s="444"/>
      <c r="Z1" s="294" t="s">
        <v>8</v>
      </c>
      <c r="AA1" s="294" t="s">
        <v>9</v>
      </c>
      <c r="AB1" s="444" t="s">
        <v>10</v>
      </c>
      <c r="AC1" s="444"/>
      <c r="AD1" s="294" t="s">
        <v>8</v>
      </c>
      <c r="AE1" s="294" t="s">
        <v>11</v>
      </c>
      <c r="AF1" s="444" t="s">
        <v>12</v>
      </c>
      <c r="AG1" s="446"/>
      <c r="AH1" s="446"/>
    </row>
    <row r="2" spans="1:34" ht="23.25">
      <c r="A2" s="447" t="s">
        <v>238</v>
      </c>
      <c r="B2" s="447"/>
      <c r="C2" s="28"/>
      <c r="D2" s="28" t="s">
        <v>14</v>
      </c>
      <c r="E2" s="35">
        <f>AVERAGE(O15,O26,O37,O48,O58,O69,O79)</f>
        <v>115.81645712897854</v>
      </c>
      <c r="F2" s="36" t="s">
        <v>15</v>
      </c>
      <c r="G2" s="37">
        <f>G1/E1</f>
        <v>46.595450745932979</v>
      </c>
      <c r="H2" s="32" t="s">
        <v>16</v>
      </c>
      <c r="I2" s="32">
        <f>COUNT(I5:I79)</f>
        <v>0</v>
      </c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339">
        <f>Z15+Z26+Z37+Z48+Z58+Z69+Z79</f>
        <v>0</v>
      </c>
      <c r="AA2" s="339">
        <f>AA15+AA26+AA37+AA48+AA58+AA69+AA79</f>
        <v>0</v>
      </c>
      <c r="AB2" s="445"/>
      <c r="AC2" s="445"/>
      <c r="AD2" s="340">
        <f>AD15+AD26+AD37+AD48+AD58+AD69+AD79</f>
        <v>0</v>
      </c>
      <c r="AE2" s="340">
        <f>AE15+AE26+AE37+AE48+AE58+AE69+AE79</f>
        <v>0</v>
      </c>
      <c r="AF2" s="446"/>
      <c r="AG2" s="446"/>
      <c r="AH2" s="446"/>
    </row>
    <row r="3" spans="1:34" ht="32.1" customHeight="1">
      <c r="A3" s="448" t="s">
        <v>17</v>
      </c>
      <c r="B3" s="448" t="s">
        <v>18</v>
      </c>
      <c r="C3" s="30"/>
      <c r="D3" s="448" t="s">
        <v>19</v>
      </c>
      <c r="E3" s="448"/>
      <c r="F3" s="450" t="s">
        <v>20</v>
      </c>
      <c r="G3" s="432" t="s">
        <v>21</v>
      </c>
      <c r="H3" s="450" t="s">
        <v>22</v>
      </c>
      <c r="I3" s="435" t="s">
        <v>23</v>
      </c>
      <c r="J3" s="454" t="s">
        <v>24</v>
      </c>
      <c r="K3" s="456" t="s">
        <v>25</v>
      </c>
      <c r="L3" s="458" t="s">
        <v>14</v>
      </c>
      <c r="M3" s="432" t="s">
        <v>24</v>
      </c>
      <c r="N3" s="456" t="s">
        <v>25</v>
      </c>
      <c r="O3" s="458" t="s">
        <v>14</v>
      </c>
      <c r="P3" s="454" t="s">
        <v>24</v>
      </c>
      <c r="Q3" s="458" t="s">
        <v>14</v>
      </c>
      <c r="R3" s="460" t="s">
        <v>26</v>
      </c>
      <c r="S3" s="452" t="s">
        <v>27</v>
      </c>
      <c r="T3" s="432" t="s">
        <v>28</v>
      </c>
      <c r="U3" s="432"/>
      <c r="V3" s="433" t="s">
        <v>29</v>
      </c>
      <c r="W3" s="435" t="s">
        <v>30</v>
      </c>
      <c r="X3" s="432" t="s">
        <v>31</v>
      </c>
      <c r="Y3" s="437"/>
      <c r="Z3" s="438" t="s">
        <v>32</v>
      </c>
      <c r="AA3" s="439"/>
      <c r="AB3" s="429"/>
      <c r="AC3" s="430"/>
      <c r="AD3" s="438" t="s">
        <v>33</v>
      </c>
      <c r="AE3" s="439"/>
      <c r="AF3" s="440" t="s">
        <v>25</v>
      </c>
      <c r="AG3" s="442" t="s">
        <v>26</v>
      </c>
      <c r="AH3" s="427" t="s">
        <v>27</v>
      </c>
    </row>
    <row r="4" spans="1:34">
      <c r="A4" s="449"/>
      <c r="B4" s="449"/>
      <c r="C4" s="38"/>
      <c r="D4" s="449"/>
      <c r="E4" s="449"/>
      <c r="F4" s="451"/>
      <c r="G4" s="434"/>
      <c r="H4" s="451"/>
      <c r="I4" s="436"/>
      <c r="J4" s="455"/>
      <c r="K4" s="457"/>
      <c r="L4" s="459"/>
      <c r="M4" s="434"/>
      <c r="N4" s="457"/>
      <c r="O4" s="459"/>
      <c r="P4" s="455"/>
      <c r="Q4" s="459"/>
      <c r="R4" s="461"/>
      <c r="S4" s="453"/>
      <c r="T4" s="342" t="s">
        <v>34</v>
      </c>
      <c r="U4" s="342" t="s">
        <v>35</v>
      </c>
      <c r="V4" s="434"/>
      <c r="W4" s="436"/>
      <c r="X4" s="341" t="s">
        <v>34</v>
      </c>
      <c r="Y4" s="343" t="s">
        <v>35</v>
      </c>
      <c r="Z4" s="344" t="s">
        <v>36</v>
      </c>
      <c r="AA4" s="344" t="s">
        <v>37</v>
      </c>
      <c r="AB4" s="431"/>
      <c r="AC4" s="431"/>
      <c r="AD4" s="344" t="s">
        <v>38</v>
      </c>
      <c r="AE4" s="344" t="s">
        <v>39</v>
      </c>
      <c r="AF4" s="441"/>
      <c r="AG4" s="443"/>
      <c r="AH4" s="428"/>
    </row>
    <row r="5" spans="1:34" ht="15" customHeight="1">
      <c r="A5" s="422" t="s">
        <v>40</v>
      </c>
      <c r="B5" s="39" t="s">
        <v>81</v>
      </c>
      <c r="C5" s="40"/>
      <c r="D5" s="168" t="s">
        <v>172</v>
      </c>
      <c r="E5" s="41"/>
      <c r="F5" s="39">
        <f>VLOOKUP(D5,廠價表!$C$1:$E$41,3,0)</f>
        <v>57.21</v>
      </c>
      <c r="G5" s="42">
        <v>3039</v>
      </c>
      <c r="H5" s="43">
        <f>F5*G5</f>
        <v>173861.19</v>
      </c>
      <c r="I5" s="44"/>
      <c r="J5" s="45">
        <v>14</v>
      </c>
      <c r="K5" s="46">
        <v>2100</v>
      </c>
      <c r="L5" s="47">
        <f t="shared" ref="L5:L7" si="0">K5/J5</f>
        <v>150</v>
      </c>
      <c r="M5" s="48">
        <v>14</v>
      </c>
      <c r="N5" s="46">
        <f t="shared" ref="N5:N7" si="1">G5/W5*60</f>
        <v>2026</v>
      </c>
      <c r="O5" s="47">
        <f t="shared" ref="O5:O7" si="2">N5/M5</f>
        <v>144.71428571428572</v>
      </c>
      <c r="P5" s="49">
        <f t="shared" ref="P5:P7" si="3">M5-J5</f>
        <v>0</v>
      </c>
      <c r="Q5" s="50">
        <f t="shared" ref="Q5:Q7" si="4">O5-L5</f>
        <v>-5.2857142857142776</v>
      </c>
      <c r="R5" s="51">
        <f t="shared" ref="R5:R7" si="5">O5/L5</f>
        <v>0.96476190476190482</v>
      </c>
      <c r="S5" s="376">
        <f>R15</f>
        <v>0.95009928795640086</v>
      </c>
      <c r="T5" s="319">
        <v>0.29166666666666702</v>
      </c>
      <c r="U5" s="320">
        <v>0.35416666666666702</v>
      </c>
      <c r="V5" s="53"/>
      <c r="W5" s="54">
        <f t="shared" ref="W5:W14" si="6">(U5-T5)*24*60</f>
        <v>90</v>
      </c>
      <c r="X5" s="55"/>
      <c r="Y5" s="290"/>
      <c r="Z5" s="169"/>
      <c r="AA5" s="169"/>
      <c r="AB5" s="381"/>
      <c r="AC5" s="381"/>
      <c r="AD5" s="135"/>
      <c r="AE5" s="135"/>
      <c r="AF5" s="229">
        <f t="shared" ref="AF5:AF11" si="7">N5-K5</f>
        <v>-74</v>
      </c>
      <c r="AG5" s="52">
        <f t="shared" ref="AG5:AG11" si="8">N5/K5</f>
        <v>0.96476190476190471</v>
      </c>
      <c r="AH5" s="382">
        <f>AG15</f>
        <v>0.95044641430122812</v>
      </c>
    </row>
    <row r="6" spans="1:34" ht="15" customHeight="1">
      <c r="A6" s="423"/>
      <c r="B6" s="57" t="s">
        <v>81</v>
      </c>
      <c r="C6" s="58"/>
      <c r="D6" s="59" t="s">
        <v>117</v>
      </c>
      <c r="E6" s="60"/>
      <c r="F6" s="61">
        <f>VLOOKUP(D6,廠價表!$C$1:$E$41,3,0)</f>
        <v>49.14</v>
      </c>
      <c r="G6" s="62">
        <v>5536</v>
      </c>
      <c r="H6" s="63">
        <f>F6*G6</f>
        <v>272039.03999999998</v>
      </c>
      <c r="I6" s="64"/>
      <c r="J6" s="65">
        <f>VLOOKUP(D6,產線配置圖!$A$3:$C$38,2,0)</f>
        <v>13</v>
      </c>
      <c r="K6" s="66">
        <v>2118</v>
      </c>
      <c r="L6" s="67">
        <f t="shared" si="0"/>
        <v>162.92307692307693</v>
      </c>
      <c r="M6" s="68">
        <v>13</v>
      </c>
      <c r="N6" s="66">
        <f t="shared" si="1"/>
        <v>2102.27848101265</v>
      </c>
      <c r="O6" s="67">
        <f t="shared" si="2"/>
        <v>161.71372930866539</v>
      </c>
      <c r="P6" s="69">
        <f t="shared" si="3"/>
        <v>0</v>
      </c>
      <c r="Q6" s="70">
        <f t="shared" si="4"/>
        <v>-1.2093476144115414</v>
      </c>
      <c r="R6" s="71">
        <f t="shared" si="5"/>
        <v>0.99257718650266757</v>
      </c>
      <c r="S6" s="377"/>
      <c r="T6" s="16">
        <v>0.36944444444444402</v>
      </c>
      <c r="U6" s="16">
        <v>0.47916666666666669</v>
      </c>
      <c r="V6" s="30">
        <f>(T6-U5)*24*60</f>
        <v>21.999999999998884</v>
      </c>
      <c r="W6" s="73">
        <f t="shared" si="6"/>
        <v>158.00000000000063</v>
      </c>
      <c r="X6" s="22">
        <v>0.48611111111111099</v>
      </c>
      <c r="Y6" s="84">
        <v>0.52777777777777801</v>
      </c>
      <c r="Z6" s="90"/>
      <c r="AA6" s="90"/>
      <c r="AB6" s="417"/>
      <c r="AC6" s="417"/>
      <c r="AD6" s="149"/>
      <c r="AE6" s="149"/>
      <c r="AF6" s="307">
        <f t="shared" si="7"/>
        <v>-15.721518987350009</v>
      </c>
      <c r="AG6" s="72">
        <f t="shared" si="8"/>
        <v>0.99257718650266757</v>
      </c>
      <c r="AH6" s="384"/>
    </row>
    <row r="7" spans="1:34" ht="15" customHeight="1">
      <c r="A7" s="423"/>
      <c r="B7" s="75" t="s">
        <v>81</v>
      </c>
      <c r="C7" s="76"/>
      <c r="D7" s="59" t="s">
        <v>117</v>
      </c>
      <c r="E7" s="77"/>
      <c r="F7" s="75">
        <f>VLOOKUP(D7,廠價表!$C$1:$E$41,3,0)</f>
        <v>49.14</v>
      </c>
      <c r="G7" s="66">
        <v>505</v>
      </c>
      <c r="H7" s="78">
        <f>F7*G7</f>
        <v>24815.7</v>
      </c>
      <c r="I7" s="73"/>
      <c r="J7" s="79">
        <f>VLOOKUP(D7,產線配置圖!$A$3:$C$38,2,0)</f>
        <v>13</v>
      </c>
      <c r="K7" s="80">
        <v>2118</v>
      </c>
      <c r="L7" s="81">
        <f t="shared" si="0"/>
        <v>162.92307692307693</v>
      </c>
      <c r="M7" s="82">
        <v>13</v>
      </c>
      <c r="N7" s="80">
        <f t="shared" si="1"/>
        <v>1893.7499999999309</v>
      </c>
      <c r="O7" s="81">
        <f t="shared" si="2"/>
        <v>145.67307692307162</v>
      </c>
      <c r="P7" s="74">
        <f t="shared" si="3"/>
        <v>0</v>
      </c>
      <c r="Q7" s="83">
        <f t="shared" si="4"/>
        <v>-17.250000000005315</v>
      </c>
      <c r="R7" s="72">
        <f t="shared" si="5"/>
        <v>0.89412181303112881</v>
      </c>
      <c r="S7" s="377"/>
      <c r="T7" s="18">
        <v>0.53958333333333297</v>
      </c>
      <c r="U7" s="18">
        <v>0.55069444444444449</v>
      </c>
      <c r="V7" s="30">
        <f>(T7-U6)*24*60</f>
        <v>86.999999999999446</v>
      </c>
      <c r="W7" s="73">
        <f t="shared" si="6"/>
        <v>16.000000000000583</v>
      </c>
      <c r="X7" s="22"/>
      <c r="Y7" s="84"/>
      <c r="Z7" s="90"/>
      <c r="AA7" s="90"/>
      <c r="AB7" s="388"/>
      <c r="AC7" s="388"/>
      <c r="AD7" s="92"/>
      <c r="AE7" s="92"/>
      <c r="AF7" s="307">
        <f t="shared" si="7"/>
        <v>-224.25000000006912</v>
      </c>
      <c r="AG7" s="72">
        <f t="shared" si="8"/>
        <v>0.89412181303112881</v>
      </c>
      <c r="AH7" s="384"/>
    </row>
    <row r="8" spans="1:34" ht="15" customHeight="1">
      <c r="A8" s="423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77"/>
      <c r="T8" s="16"/>
      <c r="U8" s="16"/>
      <c r="V8" s="30"/>
      <c r="W8" s="73">
        <f t="shared" si="6"/>
        <v>0</v>
      </c>
      <c r="X8" s="22"/>
      <c r="Y8" s="84"/>
      <c r="Z8" s="90"/>
      <c r="AA8" s="90"/>
      <c r="AB8" s="417"/>
      <c r="AC8" s="417"/>
      <c r="AD8" s="149"/>
      <c r="AE8" s="149"/>
      <c r="AF8" s="307">
        <f t="shared" si="7"/>
        <v>0</v>
      </c>
      <c r="AG8" s="72" t="e">
        <f t="shared" si="8"/>
        <v>#DIV/0!</v>
      </c>
      <c r="AH8" s="384"/>
    </row>
    <row r="9" spans="1:34" ht="15" customHeight="1">
      <c r="A9" s="424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78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17"/>
      <c r="AC9" s="417"/>
      <c r="AD9" s="149"/>
      <c r="AE9" s="149"/>
      <c r="AF9" s="307">
        <f t="shared" si="7"/>
        <v>0</v>
      </c>
      <c r="AG9" s="72" t="e">
        <f t="shared" si="8"/>
        <v>#DIV/0!</v>
      </c>
      <c r="AH9" s="385"/>
    </row>
    <row r="10" spans="1:34" ht="15" customHeight="1">
      <c r="A10" s="424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78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88"/>
      <c r="AC10" s="388"/>
      <c r="AD10" s="92"/>
      <c r="AE10" s="92"/>
      <c r="AF10" s="307">
        <f t="shared" si="7"/>
        <v>0</v>
      </c>
      <c r="AG10" s="72" t="e">
        <f t="shared" si="8"/>
        <v>#DIV/0!</v>
      </c>
      <c r="AH10" s="385"/>
    </row>
    <row r="11" spans="1:34" ht="15" customHeight="1">
      <c r="A11" s="424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78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17"/>
      <c r="AC11" s="417"/>
      <c r="AD11" s="149"/>
      <c r="AE11" s="149"/>
      <c r="AF11" s="307">
        <f t="shared" si="7"/>
        <v>0</v>
      </c>
      <c r="AG11" s="72" t="e">
        <f t="shared" si="8"/>
        <v>#DIV/0!</v>
      </c>
      <c r="AH11" s="385"/>
    </row>
    <row r="12" spans="1:34" ht="15" customHeight="1">
      <c r="A12" s="424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78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17"/>
      <c r="AC12" s="417"/>
      <c r="AD12" s="149"/>
      <c r="AE12" s="149"/>
      <c r="AF12" s="308"/>
      <c r="AG12" s="85"/>
      <c r="AH12" s="385"/>
    </row>
    <row r="13" spans="1:34" ht="15" customHeight="1">
      <c r="A13" s="424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6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88"/>
      <c r="AC13" s="388"/>
      <c r="AD13" s="92"/>
      <c r="AE13" s="92"/>
      <c r="AF13" s="308"/>
      <c r="AG13" s="85"/>
      <c r="AH13" s="385"/>
    </row>
    <row r="14" spans="1:34" ht="15" customHeight="1">
      <c r="A14" s="424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78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88"/>
      <c r="AC14" s="388"/>
      <c r="AD14" s="92"/>
      <c r="AE14" s="92"/>
      <c r="AF14" s="308"/>
      <c r="AG14" s="85"/>
      <c r="AH14" s="385"/>
    </row>
    <row r="15" spans="1:34" ht="15" customHeight="1">
      <c r="A15" s="425"/>
      <c r="B15" s="115"/>
      <c r="C15" s="115" t="s">
        <v>41</v>
      </c>
      <c r="D15" s="371" t="s">
        <v>42</v>
      </c>
      <c r="E15" s="37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2112</v>
      </c>
      <c r="L15" s="117">
        <f t="shared" si="9"/>
        <v>158.61538461538461</v>
      </c>
      <c r="M15" s="120">
        <f t="shared" si="9"/>
        <v>13.333333333333334</v>
      </c>
      <c r="N15" s="120">
        <f t="shared" si="9"/>
        <v>2007.3428270041939</v>
      </c>
      <c r="O15" s="117">
        <f t="shared" si="9"/>
        <v>150.70036398200759</v>
      </c>
      <c r="P15" s="121">
        <f t="shared" ref="P15:P19" si="10">M15-J15</f>
        <v>0</v>
      </c>
      <c r="Q15" s="122">
        <f t="shared" ref="Q15:Q19" si="11">O15-L15</f>
        <v>-7.9150206333770257</v>
      </c>
      <c r="R15" s="123">
        <f t="shared" ref="R15:R19" si="12">O15/L15</f>
        <v>0.95009928795640086</v>
      </c>
      <c r="S15" s="380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2"/>
      <c r="AC15" s="372"/>
      <c r="AD15" s="323">
        <f>SUM(AD5:AD14)</f>
        <v>0</v>
      </c>
      <c r="AE15" s="323">
        <f>SUM(AE5:AE14)</f>
        <v>0</v>
      </c>
      <c r="AF15" s="309">
        <f t="shared" ref="AF15:AF19" si="13">N15-K15</f>
        <v>-104.65717299580615</v>
      </c>
      <c r="AG15" s="124">
        <f t="shared" ref="AG15:AG19" si="14">N15/K15</f>
        <v>0.95044641430122812</v>
      </c>
      <c r="AH15" s="386"/>
    </row>
    <row r="16" spans="1:34" ht="15" customHeight="1">
      <c r="A16" s="418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56.28</v>
      </c>
      <c r="G16" s="133">
        <v>865</v>
      </c>
      <c r="H16" s="134">
        <f>F16*G16</f>
        <v>48682.200000000004</v>
      </c>
      <c r="I16" s="135"/>
      <c r="J16" s="136">
        <f>VLOOKUP(D16,產線配置圖!$A$3:$C$38,2,0)</f>
        <v>15</v>
      </c>
      <c r="K16" s="137">
        <f>VLOOKUP(D16,產線配置圖!$A$3:$C$38,3,0)</f>
        <v>1800</v>
      </c>
      <c r="L16" s="138">
        <f t="shared" ref="L16:L19" si="15">K16/J16</f>
        <v>120</v>
      </c>
      <c r="M16" s="139">
        <v>15</v>
      </c>
      <c r="N16" s="140">
        <f t="shared" ref="N16:N19" si="16">G16/W16*60</f>
        <v>1526.470588235303</v>
      </c>
      <c r="O16" s="141">
        <f>N16/M16</f>
        <v>101.76470588235354</v>
      </c>
      <c r="P16" s="142">
        <f>M16-J16</f>
        <v>0</v>
      </c>
      <c r="Q16" s="143">
        <f t="shared" si="11"/>
        <v>-18.235294117646461</v>
      </c>
      <c r="R16" s="144">
        <f>O16/L16</f>
        <v>0.84803921568627949</v>
      </c>
      <c r="S16" s="413">
        <f>R26</f>
        <v>0.90705343228801594</v>
      </c>
      <c r="T16" s="145">
        <v>0.29097222222222202</v>
      </c>
      <c r="U16" s="145">
        <v>0.31458333333333299</v>
      </c>
      <c r="V16" s="135"/>
      <c r="W16" s="146">
        <f t="shared" ref="W16:W78" si="17">(U16-T16)*24*60</f>
        <v>33.999999999999801</v>
      </c>
      <c r="X16" s="141"/>
      <c r="Y16" s="296"/>
      <c r="Z16" s="169"/>
      <c r="AA16" s="169"/>
      <c r="AB16" s="381"/>
      <c r="AC16" s="381"/>
      <c r="AD16" s="135"/>
      <c r="AE16" s="135"/>
      <c r="AF16" s="229">
        <f t="shared" si="13"/>
        <v>-273.52941176469699</v>
      </c>
      <c r="AG16" s="52">
        <f t="shared" si="14"/>
        <v>0.84803921568627949</v>
      </c>
      <c r="AH16" s="382">
        <f>AG26</f>
        <v>0.90550875378830065</v>
      </c>
    </row>
    <row r="17" spans="1:34" ht="15" customHeight="1">
      <c r="A17" s="419"/>
      <c r="B17" s="75" t="s">
        <v>81</v>
      </c>
      <c r="C17" s="76"/>
      <c r="D17" s="59" t="s">
        <v>115</v>
      </c>
      <c r="E17" s="77"/>
      <c r="F17" s="75">
        <f>VLOOKUP(D17,廠價表!$C$1:$E$41,3,0)</f>
        <v>50.67</v>
      </c>
      <c r="G17" s="147">
        <v>4255</v>
      </c>
      <c r="H17" s="78">
        <f>F17*G17</f>
        <v>215600.85</v>
      </c>
      <c r="I17" s="30"/>
      <c r="J17" s="79">
        <f>VLOOKUP(D17,產線配置圖!$A$3:$C$38,2,0)</f>
        <v>12</v>
      </c>
      <c r="K17" s="80">
        <v>2118</v>
      </c>
      <c r="L17" s="81">
        <f t="shared" si="15"/>
        <v>176.5</v>
      </c>
      <c r="M17" s="148">
        <v>12</v>
      </c>
      <c r="N17" s="95">
        <f>G17/W17*60</f>
        <v>2109.9173553718956</v>
      </c>
      <c r="O17" s="96">
        <f t="shared" ref="O17:O19" si="18">N17/M17</f>
        <v>175.82644628099129</v>
      </c>
      <c r="P17" s="97">
        <f t="shared" si="10"/>
        <v>0</v>
      </c>
      <c r="Q17" s="98">
        <f t="shared" si="11"/>
        <v>-0.67355371900870864</v>
      </c>
      <c r="R17" s="99">
        <f t="shared" si="12"/>
        <v>0.99618383162034729</v>
      </c>
      <c r="S17" s="414"/>
      <c r="T17" s="19">
        <v>0.32152777777777802</v>
      </c>
      <c r="U17" s="19">
        <v>0.405555555555556</v>
      </c>
      <c r="V17" s="30">
        <f>(T17-U16)*24*60</f>
        <v>10.000000000000844</v>
      </c>
      <c r="W17" s="149">
        <f t="shared" si="17"/>
        <v>121.00000000000028</v>
      </c>
      <c r="X17" s="19"/>
      <c r="Y17" s="297"/>
      <c r="Z17" s="90"/>
      <c r="AA17" s="90"/>
      <c r="AB17" s="388"/>
      <c r="AC17" s="388"/>
      <c r="AD17" s="92"/>
      <c r="AE17" s="92"/>
      <c r="AF17" s="307">
        <f t="shared" si="13"/>
        <v>-8.08264462810439</v>
      </c>
      <c r="AG17" s="72">
        <f t="shared" si="14"/>
        <v>0.99618383162034729</v>
      </c>
      <c r="AH17" s="384"/>
    </row>
    <row r="18" spans="1:34" ht="15" customHeight="1">
      <c r="A18" s="419"/>
      <c r="B18" s="75" t="s">
        <v>81</v>
      </c>
      <c r="C18" s="76"/>
      <c r="D18" s="59" t="s">
        <v>118</v>
      </c>
      <c r="E18" s="77"/>
      <c r="F18" s="75">
        <f>VLOOKUP(D18,廠價表!$C$1:$E$41,3,0)</f>
        <v>50.39</v>
      </c>
      <c r="G18" s="147">
        <v>3096</v>
      </c>
      <c r="H18" s="78">
        <f>F18*G18</f>
        <v>156007.44</v>
      </c>
      <c r="I18" s="30"/>
      <c r="J18" s="79">
        <f>VLOOKUP(D18,產線配置圖!$A$3:$C$38,2,0)</f>
        <v>11</v>
      </c>
      <c r="K18" s="80">
        <v>2118</v>
      </c>
      <c r="L18" s="81">
        <f t="shared" si="15"/>
        <v>192.54545454545453</v>
      </c>
      <c r="M18" s="148">
        <v>11</v>
      </c>
      <c r="N18" s="95">
        <f t="shared" si="16"/>
        <v>2019.1304347826051</v>
      </c>
      <c r="O18" s="96">
        <f t="shared" si="18"/>
        <v>183.5573122529641</v>
      </c>
      <c r="P18" s="97">
        <f t="shared" si="10"/>
        <v>0</v>
      </c>
      <c r="Q18" s="98">
        <f t="shared" si="11"/>
        <v>-8.9881422924904371</v>
      </c>
      <c r="R18" s="99">
        <f t="shared" si="12"/>
        <v>0.95331937430717906</v>
      </c>
      <c r="S18" s="414"/>
      <c r="T18" s="19">
        <v>0.41527777777777802</v>
      </c>
      <c r="U18" s="19">
        <v>0.47916666666666702</v>
      </c>
      <c r="V18" s="30">
        <f>(T18-U17)*24*60</f>
        <v>13.99999999999971</v>
      </c>
      <c r="W18" s="149">
        <f t="shared" si="17"/>
        <v>92.000000000000156</v>
      </c>
      <c r="X18" s="22">
        <v>0.48611111111111099</v>
      </c>
      <c r="Y18" s="84">
        <v>0.52777777777777801</v>
      </c>
      <c r="Z18" s="90"/>
      <c r="AA18" s="90"/>
      <c r="AB18" s="388"/>
      <c r="AC18" s="388"/>
      <c r="AD18" s="92"/>
      <c r="AE18" s="92"/>
      <c r="AF18" s="307">
        <f t="shared" si="13"/>
        <v>-98.869565217394893</v>
      </c>
      <c r="AG18" s="72">
        <f t="shared" si="14"/>
        <v>0.95331937430717895</v>
      </c>
      <c r="AH18" s="384"/>
    </row>
    <row r="19" spans="1:34" ht="15" customHeight="1">
      <c r="A19" s="419"/>
      <c r="B19" s="75" t="s">
        <v>81</v>
      </c>
      <c r="C19" s="76"/>
      <c r="D19" s="59" t="s">
        <v>118</v>
      </c>
      <c r="E19" s="77"/>
      <c r="F19" s="75">
        <f>VLOOKUP(D19,廠價表!$C$1:$E$41,3,0)</f>
        <v>50.39</v>
      </c>
      <c r="G19" s="147">
        <v>2592</v>
      </c>
      <c r="H19" s="78">
        <f>F19*G19</f>
        <v>130610.88</v>
      </c>
      <c r="I19" s="30"/>
      <c r="J19" s="79">
        <f>VLOOKUP(D19,產線配置圖!$A$3:$C$38,2,0)</f>
        <v>11</v>
      </c>
      <c r="K19" s="80">
        <v>2118</v>
      </c>
      <c r="L19" s="81">
        <f t="shared" si="15"/>
        <v>192.54545454545453</v>
      </c>
      <c r="M19" s="148">
        <v>11</v>
      </c>
      <c r="N19" s="95">
        <f t="shared" si="16"/>
        <v>1728</v>
      </c>
      <c r="O19" s="96">
        <f t="shared" si="18"/>
        <v>157.09090909090909</v>
      </c>
      <c r="P19" s="97">
        <f t="shared" si="10"/>
        <v>0</v>
      </c>
      <c r="Q19" s="98">
        <f t="shared" si="11"/>
        <v>-35.454545454545439</v>
      </c>
      <c r="R19" s="99">
        <f t="shared" si="12"/>
        <v>0.8158640226628896</v>
      </c>
      <c r="S19" s="414"/>
      <c r="T19" s="19">
        <v>0.56111111111111112</v>
      </c>
      <c r="U19" s="19">
        <v>0.62361111111111112</v>
      </c>
      <c r="V19" s="30">
        <f>(T19-U18)*24*60</f>
        <v>117.9999999999995</v>
      </c>
      <c r="W19" s="149">
        <f t="shared" si="17"/>
        <v>90</v>
      </c>
      <c r="X19" s="22"/>
      <c r="Y19" s="84"/>
      <c r="Z19" s="90"/>
      <c r="AA19" s="90"/>
      <c r="AB19" s="417"/>
      <c r="AC19" s="417"/>
      <c r="AD19" s="149"/>
      <c r="AE19" s="149"/>
      <c r="AF19" s="307">
        <f t="shared" si="13"/>
        <v>-390</v>
      </c>
      <c r="AG19" s="72">
        <f t="shared" si="14"/>
        <v>0.81586402266288949</v>
      </c>
      <c r="AH19" s="385"/>
    </row>
    <row r="20" spans="1:34" ht="15" customHeight="1">
      <c r="A20" s="419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4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88"/>
      <c r="AC20" s="388"/>
      <c r="AD20" s="92"/>
      <c r="AE20" s="92"/>
      <c r="AF20" s="307"/>
      <c r="AG20" s="72"/>
      <c r="AH20" s="385"/>
    </row>
    <row r="21" spans="1:34" ht="15" customHeight="1">
      <c r="A21" s="420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4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88"/>
      <c r="AC21" s="388"/>
      <c r="AD21" s="92"/>
      <c r="AE21" s="92"/>
      <c r="AF21" s="308"/>
      <c r="AG21" s="85"/>
      <c r="AH21" s="385"/>
    </row>
    <row r="22" spans="1:34" ht="15" customHeight="1">
      <c r="A22" s="420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4"/>
      <c r="T22" s="150"/>
      <c r="U22" s="150"/>
      <c r="V22" s="92"/>
      <c r="W22" s="149">
        <v>0</v>
      </c>
      <c r="X22" s="92"/>
      <c r="Y22" s="298"/>
      <c r="Z22" s="90"/>
      <c r="AA22" s="90"/>
      <c r="AB22" s="388"/>
      <c r="AC22" s="388"/>
      <c r="AD22" s="92"/>
      <c r="AE22" s="92"/>
      <c r="AF22" s="308"/>
      <c r="AG22" s="85"/>
      <c r="AH22" s="385"/>
    </row>
    <row r="23" spans="1:34" ht="15" customHeight="1">
      <c r="A23" s="420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4"/>
      <c r="T23" s="150"/>
      <c r="U23" s="150"/>
      <c r="W23" s="149">
        <f t="shared" si="17"/>
        <v>0</v>
      </c>
      <c r="X23" s="92"/>
      <c r="Y23" s="298"/>
      <c r="Z23" s="90"/>
      <c r="AA23" s="90"/>
      <c r="AB23" s="388"/>
      <c r="AC23" s="388"/>
      <c r="AD23" s="92"/>
      <c r="AE23" s="92"/>
      <c r="AF23" s="308"/>
      <c r="AG23" s="85"/>
      <c r="AH23" s="385"/>
    </row>
    <row r="24" spans="1:34" ht="15" customHeight="1">
      <c r="A24" s="420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4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88"/>
      <c r="AC24" s="388"/>
      <c r="AD24" s="92"/>
      <c r="AE24" s="92"/>
      <c r="AF24" s="308"/>
      <c r="AG24" s="85"/>
      <c r="AH24" s="385"/>
    </row>
    <row r="25" spans="1:34" ht="15" customHeight="1">
      <c r="A25" s="420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4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88"/>
      <c r="AC25" s="388"/>
      <c r="AD25" s="92"/>
      <c r="AE25" s="92"/>
      <c r="AF25" s="308"/>
      <c r="AG25" s="85"/>
      <c r="AH25" s="385"/>
    </row>
    <row r="26" spans="1:34" ht="15" customHeight="1">
      <c r="A26" s="421"/>
      <c r="B26" s="152"/>
      <c r="C26" s="153" t="s">
        <v>44</v>
      </c>
      <c r="D26" s="371" t="s">
        <v>42</v>
      </c>
      <c r="E26" s="371"/>
      <c r="F26" s="154"/>
      <c r="G26" s="155"/>
      <c r="H26" s="156"/>
      <c r="I26" s="157"/>
      <c r="J26" s="155">
        <f t="shared" ref="J26:O26" si="20">AVERAGE(J16:J25)</f>
        <v>12.25</v>
      </c>
      <c r="K26" s="155">
        <f t="shared" si="20"/>
        <v>2038.5</v>
      </c>
      <c r="L26" s="158">
        <f t="shared" si="20"/>
        <v>170.39772727272725</v>
      </c>
      <c r="M26" s="155">
        <f t="shared" si="20"/>
        <v>12.25</v>
      </c>
      <c r="N26" s="155">
        <f t="shared" si="20"/>
        <v>1845.8795945974509</v>
      </c>
      <c r="O26" s="158">
        <f t="shared" si="20"/>
        <v>154.55984337680451</v>
      </c>
      <c r="P26" s="159">
        <f t="shared" ref="P26:P27" si="21">M26-J26</f>
        <v>0</v>
      </c>
      <c r="Q26" s="160">
        <f t="shared" ref="Q26:Q27" si="22">O26-L26</f>
        <v>-15.837883895922744</v>
      </c>
      <c r="R26" s="161">
        <f>O26/L26</f>
        <v>0.90705343228801594</v>
      </c>
      <c r="S26" s="415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2"/>
      <c r="AC26" s="372"/>
      <c r="AD26" s="323">
        <f>SUM(AD16:AD25)</f>
        <v>0</v>
      </c>
      <c r="AE26" s="323">
        <f>SUM(AE16:AE25)</f>
        <v>0</v>
      </c>
      <c r="AF26" s="309">
        <f t="shared" ref="AF26:AF31" si="23">N26-K26</f>
        <v>-192.62040540254907</v>
      </c>
      <c r="AG26" s="124">
        <f t="shared" ref="AG26:AG31" si="24">N26/K26</f>
        <v>0.90550875378830065</v>
      </c>
      <c r="AH26" s="386"/>
    </row>
    <row r="27" spans="1:34" ht="15" customHeight="1">
      <c r="A27" s="410" t="s">
        <v>45</v>
      </c>
      <c r="B27" s="167" t="s">
        <v>120</v>
      </c>
      <c r="C27" s="130"/>
      <c r="D27" s="168" t="s">
        <v>122</v>
      </c>
      <c r="E27" s="132"/>
      <c r="F27" s="129">
        <f>VLOOKUP(D27,廠價表!$C$1:$E$41,3,0)</f>
        <v>49.52</v>
      </c>
      <c r="G27" s="169">
        <v>2460</v>
      </c>
      <c r="H27" s="134">
        <f>F27*G27</f>
        <v>121819.20000000001</v>
      </c>
      <c r="I27" s="135"/>
      <c r="J27" s="136">
        <f>VLOOKUP(D27,產線配置圖!$A$3:$C$38,2,0)</f>
        <v>17</v>
      </c>
      <c r="K27" s="137">
        <v>1636</v>
      </c>
      <c r="L27" s="138">
        <f t="shared" ref="L27" si="25">K27/J27</f>
        <v>96.235294117647058</v>
      </c>
      <c r="M27" s="170">
        <v>15</v>
      </c>
      <c r="N27" s="140">
        <f>G27/W27*60</f>
        <v>1294.7368421052743</v>
      </c>
      <c r="O27" s="141">
        <f>N27/M27</f>
        <v>86.315789473684944</v>
      </c>
      <c r="P27" s="142">
        <f t="shared" si="21"/>
        <v>-2</v>
      </c>
      <c r="Q27" s="143">
        <f t="shared" si="22"/>
        <v>-9.9195046439621137</v>
      </c>
      <c r="R27" s="144">
        <f>O27/L27</f>
        <v>0.89692446274611493</v>
      </c>
      <c r="S27" s="413">
        <f>R37</f>
        <v>0.89692446274611493</v>
      </c>
      <c r="T27" s="171">
        <v>0.29166666666666702</v>
      </c>
      <c r="U27" s="171">
        <v>0.37083333333333302</v>
      </c>
      <c r="V27" s="135"/>
      <c r="W27" s="146">
        <f t="shared" si="17"/>
        <v>113.99999999999903</v>
      </c>
      <c r="X27" s="135"/>
      <c r="Y27" s="300" t="s">
        <v>46</v>
      </c>
      <c r="Z27" s="169"/>
      <c r="AA27" s="169"/>
      <c r="AB27" s="381"/>
      <c r="AC27" s="381"/>
      <c r="AD27" s="135"/>
      <c r="AE27" s="135"/>
      <c r="AF27" s="310">
        <f t="shared" si="23"/>
        <v>-341.26315789472574</v>
      </c>
      <c r="AG27" s="172">
        <f t="shared" si="24"/>
        <v>0.79140393771716033</v>
      </c>
      <c r="AH27" s="382">
        <f>AG37</f>
        <v>0.79140393771716033</v>
      </c>
    </row>
    <row r="28" spans="1:34" ht="15" customHeight="1">
      <c r="A28" s="411"/>
      <c r="B28" s="75"/>
      <c r="C28" s="173"/>
      <c r="D28" s="59"/>
      <c r="E28" s="104"/>
      <c r="F28" s="75"/>
      <c r="G28" s="90"/>
      <c r="H28" s="91"/>
      <c r="I28" s="92"/>
      <c r="J28" s="79"/>
      <c r="K28" s="80"/>
      <c r="L28" s="93"/>
      <c r="M28" s="94"/>
      <c r="N28" s="95"/>
      <c r="O28" s="96"/>
      <c r="P28" s="97"/>
      <c r="Q28" s="98"/>
      <c r="R28" s="99"/>
      <c r="S28" s="414"/>
      <c r="T28" s="19"/>
      <c r="U28" s="19"/>
      <c r="V28" s="92"/>
      <c r="W28" s="149">
        <f t="shared" si="17"/>
        <v>0</v>
      </c>
      <c r="X28" s="174"/>
      <c r="Y28" s="301"/>
      <c r="Z28" s="335"/>
      <c r="AA28" s="335"/>
      <c r="AB28" s="388"/>
      <c r="AC28" s="388"/>
      <c r="AD28" s="92"/>
      <c r="AE28" s="92"/>
      <c r="AF28" s="311">
        <f t="shared" si="23"/>
        <v>0</v>
      </c>
      <c r="AG28" s="99" t="e">
        <f t="shared" si="24"/>
        <v>#DIV/0!</v>
      </c>
      <c r="AH28" s="383"/>
    </row>
    <row r="29" spans="1:34" ht="15" customHeight="1">
      <c r="A29" s="411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14"/>
      <c r="T29" s="19"/>
      <c r="U29" s="19"/>
      <c r="V29" s="92"/>
      <c r="W29" s="149">
        <f t="shared" si="17"/>
        <v>0</v>
      </c>
      <c r="X29" s="22"/>
      <c r="Y29" s="84"/>
      <c r="Z29" s="90"/>
      <c r="AA29" s="90"/>
      <c r="AB29" s="388"/>
      <c r="AC29" s="388"/>
      <c r="AD29" s="92"/>
      <c r="AE29" s="92"/>
      <c r="AF29" s="312">
        <f t="shared" si="23"/>
        <v>0</v>
      </c>
      <c r="AG29" s="99" t="e">
        <f t="shared" si="24"/>
        <v>#DIV/0!</v>
      </c>
      <c r="AH29" s="383"/>
    </row>
    <row r="30" spans="1:34" ht="15" customHeight="1">
      <c r="A30" s="411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4"/>
      <c r="T30" s="19"/>
      <c r="U30" s="19"/>
      <c r="V30" s="92"/>
      <c r="W30" s="149">
        <f t="shared" si="17"/>
        <v>0</v>
      </c>
      <c r="X30" s="174"/>
      <c r="Y30" s="301"/>
      <c r="Z30" s="335"/>
      <c r="AA30" s="335"/>
      <c r="AB30" s="388"/>
      <c r="AC30" s="388"/>
      <c r="AD30" s="92"/>
      <c r="AE30" s="92"/>
      <c r="AF30" s="312">
        <f t="shared" si="23"/>
        <v>0</v>
      </c>
      <c r="AG30" s="99" t="e">
        <f t="shared" si="24"/>
        <v>#DIV/0!</v>
      </c>
      <c r="AH30" s="416"/>
    </row>
    <row r="31" spans="1:34" ht="15" customHeight="1">
      <c r="A31" s="411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4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88"/>
      <c r="AC31" s="388"/>
      <c r="AD31" s="92"/>
      <c r="AE31" s="92"/>
      <c r="AF31" s="312">
        <f t="shared" si="23"/>
        <v>0</v>
      </c>
      <c r="AG31" s="99" t="e">
        <f t="shared" si="24"/>
        <v>#DIV/0!</v>
      </c>
      <c r="AH31" s="385"/>
    </row>
    <row r="32" spans="1:34" ht="15" customHeight="1">
      <c r="A32" s="411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4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88"/>
      <c r="AC32" s="388"/>
      <c r="AD32" s="92"/>
      <c r="AE32" s="92"/>
      <c r="AF32" s="307"/>
      <c r="AG32" s="72"/>
      <c r="AH32" s="385"/>
    </row>
    <row r="33" spans="1:34" ht="15" customHeight="1">
      <c r="A33" s="411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4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88"/>
      <c r="AC33" s="388"/>
      <c r="AD33" s="92"/>
      <c r="AE33" s="92"/>
      <c r="AF33" s="307"/>
      <c r="AG33" s="112"/>
      <c r="AH33" s="385"/>
    </row>
    <row r="34" spans="1:34" ht="15" customHeight="1">
      <c r="A34" s="411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4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88"/>
      <c r="AC34" s="388"/>
      <c r="AD34" s="92"/>
      <c r="AE34" s="92"/>
      <c r="AF34" s="307"/>
      <c r="AG34" s="112"/>
      <c r="AH34" s="385"/>
    </row>
    <row r="35" spans="1:34" ht="15" customHeight="1">
      <c r="A35" s="411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4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88"/>
      <c r="AC35" s="388"/>
      <c r="AD35" s="92"/>
      <c r="AE35" s="92"/>
      <c r="AF35" s="307"/>
      <c r="AG35" s="112"/>
      <c r="AH35" s="385"/>
    </row>
    <row r="36" spans="1:34" ht="15" customHeight="1">
      <c r="A36" s="411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4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88"/>
      <c r="AC36" s="388"/>
      <c r="AD36" s="92"/>
      <c r="AE36" s="92"/>
      <c r="AF36" s="307"/>
      <c r="AG36" s="112"/>
      <c r="AH36" s="385"/>
    </row>
    <row r="37" spans="1:34" ht="15" customHeight="1">
      <c r="A37" s="412"/>
      <c r="B37" s="152"/>
      <c r="C37" s="153" t="s">
        <v>47</v>
      </c>
      <c r="D37" s="407" t="s">
        <v>42</v>
      </c>
      <c r="E37" s="408"/>
      <c r="F37" s="154"/>
      <c r="G37" s="220"/>
      <c r="H37" s="156"/>
      <c r="I37" s="157"/>
      <c r="J37" s="155">
        <f t="shared" ref="J37:O37" si="27">AVERAGE(J27:J36)</f>
        <v>17</v>
      </c>
      <c r="K37" s="155">
        <f t="shared" si="27"/>
        <v>1636</v>
      </c>
      <c r="L37" s="158">
        <f t="shared" si="27"/>
        <v>96.235294117647058</v>
      </c>
      <c r="M37" s="155">
        <f t="shared" si="27"/>
        <v>15</v>
      </c>
      <c r="N37" s="155">
        <f t="shared" si="27"/>
        <v>1294.7368421052743</v>
      </c>
      <c r="O37" s="158">
        <f t="shared" si="27"/>
        <v>86.315789473684944</v>
      </c>
      <c r="P37" s="159">
        <f>M37-J37</f>
        <v>-2</v>
      </c>
      <c r="Q37" s="160">
        <f>N37-K37</f>
        <v>-341.26315789472574</v>
      </c>
      <c r="R37" s="161">
        <f t="shared" ref="R37:R40" si="28">O37/L37</f>
        <v>0.89692446274611493</v>
      </c>
      <c r="S37" s="415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9"/>
      <c r="AC37" s="409"/>
      <c r="AD37" s="324">
        <f>SUM(AD27:AD36)</f>
        <v>0</v>
      </c>
      <c r="AE37" s="324">
        <f>SUM(AE27:AE36)</f>
        <v>0</v>
      </c>
      <c r="AF37" s="309">
        <f t="shared" ref="AF37:AF41" si="29">N37-K37</f>
        <v>-341.26315789472574</v>
      </c>
      <c r="AG37" s="124">
        <f t="shared" ref="AG37:AG41" si="30">N37/K37</f>
        <v>0.79140393771716033</v>
      </c>
      <c r="AH37" s="386"/>
    </row>
    <row r="38" spans="1:34" ht="15" customHeight="1">
      <c r="A38" s="401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VLOOKUP(D38,廠價表!$C$1:$E$41,3,0)</f>
        <v>49.91</v>
      </c>
      <c r="G38" s="186">
        <v>2768</v>
      </c>
      <c r="H38" s="134">
        <f>F38*G38</f>
        <v>138150.88</v>
      </c>
      <c r="I38" s="135"/>
      <c r="J38" s="187">
        <f>VLOOKUP(D38,產線配置圖!$A$3:$C$38,2,0)</f>
        <v>15</v>
      </c>
      <c r="K38" s="188">
        <v>1714</v>
      </c>
      <c r="L38" s="189">
        <f t="shared" ref="L38:L40" si="31">K38/J38</f>
        <v>114.26666666666667</v>
      </c>
      <c r="M38" s="190">
        <v>15</v>
      </c>
      <c r="N38" s="140">
        <f>G38/W38*60</f>
        <v>1469.7345132743217</v>
      </c>
      <c r="O38" s="141">
        <f>N38/M38</f>
        <v>97.982300884954782</v>
      </c>
      <c r="P38" s="142">
        <f t="shared" ref="P38:P40" si="32">M38-J38</f>
        <v>0</v>
      </c>
      <c r="Q38" s="143">
        <f t="shared" ref="Q38:Q40" si="33">O38-L38</f>
        <v>-16.284365781711884</v>
      </c>
      <c r="R38" s="144">
        <f>O38/L38</f>
        <v>0.85748804741792395</v>
      </c>
      <c r="S38" s="404">
        <f>R48</f>
        <v>0.90673248976107623</v>
      </c>
      <c r="T38" s="191">
        <v>0.33333333333333298</v>
      </c>
      <c r="U38" s="191">
        <v>0.41180555555555598</v>
      </c>
      <c r="V38" s="192"/>
      <c r="W38" s="193">
        <f t="shared" si="17"/>
        <v>113.00000000000112</v>
      </c>
      <c r="X38" s="194"/>
      <c r="Y38" s="302"/>
      <c r="Z38" s="336"/>
      <c r="AA38" s="336"/>
      <c r="AB38" s="406"/>
      <c r="AC38" s="406"/>
      <c r="AD38" s="192"/>
      <c r="AE38" s="192"/>
      <c r="AF38" s="313">
        <f t="shared" si="29"/>
        <v>-244.26548672567833</v>
      </c>
      <c r="AG38" s="195">
        <f t="shared" si="30"/>
        <v>0.85748804741792395</v>
      </c>
      <c r="AH38" s="398">
        <f>AG48</f>
        <v>0.9090557755903127</v>
      </c>
    </row>
    <row r="39" spans="1:34" ht="15" customHeight="1">
      <c r="A39" s="402"/>
      <c r="B39" s="75" t="s">
        <v>120</v>
      </c>
      <c r="C39" s="197"/>
      <c r="D39" s="198" t="s">
        <v>124</v>
      </c>
      <c r="E39" s="176"/>
      <c r="F39" s="75">
        <f>VLOOKUP(D39,廠價表!$C$1:$E$41,3,0)</f>
        <v>44.3</v>
      </c>
      <c r="G39" s="199">
        <v>2057</v>
      </c>
      <c r="H39" s="91">
        <f>F39*G39</f>
        <v>91125.099999999991</v>
      </c>
      <c r="I39" s="200"/>
      <c r="J39" s="148">
        <f>VLOOKUP(D39,產線配置圖!$A$3:$C$38,2,0)</f>
        <v>17</v>
      </c>
      <c r="K39" s="95">
        <f>VLOOKUP(D39,產線配置圖!$A$3:$C$38,3,0)</f>
        <v>1565</v>
      </c>
      <c r="L39" s="96">
        <f t="shared" si="31"/>
        <v>92.058823529411768</v>
      </c>
      <c r="M39" s="201">
        <v>17</v>
      </c>
      <c r="N39" s="202">
        <f>G39/W39*60</f>
        <v>1435.1162790697726</v>
      </c>
      <c r="O39" s="203">
        <f t="shared" ref="O39:O40" si="34">N39/M39</f>
        <v>84.418604651163093</v>
      </c>
      <c r="P39" s="97">
        <f t="shared" si="32"/>
        <v>0</v>
      </c>
      <c r="Q39" s="98">
        <f t="shared" si="33"/>
        <v>-7.6402188782486746</v>
      </c>
      <c r="R39" s="99">
        <f t="shared" si="28"/>
        <v>0.91700720707333705</v>
      </c>
      <c r="S39" s="405"/>
      <c r="T39" s="20">
        <v>0.41875000000000001</v>
      </c>
      <c r="U39" s="20">
        <v>0.47847222222222202</v>
      </c>
      <c r="V39" s="92">
        <f>(T39-U38)*24*60</f>
        <v>9.9999999999994049</v>
      </c>
      <c r="W39" s="205">
        <f t="shared" si="17"/>
        <v>85.999999999999687</v>
      </c>
      <c r="X39" s="22"/>
      <c r="Y39" s="84"/>
      <c r="Z39" s="90"/>
      <c r="AA39" s="90"/>
      <c r="AB39" s="387"/>
      <c r="AC39" s="387"/>
      <c r="AD39" s="200"/>
      <c r="AE39" s="200"/>
      <c r="AF39" s="314">
        <f t="shared" si="29"/>
        <v>-129.88372093022735</v>
      </c>
      <c r="AG39" s="206">
        <f t="shared" si="30"/>
        <v>0.91700720707333716</v>
      </c>
      <c r="AH39" s="399"/>
    </row>
    <row r="40" spans="1:34" ht="15" customHeight="1">
      <c r="A40" s="402"/>
      <c r="B40" s="75" t="s">
        <v>120</v>
      </c>
      <c r="C40" s="207"/>
      <c r="D40" s="198" t="s">
        <v>124</v>
      </c>
      <c r="E40" s="178"/>
      <c r="F40" s="75">
        <f>VLOOKUP(D40,廠價表!$C$1:$E$41,3,0)</f>
        <v>44.3</v>
      </c>
      <c r="G40" s="199">
        <v>3247</v>
      </c>
      <c r="H40" s="91">
        <f>F40*G40</f>
        <v>143842.09999999998</v>
      </c>
      <c r="I40" s="200"/>
      <c r="J40" s="148">
        <f>VLOOKUP(D40,產線配置圖!$A$3:$C$38,2,0)</f>
        <v>17</v>
      </c>
      <c r="K40" s="95">
        <f>VLOOKUP(D40,產線配置圖!$A$3:$C$38,3,0)</f>
        <v>1565</v>
      </c>
      <c r="L40" s="96">
        <f t="shared" si="31"/>
        <v>92.058823529411768</v>
      </c>
      <c r="M40" s="201">
        <v>17</v>
      </c>
      <c r="N40" s="202">
        <f>G40/W40*60</f>
        <v>1498.6153846153807</v>
      </c>
      <c r="O40" s="203">
        <f t="shared" si="34"/>
        <v>88.153846153845919</v>
      </c>
      <c r="P40" s="97">
        <f t="shared" si="32"/>
        <v>0</v>
      </c>
      <c r="Q40" s="98">
        <f t="shared" si="33"/>
        <v>-3.9049773755658492</v>
      </c>
      <c r="R40" s="99">
        <f t="shared" si="28"/>
        <v>0.9575817154091889</v>
      </c>
      <c r="S40" s="377"/>
      <c r="T40" s="20">
        <v>0.53472222222222199</v>
      </c>
      <c r="U40" s="20">
        <v>0.625</v>
      </c>
      <c r="V40" s="92">
        <f>(T40-U39)*24*60</f>
        <v>80.999999999999957</v>
      </c>
      <c r="W40" s="205">
        <f t="shared" si="17"/>
        <v>130.00000000000034</v>
      </c>
      <c r="X40" s="208"/>
      <c r="Y40" s="209"/>
      <c r="Z40" s="337"/>
      <c r="AA40" s="337"/>
      <c r="AB40" s="388"/>
      <c r="AC40" s="388"/>
      <c r="AD40" s="92"/>
      <c r="AE40" s="92"/>
      <c r="AF40" s="314">
        <f t="shared" si="29"/>
        <v>-66.384615384619337</v>
      </c>
      <c r="AG40" s="206">
        <f t="shared" si="30"/>
        <v>0.9575817154091889</v>
      </c>
      <c r="AH40" s="399"/>
    </row>
    <row r="41" spans="1:34" ht="15" customHeight="1">
      <c r="A41" s="40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77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88"/>
      <c r="AC41" s="388"/>
      <c r="AD41" s="92"/>
      <c r="AE41" s="92"/>
      <c r="AF41" s="314">
        <f t="shared" si="29"/>
        <v>0</v>
      </c>
      <c r="AG41" s="206" t="e">
        <f t="shared" si="30"/>
        <v>#DIV/0!</v>
      </c>
      <c r="AH41" s="399"/>
    </row>
    <row r="42" spans="1:34" ht="15" customHeight="1">
      <c r="A42" s="40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77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88"/>
      <c r="AC42" s="388"/>
      <c r="AD42" s="92"/>
      <c r="AE42" s="92"/>
      <c r="AF42" s="314"/>
      <c r="AG42" s="206"/>
      <c r="AH42" s="399"/>
    </row>
    <row r="43" spans="1:34" ht="15" customHeight="1">
      <c r="A43" s="40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77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88"/>
      <c r="AC43" s="388"/>
      <c r="AD43" s="92"/>
      <c r="AE43" s="92"/>
      <c r="AF43" s="213"/>
      <c r="AG43" s="206"/>
      <c r="AH43" s="399"/>
    </row>
    <row r="44" spans="1:34" ht="15" customHeight="1">
      <c r="A44" s="40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77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88"/>
      <c r="AC44" s="388"/>
      <c r="AD44" s="92"/>
      <c r="AE44" s="92"/>
      <c r="AF44" s="213"/>
      <c r="AG44" s="206"/>
      <c r="AH44" s="399"/>
    </row>
    <row r="45" spans="1:34" ht="15" customHeight="1">
      <c r="A45" s="40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77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88"/>
      <c r="AC45" s="388"/>
      <c r="AD45" s="92"/>
      <c r="AE45" s="92"/>
      <c r="AF45" s="213"/>
      <c r="AG45" s="206"/>
      <c r="AH45" s="399"/>
    </row>
    <row r="46" spans="1:34" ht="15" customHeight="1">
      <c r="A46" s="40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77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88"/>
      <c r="AC46" s="388"/>
      <c r="AD46" s="92"/>
      <c r="AE46" s="92"/>
      <c r="AF46" s="213"/>
      <c r="AG46" s="206"/>
      <c r="AH46" s="399"/>
    </row>
    <row r="47" spans="1:34" ht="15" customHeight="1">
      <c r="A47" s="402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77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88"/>
      <c r="AC47" s="388"/>
      <c r="AD47" s="92"/>
      <c r="AE47" s="92"/>
      <c r="AF47" s="213"/>
      <c r="AG47" s="206"/>
      <c r="AH47" s="399"/>
    </row>
    <row r="48" spans="1:34" ht="15" customHeight="1">
      <c r="A48" s="403"/>
      <c r="B48" s="219"/>
      <c r="C48" s="153" t="s">
        <v>49</v>
      </c>
      <c r="D48" s="371" t="s">
        <v>42</v>
      </c>
      <c r="E48" s="371"/>
      <c r="F48" s="154"/>
      <c r="G48" s="220"/>
      <c r="H48" s="156"/>
      <c r="I48" s="157"/>
      <c r="J48" s="155">
        <f t="shared" ref="J48:O48" si="36">AVERAGE(J38:J47)</f>
        <v>16.333333333333332</v>
      </c>
      <c r="K48" s="155">
        <f t="shared" si="36"/>
        <v>1614.6666666666667</v>
      </c>
      <c r="L48" s="158">
        <f t="shared" si="36"/>
        <v>99.461437908496734</v>
      </c>
      <c r="M48" s="155">
        <f t="shared" si="36"/>
        <v>16.333333333333332</v>
      </c>
      <c r="N48" s="155">
        <f t="shared" si="36"/>
        <v>1467.8220589864916</v>
      </c>
      <c r="O48" s="158">
        <f t="shared" si="36"/>
        <v>90.184917229987931</v>
      </c>
      <c r="P48" s="221">
        <f>M48-J48</f>
        <v>0</v>
      </c>
      <c r="Q48" s="222">
        <f>N48-K48</f>
        <v>-146.84460768017516</v>
      </c>
      <c r="R48" s="223">
        <f>O48/L48</f>
        <v>0.90673248976107623</v>
      </c>
      <c r="S48" s="380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372"/>
      <c r="AC48" s="372"/>
      <c r="AD48" s="323">
        <f>SUM(AD38:AD47)</f>
        <v>0</v>
      </c>
      <c r="AE48" s="323">
        <f>SUM(AE38:AE47)</f>
        <v>0</v>
      </c>
      <c r="AF48" s="315">
        <f t="shared" ref="AF48:AF53" si="37">N48-K48</f>
        <v>-146.84460768017516</v>
      </c>
      <c r="AG48" s="162">
        <f t="shared" ref="AG48:AG53" si="38">N48/K48</f>
        <v>0.9090557755903127</v>
      </c>
      <c r="AH48" s="400"/>
    </row>
    <row r="49" spans="1:34" ht="15" customHeight="1">
      <c r="A49" s="395" t="s">
        <v>50</v>
      </c>
      <c r="B49" s="129" t="s">
        <v>81</v>
      </c>
      <c r="C49" s="130"/>
      <c r="D49" s="131" t="s">
        <v>113</v>
      </c>
      <c r="E49" s="132"/>
      <c r="F49" s="129">
        <f>VLOOKUP(D49,廠價表!$C$1:$E$41,3,0)</f>
        <v>57.21</v>
      </c>
      <c r="G49" s="228">
        <v>3535</v>
      </c>
      <c r="H49" s="134">
        <f>F49*G49</f>
        <v>202237.35</v>
      </c>
      <c r="I49" s="135"/>
      <c r="J49" s="136">
        <v>15</v>
      </c>
      <c r="K49" s="137">
        <v>1636</v>
      </c>
      <c r="L49" s="138">
        <f t="shared" ref="L49:L51" si="39">K49/J49</f>
        <v>109.06666666666666</v>
      </c>
      <c r="M49" s="170">
        <v>15</v>
      </c>
      <c r="N49" s="140">
        <f>G49/W49*60</f>
        <v>1571.1111111111113</v>
      </c>
      <c r="O49" s="141">
        <f>N49/M49</f>
        <v>104.74074074074075</v>
      </c>
      <c r="P49" s="229">
        <f>M49-J49</f>
        <v>0</v>
      </c>
      <c r="Q49" s="230">
        <f>O49-L49</f>
        <v>-4.3259259259259153</v>
      </c>
      <c r="R49" s="52">
        <f>O49/L49</f>
        <v>0.96033686498234183</v>
      </c>
      <c r="S49" s="376">
        <f>R58</f>
        <v>0.91409042105709526</v>
      </c>
      <c r="T49" s="191">
        <v>0.29166666666666702</v>
      </c>
      <c r="U49" s="191">
        <v>0.38541666666666702</v>
      </c>
      <c r="V49" s="55"/>
      <c r="W49" s="193">
        <f t="shared" si="17"/>
        <v>135</v>
      </c>
      <c r="X49" s="55"/>
      <c r="Y49" s="290"/>
      <c r="Z49" s="169"/>
      <c r="AA49" s="169"/>
      <c r="AB49" s="381"/>
      <c r="AC49" s="381"/>
      <c r="AD49" s="135"/>
      <c r="AE49" s="135"/>
      <c r="AF49" s="229">
        <f t="shared" si="37"/>
        <v>-64.888888888888687</v>
      </c>
      <c r="AG49" s="52">
        <f t="shared" si="38"/>
        <v>0.96033686498234183</v>
      </c>
      <c r="AH49" s="382">
        <f>AG58</f>
        <v>0.91312710068197811</v>
      </c>
    </row>
    <row r="50" spans="1:34" ht="15" customHeight="1">
      <c r="A50" s="396"/>
      <c r="B50" s="75" t="s">
        <v>81</v>
      </c>
      <c r="C50" s="76"/>
      <c r="D50" s="59" t="s">
        <v>127</v>
      </c>
      <c r="E50" s="77"/>
      <c r="F50" s="75">
        <f>VLOOKUP(D50,廠價表!$C$1:$E$41,3,0)</f>
        <v>49.97</v>
      </c>
      <c r="G50" s="202">
        <v>3943</v>
      </c>
      <c r="H50" s="231">
        <f>F50*G50</f>
        <v>197031.71</v>
      </c>
      <c r="I50" s="232"/>
      <c r="J50" s="79">
        <f>VLOOKUP(D50,產線配置圖!$A$3:$C$38,2,0)</f>
        <v>16</v>
      </c>
      <c r="K50" s="80">
        <v>1800</v>
      </c>
      <c r="L50" s="81">
        <f t="shared" si="39"/>
        <v>112.5</v>
      </c>
      <c r="M50" s="233">
        <v>16</v>
      </c>
      <c r="N50" s="234">
        <f>G50/W50*60</f>
        <v>1765.5223880597121</v>
      </c>
      <c r="O50" s="235">
        <f>N50/M50</f>
        <v>110.345149253732</v>
      </c>
      <c r="P50" s="74">
        <f>M50-J50</f>
        <v>0</v>
      </c>
      <c r="Q50" s="83">
        <f>O50-L50</f>
        <v>-2.1548507462679964</v>
      </c>
      <c r="R50" s="72">
        <f>O50/L50</f>
        <v>0.98084577114428451</v>
      </c>
      <c r="S50" s="377"/>
      <c r="T50" s="21">
        <v>0.39305555555555599</v>
      </c>
      <c r="U50" s="21">
        <v>0.48611111111111099</v>
      </c>
      <c r="V50" s="30">
        <f t="shared" ref="V50:V51" si="40">(T50-U49)*24*60</f>
        <v>11.000000000000121</v>
      </c>
      <c r="W50" s="236">
        <f t="shared" si="17"/>
        <v>133.9999999999992</v>
      </c>
      <c r="X50" s="22">
        <v>0.49305555555555558</v>
      </c>
      <c r="Y50" s="84">
        <v>0.53472222222222221</v>
      </c>
      <c r="Z50" s="90"/>
      <c r="AA50" s="90"/>
      <c r="AB50" s="388"/>
      <c r="AC50" s="388"/>
      <c r="AD50" s="92"/>
      <c r="AE50" s="92"/>
      <c r="AF50" s="307">
        <f t="shared" si="37"/>
        <v>-34.477611940287943</v>
      </c>
      <c r="AG50" s="72">
        <f t="shared" si="38"/>
        <v>0.98084577114428451</v>
      </c>
      <c r="AH50" s="384"/>
    </row>
    <row r="51" spans="1:34" ht="15" customHeight="1">
      <c r="A51" s="396"/>
      <c r="B51" s="75" t="s">
        <v>81</v>
      </c>
      <c r="C51" s="76"/>
      <c r="D51" s="59" t="s">
        <v>127</v>
      </c>
      <c r="E51" s="77"/>
      <c r="F51" s="75">
        <f>VLOOKUP(D51,廠價表!$C$1:$E$41,3,0)</f>
        <v>49.97</v>
      </c>
      <c r="G51" s="202">
        <v>1926</v>
      </c>
      <c r="H51" s="231">
        <f>F51*G51</f>
        <v>96242.22</v>
      </c>
      <c r="I51" s="232"/>
      <c r="J51" s="79">
        <f>VLOOKUP(D51,產線配置圖!$A$3:$C$38,2,0)</f>
        <v>16</v>
      </c>
      <c r="K51" s="80">
        <v>1800</v>
      </c>
      <c r="L51" s="81">
        <f t="shared" si="39"/>
        <v>112.5</v>
      </c>
      <c r="M51" s="233">
        <v>16</v>
      </c>
      <c r="N51" s="234">
        <f>G51/W51*60</f>
        <v>1444.5000000000139</v>
      </c>
      <c r="O51" s="235">
        <f>N51/M51</f>
        <v>90.281250000000867</v>
      </c>
      <c r="P51" s="74">
        <f>M51-J51</f>
        <v>0</v>
      </c>
      <c r="Q51" s="83">
        <f>O51-L51</f>
        <v>-22.218749999999133</v>
      </c>
      <c r="R51" s="72">
        <f>O51/L51</f>
        <v>0.80250000000000765</v>
      </c>
      <c r="S51" s="377"/>
      <c r="T51" s="21">
        <v>0.54513888888888895</v>
      </c>
      <c r="U51" s="19">
        <v>0.60069444444444398</v>
      </c>
      <c r="V51" s="30">
        <f t="shared" si="40"/>
        <v>85.000000000000256</v>
      </c>
      <c r="W51" s="236">
        <f t="shared" si="17"/>
        <v>79.999999999999233</v>
      </c>
      <c r="X51" s="22"/>
      <c r="Y51" s="84"/>
      <c r="Z51" s="90"/>
      <c r="AA51" s="90"/>
      <c r="AB51" s="388"/>
      <c r="AC51" s="388"/>
      <c r="AD51" s="92"/>
      <c r="AE51" s="92"/>
      <c r="AF51" s="307">
        <f t="shared" si="37"/>
        <v>-355.49999999998613</v>
      </c>
      <c r="AG51" s="72">
        <f t="shared" si="38"/>
        <v>0.80250000000000765</v>
      </c>
      <c r="AH51" s="384"/>
    </row>
    <row r="52" spans="1:34" ht="15" customHeight="1">
      <c r="A52" s="396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77"/>
      <c r="T52" s="21"/>
      <c r="U52" s="21"/>
      <c r="V52" s="30"/>
      <c r="W52" s="236">
        <f t="shared" si="17"/>
        <v>0</v>
      </c>
      <c r="X52" s="22"/>
      <c r="Y52" s="84"/>
      <c r="Z52" s="90"/>
      <c r="AA52" s="90"/>
      <c r="AB52" s="388"/>
      <c r="AC52" s="388"/>
      <c r="AD52" s="92"/>
      <c r="AE52" s="92"/>
      <c r="AF52" s="307">
        <f t="shared" si="37"/>
        <v>0</v>
      </c>
      <c r="AG52" s="72" t="e">
        <f t="shared" si="38"/>
        <v>#DIV/0!</v>
      </c>
      <c r="AH52" s="384"/>
    </row>
    <row r="53" spans="1:34" ht="15" customHeight="1">
      <c r="A53" s="396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77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88"/>
      <c r="AC53" s="388"/>
      <c r="AD53" s="92"/>
      <c r="AE53" s="92"/>
      <c r="AF53" s="307">
        <f t="shared" si="37"/>
        <v>0</v>
      </c>
      <c r="AG53" s="72" t="e">
        <f t="shared" si="38"/>
        <v>#DIV/0!</v>
      </c>
      <c r="AH53" s="384"/>
    </row>
    <row r="54" spans="1:34" ht="15" customHeight="1">
      <c r="A54" s="396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77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88"/>
      <c r="AC54" s="388"/>
      <c r="AD54" s="92"/>
      <c r="AE54" s="92"/>
      <c r="AF54" s="307"/>
      <c r="AG54" s="72"/>
      <c r="AH54" s="384"/>
    </row>
    <row r="55" spans="1:34" ht="15" customHeight="1">
      <c r="A55" s="396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77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88"/>
      <c r="AC55" s="388"/>
      <c r="AD55" s="92"/>
      <c r="AE55" s="92"/>
      <c r="AF55" s="307"/>
      <c r="AG55" s="72"/>
      <c r="AH55" s="384"/>
    </row>
    <row r="56" spans="1:34" ht="15" customHeight="1">
      <c r="A56" s="396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77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88"/>
      <c r="AC56" s="388"/>
      <c r="AD56" s="92"/>
      <c r="AE56" s="92"/>
      <c r="AF56" s="307"/>
      <c r="AG56" s="72"/>
      <c r="AH56" s="384"/>
    </row>
    <row r="57" spans="1:34" ht="15" customHeight="1">
      <c r="A57" s="396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77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88"/>
      <c r="AC57" s="388"/>
      <c r="AD57" s="92"/>
      <c r="AE57" s="92"/>
      <c r="AF57" s="307"/>
      <c r="AG57" s="72"/>
      <c r="AH57" s="384"/>
    </row>
    <row r="58" spans="1:34" ht="15" customHeight="1">
      <c r="A58" s="397"/>
      <c r="B58" s="239"/>
      <c r="C58" s="153" t="s">
        <v>51</v>
      </c>
      <c r="D58" s="371" t="s">
        <v>42</v>
      </c>
      <c r="E58" s="371"/>
      <c r="F58" s="116"/>
      <c r="G58" s="240"/>
      <c r="H58" s="118"/>
      <c r="I58" s="117"/>
      <c r="J58" s="120">
        <f t="shared" ref="J58:O58" si="41">AVERAGE(J49:J57)</f>
        <v>15.666666666666666</v>
      </c>
      <c r="K58" s="120">
        <f t="shared" si="41"/>
        <v>1745.3333333333333</v>
      </c>
      <c r="L58" s="117">
        <f t="shared" si="41"/>
        <v>111.35555555555555</v>
      </c>
      <c r="M58" s="120">
        <f t="shared" si="41"/>
        <v>15.666666666666666</v>
      </c>
      <c r="N58" s="120">
        <f t="shared" si="41"/>
        <v>1593.711166390279</v>
      </c>
      <c r="O58" s="117">
        <f t="shared" si="41"/>
        <v>101.78904666482454</v>
      </c>
      <c r="P58" s="121">
        <f>M58-J58</f>
        <v>0</v>
      </c>
      <c r="Q58" s="122">
        <f>N58-K58</f>
        <v>-151.62216694305425</v>
      </c>
      <c r="R58" s="123">
        <f t="shared" ref="R58:R60" si="42">O58/L58</f>
        <v>0.91409042105709526</v>
      </c>
      <c r="S58" s="380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2"/>
      <c r="AC58" s="372"/>
      <c r="AD58" s="323">
        <f>SUM(AD49:AD57)</f>
        <v>0</v>
      </c>
      <c r="AE58" s="323">
        <f>SUM(AE49:AE57)</f>
        <v>0</v>
      </c>
      <c r="AF58" s="309">
        <f t="shared" ref="AF58:AF61" si="43">N58-K58</f>
        <v>-151.62216694305425</v>
      </c>
      <c r="AG58" s="124">
        <f t="shared" ref="AG58:AG61" si="44">N58/K58</f>
        <v>0.91312710068197811</v>
      </c>
      <c r="AH58" s="386"/>
    </row>
    <row r="59" spans="1:34" ht="15" customHeight="1">
      <c r="A59" s="390" t="s">
        <v>52</v>
      </c>
      <c r="B59" s="129" t="s">
        <v>128</v>
      </c>
      <c r="C59" s="130"/>
      <c r="D59" s="131" t="s">
        <v>129</v>
      </c>
      <c r="E59" s="132"/>
      <c r="F59" s="129">
        <f>VLOOKUP(D59,廠價表!$C$1:$E$41,3,0)</f>
        <v>26.99</v>
      </c>
      <c r="G59" s="55">
        <v>3863</v>
      </c>
      <c r="H59" s="243">
        <f>F59*G59</f>
        <v>104262.37</v>
      </c>
      <c r="I59" s="55"/>
      <c r="J59" s="136">
        <f>VLOOKUP(D59,產線配置圖!$A$3:$C$38,2,0)</f>
        <v>13</v>
      </c>
      <c r="K59" s="137">
        <f>VLOOKUP(D59,產線配置圖!$A$3:$C$38,3,0)</f>
        <v>1565</v>
      </c>
      <c r="L59" s="138">
        <f t="shared" ref="L59:L63" si="45">K59/J59</f>
        <v>120.38461538461539</v>
      </c>
      <c r="M59" s="244">
        <v>13</v>
      </c>
      <c r="N59" s="137">
        <f t="shared" ref="N59:N63" si="46">G59/W59*60</f>
        <v>1495.3548387096757</v>
      </c>
      <c r="O59" s="138">
        <f t="shared" ref="O59:O63" si="47">N59/M59</f>
        <v>115.02729528535967</v>
      </c>
      <c r="P59" s="56">
        <f t="shared" ref="P59:P63" si="48">M59-J59</f>
        <v>0</v>
      </c>
      <c r="Q59" s="230">
        <f t="shared" ref="Q59:Q63" si="49">O59-L59</f>
        <v>-5.3573200992557162</v>
      </c>
      <c r="R59" s="52">
        <f t="shared" si="42"/>
        <v>0.95549829949500042</v>
      </c>
      <c r="S59" s="376">
        <f>R69</f>
        <v>0.87753257274321961</v>
      </c>
      <c r="T59" s="245">
        <v>0.29166666666666702</v>
      </c>
      <c r="U59" s="245">
        <v>0.39930555555555602</v>
      </c>
      <c r="V59" s="55"/>
      <c r="W59" s="54">
        <f t="shared" si="17"/>
        <v>155.00000000000017</v>
      </c>
      <c r="X59" s="55"/>
      <c r="Y59" s="290"/>
      <c r="Z59" s="169"/>
      <c r="AA59" s="169"/>
      <c r="AB59" s="381"/>
      <c r="AC59" s="381"/>
      <c r="AD59" s="135"/>
      <c r="AE59" s="135"/>
      <c r="AF59" s="310">
        <f t="shared" si="43"/>
        <v>-69.645161290324268</v>
      </c>
      <c r="AG59" s="246">
        <f t="shared" si="44"/>
        <v>0.95549829949500042</v>
      </c>
      <c r="AH59" s="382">
        <f>AG69</f>
        <v>0.8866916473554215</v>
      </c>
    </row>
    <row r="60" spans="1:34" ht="15" customHeight="1">
      <c r="A60" s="391"/>
      <c r="B60" s="75" t="s">
        <v>128</v>
      </c>
      <c r="C60" s="86"/>
      <c r="D60" s="175" t="s">
        <v>130</v>
      </c>
      <c r="E60" s="87"/>
      <c r="F60" s="75">
        <f>VLOOKUP(D60,廠價表!$C$1:$E$41,3,0)</f>
        <v>28.26</v>
      </c>
      <c r="G60" s="30">
        <v>1720</v>
      </c>
      <c r="H60" s="78">
        <f>F60*G60</f>
        <v>48607.200000000004</v>
      </c>
      <c r="I60" s="30"/>
      <c r="J60" s="79">
        <f>VLOOKUP(D60,產線配置圖!$A$3:$C$38,2,0)</f>
        <v>12</v>
      </c>
      <c r="K60" s="80">
        <f>VLOOKUP(D60,產線配置圖!$A$3:$C$38,3,0)</f>
        <v>1565</v>
      </c>
      <c r="L60" s="81">
        <f t="shared" si="45"/>
        <v>130.41666666666666</v>
      </c>
      <c r="M60" s="82">
        <v>12</v>
      </c>
      <c r="N60" s="80">
        <f t="shared" si="46"/>
        <v>1517.6470588235225</v>
      </c>
      <c r="O60" s="81">
        <f t="shared" si="47"/>
        <v>126.47058823529353</v>
      </c>
      <c r="P60" s="74">
        <f t="shared" si="48"/>
        <v>0</v>
      </c>
      <c r="Q60" s="83">
        <f t="shared" si="49"/>
        <v>-3.9460784313731239</v>
      </c>
      <c r="R60" s="72">
        <f t="shared" si="42"/>
        <v>0.96974252959969487</v>
      </c>
      <c r="S60" s="394"/>
      <c r="T60" s="22">
        <v>0.40972222222222199</v>
      </c>
      <c r="U60" s="22">
        <v>0.45694444444444443</v>
      </c>
      <c r="V60" s="30">
        <f t="shared" ref="V60:V63" si="50">(T60-U59)*24*60</f>
        <v>14.999999999998987</v>
      </c>
      <c r="W60" s="248">
        <f t="shared" si="17"/>
        <v>68.000000000000313</v>
      </c>
      <c r="X60" s="232"/>
      <c r="Y60" s="177"/>
      <c r="Z60" s="90"/>
      <c r="AA60" s="90"/>
      <c r="AB60" s="388"/>
      <c r="AC60" s="388"/>
      <c r="AD60" s="92"/>
      <c r="AE60" s="92"/>
      <c r="AF60" s="316">
        <f t="shared" si="43"/>
        <v>-47.352941176477543</v>
      </c>
      <c r="AG60" s="249">
        <f t="shared" si="44"/>
        <v>0.96974252959969487</v>
      </c>
      <c r="AH60" s="389"/>
    </row>
    <row r="61" spans="1:34" ht="15" customHeight="1">
      <c r="A61" s="392"/>
      <c r="B61" s="250" t="s">
        <v>128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1261</v>
      </c>
      <c r="H61" s="254">
        <f>F61*G61</f>
        <v>35635.86</v>
      </c>
      <c r="I61" s="182"/>
      <c r="J61" s="106">
        <f>VLOOKUP(D61,產線配置圖!$A$3:$C$38,2,0)</f>
        <v>9</v>
      </c>
      <c r="K61" s="107">
        <f>VLOOKUP(D61,產線配置圖!$A$3:$C$38,3,0)</f>
        <v>1636</v>
      </c>
      <c r="L61" s="238">
        <f t="shared" si="45"/>
        <v>181.77777777777777</v>
      </c>
      <c r="M61" s="108">
        <v>9</v>
      </c>
      <c r="N61" s="107">
        <f t="shared" si="46"/>
        <v>1327.3684210526476</v>
      </c>
      <c r="O61" s="238">
        <f t="shared" si="47"/>
        <v>147.48538011696084</v>
      </c>
      <c r="P61" s="111">
        <f t="shared" si="48"/>
        <v>0</v>
      </c>
      <c r="Q61" s="255">
        <f t="shared" si="49"/>
        <v>-34.292397660816931</v>
      </c>
      <c r="R61" s="85">
        <f>O61/L61</f>
        <v>0.81134989061897778</v>
      </c>
      <c r="S61" s="377"/>
      <c r="T61" s="22">
        <v>0.46736111111111112</v>
      </c>
      <c r="U61" s="22">
        <v>0.50694444444444398</v>
      </c>
      <c r="V61" s="30">
        <f t="shared" si="50"/>
        <v>15.000000000000027</v>
      </c>
      <c r="W61" s="256">
        <f t="shared" si="17"/>
        <v>56.999999999999318</v>
      </c>
      <c r="X61" s="22"/>
      <c r="Y61" s="84"/>
      <c r="Z61" s="90"/>
      <c r="AA61" s="90"/>
      <c r="AB61" s="388"/>
      <c r="AC61" s="388"/>
      <c r="AD61" s="92"/>
      <c r="AE61" s="92"/>
      <c r="AF61" s="317">
        <f t="shared" si="43"/>
        <v>-308.63157894735241</v>
      </c>
      <c r="AG61" s="247">
        <f t="shared" si="44"/>
        <v>0.81134989061897778</v>
      </c>
      <c r="AH61" s="384"/>
    </row>
    <row r="62" spans="1:34" ht="15" customHeight="1">
      <c r="A62" s="392"/>
      <c r="B62" s="250" t="s">
        <v>128</v>
      </c>
      <c r="C62" s="251"/>
      <c r="D62" s="257" t="s">
        <v>138</v>
      </c>
      <c r="E62" s="253"/>
      <c r="F62" s="250">
        <f>VLOOKUP(D62,廠價表!$C$1:$E$41,3,0)</f>
        <v>28.26</v>
      </c>
      <c r="G62" s="38">
        <v>226</v>
      </c>
      <c r="H62" s="254">
        <f t="shared" ref="H62:H63" si="51">F62*G62</f>
        <v>6386.76</v>
      </c>
      <c r="I62" s="182"/>
      <c r="J62" s="106">
        <f>VLOOKUP(D62,產線配置圖!$A$3:$C$38,2,0)</f>
        <v>9</v>
      </c>
      <c r="K62" s="107">
        <f>VLOOKUP(D62,產線配置圖!$A$3:$C$38,3,0)</f>
        <v>1636</v>
      </c>
      <c r="L62" s="238">
        <f t="shared" si="45"/>
        <v>181.77777777777777</v>
      </c>
      <c r="M62" s="108">
        <v>9</v>
      </c>
      <c r="N62" s="107">
        <f t="shared" si="46"/>
        <v>1355.9999999998965</v>
      </c>
      <c r="O62" s="238">
        <f t="shared" si="47"/>
        <v>150.66666666665517</v>
      </c>
      <c r="P62" s="111">
        <f t="shared" si="48"/>
        <v>0</v>
      </c>
      <c r="Q62" s="255">
        <f t="shared" si="49"/>
        <v>-31.111111111122597</v>
      </c>
      <c r="R62" s="85">
        <f t="shared" ref="R62:R63" si="52">O62/L62</f>
        <v>0.82885085574565809</v>
      </c>
      <c r="S62" s="377"/>
      <c r="T62" s="22">
        <v>0.54861111111111105</v>
      </c>
      <c r="U62" s="22">
        <v>0.55555555555555602</v>
      </c>
      <c r="V62" s="30">
        <f t="shared" si="50"/>
        <v>60.000000000000583</v>
      </c>
      <c r="W62" s="248">
        <f t="shared" si="17"/>
        <v>10.000000000000764</v>
      </c>
      <c r="X62" s="22">
        <v>0.50347222222222199</v>
      </c>
      <c r="Y62" s="84">
        <v>0.54513888888888895</v>
      </c>
      <c r="Z62" s="90"/>
      <c r="AA62" s="90"/>
      <c r="AB62" s="388"/>
      <c r="AC62" s="388"/>
      <c r="AD62" s="92"/>
      <c r="AE62" s="92"/>
      <c r="AF62" s="317">
        <f>N62-K62</f>
        <v>-280.00000000010346</v>
      </c>
      <c r="AG62" s="247">
        <f>N62/K62</f>
        <v>0.82885085574565809</v>
      </c>
      <c r="AH62" s="384"/>
    </row>
    <row r="63" spans="1:34" ht="15" customHeight="1">
      <c r="A63" s="392"/>
      <c r="B63" s="258" t="s">
        <v>128</v>
      </c>
      <c r="C63" s="58"/>
      <c r="D63" s="259" t="s">
        <v>138</v>
      </c>
      <c r="E63" s="60"/>
      <c r="F63" s="250">
        <f>VLOOKUP(D63,廠價表!$C$1:$E$41,3,0)</f>
        <v>28.26</v>
      </c>
      <c r="G63" s="260">
        <v>2504</v>
      </c>
      <c r="H63" s="254">
        <f t="shared" si="51"/>
        <v>70763.040000000008</v>
      </c>
      <c r="I63" s="182"/>
      <c r="J63" s="106">
        <f>VLOOKUP(D63,產線配置圖!$A$3:$C$38,2,0)</f>
        <v>9</v>
      </c>
      <c r="K63" s="107">
        <f>VLOOKUP(D63,產線配置圖!$A$3:$C$38,3,0)</f>
        <v>1636</v>
      </c>
      <c r="L63" s="238">
        <f t="shared" si="45"/>
        <v>181.77777777777777</v>
      </c>
      <c r="M63" s="68">
        <v>9</v>
      </c>
      <c r="N63" s="107">
        <f t="shared" si="46"/>
        <v>1430.8571428571349</v>
      </c>
      <c r="O63" s="238">
        <f t="shared" si="47"/>
        <v>158.98412698412611</v>
      </c>
      <c r="P63" s="111">
        <f t="shared" si="48"/>
        <v>0</v>
      </c>
      <c r="Q63" s="255">
        <f t="shared" si="49"/>
        <v>-22.793650793651665</v>
      </c>
      <c r="R63" s="85">
        <f t="shared" si="52"/>
        <v>0.87460705553614604</v>
      </c>
      <c r="S63" s="377"/>
      <c r="T63" s="22">
        <v>0.56944444444444398</v>
      </c>
      <c r="U63" s="22">
        <v>0.64236111111111105</v>
      </c>
      <c r="V63" s="30">
        <f t="shared" si="50"/>
        <v>19.99999999999865</v>
      </c>
      <c r="W63" s="248">
        <f t="shared" si="17"/>
        <v>105.00000000000058</v>
      </c>
      <c r="X63" s="261"/>
      <c r="Y63" s="291"/>
      <c r="Z63" s="335"/>
      <c r="AA63" s="335"/>
      <c r="AB63" s="388"/>
      <c r="AC63" s="388"/>
      <c r="AD63" s="92"/>
      <c r="AE63" s="92"/>
      <c r="AF63" s="317"/>
      <c r="AG63" s="247"/>
      <c r="AH63" s="384"/>
    </row>
    <row r="64" spans="1:34" ht="15" customHeight="1">
      <c r="A64" s="39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77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88"/>
      <c r="AC64" s="388"/>
      <c r="AD64" s="92"/>
      <c r="AE64" s="92"/>
      <c r="AF64" s="307"/>
      <c r="AG64" s="262"/>
      <c r="AH64" s="384"/>
    </row>
    <row r="65" spans="1:36" ht="15" customHeight="1">
      <c r="A65" s="39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77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88"/>
      <c r="AC65" s="388"/>
      <c r="AD65" s="92"/>
      <c r="AE65" s="92"/>
      <c r="AF65" s="307"/>
      <c r="AG65" s="262"/>
      <c r="AH65" s="384"/>
    </row>
    <row r="66" spans="1:36" ht="15" customHeight="1">
      <c r="A66" s="39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77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88"/>
      <c r="AC66" s="388"/>
      <c r="AD66" s="92"/>
      <c r="AE66" s="92"/>
      <c r="AF66" s="307"/>
      <c r="AG66" s="262"/>
      <c r="AH66" s="384"/>
    </row>
    <row r="67" spans="1:36" ht="15" customHeight="1">
      <c r="A67" s="39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77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88"/>
      <c r="AC67" s="388"/>
      <c r="AD67" s="92"/>
      <c r="AE67" s="92"/>
      <c r="AF67" s="307"/>
      <c r="AG67" s="262"/>
      <c r="AH67" s="384"/>
    </row>
    <row r="68" spans="1:36" ht="15" customHeight="1">
      <c r="A68" s="39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77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88" t="s">
        <v>53</v>
      </c>
      <c r="AC68" s="388"/>
      <c r="AD68" s="92"/>
      <c r="AE68" s="92"/>
      <c r="AF68" s="307"/>
      <c r="AG68" s="262"/>
      <c r="AH68" s="384"/>
    </row>
    <row r="69" spans="1:36" ht="15" customHeight="1">
      <c r="A69" s="393"/>
      <c r="B69" s="239"/>
      <c r="C69" s="153" t="s">
        <v>54</v>
      </c>
      <c r="D69" s="371" t="s">
        <v>42</v>
      </c>
      <c r="E69" s="371"/>
      <c r="F69" s="116"/>
      <c r="G69" s="117"/>
      <c r="H69" s="366"/>
      <c r="I69" s="367"/>
      <c r="J69" s="240">
        <f t="shared" ref="J69:O69" si="53">AVERAGE(J59:J68)</f>
        <v>10.4</v>
      </c>
      <c r="K69" s="240">
        <f t="shared" si="53"/>
        <v>1607.6</v>
      </c>
      <c r="L69" s="268">
        <f t="shared" si="53"/>
        <v>159.2269230769231</v>
      </c>
      <c r="M69" s="240">
        <f t="shared" si="53"/>
        <v>10.4</v>
      </c>
      <c r="N69" s="240">
        <f t="shared" si="53"/>
        <v>1425.4454922885755</v>
      </c>
      <c r="O69" s="268">
        <f t="shared" si="53"/>
        <v>139.72681145767905</v>
      </c>
      <c r="P69" s="269">
        <f>M69-J69</f>
        <v>0</v>
      </c>
      <c r="Q69" s="222">
        <f>N69-K69</f>
        <v>-182.15450771142446</v>
      </c>
      <c r="R69" s="123">
        <f>O69/L69</f>
        <v>0.87753257274321961</v>
      </c>
      <c r="S69" s="380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2"/>
      <c r="AC69" s="372"/>
      <c r="AD69" s="323">
        <f>SUM(AD59:AD68)</f>
        <v>0</v>
      </c>
      <c r="AE69" s="323">
        <f>SUM(AE59:AE68)</f>
        <v>0</v>
      </c>
      <c r="AF69" s="309">
        <f>N69-K69</f>
        <v>-182.15450771142446</v>
      </c>
      <c r="AG69" s="124">
        <f>N69/K69</f>
        <v>0.8866916473554215</v>
      </c>
      <c r="AH69" s="386"/>
    </row>
    <row r="70" spans="1:36" ht="15" customHeight="1">
      <c r="A70" s="373" t="s">
        <v>55</v>
      </c>
      <c r="B70" s="129" t="s">
        <v>81</v>
      </c>
      <c r="C70" s="129"/>
      <c r="D70" s="131" t="s">
        <v>132</v>
      </c>
      <c r="E70" s="132"/>
      <c r="F70" s="129">
        <f>VLOOKUP(D70,廠價表!$C$1:$E$41,3,0)</f>
        <v>50.67</v>
      </c>
      <c r="G70" s="290">
        <v>2591</v>
      </c>
      <c r="H70" s="91">
        <f>F70*G70</f>
        <v>131285.97</v>
      </c>
      <c r="I70" s="92"/>
      <c r="J70" s="364">
        <v>13</v>
      </c>
      <c r="K70" s="137">
        <v>1440</v>
      </c>
      <c r="L70" s="138">
        <f>K70/J70</f>
        <v>110.76923076923077</v>
      </c>
      <c r="M70" s="244">
        <v>13</v>
      </c>
      <c r="N70" s="137">
        <f>G70/W70*60</f>
        <v>1351.8260869565238</v>
      </c>
      <c r="O70" s="138">
        <f>N70/M70</f>
        <v>103.98662207357876</v>
      </c>
      <c r="P70" s="56">
        <f>M70-J70</f>
        <v>0</v>
      </c>
      <c r="Q70" s="230">
        <f>O70-L70</f>
        <v>-6.7826086956520157</v>
      </c>
      <c r="R70" s="52">
        <f>O70/L70</f>
        <v>0.93876811594203047</v>
      </c>
      <c r="S70" s="376">
        <f>R79</f>
        <v>0.88035204827509195</v>
      </c>
      <c r="T70" s="245">
        <v>0.33333333333333298</v>
      </c>
      <c r="U70" s="245">
        <v>0.41319444444444398</v>
      </c>
      <c r="V70" s="55"/>
      <c r="W70" s="54">
        <f t="shared" si="17"/>
        <v>114.99999999999983</v>
      </c>
      <c r="X70" s="270"/>
      <c r="Y70" s="292"/>
      <c r="Z70" s="169"/>
      <c r="AA70" s="169"/>
      <c r="AB70" s="381"/>
      <c r="AC70" s="381"/>
      <c r="AD70" s="135"/>
      <c r="AE70" s="135"/>
      <c r="AF70" s="310">
        <f>N70-K70</f>
        <v>-88.173913043476205</v>
      </c>
      <c r="AG70" s="246">
        <f>N70/K70</f>
        <v>0.93876811594203047</v>
      </c>
      <c r="AH70" s="382">
        <f>AG79</f>
        <v>0.79880503185677809</v>
      </c>
    </row>
    <row r="71" spans="1:36" ht="15" customHeight="1">
      <c r="A71" s="374"/>
      <c r="B71" s="75" t="s">
        <v>81</v>
      </c>
      <c r="C71" s="76"/>
      <c r="D71" s="59" t="s">
        <v>134</v>
      </c>
      <c r="E71" s="77"/>
      <c r="F71" s="250">
        <f>VLOOKUP(D71,廠價表!$C$1:$E$41,3,0)</f>
        <v>56.43</v>
      </c>
      <c r="G71" s="151">
        <v>1367</v>
      </c>
      <c r="H71" s="91">
        <f>F71*G71</f>
        <v>77139.81</v>
      </c>
      <c r="I71" s="92"/>
      <c r="J71" s="365">
        <f>VLOOKUP(D71,產線配置圖!$A$3:$C$38,2,0)</f>
        <v>16</v>
      </c>
      <c r="K71" s="107">
        <f>VLOOKUP(D71,產線配置圖!$A$3:$C$38,3,0)</f>
        <v>1406</v>
      </c>
      <c r="L71" s="238">
        <f>K71/J71</f>
        <v>87.875</v>
      </c>
      <c r="M71" s="82">
        <v>13</v>
      </c>
      <c r="N71" s="107">
        <f>G71/W71*60</f>
        <v>921.57303370786678</v>
      </c>
      <c r="O71" s="238">
        <f>N71/M71</f>
        <v>70.890233362143604</v>
      </c>
      <c r="P71" s="111">
        <f>M71-J71</f>
        <v>-3</v>
      </c>
      <c r="Q71" s="255">
        <f>O71-L71</f>
        <v>-16.984766637856396</v>
      </c>
      <c r="R71" s="85">
        <f>O71/L71</f>
        <v>0.80671673811827715</v>
      </c>
      <c r="S71" s="377"/>
      <c r="T71" s="22">
        <v>0.42013888888888901</v>
      </c>
      <c r="U71" s="22">
        <v>0.48194444444444445</v>
      </c>
      <c r="V71" s="30">
        <f>(T71-U70)*24*60</f>
        <v>10.000000000000844</v>
      </c>
      <c r="W71" s="73">
        <f t="shared" si="17"/>
        <v>88.999999999999844</v>
      </c>
      <c r="X71" s="271"/>
      <c r="Y71" s="293"/>
      <c r="Z71" s="90"/>
      <c r="AA71" s="90"/>
      <c r="AB71" s="387"/>
      <c r="AC71" s="387"/>
      <c r="AD71" s="200"/>
      <c r="AE71" s="200"/>
      <c r="AF71" s="311">
        <v>-300.31249999999704</v>
      </c>
      <c r="AG71" s="99">
        <v>0.80810702875399554</v>
      </c>
      <c r="AH71" s="383"/>
    </row>
    <row r="72" spans="1:36" ht="15" customHeight="1">
      <c r="A72" s="374"/>
      <c r="B72" s="75" t="s">
        <v>189</v>
      </c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77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88"/>
      <c r="AC72" s="388"/>
      <c r="AD72" s="92"/>
      <c r="AE72" s="92"/>
      <c r="AF72" s="311">
        <v>-130.33333333333326</v>
      </c>
      <c r="AG72" s="99">
        <v>0.91671991480298198</v>
      </c>
      <c r="AH72" s="383"/>
    </row>
    <row r="73" spans="1:36" ht="15" customHeight="1">
      <c r="A73" s="374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77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88"/>
      <c r="AC73" s="388"/>
      <c r="AD73" s="92"/>
      <c r="AE73" s="92"/>
      <c r="AF73" s="311"/>
      <c r="AG73" s="99"/>
      <c r="AH73" s="383"/>
    </row>
    <row r="74" spans="1:36" ht="15" customHeight="1">
      <c r="A74" s="374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77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88"/>
      <c r="AC74" s="388"/>
      <c r="AD74" s="92"/>
      <c r="AE74" s="92"/>
      <c r="AF74" s="311"/>
      <c r="AG74" s="99"/>
      <c r="AH74" s="383"/>
    </row>
    <row r="75" spans="1:36" ht="15" customHeight="1">
      <c r="A75" s="374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77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88"/>
      <c r="AC75" s="388"/>
      <c r="AD75" s="92"/>
      <c r="AE75" s="92"/>
      <c r="AF75" s="318"/>
      <c r="AG75" s="280"/>
      <c r="AH75" s="384"/>
    </row>
    <row r="76" spans="1:36" ht="15" customHeight="1">
      <c r="A76" s="374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78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88"/>
      <c r="AC76" s="388"/>
      <c r="AD76" s="92"/>
      <c r="AE76" s="92"/>
      <c r="AF76" s="317"/>
      <c r="AG76" s="247"/>
      <c r="AH76" s="385"/>
    </row>
    <row r="77" spans="1:36" ht="15" customHeight="1">
      <c r="A77" s="374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78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88"/>
      <c r="AC77" s="388"/>
      <c r="AD77" s="92"/>
      <c r="AE77" s="92"/>
      <c r="AF77" s="307"/>
      <c r="AG77" s="262"/>
      <c r="AH77" s="385"/>
    </row>
    <row r="78" spans="1:36" ht="15" customHeight="1">
      <c r="A78" s="374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7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88"/>
      <c r="AC78" s="388"/>
      <c r="AD78" s="92"/>
      <c r="AE78" s="92"/>
      <c r="AF78" s="308"/>
      <c r="AG78" s="112"/>
      <c r="AH78" s="385"/>
    </row>
    <row r="79" spans="1:36" ht="15" customHeight="1">
      <c r="A79" s="375"/>
      <c r="B79" s="239"/>
      <c r="C79" s="153" t="s">
        <v>56</v>
      </c>
      <c r="D79" s="371" t="s">
        <v>42</v>
      </c>
      <c r="E79" s="371"/>
      <c r="F79" s="116"/>
      <c r="G79" s="117"/>
      <c r="H79" s="282"/>
      <c r="I79" s="268"/>
      <c r="J79" s="240">
        <f t="shared" ref="J79:O79" si="55">AVERAGE(J70:J78)</f>
        <v>14.5</v>
      </c>
      <c r="K79" s="368">
        <f t="shared" si="55"/>
        <v>1423</v>
      </c>
      <c r="L79" s="370">
        <f t="shared" si="55"/>
        <v>99.322115384615387</v>
      </c>
      <c r="M79" s="369">
        <f t="shared" si="55"/>
        <v>13</v>
      </c>
      <c r="N79" s="240">
        <f t="shared" si="55"/>
        <v>1136.6995603321952</v>
      </c>
      <c r="O79" s="268">
        <f t="shared" si="55"/>
        <v>87.438427717861174</v>
      </c>
      <c r="P79" s="269">
        <f>M79-J79</f>
        <v>-1.5</v>
      </c>
      <c r="Q79" s="222">
        <f>N79-K79</f>
        <v>-286.30043966780477</v>
      </c>
      <c r="R79" s="223">
        <f>O79/L79</f>
        <v>0.88035204827509195</v>
      </c>
      <c r="S79" s="380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2"/>
      <c r="AC79" s="372"/>
      <c r="AD79" s="323">
        <f>SUM(AD70:AD78)</f>
        <v>0</v>
      </c>
      <c r="AE79" s="323">
        <f>SUM(AE70:AE78)</f>
        <v>0</v>
      </c>
      <c r="AF79" s="309">
        <f>N79-K79</f>
        <v>-286.30043966780477</v>
      </c>
      <c r="AG79" s="124">
        <f>N79/K79</f>
        <v>0.79880503185677809</v>
      </c>
      <c r="AH79" s="38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0BF9C5-51F7-4EF4-8022-096455A4549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E8C81-69F3-434F-8B17-412D60C03334}"/>
</file>

<file path=customXml/itemProps2.xml><?xml version="1.0" encoding="utf-8"?>
<ds:datastoreItem xmlns:ds="http://schemas.openxmlformats.org/officeDocument/2006/customXml" ds:itemID="{848A5F94-E07D-43DA-84E2-AEB45E2B0C41}"/>
</file>

<file path=customXml/itemProps3.xml><?xml version="1.0" encoding="utf-8"?>
<ds:datastoreItem xmlns:ds="http://schemas.openxmlformats.org/officeDocument/2006/customXml" ds:itemID="{301378CA-00C5-459A-B809-8C2D2ADCB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0301總</vt:lpstr>
      <vt:lpstr>0301</vt:lpstr>
      <vt:lpstr>0302總 </vt:lpstr>
      <vt:lpstr>0302</vt:lpstr>
      <vt:lpstr>0303總</vt:lpstr>
      <vt:lpstr>0303</vt:lpstr>
      <vt:lpstr>0304總 </vt:lpstr>
      <vt:lpstr>0304</vt:lpstr>
      <vt:lpstr>0305總 </vt:lpstr>
      <vt:lpstr>0305</vt:lpstr>
      <vt:lpstr>0306總</vt:lpstr>
      <vt:lpstr>0306</vt:lpstr>
      <vt:lpstr>0307總 </vt:lpstr>
      <vt:lpstr>0307</vt:lpstr>
      <vt:lpstr>0308總</vt:lpstr>
      <vt:lpstr>0308</vt:lpstr>
      <vt:lpstr>0309總</vt:lpstr>
      <vt:lpstr>0309</vt:lpstr>
      <vt:lpstr>0310總</vt:lpstr>
      <vt:lpstr>0310</vt:lpstr>
      <vt:lpstr>0311總</vt:lpstr>
      <vt:lpstr>0311</vt:lpstr>
      <vt:lpstr>0312總</vt:lpstr>
      <vt:lpstr>0312</vt:lpstr>
      <vt:lpstr>0313總</vt:lpstr>
      <vt:lpstr>0313</vt:lpstr>
      <vt:lpstr>0314總</vt:lpstr>
      <vt:lpstr>0314</vt:lpstr>
      <vt:lpstr>0315總</vt:lpstr>
      <vt:lpstr>0315</vt:lpstr>
      <vt:lpstr>0316總</vt:lpstr>
      <vt:lpstr>0316</vt:lpstr>
      <vt:lpstr>0317總</vt:lpstr>
      <vt:lpstr>0317</vt:lpstr>
      <vt:lpstr>0318總</vt:lpstr>
      <vt:lpstr>0318</vt:lpstr>
      <vt:lpstr>0319總</vt:lpstr>
      <vt:lpstr>0319</vt:lpstr>
      <vt:lpstr>0320總</vt:lpstr>
      <vt:lpstr>0320</vt:lpstr>
      <vt:lpstr>0321總</vt:lpstr>
      <vt:lpstr>0321</vt:lpstr>
      <vt:lpstr>0322總</vt:lpstr>
      <vt:lpstr>0322</vt:lpstr>
      <vt:lpstr>0323總</vt:lpstr>
      <vt:lpstr>0323</vt:lpstr>
      <vt:lpstr>0324總 </vt:lpstr>
      <vt:lpstr>0324</vt:lpstr>
      <vt:lpstr>0325總 </vt:lpstr>
      <vt:lpstr>0325</vt:lpstr>
      <vt:lpstr>0326總</vt:lpstr>
      <vt:lpstr>0326</vt:lpstr>
      <vt:lpstr>0327總</vt:lpstr>
      <vt:lpstr>0327</vt:lpstr>
      <vt:lpstr>0328總</vt:lpstr>
      <vt:lpstr>0328</vt:lpstr>
      <vt:lpstr>0329總</vt:lpstr>
      <vt:lpstr>0329</vt:lpstr>
      <vt:lpstr>0330總 </vt:lpstr>
      <vt:lpstr>0330</vt:lpstr>
      <vt:lpstr>0331總</vt:lpstr>
      <vt:lpstr>0331</vt:lpstr>
      <vt:lpstr>'0301'!_FilterDatabase</vt:lpstr>
      <vt:lpstr>'0301總'!_FilterDatabase</vt:lpstr>
      <vt:lpstr>'0302'!_FilterDatabase</vt:lpstr>
      <vt:lpstr>'0302總 '!_FilterDatabase</vt:lpstr>
      <vt:lpstr>'0303'!_FilterDatabase</vt:lpstr>
      <vt:lpstr>'0303總'!_FilterDatabase</vt:lpstr>
      <vt:lpstr>'0304'!_FilterDatabase</vt:lpstr>
      <vt:lpstr>'0304總 '!_FilterDatabase</vt:lpstr>
      <vt:lpstr>'0305'!_FilterDatabase</vt:lpstr>
      <vt:lpstr>'0305總 '!_FilterDatabase</vt:lpstr>
      <vt:lpstr>'0306'!_FilterDatabase</vt:lpstr>
      <vt:lpstr>'0306總'!_FilterDatabase</vt:lpstr>
      <vt:lpstr>'0307'!_FilterDatabase</vt:lpstr>
      <vt:lpstr>'0307總 '!_FilterDatabase</vt:lpstr>
      <vt:lpstr>'0308'!_FilterDatabase</vt:lpstr>
      <vt:lpstr>'0308總'!_FilterDatabase</vt:lpstr>
      <vt:lpstr>'0309'!_FilterDatabase</vt:lpstr>
      <vt:lpstr>'0309總'!_FilterDatabase</vt:lpstr>
      <vt:lpstr>'0310'!_FilterDatabase</vt:lpstr>
      <vt:lpstr>'0310總'!_FilterDatabase</vt:lpstr>
      <vt:lpstr>'0311'!_FilterDatabase</vt:lpstr>
      <vt:lpstr>'0311總'!_FilterDatabase</vt:lpstr>
      <vt:lpstr>'0312'!_FilterDatabase</vt:lpstr>
      <vt:lpstr>'0312總'!_FilterDatabase</vt:lpstr>
      <vt:lpstr>'0313'!_FilterDatabase</vt:lpstr>
      <vt:lpstr>'0313總'!_FilterDatabase</vt:lpstr>
      <vt:lpstr>'0314'!_FilterDatabase</vt:lpstr>
      <vt:lpstr>'0314總'!_FilterDatabase</vt:lpstr>
      <vt:lpstr>'0315'!_FilterDatabase</vt:lpstr>
      <vt:lpstr>'0315總'!_FilterDatabase</vt:lpstr>
      <vt:lpstr>'0316'!_FilterDatabase</vt:lpstr>
      <vt:lpstr>'0316總'!_FilterDatabase</vt:lpstr>
      <vt:lpstr>'0317'!_FilterDatabase</vt:lpstr>
      <vt:lpstr>'0317總'!_FilterDatabase</vt:lpstr>
      <vt:lpstr>'0318'!_FilterDatabase</vt:lpstr>
      <vt:lpstr>'0318總'!_FilterDatabase</vt:lpstr>
      <vt:lpstr>'0319'!_FilterDatabase</vt:lpstr>
      <vt:lpstr>'0319總'!_FilterDatabase</vt:lpstr>
      <vt:lpstr>'0320'!_FilterDatabase</vt:lpstr>
      <vt:lpstr>'0320總'!_FilterDatabase</vt:lpstr>
      <vt:lpstr>'0321'!_FilterDatabase</vt:lpstr>
      <vt:lpstr>'0321總'!_FilterDatabase</vt:lpstr>
      <vt:lpstr>'0322'!_FilterDatabase</vt:lpstr>
      <vt:lpstr>'0322總'!_FilterDatabase</vt:lpstr>
      <vt:lpstr>'0323'!_FilterDatabase</vt:lpstr>
      <vt:lpstr>'0323總'!_FilterDatabase</vt:lpstr>
      <vt:lpstr>'0324'!_FilterDatabase</vt:lpstr>
      <vt:lpstr>'0324總 '!_FilterDatabase</vt:lpstr>
      <vt:lpstr>'0325'!_FilterDatabase</vt:lpstr>
      <vt:lpstr>'0325總 '!_FilterDatabase</vt:lpstr>
      <vt:lpstr>'0326'!_FilterDatabase</vt:lpstr>
      <vt:lpstr>'0326總'!_FilterDatabase</vt:lpstr>
      <vt:lpstr>'0327'!_FilterDatabase</vt:lpstr>
      <vt:lpstr>'0327總'!_FilterDatabase</vt:lpstr>
      <vt:lpstr>'0328'!_FilterDatabase</vt:lpstr>
      <vt:lpstr>'0328總'!_FilterDatabase</vt:lpstr>
      <vt:lpstr>'0329'!_FilterDatabase</vt:lpstr>
      <vt:lpstr>'0329總'!_FilterDatabase</vt:lpstr>
      <vt:lpstr>'0330'!_FilterDatabase</vt:lpstr>
      <vt:lpstr>'0330總 '!_FilterDatabase</vt:lpstr>
      <vt:lpstr>'0331'!_FilterDatabase</vt:lpstr>
      <vt:lpstr>'0331總'!_FilterDatabase</vt:lpstr>
      <vt:lpstr>'0301'!Print_Area</vt:lpstr>
      <vt:lpstr>'0302'!Print_Area</vt:lpstr>
      <vt:lpstr>'0303'!Print_Area</vt:lpstr>
      <vt:lpstr>'0304'!Print_Area</vt:lpstr>
      <vt:lpstr>'0305'!Print_Area</vt:lpstr>
      <vt:lpstr>'0306'!Print_Area</vt:lpstr>
      <vt:lpstr>'0307'!Print_Area</vt:lpstr>
      <vt:lpstr>'0308'!Print_Area</vt:lpstr>
      <vt:lpstr>'0309'!Print_Area</vt:lpstr>
      <vt:lpstr>'0310'!Print_Area</vt:lpstr>
      <vt:lpstr>'0311'!Print_Area</vt:lpstr>
      <vt:lpstr>'0312'!Print_Area</vt:lpstr>
      <vt:lpstr>'0313'!Print_Area</vt:lpstr>
      <vt:lpstr>'0314'!Print_Area</vt:lpstr>
      <vt:lpstr>'0315'!Print_Area</vt:lpstr>
      <vt:lpstr>'0316'!Print_Area</vt:lpstr>
      <vt:lpstr>'0317'!Print_Area</vt:lpstr>
      <vt:lpstr>'0318'!Print_Area</vt:lpstr>
      <vt:lpstr>'0319'!Print_Area</vt:lpstr>
      <vt:lpstr>'0320'!Print_Area</vt:lpstr>
      <vt:lpstr>'0321'!Print_Area</vt:lpstr>
      <vt:lpstr>'0322'!Print_Area</vt:lpstr>
      <vt:lpstr>'0323'!Print_Area</vt:lpstr>
      <vt:lpstr>'0324'!Print_Area</vt:lpstr>
      <vt:lpstr>'0325'!Print_Area</vt:lpstr>
      <vt:lpstr>'0326'!Print_Area</vt:lpstr>
      <vt:lpstr>'0327'!Print_Area</vt:lpstr>
      <vt:lpstr>'0328'!Print_Area</vt:lpstr>
      <vt:lpstr>'0329'!Print_Area</vt:lpstr>
      <vt:lpstr>'0330'!Print_Area</vt:lpstr>
      <vt:lpstr>'0331'!Print_Area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