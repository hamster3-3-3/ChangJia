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64011"/>
  <bookViews>
    <workbookView xWindow="0" yWindow="0" windowWidth="28800" windowHeight="11475" tabRatio="826" activeTab="17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701總" sheetId="604" r:id="rId5"/>
    <sheet name="0701" sheetId="605" r:id="rId6"/>
    <sheet name="0702總" sheetId="669" r:id="rId7"/>
    <sheet name="0702" sheetId="670" r:id="rId8"/>
    <sheet name="0703總" sheetId="671" r:id="rId9"/>
    <sheet name="0703" sheetId="672" r:id="rId10"/>
    <sheet name="0704總 " sheetId="673" r:id="rId11"/>
    <sheet name="0704" sheetId="674" r:id="rId12"/>
    <sheet name="0705總" sheetId="675" r:id="rId13"/>
    <sheet name="0705" sheetId="676" r:id="rId14"/>
    <sheet name="0706總" sheetId="677" r:id="rId15"/>
    <sheet name="0706" sheetId="678" r:id="rId16"/>
    <sheet name="0707總" sheetId="679" r:id="rId17"/>
    <sheet name="0707" sheetId="680" r:id="rId18"/>
    <sheet name="0708總" sheetId="681" r:id="rId19"/>
    <sheet name="0708" sheetId="682" r:id="rId20"/>
    <sheet name="0709總" sheetId="683" r:id="rId21"/>
    <sheet name="0709" sheetId="684" r:id="rId22"/>
    <sheet name="0710總" sheetId="685" r:id="rId23"/>
    <sheet name="0710" sheetId="686" r:id="rId24"/>
    <sheet name="0711總" sheetId="687" r:id="rId25"/>
    <sheet name="0711" sheetId="688" r:id="rId26"/>
    <sheet name="0712總" sheetId="689" r:id="rId27"/>
    <sheet name="0712" sheetId="690" r:id="rId28"/>
    <sheet name="0713總" sheetId="691" r:id="rId29"/>
    <sheet name="0713" sheetId="692" r:id="rId30"/>
    <sheet name="0714總" sheetId="693" r:id="rId31"/>
    <sheet name="0714" sheetId="694" r:id="rId32"/>
    <sheet name="0715總" sheetId="695" r:id="rId33"/>
    <sheet name="0715" sheetId="696" r:id="rId34"/>
    <sheet name="0716總 " sheetId="697" r:id="rId35"/>
    <sheet name="0716" sheetId="698" r:id="rId36"/>
    <sheet name="0717總" sheetId="699" r:id="rId37"/>
    <sheet name="0717" sheetId="700" r:id="rId38"/>
    <sheet name="0718總" sheetId="701" r:id="rId39"/>
    <sheet name="0718" sheetId="702" r:id="rId40"/>
    <sheet name="0719總" sheetId="703" r:id="rId41"/>
    <sheet name="0719" sheetId="704" r:id="rId42"/>
    <sheet name="0720總 " sheetId="705" r:id="rId43"/>
    <sheet name="0720" sheetId="706" r:id="rId44"/>
    <sheet name="0721總" sheetId="707" r:id="rId45"/>
    <sheet name="0721" sheetId="708" r:id="rId46"/>
    <sheet name="0722總" sheetId="709" r:id="rId47"/>
    <sheet name="0722" sheetId="710" r:id="rId48"/>
    <sheet name="0723總" sheetId="711" r:id="rId49"/>
    <sheet name="0723" sheetId="712" r:id="rId50"/>
    <sheet name="0724總" sheetId="713" r:id="rId51"/>
    <sheet name="0724" sheetId="714" r:id="rId52"/>
    <sheet name="0725總" sheetId="715" r:id="rId53"/>
    <sheet name="0725" sheetId="716" r:id="rId54"/>
    <sheet name="0726總" sheetId="717" r:id="rId55"/>
    <sheet name="0726" sheetId="718" r:id="rId56"/>
    <sheet name="0727總" sheetId="719" r:id="rId57"/>
    <sheet name="0727" sheetId="720" r:id="rId58"/>
    <sheet name="0728總" sheetId="722" r:id="rId59"/>
    <sheet name="0728" sheetId="723" r:id="rId60"/>
    <sheet name="0729總" sheetId="724" r:id="rId61"/>
    <sheet name="0729" sheetId="725" r:id="rId62"/>
    <sheet name="0730總" sheetId="726" r:id="rId63"/>
    <sheet name="0730" sheetId="727" r:id="rId64"/>
    <sheet name="0731總" sheetId="728" r:id="rId65"/>
    <sheet name="0731" sheetId="729" r:id="rId66"/>
  </sheets>
  <externalReferences>
    <externalReference r:id="rId67"/>
  </externalReferences>
  <definedNames>
    <definedName name="_xlnm._FilterDatabase" localSheetId="5">'0701'!$A$4:$AJ$79</definedName>
    <definedName name="_xlnm._FilterDatabase" localSheetId="4">'0701總'!$B$10:$J$25</definedName>
    <definedName name="_xlnm._FilterDatabase" localSheetId="7">'0702'!$A$4:$AJ$79</definedName>
    <definedName name="_xlnm._FilterDatabase" localSheetId="6">'0702總'!$B$10:$J$25</definedName>
    <definedName name="_xlnm._FilterDatabase" localSheetId="9">'0703'!$A$4:$AJ$79</definedName>
    <definedName name="_xlnm._FilterDatabase" localSheetId="8">'0703總'!$B$10:$J$25</definedName>
    <definedName name="_xlnm._FilterDatabase" localSheetId="11">'0704'!$A$4:$AJ$79</definedName>
    <definedName name="_xlnm._FilterDatabase" localSheetId="10">'0704總 '!$B$10:$J$25</definedName>
    <definedName name="_xlnm._FilterDatabase" localSheetId="13">'0705'!$A$4:$AJ$79</definedName>
    <definedName name="_xlnm._FilterDatabase" localSheetId="12">'0705總'!$B$10:$J$25</definedName>
    <definedName name="_xlnm._FilterDatabase" localSheetId="15">'0706'!$A$4:$AJ$79</definedName>
    <definedName name="_xlnm._FilterDatabase" localSheetId="14">'0706總'!$B$10:$J$25</definedName>
    <definedName name="_xlnm._FilterDatabase" localSheetId="17">'0707'!$A$4:$AJ$79</definedName>
    <definedName name="_xlnm._FilterDatabase" localSheetId="16">'0707總'!$B$10:$J$25</definedName>
    <definedName name="_xlnm._FilterDatabase" localSheetId="19">'0708'!$A$4:$AJ$79</definedName>
    <definedName name="_xlnm._FilterDatabase" localSheetId="18">'0708總'!$B$10:$J$25</definedName>
    <definedName name="_xlnm._FilterDatabase" localSheetId="21">'0709'!$A$4:$AJ$79</definedName>
    <definedName name="_xlnm._FilterDatabase" localSheetId="20">'0709總'!$B$10:$J$25</definedName>
    <definedName name="_xlnm._FilterDatabase" localSheetId="23">'0710'!$A$4:$AJ$79</definedName>
    <definedName name="_xlnm._FilterDatabase" localSheetId="22">'0710總'!$B$10:$J$25</definedName>
    <definedName name="_xlnm._FilterDatabase" localSheetId="25">'0711'!$A$4:$AJ$79</definedName>
    <definedName name="_xlnm._FilterDatabase" localSheetId="24">'0711總'!$B$10:$J$25</definedName>
    <definedName name="_xlnm._FilterDatabase" localSheetId="27">'0712'!$A$4:$AJ$79</definedName>
    <definedName name="_xlnm._FilterDatabase" localSheetId="26">'0712總'!$B$10:$J$25</definedName>
    <definedName name="_xlnm._FilterDatabase" localSheetId="29">'0713'!$A$4:$AJ$79</definedName>
    <definedName name="_xlnm._FilterDatabase" localSheetId="28">'0713總'!$B$10:$J$25</definedName>
    <definedName name="_xlnm._FilterDatabase" localSheetId="31">'0714'!$A$4:$AJ$79</definedName>
    <definedName name="_xlnm._FilterDatabase" localSheetId="30">'0714總'!$B$10:$J$25</definedName>
    <definedName name="_xlnm._FilterDatabase" localSheetId="33">'0715'!$A$4:$AJ$79</definedName>
    <definedName name="_xlnm._FilterDatabase" localSheetId="32">'0715總'!$B$10:$J$25</definedName>
    <definedName name="_xlnm._FilterDatabase" localSheetId="35">'0716'!$A$4:$AJ$79</definedName>
    <definedName name="_xlnm._FilterDatabase" localSheetId="34">'0716總 '!$B$10:$J$25</definedName>
    <definedName name="_xlnm._FilterDatabase" localSheetId="37">'0717'!$A$4:$AJ$79</definedName>
    <definedName name="_xlnm._FilterDatabase" localSheetId="36">'0717總'!$B$10:$J$25</definedName>
    <definedName name="_xlnm._FilterDatabase" localSheetId="39">'0718'!$A$4:$AJ$79</definedName>
    <definedName name="_xlnm._FilterDatabase" localSheetId="38">'0718總'!$B$10:$J$25</definedName>
    <definedName name="_xlnm._FilterDatabase" localSheetId="41">'0719'!$A$4:$AJ$79</definedName>
    <definedName name="_xlnm._FilterDatabase" localSheetId="40">'0719總'!$B$10:$J$25</definedName>
    <definedName name="_xlnm._FilterDatabase" localSheetId="43">'0720'!$A$4:$AJ$79</definedName>
    <definedName name="_xlnm._FilterDatabase" localSheetId="42">'0720總 '!$B$10:$J$25</definedName>
    <definedName name="_xlnm._FilterDatabase" localSheetId="45">'0721'!$A$4:$AJ$79</definedName>
    <definedName name="_xlnm._FilterDatabase" localSheetId="44">'0721總'!$B$10:$J$25</definedName>
    <definedName name="_xlnm._FilterDatabase" localSheetId="47">'0722'!$A$4:$AJ$79</definedName>
    <definedName name="_xlnm._FilterDatabase" localSheetId="46">'0722總'!$B$10:$J$25</definedName>
    <definedName name="_xlnm._FilterDatabase" localSheetId="49">'0723'!$A$4:$AJ$79</definedName>
    <definedName name="_xlnm._FilterDatabase" localSheetId="48">'0723總'!$B$10:$J$25</definedName>
    <definedName name="_xlnm._FilterDatabase" localSheetId="51">'0724'!$A$4:$AJ$79</definedName>
    <definedName name="_xlnm._FilterDatabase" localSheetId="50">'0724總'!$B$10:$J$25</definedName>
    <definedName name="_xlnm._FilterDatabase" localSheetId="53">'0725'!$A$4:$AJ$79</definedName>
    <definedName name="_xlnm._FilterDatabase" localSheetId="52">'0725總'!$B$10:$J$25</definedName>
    <definedName name="_xlnm._FilterDatabase" localSheetId="55">'0726'!$A$4:$AJ$79</definedName>
    <definedName name="_xlnm._FilterDatabase" localSheetId="54">'0726總'!$B$10:$J$25</definedName>
    <definedName name="_xlnm._FilterDatabase" localSheetId="57">'0727'!$A$4:$AJ$79</definedName>
    <definedName name="_xlnm._FilterDatabase" localSheetId="56">'0727總'!$B$10:$J$25</definedName>
    <definedName name="_xlnm._FilterDatabase" localSheetId="59">'0728'!$A$4:$AJ$79</definedName>
    <definedName name="_xlnm._FilterDatabase" localSheetId="58">'0728總'!$B$10:$J$25</definedName>
    <definedName name="_xlnm._FilterDatabase" localSheetId="61">'0729'!$A$4:$AJ$79</definedName>
    <definedName name="_xlnm._FilterDatabase" localSheetId="60">'0729總'!$B$10:$J$25</definedName>
    <definedName name="_xlnm._FilterDatabase" localSheetId="63">'0730'!$A$4:$AJ$79</definedName>
    <definedName name="_xlnm._FilterDatabase" localSheetId="62">'0730總'!$B$10:$J$25</definedName>
    <definedName name="_xlnm._FilterDatabase" localSheetId="65">'0731'!$A$4:$AJ$79</definedName>
    <definedName name="_xlnm._FilterDatabase" localSheetId="64">'0731總'!$B$10:$J$25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'0701'!$A$1:$AH$79</definedName>
    <definedName name="_xlnm.Print_Area" localSheetId="7">'0702'!$A$1:$AH$79</definedName>
    <definedName name="_xlnm.Print_Area" localSheetId="9">'0703'!$A$1:$AH$79</definedName>
    <definedName name="_xlnm.Print_Area" localSheetId="11">'0704'!$A$1:$AH$79</definedName>
    <definedName name="_xlnm.Print_Area" localSheetId="13">'0705'!$A$1:$AH$79</definedName>
    <definedName name="_xlnm.Print_Area" localSheetId="15">'0706'!$A$1:$AH$79</definedName>
    <definedName name="_xlnm.Print_Area" localSheetId="17">'0707'!$A$1:$AH$79</definedName>
    <definedName name="_xlnm.Print_Area" localSheetId="19">'0708'!$A$1:$AH$79</definedName>
    <definedName name="_xlnm.Print_Area" localSheetId="21">'0709'!$A$1:$AH$79</definedName>
    <definedName name="_xlnm.Print_Area" localSheetId="23">'0710'!$A$1:$AH$79</definedName>
    <definedName name="_xlnm.Print_Area" localSheetId="25">'0711'!$A$1:$AH$79</definedName>
    <definedName name="_xlnm.Print_Area" localSheetId="27">'0712'!$A$1:$AH$79</definedName>
    <definedName name="_xlnm.Print_Area" localSheetId="29">'0713'!$A$1:$AH$79</definedName>
    <definedName name="_xlnm.Print_Area" localSheetId="31">'0714'!$A$1:$AH$79</definedName>
    <definedName name="_xlnm.Print_Area" localSheetId="33">'0715'!$A$1:$AH$79</definedName>
    <definedName name="_xlnm.Print_Area" localSheetId="35">'0716'!$A$1:$AH$79</definedName>
    <definedName name="_xlnm.Print_Area" localSheetId="37">'0717'!$A$1:$AH$79</definedName>
    <definedName name="_xlnm.Print_Area" localSheetId="39">'0718'!$A$1:$AH$79</definedName>
    <definedName name="_xlnm.Print_Area" localSheetId="41">'0719'!$A$1:$AH$79</definedName>
    <definedName name="_xlnm.Print_Area" localSheetId="43">'0720'!$A$1:$AH$79</definedName>
    <definedName name="_xlnm.Print_Area" localSheetId="45">'0721'!$A$1:$AH$79</definedName>
    <definedName name="_xlnm.Print_Area" localSheetId="47">'0722'!$A$1:$AH$79</definedName>
    <definedName name="_xlnm.Print_Area" localSheetId="49">'0723'!$A$1:$AH$79</definedName>
    <definedName name="_xlnm.Print_Area" localSheetId="51">'0724'!$A$1:$AH$79</definedName>
    <definedName name="_xlnm.Print_Area" localSheetId="53">'0725'!$A$1:$AH$79</definedName>
    <definedName name="_xlnm.Print_Area" localSheetId="55">'0726'!$A$1:$AH$79</definedName>
    <definedName name="_xlnm.Print_Area" localSheetId="57">'0727'!$A$1:$AH$79</definedName>
    <definedName name="_xlnm.Print_Area" localSheetId="59">'0728'!$A$1:$AH$79</definedName>
    <definedName name="_xlnm.Print_Area" localSheetId="61">'0729'!$A$1:$AH$79</definedName>
    <definedName name="_xlnm.Print_Area" localSheetId="63">'0730'!$A$1:$AH$79</definedName>
    <definedName name="_xlnm.Print_Area" localSheetId="65">'0731'!$A$1:$AH$79</definedName>
    <definedName name="_xlnm.Print_Area" localSheetId="3">範本!$A$1:$AH$79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605" l="1"/>
  <c r="AE79" i="729" l="1"/>
  <c r="AD79" i="729"/>
  <c r="J20" i="728" s="1"/>
  <c r="AA79" i="729"/>
  <c r="Z79" i="729"/>
  <c r="M79" i="729"/>
  <c r="W78" i="729"/>
  <c r="H78" i="729"/>
  <c r="W77" i="729"/>
  <c r="H77" i="729"/>
  <c r="W76" i="729"/>
  <c r="H76" i="729"/>
  <c r="W75" i="729"/>
  <c r="H75" i="729"/>
  <c r="W74" i="729"/>
  <c r="W73" i="729"/>
  <c r="W72" i="729"/>
  <c r="W71" i="729"/>
  <c r="V71" i="729"/>
  <c r="N71" i="729"/>
  <c r="O71" i="729" s="1"/>
  <c r="K71" i="729"/>
  <c r="J71" i="729"/>
  <c r="P71" i="729" s="1"/>
  <c r="F71" i="729"/>
  <c r="H71" i="729" s="1"/>
  <c r="W70" i="729"/>
  <c r="P70" i="729"/>
  <c r="N70" i="729"/>
  <c r="K70" i="729"/>
  <c r="L70" i="729" s="1"/>
  <c r="J70" i="729"/>
  <c r="H70" i="729"/>
  <c r="F70" i="729"/>
  <c r="AE69" i="729"/>
  <c r="AD69" i="729"/>
  <c r="I20" i="728" s="1"/>
  <c r="AA69" i="729"/>
  <c r="I19" i="728" s="1"/>
  <c r="Z69" i="729"/>
  <c r="I18" i="728" s="1"/>
  <c r="M69" i="729"/>
  <c r="W68" i="729"/>
  <c r="H68" i="729"/>
  <c r="W67" i="729"/>
  <c r="W66" i="729"/>
  <c r="W65" i="729"/>
  <c r="W64" i="729"/>
  <c r="W63" i="729"/>
  <c r="AG62" i="729"/>
  <c r="AF62" i="729"/>
  <c r="W62" i="729"/>
  <c r="W61" i="729"/>
  <c r="N61" i="729" s="1"/>
  <c r="V61" i="729"/>
  <c r="L61" i="729"/>
  <c r="K61" i="729"/>
  <c r="J61" i="729"/>
  <c r="P61" i="729" s="1"/>
  <c r="F61" i="729"/>
  <c r="H61" i="729" s="1"/>
  <c r="W60" i="729"/>
  <c r="N60" i="729" s="1"/>
  <c r="V60" i="729"/>
  <c r="K60" i="729"/>
  <c r="J60" i="729"/>
  <c r="P60" i="729" s="1"/>
  <c r="F60" i="729"/>
  <c r="H60" i="729" s="1"/>
  <c r="AG59" i="729"/>
  <c r="W59" i="729"/>
  <c r="N59" i="729"/>
  <c r="AF59" i="729" s="1"/>
  <c r="K59" i="729"/>
  <c r="L59" i="729" s="1"/>
  <c r="J59" i="729"/>
  <c r="P59" i="729" s="1"/>
  <c r="H59" i="729"/>
  <c r="F59" i="729"/>
  <c r="AE58" i="729"/>
  <c r="H21" i="728" s="1"/>
  <c r="AD58" i="729"/>
  <c r="AA58" i="729"/>
  <c r="H19" i="728" s="1"/>
  <c r="Z58" i="729"/>
  <c r="N58" i="729"/>
  <c r="M58" i="729"/>
  <c r="W57" i="729"/>
  <c r="W56" i="729"/>
  <c r="W55" i="729"/>
  <c r="W54" i="729"/>
  <c r="AG53" i="729"/>
  <c r="AF53" i="729"/>
  <c r="W53" i="729"/>
  <c r="AG52" i="729"/>
  <c r="W52" i="729"/>
  <c r="V52" i="729"/>
  <c r="N52" i="729"/>
  <c r="AF52" i="729" s="1"/>
  <c r="K52" i="729"/>
  <c r="L52" i="729" s="1"/>
  <c r="J52" i="729"/>
  <c r="J58" i="729" s="1"/>
  <c r="P58" i="729" s="1"/>
  <c r="H52" i="729"/>
  <c r="F52" i="729"/>
  <c r="W51" i="729"/>
  <c r="V51" i="729"/>
  <c r="P51" i="729"/>
  <c r="N51" i="729"/>
  <c r="K51" i="729"/>
  <c r="J51" i="729"/>
  <c r="F51" i="729"/>
  <c r="H51" i="729" s="1"/>
  <c r="W50" i="729"/>
  <c r="V50" i="729"/>
  <c r="P50" i="729"/>
  <c r="N50" i="729"/>
  <c r="K50" i="729"/>
  <c r="L50" i="729" s="1"/>
  <c r="J50" i="729"/>
  <c r="H50" i="729"/>
  <c r="F50" i="729"/>
  <c r="W49" i="729"/>
  <c r="N49" i="729" s="1"/>
  <c r="L49" i="729"/>
  <c r="K49" i="729"/>
  <c r="J49" i="729"/>
  <c r="P49" i="729" s="1"/>
  <c r="F49" i="729"/>
  <c r="H49" i="729" s="1"/>
  <c r="AE48" i="729"/>
  <c r="G21" i="728" s="1"/>
  <c r="AD48" i="729"/>
  <c r="G20" i="728" s="1"/>
  <c r="AA48" i="729"/>
  <c r="Z48" i="729"/>
  <c r="W48" i="729"/>
  <c r="M48" i="729"/>
  <c r="J48" i="729"/>
  <c r="W47" i="729"/>
  <c r="H47" i="729"/>
  <c r="W46" i="729"/>
  <c r="W45" i="729"/>
  <c r="W44" i="729"/>
  <c r="W43" i="729"/>
  <c r="W42" i="729"/>
  <c r="AG41" i="729"/>
  <c r="AF41" i="729"/>
  <c r="W41" i="729"/>
  <c r="AG40" i="729"/>
  <c r="AF40" i="729"/>
  <c r="W40" i="729"/>
  <c r="W39" i="729"/>
  <c r="V39" i="729"/>
  <c r="P39" i="729"/>
  <c r="N39" i="729"/>
  <c r="K39" i="729"/>
  <c r="J39" i="729"/>
  <c r="F39" i="729"/>
  <c r="H39" i="729" s="1"/>
  <c r="W38" i="729"/>
  <c r="P38" i="729"/>
  <c r="O38" i="729"/>
  <c r="N38" i="729"/>
  <c r="AG38" i="729" s="1"/>
  <c r="K38" i="729"/>
  <c r="L38" i="729" s="1"/>
  <c r="J38" i="729"/>
  <c r="F38" i="729"/>
  <c r="H38" i="729" s="1"/>
  <c r="AE37" i="729"/>
  <c r="F21" i="728" s="1"/>
  <c r="AD37" i="729"/>
  <c r="F20" i="728" s="1"/>
  <c r="AA37" i="729"/>
  <c r="F19" i="728" s="1"/>
  <c r="Z37" i="729"/>
  <c r="M37" i="729"/>
  <c r="I1" i="729" s="1"/>
  <c r="W36" i="729"/>
  <c r="H36" i="729"/>
  <c r="W35" i="729"/>
  <c r="W34" i="729"/>
  <c r="W33" i="729"/>
  <c r="W32" i="729"/>
  <c r="N32" i="729" s="1"/>
  <c r="O32" i="729" s="1"/>
  <c r="V32" i="729"/>
  <c r="J32" i="729"/>
  <c r="P32" i="729" s="1"/>
  <c r="F32" i="729"/>
  <c r="H32" i="729" s="1"/>
  <c r="AG31" i="729"/>
  <c r="W31" i="729"/>
  <c r="V31" i="729"/>
  <c r="P31" i="729"/>
  <c r="N31" i="729"/>
  <c r="AF31" i="729" s="1"/>
  <c r="L31" i="729"/>
  <c r="F31" i="729"/>
  <c r="H31" i="729" s="1"/>
  <c r="AG30" i="729"/>
  <c r="W30" i="729"/>
  <c r="V30" i="729"/>
  <c r="P30" i="729"/>
  <c r="N30" i="729"/>
  <c r="AF30" i="729" s="1"/>
  <c r="L30" i="729"/>
  <c r="F30" i="729"/>
  <c r="H30" i="729" s="1"/>
  <c r="AG29" i="729"/>
  <c r="W29" i="729"/>
  <c r="V29" i="729"/>
  <c r="N29" i="729"/>
  <c r="AF29" i="729" s="1"/>
  <c r="K29" i="729"/>
  <c r="K37" i="729" s="1"/>
  <c r="J29" i="729"/>
  <c r="P29" i="729" s="1"/>
  <c r="H29" i="729"/>
  <c r="F29" i="729"/>
  <c r="W28" i="729"/>
  <c r="V28" i="729"/>
  <c r="N28" i="729"/>
  <c r="AG28" i="729" s="1"/>
  <c r="J28" i="729"/>
  <c r="H28" i="729"/>
  <c r="F28" i="729"/>
  <c r="W27" i="729"/>
  <c r="P27" i="729"/>
  <c r="N27" i="729"/>
  <c r="L27" i="729"/>
  <c r="J27" i="729"/>
  <c r="F27" i="729"/>
  <c r="H27" i="729" s="1"/>
  <c r="AE26" i="729"/>
  <c r="AD26" i="729"/>
  <c r="E20" i="728" s="1"/>
  <c r="AA26" i="729"/>
  <c r="Z26" i="729"/>
  <c r="E18" i="728" s="1"/>
  <c r="M26" i="729"/>
  <c r="P26" i="729" s="1"/>
  <c r="J26" i="729"/>
  <c r="W25" i="729"/>
  <c r="H25" i="729"/>
  <c r="W24" i="729"/>
  <c r="H24" i="729"/>
  <c r="W23" i="729"/>
  <c r="W21" i="729"/>
  <c r="W20" i="729"/>
  <c r="W19" i="729"/>
  <c r="V19" i="729"/>
  <c r="P19" i="729"/>
  <c r="N19" i="729"/>
  <c r="L19" i="729"/>
  <c r="K19" i="729"/>
  <c r="F19" i="729"/>
  <c r="H19" i="729" s="1"/>
  <c r="W18" i="729"/>
  <c r="V18" i="729"/>
  <c r="P18" i="729"/>
  <c r="N18" i="729"/>
  <c r="L18" i="729"/>
  <c r="K18" i="729"/>
  <c r="F18" i="729"/>
  <c r="H18" i="729" s="1"/>
  <c r="W17" i="729"/>
  <c r="V17" i="729"/>
  <c r="P17" i="729"/>
  <c r="O17" i="729"/>
  <c r="N17" i="729"/>
  <c r="AG17" i="729" s="1"/>
  <c r="K17" i="729"/>
  <c r="L17" i="729" s="1"/>
  <c r="H17" i="729"/>
  <c r="F17" i="729"/>
  <c r="W16" i="729"/>
  <c r="N16" i="729" s="1"/>
  <c r="P16" i="729"/>
  <c r="L16" i="729"/>
  <c r="K16" i="729"/>
  <c r="H16" i="729"/>
  <c r="F16" i="729"/>
  <c r="AE15" i="729"/>
  <c r="AE2" i="729" s="1"/>
  <c r="AD15" i="729"/>
  <c r="AA15" i="729"/>
  <c r="Z15" i="729"/>
  <c r="M15" i="729"/>
  <c r="W14" i="729"/>
  <c r="W13" i="729"/>
  <c r="W12" i="729"/>
  <c r="AG11" i="729"/>
  <c r="AF11" i="729"/>
  <c r="W11" i="729"/>
  <c r="AG10" i="729"/>
  <c r="AF10" i="729"/>
  <c r="W10" i="729"/>
  <c r="AG9" i="729"/>
  <c r="AF9" i="729"/>
  <c r="W9" i="729"/>
  <c r="W8" i="729"/>
  <c r="N8" i="729" s="1"/>
  <c r="O8" i="729" s="1"/>
  <c r="V8" i="729"/>
  <c r="K8" i="729"/>
  <c r="L8" i="729" s="1"/>
  <c r="J8" i="729"/>
  <c r="P8" i="729" s="1"/>
  <c r="F8" i="729"/>
  <c r="H8" i="729" s="1"/>
  <c r="W7" i="729"/>
  <c r="V7" i="729"/>
  <c r="P7" i="729"/>
  <c r="N7" i="729"/>
  <c r="AG7" i="729" s="1"/>
  <c r="K7" i="729"/>
  <c r="L7" i="729" s="1"/>
  <c r="H7" i="729"/>
  <c r="F7" i="729"/>
  <c r="W6" i="729"/>
  <c r="V6" i="729"/>
  <c r="P6" i="729"/>
  <c r="N6" i="729"/>
  <c r="AG6" i="729" s="1"/>
  <c r="L6" i="729"/>
  <c r="L15" i="729" s="1"/>
  <c r="K6" i="729"/>
  <c r="H6" i="729"/>
  <c r="F6" i="729"/>
  <c r="W5" i="729"/>
  <c r="P5" i="729"/>
  <c r="N5" i="729"/>
  <c r="L5" i="729"/>
  <c r="K5" i="729"/>
  <c r="F5" i="729"/>
  <c r="H5" i="729" s="1"/>
  <c r="I2" i="729"/>
  <c r="E1" i="729"/>
  <c r="G3" i="728" s="1"/>
  <c r="I22" i="728"/>
  <c r="H20" i="728"/>
  <c r="H22" i="728"/>
  <c r="G19" i="728"/>
  <c r="G18" i="728"/>
  <c r="E21" i="728"/>
  <c r="D22" i="728"/>
  <c r="J21" i="728"/>
  <c r="I21" i="728"/>
  <c r="J19" i="728"/>
  <c r="J18" i="728"/>
  <c r="H18" i="728"/>
  <c r="F18" i="728"/>
  <c r="D18" i="728"/>
  <c r="J16" i="728"/>
  <c r="I16" i="728"/>
  <c r="H16" i="728"/>
  <c r="G16" i="728"/>
  <c r="F16" i="728"/>
  <c r="E16" i="728"/>
  <c r="D16" i="728"/>
  <c r="O8" i="728"/>
  <c r="N8" i="728"/>
  <c r="M8" i="728"/>
  <c r="L8" i="728"/>
  <c r="O7" i="728"/>
  <c r="N7" i="728"/>
  <c r="M7" i="728"/>
  <c r="L7" i="728"/>
  <c r="AE79" i="727"/>
  <c r="J21" i="726" s="1"/>
  <c r="AD79" i="727"/>
  <c r="AA79" i="727"/>
  <c r="Z79" i="727"/>
  <c r="M79" i="727"/>
  <c r="J22" i="726" s="1"/>
  <c r="W78" i="727"/>
  <c r="H78" i="727"/>
  <c r="W77" i="727"/>
  <c r="H77" i="727"/>
  <c r="W76" i="727"/>
  <c r="W75" i="727"/>
  <c r="W74" i="727"/>
  <c r="W73" i="727"/>
  <c r="W72" i="727"/>
  <c r="W71" i="727"/>
  <c r="V71" i="727"/>
  <c r="P71" i="727"/>
  <c r="N71" i="727"/>
  <c r="O71" i="727" s="1"/>
  <c r="K71" i="727"/>
  <c r="L71" i="727" s="1"/>
  <c r="J71" i="727"/>
  <c r="F71" i="727"/>
  <c r="H71" i="727" s="1"/>
  <c r="W70" i="727"/>
  <c r="N70" i="727" s="1"/>
  <c r="K70" i="727"/>
  <c r="K79" i="727" s="1"/>
  <c r="J70" i="727"/>
  <c r="J79" i="727" s="1"/>
  <c r="H70" i="727"/>
  <c r="F70" i="727"/>
  <c r="AE69" i="727"/>
  <c r="AD69" i="727"/>
  <c r="I20" i="726" s="1"/>
  <c r="AA69" i="727"/>
  <c r="Z69" i="727"/>
  <c r="M69" i="727"/>
  <c r="W68" i="727"/>
  <c r="H68" i="727"/>
  <c r="W67" i="727"/>
  <c r="W66" i="727"/>
  <c r="W65" i="727"/>
  <c r="W64" i="727"/>
  <c r="W63" i="727"/>
  <c r="AG62" i="727"/>
  <c r="AF62" i="727"/>
  <c r="W62" i="727"/>
  <c r="W61" i="727"/>
  <c r="N61" i="727" s="1"/>
  <c r="V61" i="727"/>
  <c r="P61" i="727"/>
  <c r="K61" i="727"/>
  <c r="J61" i="727"/>
  <c r="L61" i="727" s="1"/>
  <c r="H61" i="727"/>
  <c r="F61" i="727"/>
  <c r="AG60" i="727"/>
  <c r="W60" i="727"/>
  <c r="V60" i="727"/>
  <c r="R60" i="727"/>
  <c r="Q60" i="727"/>
  <c r="O60" i="727"/>
  <c r="N60" i="727"/>
  <c r="AF60" i="727" s="1"/>
  <c r="L60" i="727"/>
  <c r="K60" i="727"/>
  <c r="K69" i="727" s="1"/>
  <c r="J60" i="727"/>
  <c r="P60" i="727" s="1"/>
  <c r="H60" i="727"/>
  <c r="F60" i="727"/>
  <c r="W59" i="727"/>
  <c r="N59" i="727" s="1"/>
  <c r="P59" i="727"/>
  <c r="L59" i="727"/>
  <c r="K59" i="727"/>
  <c r="J59" i="727"/>
  <c r="F59" i="727"/>
  <c r="H59" i="727" s="1"/>
  <c r="AE58" i="727"/>
  <c r="AD58" i="727"/>
  <c r="AA58" i="727"/>
  <c r="H19" i="726" s="1"/>
  <c r="Z58" i="727"/>
  <c r="H18" i="726" s="1"/>
  <c r="M58" i="727"/>
  <c r="H22" i="726" s="1"/>
  <c r="W57" i="727"/>
  <c r="W56" i="727"/>
  <c r="W55" i="727"/>
  <c r="W54" i="727"/>
  <c r="AG53" i="727"/>
  <c r="AF53" i="727"/>
  <c r="W53" i="727"/>
  <c r="W52" i="727"/>
  <c r="N52" i="727" s="1"/>
  <c r="V52" i="727"/>
  <c r="P52" i="727"/>
  <c r="L52" i="727"/>
  <c r="K52" i="727"/>
  <c r="J52" i="727"/>
  <c r="F52" i="727"/>
  <c r="H52" i="727" s="1"/>
  <c r="W51" i="727"/>
  <c r="N51" i="727" s="1"/>
  <c r="V51" i="727"/>
  <c r="K51" i="727"/>
  <c r="L51" i="727" s="1"/>
  <c r="J51" i="727"/>
  <c r="P51" i="727" s="1"/>
  <c r="H51" i="727"/>
  <c r="F51" i="727"/>
  <c r="W50" i="727"/>
  <c r="N50" i="727" s="1"/>
  <c r="V50" i="727"/>
  <c r="K50" i="727"/>
  <c r="L50" i="727" s="1"/>
  <c r="J50" i="727"/>
  <c r="P50" i="727" s="1"/>
  <c r="H50" i="727"/>
  <c r="F50" i="727"/>
  <c r="W49" i="727"/>
  <c r="N49" i="727" s="1"/>
  <c r="P49" i="727"/>
  <c r="K49" i="727"/>
  <c r="K58" i="727" s="1"/>
  <c r="J49" i="727"/>
  <c r="J58" i="727" s="1"/>
  <c r="H49" i="727"/>
  <c r="F49" i="727"/>
  <c r="AE48" i="727"/>
  <c r="AD48" i="727"/>
  <c r="AA48" i="727"/>
  <c r="AA2" i="727" s="1"/>
  <c r="Z48" i="727"/>
  <c r="G18" i="726" s="1"/>
  <c r="W48" i="727"/>
  <c r="M48" i="727"/>
  <c r="W47" i="727"/>
  <c r="H47" i="727"/>
  <c r="W46" i="727"/>
  <c r="W45" i="727"/>
  <c r="W44" i="727"/>
  <c r="W43" i="727"/>
  <c r="W42" i="727"/>
  <c r="AG41" i="727"/>
  <c r="AF41" i="727"/>
  <c r="W41" i="727"/>
  <c r="AG40" i="727"/>
  <c r="AF40" i="727"/>
  <c r="W40" i="727"/>
  <c r="W39" i="727"/>
  <c r="N39" i="727" s="1"/>
  <c r="V39" i="727"/>
  <c r="K39" i="727"/>
  <c r="L39" i="727" s="1"/>
  <c r="J39" i="727"/>
  <c r="P39" i="727" s="1"/>
  <c r="H39" i="727"/>
  <c r="F39" i="727"/>
  <c r="W38" i="727"/>
  <c r="N38" i="727"/>
  <c r="AG38" i="727" s="1"/>
  <c r="L38" i="727"/>
  <c r="L48" i="727" s="1"/>
  <c r="K38" i="727"/>
  <c r="K48" i="727" s="1"/>
  <c r="J38" i="727"/>
  <c r="P38" i="727" s="1"/>
  <c r="F38" i="727"/>
  <c r="H38" i="727" s="1"/>
  <c r="AE37" i="727"/>
  <c r="F21" i="726" s="1"/>
  <c r="AD37" i="727"/>
  <c r="AA37" i="727"/>
  <c r="Z37" i="727"/>
  <c r="M37" i="727"/>
  <c r="W36" i="727"/>
  <c r="H36" i="727"/>
  <c r="W35" i="727"/>
  <c r="W34" i="727"/>
  <c r="W33" i="727"/>
  <c r="W32" i="727"/>
  <c r="V32" i="727"/>
  <c r="P32" i="727"/>
  <c r="N32" i="727"/>
  <c r="O32" i="727" s="1"/>
  <c r="L32" i="727"/>
  <c r="J32" i="727"/>
  <c r="F32" i="727"/>
  <c r="H32" i="727" s="1"/>
  <c r="W31" i="727"/>
  <c r="N31" i="727" s="1"/>
  <c r="V31" i="727"/>
  <c r="P31" i="727"/>
  <c r="J31" i="727"/>
  <c r="L31" i="727" s="1"/>
  <c r="F31" i="727"/>
  <c r="H31" i="727" s="1"/>
  <c r="W30" i="727"/>
  <c r="N30" i="727" s="1"/>
  <c r="V30" i="727"/>
  <c r="K30" i="727"/>
  <c r="K37" i="727" s="1"/>
  <c r="J30" i="727"/>
  <c r="J37" i="727" s="1"/>
  <c r="F30" i="727"/>
  <c r="H30" i="727" s="1"/>
  <c r="W29" i="727"/>
  <c r="V29" i="727"/>
  <c r="P29" i="727"/>
  <c r="N29" i="727"/>
  <c r="AG29" i="727" s="1"/>
  <c r="L29" i="727"/>
  <c r="F29" i="727"/>
  <c r="H29" i="727" s="1"/>
  <c r="W28" i="727"/>
  <c r="V28" i="727"/>
  <c r="N28" i="727"/>
  <c r="AG28" i="727" s="1"/>
  <c r="L28" i="727"/>
  <c r="J28" i="727"/>
  <c r="P28" i="727" s="1"/>
  <c r="H28" i="727"/>
  <c r="F28" i="727"/>
  <c r="W27" i="727"/>
  <c r="N27" i="727" s="1"/>
  <c r="P27" i="727"/>
  <c r="L27" i="727"/>
  <c r="J27" i="727"/>
  <c r="H27" i="727"/>
  <c r="F27" i="727"/>
  <c r="AE26" i="727"/>
  <c r="AD26" i="727"/>
  <c r="AA26" i="727"/>
  <c r="Z26" i="727"/>
  <c r="E18" i="726" s="1"/>
  <c r="M26" i="727"/>
  <c r="P26" i="727" s="1"/>
  <c r="J26" i="727"/>
  <c r="W25" i="727"/>
  <c r="H25" i="727"/>
  <c r="W24" i="727"/>
  <c r="H24" i="727"/>
  <c r="W23" i="727"/>
  <c r="W21" i="727"/>
  <c r="W20" i="727"/>
  <c r="W19" i="727"/>
  <c r="V19" i="727"/>
  <c r="P19" i="727"/>
  <c r="N19" i="727"/>
  <c r="AG19" i="727" s="1"/>
  <c r="K19" i="727"/>
  <c r="L19" i="727" s="1"/>
  <c r="F19" i="727"/>
  <c r="H19" i="727" s="1"/>
  <c r="W18" i="727"/>
  <c r="N18" i="727" s="1"/>
  <c r="V18" i="727"/>
  <c r="P18" i="727"/>
  <c r="L18" i="727"/>
  <c r="K18" i="727"/>
  <c r="H18" i="727"/>
  <c r="F18" i="727"/>
  <c r="W17" i="727"/>
  <c r="V17" i="727"/>
  <c r="P17" i="727"/>
  <c r="N17" i="727"/>
  <c r="O17" i="727" s="1"/>
  <c r="K17" i="727"/>
  <c r="L17" i="727" s="1"/>
  <c r="H17" i="727"/>
  <c r="F17" i="727"/>
  <c r="W16" i="727"/>
  <c r="P16" i="727"/>
  <c r="N16" i="727"/>
  <c r="O16" i="727" s="1"/>
  <c r="L16" i="727"/>
  <c r="K16" i="727"/>
  <c r="H16" i="727"/>
  <c r="F16" i="727"/>
  <c r="AE15" i="727"/>
  <c r="AE2" i="727" s="1"/>
  <c r="AD15" i="727"/>
  <c r="AD2" i="727" s="1"/>
  <c r="AA15" i="727"/>
  <c r="Z15" i="727"/>
  <c r="Z2" i="727" s="1"/>
  <c r="M15" i="727"/>
  <c r="J15" i="727"/>
  <c r="P15" i="727" s="1"/>
  <c r="W14" i="727"/>
  <c r="W13" i="727"/>
  <c r="W12" i="727"/>
  <c r="AG11" i="727"/>
  <c r="AF11" i="727"/>
  <c r="W11" i="727"/>
  <c r="AG10" i="727"/>
  <c r="AF10" i="727"/>
  <c r="W10" i="727"/>
  <c r="W9" i="727"/>
  <c r="N9" i="727" s="1"/>
  <c r="V9" i="727"/>
  <c r="P9" i="727"/>
  <c r="K9" i="727"/>
  <c r="L9" i="727" s="1"/>
  <c r="H9" i="727"/>
  <c r="F9" i="727"/>
  <c r="W8" i="727"/>
  <c r="N8" i="727" s="1"/>
  <c r="V8" i="727"/>
  <c r="P8" i="727"/>
  <c r="L8" i="727"/>
  <c r="K8" i="727"/>
  <c r="F8" i="727"/>
  <c r="H8" i="727" s="1"/>
  <c r="AG7" i="727"/>
  <c r="AF7" i="727"/>
  <c r="W7" i="727"/>
  <c r="V7" i="727"/>
  <c r="P7" i="727"/>
  <c r="N7" i="727"/>
  <c r="O7" i="727" s="1"/>
  <c r="L7" i="727"/>
  <c r="K7" i="727"/>
  <c r="F7" i="727"/>
  <c r="H7" i="727" s="1"/>
  <c r="W6" i="727"/>
  <c r="N6" i="727" s="1"/>
  <c r="V6" i="727"/>
  <c r="P6" i="727"/>
  <c r="K6" i="727"/>
  <c r="L6" i="727" s="1"/>
  <c r="F6" i="727"/>
  <c r="H6" i="727" s="1"/>
  <c r="W5" i="727"/>
  <c r="N5" i="727" s="1"/>
  <c r="P5" i="727"/>
  <c r="K5" i="727"/>
  <c r="K15" i="727" s="1"/>
  <c r="F5" i="727"/>
  <c r="H5" i="727" s="1"/>
  <c r="I2" i="727"/>
  <c r="E1" i="727"/>
  <c r="G3" i="726" s="1"/>
  <c r="I19" i="726"/>
  <c r="I18" i="726"/>
  <c r="I22" i="726"/>
  <c r="H20" i="726"/>
  <c r="G20" i="726"/>
  <c r="F19" i="726"/>
  <c r="E21" i="726"/>
  <c r="E20" i="726"/>
  <c r="E19" i="726"/>
  <c r="G22" i="726"/>
  <c r="I21" i="726"/>
  <c r="H21" i="726"/>
  <c r="G21" i="726"/>
  <c r="J20" i="726"/>
  <c r="F20" i="726"/>
  <c r="J19" i="726"/>
  <c r="D19" i="726"/>
  <c r="J18" i="726"/>
  <c r="F18" i="726"/>
  <c r="D18" i="726"/>
  <c r="J16" i="726"/>
  <c r="I16" i="726"/>
  <c r="H16" i="726"/>
  <c r="G16" i="726"/>
  <c r="F16" i="726"/>
  <c r="E16" i="726"/>
  <c r="D16" i="726"/>
  <c r="O8" i="726"/>
  <c r="N8" i="726"/>
  <c r="M8" i="726"/>
  <c r="L8" i="726"/>
  <c r="O7" i="726"/>
  <c r="N7" i="726"/>
  <c r="M7" i="726"/>
  <c r="L7" i="726"/>
  <c r="AE79" i="725"/>
  <c r="AD79" i="725"/>
  <c r="AA79" i="725"/>
  <c r="Z79" i="725"/>
  <c r="M79" i="725"/>
  <c r="W78" i="725"/>
  <c r="H78" i="725"/>
  <c r="W77" i="725"/>
  <c r="H77" i="725"/>
  <c r="W76" i="725"/>
  <c r="H76" i="725"/>
  <c r="W75" i="725"/>
  <c r="H75" i="725"/>
  <c r="W74" i="725"/>
  <c r="W73" i="725"/>
  <c r="N73" i="725" s="1"/>
  <c r="V73" i="725"/>
  <c r="P73" i="725"/>
  <c r="O73" i="725"/>
  <c r="L73" i="725"/>
  <c r="K73" i="725"/>
  <c r="J73" i="725"/>
  <c r="F73" i="725"/>
  <c r="H73" i="725" s="1"/>
  <c r="W72" i="725"/>
  <c r="V72" i="725"/>
  <c r="O72" i="725"/>
  <c r="N72" i="725"/>
  <c r="K72" i="725"/>
  <c r="J72" i="725"/>
  <c r="P72" i="725" s="1"/>
  <c r="H72" i="725"/>
  <c r="F72" i="725"/>
  <c r="W71" i="725"/>
  <c r="V71" i="725"/>
  <c r="O71" i="725"/>
  <c r="N71" i="725"/>
  <c r="L71" i="725"/>
  <c r="K71" i="725"/>
  <c r="J71" i="725"/>
  <c r="P71" i="725" s="1"/>
  <c r="H71" i="725"/>
  <c r="F71" i="725"/>
  <c r="W70" i="725"/>
  <c r="N70" i="725" s="1"/>
  <c r="K70" i="725"/>
  <c r="J70" i="725"/>
  <c r="H70" i="725"/>
  <c r="F70" i="725"/>
  <c r="AG69" i="725"/>
  <c r="AH59" i="725" s="1"/>
  <c r="AE69" i="725"/>
  <c r="AD69" i="725"/>
  <c r="AA69" i="725"/>
  <c r="Z69" i="725"/>
  <c r="N69" i="725"/>
  <c r="M69" i="725"/>
  <c r="K69" i="725"/>
  <c r="J69" i="725"/>
  <c r="P69" i="725" s="1"/>
  <c r="W68" i="725"/>
  <c r="H68" i="725"/>
  <c r="W67" i="725"/>
  <c r="W66" i="725"/>
  <c r="W65" i="725"/>
  <c r="W64" i="725"/>
  <c r="W63" i="725"/>
  <c r="AG62" i="725"/>
  <c r="AF62" i="725"/>
  <c r="W62" i="725"/>
  <c r="W61" i="725"/>
  <c r="N61" i="725" s="1"/>
  <c r="V61" i="725"/>
  <c r="P61" i="725"/>
  <c r="L61" i="725"/>
  <c r="K61" i="725"/>
  <c r="J61" i="725"/>
  <c r="F61" i="725"/>
  <c r="H61" i="725" s="1"/>
  <c r="AF60" i="725"/>
  <c r="W60" i="725"/>
  <c r="N60" i="725" s="1"/>
  <c r="AG60" i="725" s="1"/>
  <c r="V60" i="725"/>
  <c r="P60" i="725"/>
  <c r="O60" i="725"/>
  <c r="L60" i="725"/>
  <c r="K60" i="725"/>
  <c r="J60" i="725"/>
  <c r="H60" i="725"/>
  <c r="F60" i="725"/>
  <c r="AG59" i="725"/>
  <c r="W59" i="725"/>
  <c r="P59" i="725"/>
  <c r="N59" i="725"/>
  <c r="K59" i="725"/>
  <c r="J59" i="725"/>
  <c r="L59" i="725" s="1"/>
  <c r="F59" i="725"/>
  <c r="H59" i="725" s="1"/>
  <c r="AE58" i="725"/>
  <c r="AD58" i="725"/>
  <c r="AA58" i="725"/>
  <c r="Z58" i="725"/>
  <c r="N58" i="725"/>
  <c r="M58" i="725"/>
  <c r="W57" i="725"/>
  <c r="W56" i="725"/>
  <c r="W55" i="725"/>
  <c r="W54" i="725"/>
  <c r="AG53" i="725"/>
  <c r="AF53" i="725"/>
  <c r="W53" i="725"/>
  <c r="AF52" i="725"/>
  <c r="W52" i="725"/>
  <c r="V52" i="725"/>
  <c r="P52" i="725"/>
  <c r="N52" i="725"/>
  <c r="K52" i="725"/>
  <c r="J52" i="725"/>
  <c r="H52" i="725"/>
  <c r="F52" i="725"/>
  <c r="W51" i="725"/>
  <c r="V51" i="725"/>
  <c r="P51" i="725"/>
  <c r="N51" i="725"/>
  <c r="L51" i="725"/>
  <c r="K51" i="725"/>
  <c r="J51" i="725"/>
  <c r="H51" i="725"/>
  <c r="F51" i="725"/>
  <c r="W50" i="725"/>
  <c r="V50" i="725"/>
  <c r="P50" i="725"/>
  <c r="N50" i="725"/>
  <c r="L50" i="725"/>
  <c r="K50" i="725"/>
  <c r="J50" i="725"/>
  <c r="H50" i="725"/>
  <c r="F50" i="725"/>
  <c r="W49" i="725"/>
  <c r="N49" i="725" s="1"/>
  <c r="K49" i="725"/>
  <c r="J49" i="725"/>
  <c r="H49" i="725"/>
  <c r="F49" i="725"/>
  <c r="AE48" i="725"/>
  <c r="AD48" i="725"/>
  <c r="AA48" i="725"/>
  <c r="Z48" i="725"/>
  <c r="W48" i="725"/>
  <c r="M48" i="725"/>
  <c r="J48" i="725"/>
  <c r="W47" i="725"/>
  <c r="H47" i="725"/>
  <c r="W46" i="725"/>
  <c r="W45" i="725"/>
  <c r="W44" i="725"/>
  <c r="W43" i="725"/>
  <c r="W42" i="725"/>
  <c r="AG41" i="725"/>
  <c r="AF41" i="725"/>
  <c r="W41" i="725"/>
  <c r="W40" i="725"/>
  <c r="N40" i="725" s="1"/>
  <c r="V40" i="725"/>
  <c r="K40" i="725"/>
  <c r="J40" i="725"/>
  <c r="P40" i="725" s="1"/>
  <c r="F40" i="725"/>
  <c r="H40" i="725" s="1"/>
  <c r="W39" i="725"/>
  <c r="N39" i="725" s="1"/>
  <c r="V39" i="725"/>
  <c r="O39" i="725"/>
  <c r="K39" i="725"/>
  <c r="J39" i="725"/>
  <c r="P39" i="725" s="1"/>
  <c r="H39" i="725"/>
  <c r="F39" i="725"/>
  <c r="W38" i="725"/>
  <c r="N38" i="725" s="1"/>
  <c r="K38" i="725"/>
  <c r="J38" i="725"/>
  <c r="L38" i="725" s="1"/>
  <c r="H38" i="725"/>
  <c r="F38" i="725"/>
  <c r="AE37" i="725"/>
  <c r="AD37" i="725"/>
  <c r="AA37" i="725"/>
  <c r="Z37" i="725"/>
  <c r="M37" i="725"/>
  <c r="W36" i="725"/>
  <c r="H36" i="725"/>
  <c r="W35" i="725"/>
  <c r="W34" i="725"/>
  <c r="W33" i="725"/>
  <c r="W32" i="725"/>
  <c r="AG31" i="725"/>
  <c r="AF31" i="725"/>
  <c r="W31" i="725"/>
  <c r="V31" i="725"/>
  <c r="R31" i="725"/>
  <c r="P31" i="725"/>
  <c r="N31" i="725"/>
  <c r="O31" i="725" s="1"/>
  <c r="Q31" i="725" s="1"/>
  <c r="L31" i="725"/>
  <c r="H31" i="725"/>
  <c r="F31" i="725"/>
  <c r="AF30" i="725"/>
  <c r="W30" i="725"/>
  <c r="V30" i="725"/>
  <c r="P30" i="725"/>
  <c r="O30" i="725"/>
  <c r="N30" i="725"/>
  <c r="K30" i="725"/>
  <c r="J30" i="725"/>
  <c r="F30" i="725"/>
  <c r="H30" i="725" s="1"/>
  <c r="W29" i="725"/>
  <c r="V29" i="725"/>
  <c r="P29" i="725"/>
  <c r="O29" i="725"/>
  <c r="N29" i="725"/>
  <c r="J29" i="725"/>
  <c r="L29" i="725" s="1"/>
  <c r="H29" i="725"/>
  <c r="F29" i="725"/>
  <c r="W28" i="725"/>
  <c r="N28" i="725" s="1"/>
  <c r="V28" i="725"/>
  <c r="P28" i="725"/>
  <c r="L28" i="725"/>
  <c r="J28" i="725"/>
  <c r="F28" i="725"/>
  <c r="H28" i="725" s="1"/>
  <c r="AG27" i="725"/>
  <c r="AF27" i="725"/>
  <c r="W27" i="725"/>
  <c r="P27" i="725"/>
  <c r="N27" i="725"/>
  <c r="O27" i="725" s="1"/>
  <c r="L27" i="725"/>
  <c r="F27" i="725"/>
  <c r="H27" i="725" s="1"/>
  <c r="AE26" i="725"/>
  <c r="AD26" i="725"/>
  <c r="AA26" i="725"/>
  <c r="Z26" i="725"/>
  <c r="M26" i="725"/>
  <c r="L26" i="725"/>
  <c r="J26" i="725"/>
  <c r="P26" i="725" s="1"/>
  <c r="W25" i="725"/>
  <c r="H25" i="725"/>
  <c r="W24" i="725"/>
  <c r="H24" i="725"/>
  <c r="W23" i="725"/>
  <c r="W21" i="725"/>
  <c r="W20" i="725"/>
  <c r="W19" i="725"/>
  <c r="V19" i="725"/>
  <c r="P19" i="725"/>
  <c r="O19" i="725"/>
  <c r="N19" i="725"/>
  <c r="L19" i="725"/>
  <c r="K19" i="725"/>
  <c r="F19" i="725"/>
  <c r="H19" i="725" s="1"/>
  <c r="AG18" i="725"/>
  <c r="W18" i="725"/>
  <c r="V18" i="725"/>
  <c r="P18" i="725"/>
  <c r="O18" i="725"/>
  <c r="N18" i="725"/>
  <c r="AF18" i="725" s="1"/>
  <c r="L18" i="725"/>
  <c r="K18" i="725"/>
  <c r="F18" i="725"/>
  <c r="H18" i="725" s="1"/>
  <c r="W17" i="725"/>
  <c r="V17" i="725"/>
  <c r="P17" i="725"/>
  <c r="N17" i="725"/>
  <c r="K17" i="725"/>
  <c r="L17" i="725" s="1"/>
  <c r="F17" i="725"/>
  <c r="H17" i="725" s="1"/>
  <c r="W16" i="725"/>
  <c r="P16" i="725"/>
  <c r="N16" i="725"/>
  <c r="K16" i="725"/>
  <c r="L16" i="725" s="1"/>
  <c r="H16" i="725"/>
  <c r="F16" i="725"/>
  <c r="AE15" i="725"/>
  <c r="AD15" i="725"/>
  <c r="AA15" i="725"/>
  <c r="AA2" i="725" s="1"/>
  <c r="Z15" i="725"/>
  <c r="M15" i="725"/>
  <c r="J15" i="725"/>
  <c r="W14" i="725"/>
  <c r="W13" i="725"/>
  <c r="W12" i="725"/>
  <c r="AG11" i="725"/>
  <c r="AF11" i="725"/>
  <c r="W11" i="725"/>
  <c r="AG10" i="725"/>
  <c r="AF10" i="725"/>
  <c r="W10" i="725"/>
  <c r="W9" i="725"/>
  <c r="N9" i="725" s="1"/>
  <c r="V9" i="725"/>
  <c r="P9" i="725"/>
  <c r="L9" i="725"/>
  <c r="K9" i="725"/>
  <c r="F9" i="725"/>
  <c r="H9" i="725" s="1"/>
  <c r="AG8" i="725"/>
  <c r="AF8" i="725"/>
  <c r="W8" i="725"/>
  <c r="N8" i="725" s="1"/>
  <c r="O8" i="725" s="1"/>
  <c r="V8" i="725"/>
  <c r="P8" i="725"/>
  <c r="K8" i="725"/>
  <c r="L8" i="725" s="1"/>
  <c r="F8" i="725"/>
  <c r="H8" i="725" s="1"/>
  <c r="W7" i="725"/>
  <c r="V7" i="725"/>
  <c r="P7" i="725"/>
  <c r="N7" i="725"/>
  <c r="L7" i="725"/>
  <c r="K7" i="725"/>
  <c r="H7" i="725"/>
  <c r="F7" i="725"/>
  <c r="W6" i="725"/>
  <c r="V6" i="725"/>
  <c r="P6" i="725"/>
  <c r="O6" i="725"/>
  <c r="N6" i="725"/>
  <c r="K6" i="725"/>
  <c r="L6" i="725" s="1"/>
  <c r="Q6" i="725" s="1"/>
  <c r="H6" i="725"/>
  <c r="F6" i="725"/>
  <c r="W5" i="725"/>
  <c r="P5" i="725"/>
  <c r="O5" i="725"/>
  <c r="N5" i="725"/>
  <c r="L5" i="725"/>
  <c r="K5" i="725"/>
  <c r="H5" i="725"/>
  <c r="F5" i="725"/>
  <c r="I2" i="725"/>
  <c r="E1" i="725"/>
  <c r="AE79" i="723"/>
  <c r="AD79" i="723"/>
  <c r="J20" i="722" s="1"/>
  <c r="AA79" i="723"/>
  <c r="Z79" i="723"/>
  <c r="M79" i="723"/>
  <c r="J22" i="722" s="1"/>
  <c r="W78" i="723"/>
  <c r="H78" i="723"/>
  <c r="W77" i="723"/>
  <c r="H77" i="723"/>
  <c r="W76" i="723"/>
  <c r="W75" i="723"/>
  <c r="W74" i="723"/>
  <c r="W73" i="723"/>
  <c r="N73" i="723" s="1"/>
  <c r="O73" i="723" s="1"/>
  <c r="V73" i="723"/>
  <c r="L73" i="723"/>
  <c r="K73" i="723"/>
  <c r="J73" i="723"/>
  <c r="P73" i="723" s="1"/>
  <c r="F73" i="723"/>
  <c r="H73" i="723" s="1"/>
  <c r="W72" i="723"/>
  <c r="N72" i="723" s="1"/>
  <c r="O72" i="723" s="1"/>
  <c r="V72" i="723"/>
  <c r="L72" i="723"/>
  <c r="K72" i="723"/>
  <c r="K79" i="723" s="1"/>
  <c r="J72" i="723"/>
  <c r="P72" i="723" s="1"/>
  <c r="H72" i="723"/>
  <c r="F72" i="723"/>
  <c r="W71" i="723"/>
  <c r="V71" i="723"/>
  <c r="O71" i="723"/>
  <c r="N71" i="723"/>
  <c r="J71" i="723"/>
  <c r="H71" i="723"/>
  <c r="F71" i="723"/>
  <c r="W70" i="723"/>
  <c r="P70" i="723"/>
  <c r="O70" i="723"/>
  <c r="N70" i="723"/>
  <c r="L70" i="723"/>
  <c r="K70" i="723"/>
  <c r="J70" i="723"/>
  <c r="H70" i="723"/>
  <c r="F70" i="723"/>
  <c r="AE69" i="723"/>
  <c r="AD69" i="723"/>
  <c r="AA69" i="723"/>
  <c r="Z69" i="723"/>
  <c r="I18" i="722" s="1"/>
  <c r="M69" i="723"/>
  <c r="K69" i="723"/>
  <c r="W68" i="723"/>
  <c r="H68" i="723"/>
  <c r="W67" i="723"/>
  <c r="W66" i="723"/>
  <c r="W65" i="723"/>
  <c r="W64" i="723"/>
  <c r="W63" i="723"/>
  <c r="AG62" i="723"/>
  <c r="AF62" i="723"/>
  <c r="W62" i="723"/>
  <c r="W61" i="723"/>
  <c r="N61" i="723" s="1"/>
  <c r="V61" i="723"/>
  <c r="L61" i="723"/>
  <c r="K61" i="723"/>
  <c r="J61" i="723"/>
  <c r="P61" i="723" s="1"/>
  <c r="F61" i="723"/>
  <c r="H61" i="723" s="1"/>
  <c r="AG60" i="723"/>
  <c r="W60" i="723"/>
  <c r="N60" i="723" s="1"/>
  <c r="V60" i="723"/>
  <c r="P60" i="723"/>
  <c r="O60" i="723"/>
  <c r="L60" i="723"/>
  <c r="K60" i="723"/>
  <c r="AF60" i="723" s="1"/>
  <c r="J60" i="723"/>
  <c r="F60" i="723"/>
  <c r="H60" i="723" s="1"/>
  <c r="W59" i="723"/>
  <c r="N59" i="723"/>
  <c r="K59" i="723"/>
  <c r="J59" i="723"/>
  <c r="H59" i="723"/>
  <c r="F59" i="723"/>
  <c r="AE58" i="723"/>
  <c r="AD58" i="723"/>
  <c r="AA58" i="723"/>
  <c r="H19" i="722" s="1"/>
  <c r="Z58" i="723"/>
  <c r="M58" i="723"/>
  <c r="K58" i="723"/>
  <c r="W57" i="723"/>
  <c r="W56" i="723"/>
  <c r="W55" i="723"/>
  <c r="W54" i="723"/>
  <c r="AG53" i="723"/>
  <c r="AF53" i="723"/>
  <c r="W53" i="723"/>
  <c r="W52" i="723"/>
  <c r="N52" i="723" s="1"/>
  <c r="V52" i="723"/>
  <c r="P52" i="723"/>
  <c r="L52" i="723"/>
  <c r="K52" i="723"/>
  <c r="J52" i="723"/>
  <c r="F52" i="723"/>
  <c r="H52" i="723" s="1"/>
  <c r="W51" i="723"/>
  <c r="N51" i="723" s="1"/>
  <c r="V51" i="723"/>
  <c r="K51" i="723"/>
  <c r="J51" i="723"/>
  <c r="P51" i="723" s="1"/>
  <c r="H51" i="723"/>
  <c r="F51" i="723"/>
  <c r="W50" i="723"/>
  <c r="N50" i="723" s="1"/>
  <c r="V50" i="723"/>
  <c r="K50" i="723"/>
  <c r="J50" i="723"/>
  <c r="H50" i="723"/>
  <c r="F50" i="723"/>
  <c r="AF49" i="723"/>
  <c r="W49" i="723"/>
  <c r="N49" i="723" s="1"/>
  <c r="AG49" i="723" s="1"/>
  <c r="P49" i="723"/>
  <c r="O49" i="723"/>
  <c r="K49" i="723"/>
  <c r="J49" i="723"/>
  <c r="L49" i="723" s="1"/>
  <c r="H49" i="723"/>
  <c r="F49" i="723"/>
  <c r="AE48" i="723"/>
  <c r="AD48" i="723"/>
  <c r="AA48" i="723"/>
  <c r="G19" i="722" s="1"/>
  <c r="Z48" i="723"/>
  <c r="G18" i="722" s="1"/>
  <c r="W48" i="723"/>
  <c r="P48" i="723"/>
  <c r="M48" i="723"/>
  <c r="W47" i="723"/>
  <c r="H47" i="723"/>
  <c r="W46" i="723"/>
  <c r="W45" i="723"/>
  <c r="W44" i="723"/>
  <c r="W43" i="723"/>
  <c r="W42" i="723"/>
  <c r="AG41" i="723"/>
  <c r="AF41" i="723"/>
  <c r="W41" i="723"/>
  <c r="AG40" i="723"/>
  <c r="W40" i="723"/>
  <c r="V40" i="723"/>
  <c r="O40" i="723"/>
  <c r="N40" i="723"/>
  <c r="K40" i="723"/>
  <c r="L40" i="723" s="1"/>
  <c r="J40" i="723"/>
  <c r="P40" i="723" s="1"/>
  <c r="H40" i="723"/>
  <c r="F40" i="723"/>
  <c r="W39" i="723"/>
  <c r="N39" i="723" s="1"/>
  <c r="V39" i="723"/>
  <c r="K39" i="723"/>
  <c r="L39" i="723" s="1"/>
  <c r="J39" i="723"/>
  <c r="P39" i="723" s="1"/>
  <c r="H39" i="723"/>
  <c r="F39" i="723"/>
  <c r="W38" i="723"/>
  <c r="N38" i="723" s="1"/>
  <c r="P38" i="723"/>
  <c r="K38" i="723"/>
  <c r="J38" i="723"/>
  <c r="J48" i="723" s="1"/>
  <c r="H38" i="723"/>
  <c r="F38" i="723"/>
  <c r="AE37" i="723"/>
  <c r="AD37" i="723"/>
  <c r="F20" i="722" s="1"/>
  <c r="AA37" i="723"/>
  <c r="Z37" i="723"/>
  <c r="F18" i="722" s="1"/>
  <c r="M37" i="723"/>
  <c r="K37" i="723"/>
  <c r="J37" i="723"/>
  <c r="P37" i="723" s="1"/>
  <c r="W36" i="723"/>
  <c r="H36" i="723"/>
  <c r="W35" i="723"/>
  <c r="W34" i="723"/>
  <c r="W33" i="723"/>
  <c r="W32" i="723"/>
  <c r="V32" i="723"/>
  <c r="P32" i="723"/>
  <c r="N32" i="723"/>
  <c r="O32" i="723" s="1"/>
  <c r="L32" i="723"/>
  <c r="F32" i="723"/>
  <c r="H32" i="723" s="1"/>
  <c r="AG31" i="723"/>
  <c r="W31" i="723"/>
  <c r="N31" i="723" s="1"/>
  <c r="O31" i="723" s="1"/>
  <c r="V31" i="723"/>
  <c r="L31" i="723"/>
  <c r="J31" i="723"/>
  <c r="P31" i="723" s="1"/>
  <c r="H31" i="723"/>
  <c r="F31" i="723"/>
  <c r="AG30" i="723"/>
  <c r="AF30" i="723"/>
  <c r="W30" i="723"/>
  <c r="N30" i="723" s="1"/>
  <c r="V30" i="723"/>
  <c r="O30" i="723"/>
  <c r="J30" i="723"/>
  <c r="P30" i="723" s="1"/>
  <c r="H30" i="723"/>
  <c r="F30" i="723"/>
  <c r="W29" i="723"/>
  <c r="V29" i="723"/>
  <c r="P29" i="723"/>
  <c r="N29" i="723"/>
  <c r="L29" i="723"/>
  <c r="J29" i="723"/>
  <c r="F29" i="723"/>
  <c r="H29" i="723" s="1"/>
  <c r="W28" i="723"/>
  <c r="V28" i="723"/>
  <c r="P28" i="723"/>
  <c r="L28" i="723"/>
  <c r="J28" i="723"/>
  <c r="G28" i="723"/>
  <c r="N28" i="723" s="1"/>
  <c r="F28" i="723"/>
  <c r="W27" i="723"/>
  <c r="P27" i="723"/>
  <c r="O27" i="723"/>
  <c r="N27" i="723"/>
  <c r="L27" i="723"/>
  <c r="H27" i="723"/>
  <c r="F27" i="723"/>
  <c r="AE26" i="723"/>
  <c r="AD26" i="723"/>
  <c r="E20" i="722" s="1"/>
  <c r="AA26" i="723"/>
  <c r="Z26" i="723"/>
  <c r="P26" i="723"/>
  <c r="M26" i="723"/>
  <c r="J26" i="723"/>
  <c r="W25" i="723"/>
  <c r="H25" i="723"/>
  <c r="W24" i="723"/>
  <c r="H24" i="723"/>
  <c r="W23" i="723"/>
  <c r="W21" i="723"/>
  <c r="W20" i="723"/>
  <c r="N20" i="723" s="1"/>
  <c r="O20" i="723" s="1"/>
  <c r="V20" i="723"/>
  <c r="P20" i="723"/>
  <c r="L20" i="723"/>
  <c r="K20" i="723"/>
  <c r="H20" i="723"/>
  <c r="F20" i="723"/>
  <c r="W19" i="723"/>
  <c r="N19" i="723" s="1"/>
  <c r="V19" i="723"/>
  <c r="P19" i="723"/>
  <c r="L19" i="723"/>
  <c r="K19" i="723"/>
  <c r="AF19" i="723" s="1"/>
  <c r="H19" i="723"/>
  <c r="F19" i="723"/>
  <c r="AG18" i="723"/>
  <c r="AF18" i="723"/>
  <c r="W18" i="723"/>
  <c r="V18" i="723"/>
  <c r="P18" i="723"/>
  <c r="N18" i="723"/>
  <c r="O18" i="723" s="1"/>
  <c r="K18" i="723"/>
  <c r="L18" i="723" s="1"/>
  <c r="F18" i="723"/>
  <c r="H18" i="723" s="1"/>
  <c r="W17" i="723"/>
  <c r="V17" i="723"/>
  <c r="P17" i="723"/>
  <c r="K17" i="723"/>
  <c r="H17" i="723"/>
  <c r="G17" i="723"/>
  <c r="F17" i="723"/>
  <c r="AG16" i="723"/>
  <c r="AF16" i="723"/>
  <c r="W16" i="723"/>
  <c r="P16" i="723"/>
  <c r="N16" i="723"/>
  <c r="L16" i="723"/>
  <c r="K16" i="723"/>
  <c r="F16" i="723"/>
  <c r="H16" i="723" s="1"/>
  <c r="AE15" i="723"/>
  <c r="AD15" i="723"/>
  <c r="AA15" i="723"/>
  <c r="Z15" i="723"/>
  <c r="P15" i="723"/>
  <c r="N15" i="723"/>
  <c r="M15" i="723"/>
  <c r="D22" i="722" s="1"/>
  <c r="K15" i="723"/>
  <c r="J15" i="723"/>
  <c r="W14" i="723"/>
  <c r="W13" i="723"/>
  <c r="W12" i="723"/>
  <c r="AG11" i="723"/>
  <c r="AF11" i="723"/>
  <c r="W11" i="723"/>
  <c r="AG10" i="723"/>
  <c r="AF10" i="723"/>
  <c r="W10" i="723"/>
  <c r="AG9" i="723"/>
  <c r="AF9" i="723"/>
  <c r="W9" i="723"/>
  <c r="W8" i="723"/>
  <c r="V8" i="723"/>
  <c r="P8" i="723"/>
  <c r="N8" i="723"/>
  <c r="L8" i="723"/>
  <c r="K8" i="723"/>
  <c r="H8" i="723"/>
  <c r="F8" i="723"/>
  <c r="AG7" i="723"/>
  <c r="W7" i="723"/>
  <c r="V7" i="723"/>
  <c r="P7" i="723"/>
  <c r="N7" i="723"/>
  <c r="L7" i="723"/>
  <c r="K7" i="723"/>
  <c r="H7" i="723"/>
  <c r="F7" i="723"/>
  <c r="AG6" i="723"/>
  <c r="AF6" i="723"/>
  <c r="W6" i="723"/>
  <c r="V6" i="723"/>
  <c r="P6" i="723"/>
  <c r="O6" i="723"/>
  <c r="N6" i="723"/>
  <c r="K6" i="723"/>
  <c r="L6" i="723" s="1"/>
  <c r="H6" i="723"/>
  <c r="F6" i="723"/>
  <c r="AG5" i="723"/>
  <c r="AF5" i="723"/>
  <c r="W5" i="723"/>
  <c r="P5" i="723"/>
  <c r="O5" i="723"/>
  <c r="N5" i="723"/>
  <c r="L5" i="723"/>
  <c r="K5" i="723"/>
  <c r="H5" i="723"/>
  <c r="F5" i="723"/>
  <c r="I2" i="723"/>
  <c r="I22" i="722"/>
  <c r="F22" i="722"/>
  <c r="E22" i="722"/>
  <c r="J21" i="722"/>
  <c r="I21" i="722"/>
  <c r="H21" i="722"/>
  <c r="G21" i="722"/>
  <c r="E21" i="722"/>
  <c r="D21" i="722"/>
  <c r="I20" i="722"/>
  <c r="H20" i="722"/>
  <c r="G20" i="722"/>
  <c r="J19" i="722"/>
  <c r="F19" i="722"/>
  <c r="E19" i="722"/>
  <c r="D19" i="722"/>
  <c r="J18" i="722"/>
  <c r="H18" i="722"/>
  <c r="E18" i="722"/>
  <c r="J16" i="722"/>
  <c r="I16" i="722"/>
  <c r="H16" i="722"/>
  <c r="G16" i="722"/>
  <c r="F16" i="722"/>
  <c r="E16" i="722"/>
  <c r="D16" i="722"/>
  <c r="O8" i="722"/>
  <c r="N8" i="722"/>
  <c r="M8" i="722"/>
  <c r="L8" i="722"/>
  <c r="O7" i="722"/>
  <c r="N7" i="722"/>
  <c r="M7" i="722"/>
  <c r="L7" i="722"/>
  <c r="AE79" i="720"/>
  <c r="AD79" i="720"/>
  <c r="AA79" i="720"/>
  <c r="J18" i="719" s="1"/>
  <c r="Z79" i="720"/>
  <c r="M79" i="720"/>
  <c r="J79" i="720"/>
  <c r="W78" i="720"/>
  <c r="H78" i="720"/>
  <c r="W77" i="720"/>
  <c r="H77" i="720"/>
  <c r="W76" i="720"/>
  <c r="W75" i="720"/>
  <c r="N75" i="720" s="1"/>
  <c r="V75" i="720"/>
  <c r="P75" i="720"/>
  <c r="O75" i="720"/>
  <c r="K75" i="720"/>
  <c r="L75" i="720" s="1"/>
  <c r="J75" i="720"/>
  <c r="F75" i="720"/>
  <c r="H75" i="720" s="1"/>
  <c r="W74" i="720"/>
  <c r="N74" i="720" s="1"/>
  <c r="O74" i="720" s="1"/>
  <c r="V74" i="720"/>
  <c r="L74" i="720"/>
  <c r="J74" i="720"/>
  <c r="P74" i="720" s="1"/>
  <c r="H74" i="720"/>
  <c r="F74" i="720"/>
  <c r="W73" i="720"/>
  <c r="V73" i="720"/>
  <c r="N73" i="720"/>
  <c r="O73" i="720" s="1"/>
  <c r="K73" i="720"/>
  <c r="J73" i="720"/>
  <c r="H73" i="720"/>
  <c r="F73" i="720"/>
  <c r="W72" i="720"/>
  <c r="N72" i="720" s="1"/>
  <c r="O72" i="720" s="1"/>
  <c r="V72" i="720"/>
  <c r="K72" i="720"/>
  <c r="L72" i="720" s="1"/>
  <c r="J72" i="720"/>
  <c r="P72" i="720" s="1"/>
  <c r="H72" i="720"/>
  <c r="F72" i="720"/>
  <c r="W71" i="720"/>
  <c r="N71" i="720" s="1"/>
  <c r="O71" i="720" s="1"/>
  <c r="V71" i="720"/>
  <c r="J71" i="720"/>
  <c r="F71" i="720"/>
  <c r="H71" i="720" s="1"/>
  <c r="W70" i="720"/>
  <c r="N70" i="720"/>
  <c r="K70" i="720"/>
  <c r="J70" i="720"/>
  <c r="H70" i="720"/>
  <c r="F70" i="720"/>
  <c r="AE69" i="720"/>
  <c r="I21" i="719" s="1"/>
  <c r="AD69" i="720"/>
  <c r="AA69" i="720"/>
  <c r="I19" i="719" s="1"/>
  <c r="Z69" i="720"/>
  <c r="M69" i="720"/>
  <c r="J69" i="720"/>
  <c r="W68" i="720"/>
  <c r="H68" i="720"/>
  <c r="W67" i="720"/>
  <c r="W66" i="720"/>
  <c r="W65" i="720"/>
  <c r="W64" i="720"/>
  <c r="W63" i="720"/>
  <c r="W62" i="720"/>
  <c r="V62" i="720"/>
  <c r="P62" i="720"/>
  <c r="N62" i="720"/>
  <c r="L62" i="720"/>
  <c r="K62" i="720"/>
  <c r="J62" i="720"/>
  <c r="F62" i="720"/>
  <c r="H62" i="720" s="1"/>
  <c r="W61" i="720"/>
  <c r="V61" i="720"/>
  <c r="P61" i="720"/>
  <c r="O61" i="720"/>
  <c r="N61" i="720"/>
  <c r="L61" i="720"/>
  <c r="K61" i="720"/>
  <c r="J61" i="720"/>
  <c r="H61" i="720"/>
  <c r="F61" i="720"/>
  <c r="AG60" i="720"/>
  <c r="AF60" i="720"/>
  <c r="W60" i="720"/>
  <c r="N60" i="720" s="1"/>
  <c r="V60" i="720"/>
  <c r="P60" i="720"/>
  <c r="O60" i="720"/>
  <c r="L60" i="720"/>
  <c r="K60" i="720"/>
  <c r="J60" i="720"/>
  <c r="H60" i="720"/>
  <c r="F60" i="720"/>
  <c r="AF59" i="720"/>
  <c r="W59" i="720"/>
  <c r="N59" i="720" s="1"/>
  <c r="L59" i="720"/>
  <c r="K59" i="720"/>
  <c r="K69" i="720" s="1"/>
  <c r="J59" i="720"/>
  <c r="P59" i="720" s="1"/>
  <c r="F59" i="720"/>
  <c r="H59" i="720" s="1"/>
  <c r="AE58" i="720"/>
  <c r="H21" i="719" s="1"/>
  <c r="AD58" i="720"/>
  <c r="AA58" i="720"/>
  <c r="H19" i="719" s="1"/>
  <c r="Z58" i="720"/>
  <c r="N58" i="720"/>
  <c r="M58" i="720"/>
  <c r="W57" i="720"/>
  <c r="W56" i="720"/>
  <c r="W55" i="720"/>
  <c r="W54" i="720"/>
  <c r="W53" i="720"/>
  <c r="N53" i="720" s="1"/>
  <c r="V53" i="720"/>
  <c r="P53" i="720"/>
  <c r="L53" i="720"/>
  <c r="K53" i="720"/>
  <c r="J53" i="720"/>
  <c r="F53" i="720"/>
  <c r="H53" i="720" s="1"/>
  <c r="W52" i="720"/>
  <c r="N52" i="720" s="1"/>
  <c r="V52" i="720"/>
  <c r="P52" i="720"/>
  <c r="K52" i="720"/>
  <c r="L52" i="720" s="1"/>
  <c r="J52" i="720"/>
  <c r="F52" i="720"/>
  <c r="H52" i="720" s="1"/>
  <c r="W51" i="720"/>
  <c r="N51" i="720" s="1"/>
  <c r="V51" i="720"/>
  <c r="L51" i="720"/>
  <c r="K51" i="720"/>
  <c r="J51" i="720"/>
  <c r="P51" i="720" s="1"/>
  <c r="F51" i="720"/>
  <c r="H51" i="720" s="1"/>
  <c r="W50" i="720"/>
  <c r="N50" i="720" s="1"/>
  <c r="V50" i="720"/>
  <c r="P50" i="720"/>
  <c r="K50" i="720"/>
  <c r="J50" i="720"/>
  <c r="F50" i="720"/>
  <c r="H50" i="720" s="1"/>
  <c r="AG49" i="720"/>
  <c r="W49" i="720"/>
  <c r="O49" i="720"/>
  <c r="N49" i="720"/>
  <c r="AF49" i="720" s="1"/>
  <c r="K49" i="720"/>
  <c r="J49" i="720"/>
  <c r="H49" i="720"/>
  <c r="F49" i="720"/>
  <c r="AE48" i="720"/>
  <c r="G21" i="719" s="1"/>
  <c r="AD48" i="720"/>
  <c r="G20" i="719" s="1"/>
  <c r="AA48" i="720"/>
  <c r="Z48" i="720"/>
  <c r="W48" i="720"/>
  <c r="M48" i="720"/>
  <c r="W47" i="720"/>
  <c r="H47" i="720"/>
  <c r="W46" i="720"/>
  <c r="W45" i="720"/>
  <c r="W44" i="720"/>
  <c r="W43" i="720"/>
  <c r="W42" i="720"/>
  <c r="AG41" i="720"/>
  <c r="AF41" i="720"/>
  <c r="W41" i="720"/>
  <c r="AG40" i="720"/>
  <c r="W40" i="720"/>
  <c r="N40" i="720" s="1"/>
  <c r="O40" i="720" s="1"/>
  <c r="V40" i="720"/>
  <c r="R40" i="720"/>
  <c r="Q40" i="720"/>
  <c r="K40" i="720"/>
  <c r="J40" i="720"/>
  <c r="L40" i="720" s="1"/>
  <c r="F40" i="720"/>
  <c r="H40" i="720" s="1"/>
  <c r="W39" i="720"/>
  <c r="N39" i="720" s="1"/>
  <c r="O39" i="720" s="1"/>
  <c r="V39" i="720"/>
  <c r="K39" i="720"/>
  <c r="J39" i="720"/>
  <c r="P39" i="720" s="1"/>
  <c r="H39" i="720"/>
  <c r="F39" i="720"/>
  <c r="W38" i="720"/>
  <c r="N38" i="720" s="1"/>
  <c r="K38" i="720"/>
  <c r="J38" i="720"/>
  <c r="H38" i="720"/>
  <c r="F38" i="720"/>
  <c r="AE37" i="720"/>
  <c r="AD37" i="720"/>
  <c r="AA37" i="720"/>
  <c r="Z37" i="720"/>
  <c r="F18" i="719" s="1"/>
  <c r="M37" i="720"/>
  <c r="J37" i="720"/>
  <c r="P37" i="720" s="1"/>
  <c r="W36" i="720"/>
  <c r="H36" i="720"/>
  <c r="W35" i="720"/>
  <c r="W34" i="720"/>
  <c r="W33" i="720"/>
  <c r="W32" i="720"/>
  <c r="V32" i="720"/>
  <c r="P32" i="720"/>
  <c r="O32" i="720"/>
  <c r="N32" i="720"/>
  <c r="L32" i="720"/>
  <c r="F32" i="720"/>
  <c r="H32" i="720" s="1"/>
  <c r="W31" i="720"/>
  <c r="N31" i="720" s="1"/>
  <c r="V31" i="720"/>
  <c r="P31" i="720"/>
  <c r="J31" i="720"/>
  <c r="L31" i="720" s="1"/>
  <c r="F31" i="720"/>
  <c r="H31" i="720" s="1"/>
  <c r="W30" i="720"/>
  <c r="N30" i="720" s="1"/>
  <c r="V30" i="720"/>
  <c r="J30" i="720"/>
  <c r="F30" i="720"/>
  <c r="H30" i="720" s="1"/>
  <c r="AG29" i="720"/>
  <c r="W29" i="720"/>
  <c r="N29" i="720" s="1"/>
  <c r="O29" i="720" s="1"/>
  <c r="V29" i="720"/>
  <c r="P29" i="720"/>
  <c r="K29" i="720"/>
  <c r="J29" i="720"/>
  <c r="F29" i="720"/>
  <c r="H29" i="720" s="1"/>
  <c r="AG28" i="720"/>
  <c r="W28" i="720"/>
  <c r="V28" i="720"/>
  <c r="N28" i="720"/>
  <c r="J28" i="720"/>
  <c r="F28" i="720"/>
  <c r="H28" i="720" s="1"/>
  <c r="W27" i="720"/>
  <c r="N27" i="720" s="1"/>
  <c r="P27" i="720"/>
  <c r="L27" i="720"/>
  <c r="F27" i="720"/>
  <c r="H27" i="720" s="1"/>
  <c r="AE26" i="720"/>
  <c r="E21" i="719" s="1"/>
  <c r="AD26" i="720"/>
  <c r="AA26" i="720"/>
  <c r="Z26" i="720"/>
  <c r="E18" i="719" s="1"/>
  <c r="P26" i="720"/>
  <c r="M26" i="720"/>
  <c r="E22" i="719" s="1"/>
  <c r="J26" i="720"/>
  <c r="W25" i="720"/>
  <c r="H25" i="720"/>
  <c r="W24" i="720"/>
  <c r="H24" i="720"/>
  <c r="W23" i="720"/>
  <c r="W21" i="720"/>
  <c r="W20" i="720"/>
  <c r="N20" i="720" s="1"/>
  <c r="V20" i="720"/>
  <c r="Q20" i="720"/>
  <c r="P20" i="720"/>
  <c r="O20" i="720"/>
  <c r="K20" i="720"/>
  <c r="L20" i="720" s="1"/>
  <c r="R20" i="720" s="1"/>
  <c r="H20" i="720"/>
  <c r="F20" i="720"/>
  <c r="W19" i="720"/>
  <c r="N19" i="720" s="1"/>
  <c r="O19" i="720" s="1"/>
  <c r="V19" i="720"/>
  <c r="P19" i="720"/>
  <c r="K19" i="720"/>
  <c r="F19" i="720"/>
  <c r="H19" i="720" s="1"/>
  <c r="W18" i="720"/>
  <c r="V18" i="720"/>
  <c r="P18" i="720"/>
  <c r="N18" i="720"/>
  <c r="K18" i="720"/>
  <c r="H18" i="720"/>
  <c r="F18" i="720"/>
  <c r="W17" i="720"/>
  <c r="V17" i="720"/>
  <c r="P17" i="720"/>
  <c r="N17" i="720"/>
  <c r="L17" i="720"/>
  <c r="K17" i="720"/>
  <c r="F17" i="720"/>
  <c r="H17" i="720" s="1"/>
  <c r="W16" i="720"/>
  <c r="P16" i="720"/>
  <c r="N16" i="720"/>
  <c r="K16" i="720"/>
  <c r="H16" i="720"/>
  <c r="F16" i="720"/>
  <c r="AE15" i="720"/>
  <c r="AD15" i="720"/>
  <c r="D20" i="719" s="1"/>
  <c r="AA15" i="720"/>
  <c r="Z15" i="720"/>
  <c r="M15" i="720"/>
  <c r="J15" i="720"/>
  <c r="W14" i="720"/>
  <c r="W13" i="720"/>
  <c r="W12" i="720"/>
  <c r="AG11" i="720"/>
  <c r="AF11" i="720"/>
  <c r="W11" i="720"/>
  <c r="AG10" i="720"/>
  <c r="AF10" i="720"/>
  <c r="W10" i="720"/>
  <c r="AG9" i="720"/>
  <c r="AF9" i="720"/>
  <c r="W9" i="720"/>
  <c r="AF8" i="720"/>
  <c r="W8" i="720"/>
  <c r="V8" i="720"/>
  <c r="P8" i="720"/>
  <c r="O8" i="720"/>
  <c r="N8" i="720"/>
  <c r="L8" i="720"/>
  <c r="K8" i="720"/>
  <c r="F8" i="720"/>
  <c r="H8" i="720" s="1"/>
  <c r="AG7" i="720"/>
  <c r="AF7" i="720"/>
  <c r="W7" i="720"/>
  <c r="V7" i="720"/>
  <c r="P7" i="720"/>
  <c r="N7" i="720"/>
  <c r="O7" i="720" s="1"/>
  <c r="L7" i="720"/>
  <c r="Q7" i="720" s="1"/>
  <c r="K7" i="720"/>
  <c r="F7" i="720"/>
  <c r="H7" i="720" s="1"/>
  <c r="AG6" i="720"/>
  <c r="AF6" i="720"/>
  <c r="W6" i="720"/>
  <c r="V6" i="720"/>
  <c r="Q6" i="720"/>
  <c r="P6" i="720"/>
  <c r="O6" i="720"/>
  <c r="N6" i="720"/>
  <c r="K6" i="720"/>
  <c r="L6" i="720" s="1"/>
  <c r="H6" i="720"/>
  <c r="F6" i="720"/>
  <c r="W5" i="720"/>
  <c r="N5" i="720" s="1"/>
  <c r="P5" i="720"/>
  <c r="L5" i="720"/>
  <c r="L15" i="720" s="1"/>
  <c r="D13" i="719" s="1"/>
  <c r="K5" i="720"/>
  <c r="H5" i="720"/>
  <c r="F5" i="720"/>
  <c r="AD2" i="720"/>
  <c r="Z2" i="720"/>
  <c r="I2" i="720"/>
  <c r="E1" i="720"/>
  <c r="G3" i="719" s="1"/>
  <c r="J22" i="719"/>
  <c r="H22" i="719"/>
  <c r="G22" i="719"/>
  <c r="F22" i="719"/>
  <c r="J21" i="719"/>
  <c r="D21" i="719"/>
  <c r="J20" i="719"/>
  <c r="I20" i="719"/>
  <c r="H20" i="719"/>
  <c r="F20" i="719"/>
  <c r="E20" i="719"/>
  <c r="J19" i="719"/>
  <c r="F19" i="719"/>
  <c r="E19" i="719"/>
  <c r="D19" i="719"/>
  <c r="I18" i="719"/>
  <c r="H18" i="719"/>
  <c r="G18" i="719"/>
  <c r="D18" i="719"/>
  <c r="J16" i="719"/>
  <c r="I16" i="719"/>
  <c r="H16" i="719"/>
  <c r="G16" i="719"/>
  <c r="F16" i="719"/>
  <c r="E16" i="719"/>
  <c r="D16" i="719"/>
  <c r="O8" i="719"/>
  <c r="N8" i="719"/>
  <c r="M8" i="719"/>
  <c r="L8" i="719"/>
  <c r="O7" i="719"/>
  <c r="N7" i="719"/>
  <c r="M7" i="719"/>
  <c r="L7" i="719"/>
  <c r="AE79" i="718"/>
  <c r="J21" i="717" s="1"/>
  <c r="AD79" i="718"/>
  <c r="AA79" i="718"/>
  <c r="J18" i="717" s="1"/>
  <c r="Z79" i="718"/>
  <c r="M79" i="718"/>
  <c r="W78" i="718"/>
  <c r="H78" i="718"/>
  <c r="W77" i="718"/>
  <c r="H77" i="718"/>
  <c r="W76" i="718"/>
  <c r="W75" i="718"/>
  <c r="W74" i="718"/>
  <c r="W73" i="718"/>
  <c r="N73" i="718" s="1"/>
  <c r="V73" i="718"/>
  <c r="P73" i="718"/>
  <c r="L73" i="718"/>
  <c r="J73" i="718"/>
  <c r="F73" i="718"/>
  <c r="H73" i="718" s="1"/>
  <c r="W72" i="718"/>
  <c r="N72" i="718" s="1"/>
  <c r="O72" i="718" s="1"/>
  <c r="V72" i="718"/>
  <c r="Q72" i="718"/>
  <c r="P72" i="718"/>
  <c r="L72" i="718"/>
  <c r="J72" i="718"/>
  <c r="F72" i="718"/>
  <c r="H72" i="718" s="1"/>
  <c r="W71" i="718"/>
  <c r="N71" i="718" s="1"/>
  <c r="V71" i="718"/>
  <c r="O71" i="718"/>
  <c r="K71" i="718"/>
  <c r="K79" i="718" s="1"/>
  <c r="J71" i="718"/>
  <c r="P71" i="718" s="1"/>
  <c r="F71" i="718"/>
  <c r="H71" i="718" s="1"/>
  <c r="W70" i="718"/>
  <c r="N70" i="718" s="1"/>
  <c r="AF70" i="718" s="1"/>
  <c r="P70" i="718"/>
  <c r="O70" i="718"/>
  <c r="K70" i="718"/>
  <c r="J70" i="718"/>
  <c r="H70" i="718"/>
  <c r="F70" i="718"/>
  <c r="AE69" i="718"/>
  <c r="I21" i="717" s="1"/>
  <c r="AD69" i="718"/>
  <c r="I20" i="717" s="1"/>
  <c r="AA69" i="718"/>
  <c r="Z69" i="718"/>
  <c r="I18" i="717" s="1"/>
  <c r="M69" i="718"/>
  <c r="W68" i="718"/>
  <c r="H68" i="718"/>
  <c r="W67" i="718"/>
  <c r="W66" i="718"/>
  <c r="W65" i="718"/>
  <c r="W64" i="718"/>
  <c r="W63" i="718"/>
  <c r="V63" i="718"/>
  <c r="N63" i="718"/>
  <c r="O63" i="718" s="1"/>
  <c r="K63" i="718"/>
  <c r="J63" i="718"/>
  <c r="F63" i="718"/>
  <c r="H63" i="718" s="1"/>
  <c r="W62" i="718"/>
  <c r="V62" i="718"/>
  <c r="P62" i="718"/>
  <c r="N62" i="718"/>
  <c r="L62" i="718"/>
  <c r="K62" i="718"/>
  <c r="J62" i="718"/>
  <c r="H62" i="718"/>
  <c r="F62" i="718"/>
  <c r="AF61" i="718"/>
  <c r="W61" i="718"/>
  <c r="N61" i="718" s="1"/>
  <c r="V61" i="718"/>
  <c r="O61" i="718"/>
  <c r="K61" i="718"/>
  <c r="AG61" i="718" s="1"/>
  <c r="J61" i="718"/>
  <c r="P61" i="718" s="1"/>
  <c r="F61" i="718"/>
  <c r="H61" i="718" s="1"/>
  <c r="AG60" i="718"/>
  <c r="AF60" i="718"/>
  <c r="W60" i="718"/>
  <c r="V60" i="718"/>
  <c r="N60" i="718"/>
  <c r="O60" i="718" s="1"/>
  <c r="L60" i="718"/>
  <c r="K60" i="718"/>
  <c r="J60" i="718"/>
  <c r="P60" i="718" s="1"/>
  <c r="F60" i="718"/>
  <c r="H60" i="718" s="1"/>
  <c r="W59" i="718"/>
  <c r="P59" i="718"/>
  <c r="O59" i="718"/>
  <c r="N59" i="718"/>
  <c r="K59" i="718"/>
  <c r="J59" i="718"/>
  <c r="H59" i="718"/>
  <c r="F59" i="718"/>
  <c r="AE58" i="718"/>
  <c r="AD58" i="718"/>
  <c r="AA58" i="718"/>
  <c r="Z58" i="718"/>
  <c r="N58" i="718"/>
  <c r="M58" i="718"/>
  <c r="P58" i="718" s="1"/>
  <c r="W57" i="718"/>
  <c r="W56" i="718"/>
  <c r="W55" i="718"/>
  <c r="W54" i="718"/>
  <c r="W53" i="718"/>
  <c r="N53" i="718" s="1"/>
  <c r="V53" i="718"/>
  <c r="O53" i="718"/>
  <c r="K53" i="718"/>
  <c r="L53" i="718" s="1"/>
  <c r="J53" i="718"/>
  <c r="P53" i="718" s="1"/>
  <c r="F53" i="718"/>
  <c r="H53" i="718" s="1"/>
  <c r="W52" i="718"/>
  <c r="N52" i="718" s="1"/>
  <c r="V52" i="718"/>
  <c r="P52" i="718"/>
  <c r="K52" i="718"/>
  <c r="L52" i="718" s="1"/>
  <c r="J52" i="718"/>
  <c r="F52" i="718"/>
  <c r="H52" i="718" s="1"/>
  <c r="AG51" i="718"/>
  <c r="W51" i="718"/>
  <c r="V51" i="718"/>
  <c r="R51" i="718"/>
  <c r="P51" i="718"/>
  <c r="O51" i="718"/>
  <c r="N51" i="718"/>
  <c r="AF51" i="718" s="1"/>
  <c r="L51" i="718"/>
  <c r="K51" i="718"/>
  <c r="J51" i="718"/>
  <c r="H51" i="718"/>
  <c r="F51" i="718"/>
  <c r="W50" i="718"/>
  <c r="V50" i="718"/>
  <c r="P50" i="718"/>
  <c r="O50" i="718"/>
  <c r="N50" i="718"/>
  <c r="L50" i="718"/>
  <c r="K50" i="718"/>
  <c r="J50" i="718"/>
  <c r="F50" i="718"/>
  <c r="H50" i="718" s="1"/>
  <c r="AG49" i="718"/>
  <c r="AF49" i="718"/>
  <c r="W49" i="718"/>
  <c r="P49" i="718"/>
  <c r="O49" i="718"/>
  <c r="N49" i="718"/>
  <c r="K49" i="718"/>
  <c r="J49" i="718"/>
  <c r="J58" i="718" s="1"/>
  <c r="H49" i="718"/>
  <c r="F49" i="718"/>
  <c r="AE48" i="718"/>
  <c r="G21" i="717" s="1"/>
  <c r="AD48" i="718"/>
  <c r="G20" i="717" s="1"/>
  <c r="AA48" i="718"/>
  <c r="Z48" i="718"/>
  <c r="G18" i="717" s="1"/>
  <c r="W48" i="718"/>
  <c r="M48" i="718"/>
  <c r="W47" i="718"/>
  <c r="H47" i="718"/>
  <c r="W46" i="718"/>
  <c r="W45" i="718"/>
  <c r="W44" i="718"/>
  <c r="W43" i="718"/>
  <c r="W42" i="718"/>
  <c r="AG41" i="718"/>
  <c r="AF41" i="718"/>
  <c r="W41" i="718"/>
  <c r="W40" i="718"/>
  <c r="V40" i="718"/>
  <c r="P40" i="718"/>
  <c r="O40" i="718"/>
  <c r="N40" i="718"/>
  <c r="L40" i="718"/>
  <c r="K40" i="718"/>
  <c r="J40" i="718"/>
  <c r="H40" i="718"/>
  <c r="F40" i="718"/>
  <c r="AG39" i="718"/>
  <c r="W39" i="718"/>
  <c r="N39" i="718" s="1"/>
  <c r="V39" i="718"/>
  <c r="P39" i="718"/>
  <c r="O39" i="718"/>
  <c r="K39" i="718"/>
  <c r="J39" i="718"/>
  <c r="H39" i="718"/>
  <c r="F39" i="718"/>
  <c r="W38" i="718"/>
  <c r="N38" i="718"/>
  <c r="K38" i="718"/>
  <c r="J38" i="718"/>
  <c r="F38" i="718"/>
  <c r="H38" i="718" s="1"/>
  <c r="AE37" i="718"/>
  <c r="AD37" i="718"/>
  <c r="AA37" i="718"/>
  <c r="Z37" i="718"/>
  <c r="F18" i="717" s="1"/>
  <c r="M37" i="718"/>
  <c r="K37" i="718"/>
  <c r="W36" i="718"/>
  <c r="H36" i="718"/>
  <c r="W35" i="718"/>
  <c r="W34" i="718"/>
  <c r="W33" i="718"/>
  <c r="W32" i="718"/>
  <c r="V32" i="718"/>
  <c r="Q32" i="718"/>
  <c r="P32" i="718"/>
  <c r="N32" i="718"/>
  <c r="O32" i="718" s="1"/>
  <c r="R32" i="718" s="1"/>
  <c r="L32" i="718"/>
  <c r="F32" i="718"/>
  <c r="H32" i="718" s="1"/>
  <c r="AG31" i="718"/>
  <c r="AF31" i="718"/>
  <c r="W31" i="718"/>
  <c r="N31" i="718" s="1"/>
  <c r="O31" i="718" s="1"/>
  <c r="V31" i="718"/>
  <c r="J31" i="718"/>
  <c r="F31" i="718"/>
  <c r="H31" i="718" s="1"/>
  <c r="AG30" i="718"/>
  <c r="AF30" i="718"/>
  <c r="W30" i="718"/>
  <c r="N30" i="718" s="1"/>
  <c r="V30" i="718"/>
  <c r="O30" i="718"/>
  <c r="K30" i="718"/>
  <c r="L30" i="718" s="1"/>
  <c r="J30" i="718"/>
  <c r="P30" i="718" s="1"/>
  <c r="F30" i="718"/>
  <c r="H30" i="718" s="1"/>
  <c r="W29" i="718"/>
  <c r="V29" i="718"/>
  <c r="P29" i="718"/>
  <c r="O29" i="718"/>
  <c r="N29" i="718"/>
  <c r="L29" i="718"/>
  <c r="J29" i="718"/>
  <c r="H29" i="718"/>
  <c r="F29" i="718"/>
  <c r="W28" i="718"/>
  <c r="V28" i="718"/>
  <c r="P28" i="718"/>
  <c r="O28" i="718"/>
  <c r="N28" i="718"/>
  <c r="L28" i="718"/>
  <c r="H28" i="718"/>
  <c r="F28" i="718"/>
  <c r="W27" i="718"/>
  <c r="N27" i="718" s="1"/>
  <c r="L27" i="718"/>
  <c r="J27" i="718"/>
  <c r="P27" i="718" s="1"/>
  <c r="F27" i="718"/>
  <c r="H27" i="718" s="1"/>
  <c r="AE26" i="718"/>
  <c r="AD26" i="718"/>
  <c r="AA26" i="718"/>
  <c r="Z26" i="718"/>
  <c r="M26" i="718"/>
  <c r="J26" i="718"/>
  <c r="W25" i="718"/>
  <c r="H25" i="718"/>
  <c r="W24" i="718"/>
  <c r="H24" i="718"/>
  <c r="W23" i="718"/>
  <c r="W21" i="718"/>
  <c r="V21" i="718"/>
  <c r="P21" i="718"/>
  <c r="O21" i="718"/>
  <c r="N21" i="718"/>
  <c r="K21" i="718"/>
  <c r="L21" i="718" s="1"/>
  <c r="F21" i="718"/>
  <c r="H21" i="718" s="1"/>
  <c r="W20" i="718"/>
  <c r="V20" i="718"/>
  <c r="P20" i="718"/>
  <c r="N20" i="718"/>
  <c r="O20" i="718" s="1"/>
  <c r="K20" i="718"/>
  <c r="L20" i="718" s="1"/>
  <c r="F20" i="718"/>
  <c r="H20" i="718" s="1"/>
  <c r="AF19" i="718"/>
  <c r="W19" i="718"/>
  <c r="V19" i="718"/>
  <c r="P19" i="718"/>
  <c r="O19" i="718"/>
  <c r="N19" i="718"/>
  <c r="AG19" i="718" s="1"/>
  <c r="K19" i="718"/>
  <c r="L19" i="718" s="1"/>
  <c r="H19" i="718"/>
  <c r="F19" i="718"/>
  <c r="W18" i="718"/>
  <c r="V18" i="718"/>
  <c r="P18" i="718"/>
  <c r="N18" i="718"/>
  <c r="K18" i="718"/>
  <c r="L18" i="718" s="1"/>
  <c r="L26" i="718" s="1"/>
  <c r="E13" i="717" s="1"/>
  <c r="H18" i="718"/>
  <c r="F18" i="718"/>
  <c r="AG17" i="718"/>
  <c r="AF17" i="718"/>
  <c r="W17" i="718"/>
  <c r="V17" i="718"/>
  <c r="P17" i="718"/>
  <c r="O17" i="718"/>
  <c r="N17" i="718"/>
  <c r="L17" i="718"/>
  <c r="K17" i="718"/>
  <c r="F17" i="718"/>
  <c r="H17" i="718" s="1"/>
  <c r="W16" i="718"/>
  <c r="P16" i="718"/>
  <c r="O16" i="718"/>
  <c r="N16" i="718"/>
  <c r="L16" i="718"/>
  <c r="K16" i="718"/>
  <c r="H16" i="718"/>
  <c r="F16" i="718"/>
  <c r="AE15" i="718"/>
  <c r="AD15" i="718"/>
  <c r="AA15" i="718"/>
  <c r="Z15" i="718"/>
  <c r="M15" i="718"/>
  <c r="J15" i="718"/>
  <c r="P15" i="718" s="1"/>
  <c r="W14" i="718"/>
  <c r="W13" i="718"/>
  <c r="W12" i="718"/>
  <c r="AG11" i="718"/>
  <c r="AF11" i="718"/>
  <c r="W11" i="718"/>
  <c r="AG10" i="718"/>
  <c r="AF10" i="718"/>
  <c r="W10" i="718"/>
  <c r="AG9" i="718"/>
  <c r="AF9" i="718"/>
  <c r="W9" i="718"/>
  <c r="W8" i="718"/>
  <c r="N8" i="718" s="1"/>
  <c r="V8" i="718"/>
  <c r="P8" i="718"/>
  <c r="O8" i="718"/>
  <c r="K8" i="718"/>
  <c r="H8" i="718"/>
  <c r="F8" i="718"/>
  <c r="AG7" i="718"/>
  <c r="W7" i="718"/>
  <c r="V7" i="718"/>
  <c r="P7" i="718"/>
  <c r="N7" i="718"/>
  <c r="L7" i="718"/>
  <c r="K7" i="718"/>
  <c r="H7" i="718"/>
  <c r="F7" i="718"/>
  <c r="AG6" i="718"/>
  <c r="W6" i="718"/>
  <c r="V6" i="718"/>
  <c r="P6" i="718"/>
  <c r="N6" i="718"/>
  <c r="L6" i="718"/>
  <c r="K6" i="718"/>
  <c r="F6" i="718"/>
  <c r="H6" i="718" s="1"/>
  <c r="AF5" i="718"/>
  <c r="W5" i="718"/>
  <c r="N5" i="718" s="1"/>
  <c r="P5" i="718"/>
  <c r="L5" i="718"/>
  <c r="K5" i="718"/>
  <c r="H5" i="718"/>
  <c r="F5" i="718"/>
  <c r="I2" i="718"/>
  <c r="G1" i="718"/>
  <c r="E1" i="718"/>
  <c r="G3" i="717" s="1"/>
  <c r="J22" i="717"/>
  <c r="I22" i="717"/>
  <c r="H22" i="717"/>
  <c r="D22" i="717"/>
  <c r="H21" i="717"/>
  <c r="F21" i="717"/>
  <c r="E21" i="717"/>
  <c r="D21" i="717"/>
  <c r="J20" i="717"/>
  <c r="H20" i="717"/>
  <c r="E20" i="717"/>
  <c r="D20" i="717"/>
  <c r="J19" i="717"/>
  <c r="I19" i="717"/>
  <c r="H19" i="717"/>
  <c r="G19" i="717"/>
  <c r="F19" i="717"/>
  <c r="D19" i="717"/>
  <c r="H18" i="717"/>
  <c r="E18" i="717"/>
  <c r="J16" i="717"/>
  <c r="I16" i="717"/>
  <c r="H16" i="717"/>
  <c r="G16" i="717"/>
  <c r="F16" i="717"/>
  <c r="E16" i="717"/>
  <c r="D16" i="717"/>
  <c r="O8" i="717"/>
  <c r="N8" i="717"/>
  <c r="M8" i="717"/>
  <c r="L8" i="717"/>
  <c r="O7" i="717"/>
  <c r="N7" i="717"/>
  <c r="M7" i="717"/>
  <c r="L7" i="717"/>
  <c r="AE79" i="716"/>
  <c r="AD79" i="716"/>
  <c r="AA79" i="716"/>
  <c r="J18" i="715" s="1"/>
  <c r="Z79" i="716"/>
  <c r="M79" i="716"/>
  <c r="W78" i="716"/>
  <c r="H78" i="716"/>
  <c r="W77" i="716"/>
  <c r="H77" i="716"/>
  <c r="W76" i="716"/>
  <c r="H76" i="716"/>
  <c r="W75" i="716"/>
  <c r="H75" i="716"/>
  <c r="W74" i="716"/>
  <c r="V74" i="716"/>
  <c r="N74" i="716"/>
  <c r="O74" i="716" s="1"/>
  <c r="K74" i="716"/>
  <c r="J74" i="716"/>
  <c r="P74" i="716" s="1"/>
  <c r="F74" i="716"/>
  <c r="H74" i="716" s="1"/>
  <c r="W73" i="716"/>
  <c r="V73" i="716"/>
  <c r="N73" i="716"/>
  <c r="O73" i="716" s="1"/>
  <c r="J73" i="716"/>
  <c r="H73" i="716"/>
  <c r="F73" i="716"/>
  <c r="W72" i="716"/>
  <c r="V72" i="716"/>
  <c r="P72" i="716"/>
  <c r="N72" i="716"/>
  <c r="O72" i="716" s="1"/>
  <c r="J72" i="716"/>
  <c r="L72" i="716" s="1"/>
  <c r="H72" i="716"/>
  <c r="F72" i="716"/>
  <c r="W71" i="716"/>
  <c r="N71" i="716" s="1"/>
  <c r="V71" i="716"/>
  <c r="O71" i="716"/>
  <c r="K71" i="716"/>
  <c r="L71" i="716" s="1"/>
  <c r="J71" i="716"/>
  <c r="F71" i="716"/>
  <c r="H71" i="716" s="1"/>
  <c r="W70" i="716"/>
  <c r="P70" i="716"/>
  <c r="N70" i="716"/>
  <c r="K70" i="716"/>
  <c r="J70" i="716"/>
  <c r="F70" i="716"/>
  <c r="H70" i="716" s="1"/>
  <c r="AE69" i="716"/>
  <c r="AD69" i="716"/>
  <c r="AA69" i="716"/>
  <c r="I19" i="715" s="1"/>
  <c r="Z69" i="716"/>
  <c r="I18" i="715" s="1"/>
  <c r="M69" i="716"/>
  <c r="I22" i="715" s="1"/>
  <c r="K69" i="716"/>
  <c r="J69" i="716"/>
  <c r="W68" i="716"/>
  <c r="H68" i="716"/>
  <c r="W67" i="716"/>
  <c r="W66" i="716"/>
  <c r="W65" i="716"/>
  <c r="W64" i="716"/>
  <c r="W63" i="716"/>
  <c r="AG62" i="716"/>
  <c r="AF62" i="716"/>
  <c r="W62" i="716"/>
  <c r="AG61" i="716"/>
  <c r="AF61" i="716"/>
  <c r="W61" i="716"/>
  <c r="V61" i="716"/>
  <c r="Q61" i="716"/>
  <c r="P61" i="716"/>
  <c r="O61" i="716"/>
  <c r="N61" i="716"/>
  <c r="K61" i="716"/>
  <c r="L61" i="716" s="1"/>
  <c r="J61" i="716"/>
  <c r="F61" i="716"/>
  <c r="H61" i="716" s="1"/>
  <c r="W60" i="716"/>
  <c r="N60" i="716" s="1"/>
  <c r="V60" i="716"/>
  <c r="P60" i="716"/>
  <c r="O60" i="716"/>
  <c r="K60" i="716"/>
  <c r="J60" i="716"/>
  <c r="F60" i="716"/>
  <c r="H60" i="716" s="1"/>
  <c r="AF59" i="716"/>
  <c r="W59" i="716"/>
  <c r="N59" i="716" s="1"/>
  <c r="K59" i="716"/>
  <c r="J59" i="716"/>
  <c r="P59" i="716" s="1"/>
  <c r="F59" i="716"/>
  <c r="H59" i="716" s="1"/>
  <c r="AE58" i="716"/>
  <c r="AD58" i="716"/>
  <c r="H20" i="715" s="1"/>
  <c r="AA58" i="716"/>
  <c r="H19" i="715" s="1"/>
  <c r="Z58" i="716"/>
  <c r="H18" i="715" s="1"/>
  <c r="M58" i="716"/>
  <c r="W57" i="716"/>
  <c r="W56" i="716"/>
  <c r="W55" i="716"/>
  <c r="W54" i="716"/>
  <c r="AG53" i="716"/>
  <c r="AF53" i="716"/>
  <c r="W53" i="716"/>
  <c r="W52" i="716"/>
  <c r="V52" i="716"/>
  <c r="N52" i="716"/>
  <c r="K52" i="716"/>
  <c r="J52" i="716"/>
  <c r="P52" i="716" s="1"/>
  <c r="F52" i="716"/>
  <c r="H52" i="716" s="1"/>
  <c r="W51" i="716"/>
  <c r="V51" i="716"/>
  <c r="N51" i="716"/>
  <c r="K51" i="716"/>
  <c r="J51" i="716"/>
  <c r="H51" i="716"/>
  <c r="F51" i="716"/>
  <c r="W50" i="716"/>
  <c r="V50" i="716"/>
  <c r="P50" i="716"/>
  <c r="O50" i="716"/>
  <c r="N50" i="716"/>
  <c r="K50" i="716"/>
  <c r="L50" i="716" s="1"/>
  <c r="J50" i="716"/>
  <c r="F50" i="716"/>
  <c r="H50" i="716" s="1"/>
  <c r="W49" i="716"/>
  <c r="P49" i="716"/>
  <c r="N49" i="716"/>
  <c r="K49" i="716"/>
  <c r="J49" i="716"/>
  <c r="H49" i="716"/>
  <c r="F49" i="716"/>
  <c r="AE48" i="716"/>
  <c r="G21" i="715" s="1"/>
  <c r="AD48" i="716"/>
  <c r="G20" i="715" s="1"/>
  <c r="AA48" i="716"/>
  <c r="Z48" i="716"/>
  <c r="G18" i="715" s="1"/>
  <c r="W48" i="716"/>
  <c r="M48" i="716"/>
  <c r="K48" i="716"/>
  <c r="W47" i="716"/>
  <c r="H47" i="716"/>
  <c r="W46" i="716"/>
  <c r="W45" i="716"/>
  <c r="W44" i="716"/>
  <c r="W43" i="716"/>
  <c r="W42" i="716"/>
  <c r="AG41" i="716"/>
  <c r="AF41" i="716"/>
  <c r="W41" i="716"/>
  <c r="AG40" i="716"/>
  <c r="AF40" i="716"/>
  <c r="W40" i="716"/>
  <c r="AG39" i="716"/>
  <c r="W39" i="716"/>
  <c r="N39" i="716" s="1"/>
  <c r="V39" i="716"/>
  <c r="L39" i="716"/>
  <c r="K39" i="716"/>
  <c r="J39" i="716"/>
  <c r="P39" i="716" s="1"/>
  <c r="H39" i="716"/>
  <c r="F39" i="716"/>
  <c r="AG38" i="716"/>
  <c r="W38" i="716"/>
  <c r="N38" i="716" s="1"/>
  <c r="O38" i="716"/>
  <c r="K38" i="716"/>
  <c r="L38" i="716" s="1"/>
  <c r="J38" i="716"/>
  <c r="H38" i="716"/>
  <c r="F38" i="716"/>
  <c r="AE37" i="716"/>
  <c r="AD37" i="716"/>
  <c r="F20" i="715" s="1"/>
  <c r="AA37" i="716"/>
  <c r="Z37" i="716"/>
  <c r="M37" i="716"/>
  <c r="K37" i="716"/>
  <c r="W36" i="716"/>
  <c r="H36" i="716"/>
  <c r="W35" i="716"/>
  <c r="W34" i="716"/>
  <c r="W33" i="716"/>
  <c r="W32" i="716"/>
  <c r="AG31" i="716"/>
  <c r="AF31" i="716"/>
  <c r="W31" i="716"/>
  <c r="N31" i="716" s="1"/>
  <c r="V31" i="716"/>
  <c r="O31" i="716"/>
  <c r="J31" i="716"/>
  <c r="F31" i="716"/>
  <c r="H31" i="716" s="1"/>
  <c r="W30" i="716"/>
  <c r="N30" i="716" s="1"/>
  <c r="V30" i="716"/>
  <c r="P30" i="716"/>
  <c r="L30" i="716"/>
  <c r="K30" i="716"/>
  <c r="J30" i="716"/>
  <c r="F30" i="716"/>
  <c r="H30" i="716" s="1"/>
  <c r="AG29" i="716"/>
  <c r="AF29" i="716"/>
  <c r="W29" i="716"/>
  <c r="V29" i="716"/>
  <c r="R29" i="716"/>
  <c r="Q29" i="716"/>
  <c r="P29" i="716"/>
  <c r="N29" i="716"/>
  <c r="O29" i="716" s="1"/>
  <c r="L29" i="716"/>
  <c r="J29" i="716"/>
  <c r="F29" i="716"/>
  <c r="H29" i="716" s="1"/>
  <c r="W28" i="716"/>
  <c r="N28" i="716" s="1"/>
  <c r="V28" i="716"/>
  <c r="P28" i="716"/>
  <c r="O28" i="716"/>
  <c r="L28" i="716"/>
  <c r="J28" i="716"/>
  <c r="F28" i="716"/>
  <c r="H28" i="716" s="1"/>
  <c r="AG27" i="716"/>
  <c r="AF27" i="716"/>
  <c r="W27" i="716"/>
  <c r="P27" i="716"/>
  <c r="O27" i="716"/>
  <c r="N27" i="716"/>
  <c r="J27" i="716"/>
  <c r="F27" i="716"/>
  <c r="H27" i="716" s="1"/>
  <c r="AE26" i="716"/>
  <c r="AD26" i="716"/>
  <c r="AA26" i="716"/>
  <c r="E19" i="715" s="1"/>
  <c r="Z26" i="716"/>
  <c r="E18" i="715" s="1"/>
  <c r="M26" i="716"/>
  <c r="J26" i="716"/>
  <c r="W25" i="716"/>
  <c r="H25" i="716"/>
  <c r="W24" i="716"/>
  <c r="H24" i="716"/>
  <c r="W23" i="716"/>
  <c r="W21" i="716"/>
  <c r="N21" i="716" s="1"/>
  <c r="V21" i="716"/>
  <c r="Q21" i="716"/>
  <c r="P21" i="716"/>
  <c r="O21" i="716"/>
  <c r="R21" i="716" s="1"/>
  <c r="L21" i="716"/>
  <c r="K21" i="716"/>
  <c r="F21" i="716"/>
  <c r="H21" i="716" s="1"/>
  <c r="W20" i="716"/>
  <c r="N20" i="716" s="1"/>
  <c r="O20" i="716" s="1"/>
  <c r="V20" i="716"/>
  <c r="P20" i="716"/>
  <c r="K20" i="716"/>
  <c r="L20" i="716" s="1"/>
  <c r="H20" i="716"/>
  <c r="F20" i="716"/>
  <c r="W19" i="716"/>
  <c r="N19" i="716" s="1"/>
  <c r="V19" i="716"/>
  <c r="P19" i="716"/>
  <c r="O19" i="716"/>
  <c r="K19" i="716"/>
  <c r="L19" i="716" s="1"/>
  <c r="H19" i="716"/>
  <c r="F19" i="716"/>
  <c r="W18" i="716"/>
  <c r="V18" i="716"/>
  <c r="P18" i="716"/>
  <c r="N18" i="716"/>
  <c r="L18" i="716"/>
  <c r="K18" i="716"/>
  <c r="F18" i="716"/>
  <c r="H18" i="716" s="1"/>
  <c r="W17" i="716"/>
  <c r="V17" i="716"/>
  <c r="P17" i="716"/>
  <c r="N17" i="716"/>
  <c r="L17" i="716"/>
  <c r="K17" i="716"/>
  <c r="F17" i="716"/>
  <c r="H17" i="716" s="1"/>
  <c r="W16" i="716"/>
  <c r="P16" i="716"/>
  <c r="N16" i="716"/>
  <c r="K16" i="716"/>
  <c r="F16" i="716"/>
  <c r="H16" i="716" s="1"/>
  <c r="AG15" i="716"/>
  <c r="AH5" i="716" s="1"/>
  <c r="AF15" i="716"/>
  <c r="AE15" i="716"/>
  <c r="AD15" i="716"/>
  <c r="AA15" i="716"/>
  <c r="Z15" i="716"/>
  <c r="M15" i="716"/>
  <c r="K15" i="716"/>
  <c r="J15" i="716"/>
  <c r="W14" i="716"/>
  <c r="W13" i="716"/>
  <c r="W12" i="716"/>
  <c r="AG11" i="716"/>
  <c r="AF11" i="716"/>
  <c r="W11" i="716"/>
  <c r="AG10" i="716"/>
  <c r="AF10" i="716"/>
  <c r="W10" i="716"/>
  <c r="AG9" i="716"/>
  <c r="AF9" i="716"/>
  <c r="W9" i="716"/>
  <c r="AG8" i="716"/>
  <c r="AF8" i="716"/>
  <c r="W8" i="716"/>
  <c r="AG7" i="716"/>
  <c r="AF7" i="716"/>
  <c r="W7" i="716"/>
  <c r="N7" i="716" s="1"/>
  <c r="V7" i="716"/>
  <c r="P7" i="716"/>
  <c r="O7" i="716"/>
  <c r="K7" i="716"/>
  <c r="J7" i="716"/>
  <c r="F7" i="716"/>
  <c r="H7" i="716" s="1"/>
  <c r="AG6" i="716"/>
  <c r="AF6" i="716"/>
  <c r="W6" i="716"/>
  <c r="N6" i="716" s="1"/>
  <c r="O6" i="716" s="1"/>
  <c r="V6" i="716"/>
  <c r="R6" i="716"/>
  <c r="Q6" i="716"/>
  <c r="P6" i="716"/>
  <c r="K6" i="716"/>
  <c r="L6" i="716" s="1"/>
  <c r="H6" i="716"/>
  <c r="F6" i="716"/>
  <c r="AG5" i="716"/>
  <c r="AF5" i="716"/>
  <c r="W5" i="716"/>
  <c r="N5" i="716" s="1"/>
  <c r="N15" i="716" s="1"/>
  <c r="P5" i="716"/>
  <c r="O5" i="716"/>
  <c r="K5" i="716"/>
  <c r="L5" i="716" s="1"/>
  <c r="F5" i="716"/>
  <c r="H5" i="716" s="1"/>
  <c r="AD2" i="716"/>
  <c r="I2" i="716"/>
  <c r="E1" i="716"/>
  <c r="J22" i="715"/>
  <c r="H22" i="715"/>
  <c r="G22" i="715"/>
  <c r="F22" i="715"/>
  <c r="I21" i="715"/>
  <c r="H21" i="715"/>
  <c r="F21" i="715"/>
  <c r="E21" i="715"/>
  <c r="D21" i="715"/>
  <c r="J20" i="715"/>
  <c r="I20" i="715"/>
  <c r="E20" i="715"/>
  <c r="D20" i="715"/>
  <c r="J19" i="715"/>
  <c r="F19" i="715"/>
  <c r="D19" i="715"/>
  <c r="F18" i="715"/>
  <c r="J16" i="715"/>
  <c r="I16" i="715"/>
  <c r="H16" i="715"/>
  <c r="G16" i="715"/>
  <c r="F16" i="715"/>
  <c r="E16" i="715"/>
  <c r="D16" i="715"/>
  <c r="O8" i="715"/>
  <c r="N8" i="715"/>
  <c r="M8" i="715"/>
  <c r="L8" i="715"/>
  <c r="O7" i="715"/>
  <c r="N7" i="715"/>
  <c r="M7" i="715"/>
  <c r="L7" i="715"/>
  <c r="G3" i="715"/>
  <c r="AE79" i="714"/>
  <c r="AD79" i="714"/>
  <c r="J20" i="713" s="1"/>
  <c r="AA79" i="714"/>
  <c r="Z79" i="714"/>
  <c r="M79" i="714"/>
  <c r="W78" i="714"/>
  <c r="H78" i="714"/>
  <c r="W77" i="714"/>
  <c r="W76" i="714"/>
  <c r="W75" i="714"/>
  <c r="W74" i="714"/>
  <c r="N74" i="714" s="1"/>
  <c r="P74" i="714"/>
  <c r="O74" i="714"/>
  <c r="K74" i="714"/>
  <c r="L74" i="714" s="1"/>
  <c r="J74" i="714"/>
  <c r="H74" i="714"/>
  <c r="F74" i="714"/>
  <c r="W73" i="714"/>
  <c r="R73" i="714"/>
  <c r="P73" i="714"/>
  <c r="N73" i="714"/>
  <c r="O73" i="714" s="1"/>
  <c r="J73" i="714"/>
  <c r="L73" i="714" s="1"/>
  <c r="H73" i="714"/>
  <c r="F73" i="714"/>
  <c r="W72" i="714"/>
  <c r="N72" i="714" s="1"/>
  <c r="O72" i="714" s="1"/>
  <c r="J72" i="714"/>
  <c r="F72" i="714"/>
  <c r="H72" i="714" s="1"/>
  <c r="W71" i="714"/>
  <c r="N71" i="714"/>
  <c r="O71" i="714" s="1"/>
  <c r="K71" i="714"/>
  <c r="J71" i="714"/>
  <c r="F71" i="714"/>
  <c r="H71" i="714" s="1"/>
  <c r="W70" i="714"/>
  <c r="N70" i="714" s="1"/>
  <c r="K70" i="714"/>
  <c r="J70" i="714"/>
  <c r="H70" i="714"/>
  <c r="F70" i="714"/>
  <c r="AE69" i="714"/>
  <c r="I21" i="713" s="1"/>
  <c r="AD69" i="714"/>
  <c r="I20" i="713" s="1"/>
  <c r="AA69" i="714"/>
  <c r="Z69" i="714"/>
  <c r="I18" i="713" s="1"/>
  <c r="M69" i="714"/>
  <c r="K69" i="714"/>
  <c r="W68" i="714"/>
  <c r="H68" i="714"/>
  <c r="W67" i="714"/>
  <c r="W66" i="714"/>
  <c r="W65" i="714"/>
  <c r="W64" i="714"/>
  <c r="W63" i="714"/>
  <c r="AG62" i="714"/>
  <c r="AF62" i="714"/>
  <c r="W62" i="714"/>
  <c r="AG61" i="714"/>
  <c r="AF61" i="714"/>
  <c r="W61" i="714"/>
  <c r="N61" i="714" s="1"/>
  <c r="O61" i="714" s="1"/>
  <c r="V61" i="714"/>
  <c r="K61" i="714"/>
  <c r="J61" i="714"/>
  <c r="F61" i="714"/>
  <c r="H61" i="714" s="1"/>
  <c r="AG60" i="714"/>
  <c r="AF60" i="714"/>
  <c r="W60" i="714"/>
  <c r="N60" i="714" s="1"/>
  <c r="O60" i="714" s="1"/>
  <c r="V60" i="714"/>
  <c r="K60" i="714"/>
  <c r="J60" i="714"/>
  <c r="P60" i="714" s="1"/>
  <c r="H60" i="714"/>
  <c r="F60" i="714"/>
  <c r="AG59" i="714"/>
  <c r="AF59" i="714"/>
  <c r="W59" i="714"/>
  <c r="N59" i="714"/>
  <c r="K59" i="714"/>
  <c r="J59" i="714"/>
  <c r="F59" i="714"/>
  <c r="H59" i="714" s="1"/>
  <c r="AE58" i="714"/>
  <c r="H21" i="713" s="1"/>
  <c r="AD58" i="714"/>
  <c r="AA58" i="714"/>
  <c r="Z58" i="714"/>
  <c r="M58" i="714"/>
  <c r="K58" i="714"/>
  <c r="J58" i="714"/>
  <c r="W57" i="714"/>
  <c r="W56" i="714"/>
  <c r="W55" i="714"/>
  <c r="W54" i="714"/>
  <c r="AG53" i="714"/>
  <c r="AF53" i="714"/>
  <c r="W53" i="714"/>
  <c r="AG52" i="714"/>
  <c r="W52" i="714"/>
  <c r="N52" i="714" s="1"/>
  <c r="O52" i="714" s="1"/>
  <c r="V52" i="714"/>
  <c r="R52" i="714"/>
  <c r="P52" i="714"/>
  <c r="L52" i="714"/>
  <c r="K52" i="714"/>
  <c r="J52" i="714"/>
  <c r="H52" i="714"/>
  <c r="F52" i="714"/>
  <c r="W51" i="714"/>
  <c r="V51" i="714"/>
  <c r="R51" i="714"/>
  <c r="O51" i="714"/>
  <c r="N51" i="714"/>
  <c r="L51" i="714"/>
  <c r="K51" i="714"/>
  <c r="J51" i="714"/>
  <c r="P51" i="714" s="1"/>
  <c r="H51" i="714"/>
  <c r="F51" i="714"/>
  <c r="W50" i="714"/>
  <c r="V50" i="714"/>
  <c r="N50" i="714"/>
  <c r="L50" i="714"/>
  <c r="K50" i="714"/>
  <c r="J50" i="714"/>
  <c r="P50" i="714" s="1"/>
  <c r="H50" i="714"/>
  <c r="F50" i="714"/>
  <c r="W49" i="714"/>
  <c r="P49" i="714"/>
  <c r="N49" i="714"/>
  <c r="L49" i="714"/>
  <c r="K49" i="714"/>
  <c r="J49" i="714"/>
  <c r="H49" i="714"/>
  <c r="F49" i="714"/>
  <c r="AE48" i="714"/>
  <c r="G21" i="713" s="1"/>
  <c r="AD48" i="714"/>
  <c r="AA48" i="714"/>
  <c r="Z48" i="714"/>
  <c r="W48" i="714"/>
  <c r="P48" i="714"/>
  <c r="M48" i="714"/>
  <c r="K48" i="714"/>
  <c r="J48" i="714"/>
  <c r="W47" i="714"/>
  <c r="H47" i="714"/>
  <c r="W46" i="714"/>
  <c r="W45" i="714"/>
  <c r="W44" i="714"/>
  <c r="W43" i="714"/>
  <c r="W42" i="714"/>
  <c r="AG41" i="714"/>
  <c r="AF41" i="714"/>
  <c r="W41" i="714"/>
  <c r="AG40" i="714"/>
  <c r="W40" i="714"/>
  <c r="V40" i="714"/>
  <c r="O40" i="714"/>
  <c r="N40" i="714"/>
  <c r="AF40" i="714" s="1"/>
  <c r="K40" i="714"/>
  <c r="L40" i="714" s="1"/>
  <c r="J40" i="714"/>
  <c r="P40" i="714" s="1"/>
  <c r="F40" i="714"/>
  <c r="H40" i="714" s="1"/>
  <c r="AG39" i="714"/>
  <c r="W39" i="714"/>
  <c r="N39" i="714" s="1"/>
  <c r="V39" i="714"/>
  <c r="P39" i="714"/>
  <c r="L39" i="714"/>
  <c r="K39" i="714"/>
  <c r="J39" i="714"/>
  <c r="F39" i="714"/>
  <c r="H39" i="714" s="1"/>
  <c r="W38" i="714"/>
  <c r="N38" i="714" s="1"/>
  <c r="P38" i="714"/>
  <c r="K38" i="714"/>
  <c r="L38" i="714" s="1"/>
  <c r="L48" i="714" s="1"/>
  <c r="G13" i="713" s="1"/>
  <c r="J38" i="714"/>
  <c r="H38" i="714"/>
  <c r="F38" i="714"/>
  <c r="AE37" i="714"/>
  <c r="AD37" i="714"/>
  <c r="F20" i="713" s="1"/>
  <c r="AA37" i="714"/>
  <c r="Z37" i="714"/>
  <c r="M37" i="714"/>
  <c r="K37" i="714"/>
  <c r="W36" i="714"/>
  <c r="H36" i="714"/>
  <c r="W35" i="714"/>
  <c r="W34" i="714"/>
  <c r="W33" i="714"/>
  <c r="W32" i="714"/>
  <c r="AG31" i="714"/>
  <c r="AF31" i="714"/>
  <c r="W31" i="714"/>
  <c r="W30" i="714"/>
  <c r="N30" i="714" s="1"/>
  <c r="V30" i="714"/>
  <c r="P30" i="714"/>
  <c r="K30" i="714"/>
  <c r="L30" i="714" s="1"/>
  <c r="J30" i="714"/>
  <c r="H30" i="714"/>
  <c r="F30" i="714"/>
  <c r="AF29" i="714"/>
  <c r="W29" i="714"/>
  <c r="N29" i="714" s="1"/>
  <c r="V29" i="714"/>
  <c r="P29" i="714"/>
  <c r="J29" i="714"/>
  <c r="L29" i="714" s="1"/>
  <c r="F29" i="714"/>
  <c r="H29" i="714" s="1"/>
  <c r="W28" i="714"/>
  <c r="N28" i="714" s="1"/>
  <c r="V28" i="714"/>
  <c r="O28" i="714"/>
  <c r="L28" i="714"/>
  <c r="J28" i="714"/>
  <c r="F28" i="714"/>
  <c r="H28" i="714" s="1"/>
  <c r="W27" i="714"/>
  <c r="N27" i="714"/>
  <c r="N37" i="714" s="1"/>
  <c r="L27" i="714"/>
  <c r="L37" i="714" s="1"/>
  <c r="J27" i="714"/>
  <c r="P27" i="714" s="1"/>
  <c r="H27" i="714"/>
  <c r="F27" i="714"/>
  <c r="AE26" i="714"/>
  <c r="E21" i="713" s="1"/>
  <c r="AD26" i="714"/>
  <c r="AA26" i="714"/>
  <c r="E19" i="713" s="1"/>
  <c r="Z26" i="714"/>
  <c r="M26" i="714"/>
  <c r="J26" i="714"/>
  <c r="W25" i="714"/>
  <c r="H25" i="714"/>
  <c r="W24" i="714"/>
  <c r="W23" i="714"/>
  <c r="W21" i="714"/>
  <c r="N21" i="714" s="1"/>
  <c r="V21" i="714"/>
  <c r="P21" i="714"/>
  <c r="O21" i="714"/>
  <c r="L21" i="714"/>
  <c r="K21" i="714"/>
  <c r="H21" i="714"/>
  <c r="F21" i="714"/>
  <c r="W20" i="714"/>
  <c r="N20" i="714" s="1"/>
  <c r="O20" i="714" s="1"/>
  <c r="V20" i="714"/>
  <c r="P20" i="714"/>
  <c r="K20" i="714"/>
  <c r="L20" i="714" s="1"/>
  <c r="F20" i="714"/>
  <c r="H20" i="714" s="1"/>
  <c r="W19" i="714"/>
  <c r="V19" i="714"/>
  <c r="P19" i="714"/>
  <c r="N19" i="714"/>
  <c r="L19" i="714"/>
  <c r="K19" i="714"/>
  <c r="H19" i="714"/>
  <c r="F19" i="714"/>
  <c r="W18" i="714"/>
  <c r="V18" i="714"/>
  <c r="P18" i="714"/>
  <c r="O18" i="714"/>
  <c r="N18" i="714"/>
  <c r="L18" i="714"/>
  <c r="L26" i="714" s="1"/>
  <c r="E13" i="713" s="1"/>
  <c r="K18" i="714"/>
  <c r="F18" i="714"/>
  <c r="H18" i="714" s="1"/>
  <c r="W17" i="714"/>
  <c r="V17" i="714"/>
  <c r="P17" i="714"/>
  <c r="O17" i="714"/>
  <c r="N17" i="714"/>
  <c r="L17" i="714"/>
  <c r="K17" i="714"/>
  <c r="F17" i="714"/>
  <c r="H17" i="714" s="1"/>
  <c r="AG16" i="714"/>
  <c r="AF16" i="714"/>
  <c r="W16" i="714"/>
  <c r="N16" i="714" s="1"/>
  <c r="Q16" i="714"/>
  <c r="P16" i="714"/>
  <c r="O16" i="714"/>
  <c r="K16" i="714"/>
  <c r="L16" i="714" s="1"/>
  <c r="H16" i="714"/>
  <c r="F16" i="714"/>
  <c r="AE15" i="714"/>
  <c r="AD15" i="714"/>
  <c r="AA15" i="714"/>
  <c r="D19" i="713" s="1"/>
  <c r="Z15" i="714"/>
  <c r="M15" i="714"/>
  <c r="J15" i="714"/>
  <c r="W14" i="714"/>
  <c r="W13" i="714"/>
  <c r="W12" i="714"/>
  <c r="AG11" i="714"/>
  <c r="AF11" i="714"/>
  <c r="W11" i="714"/>
  <c r="AG10" i="714"/>
  <c r="AF10" i="714"/>
  <c r="W10" i="714"/>
  <c r="AG9" i="714"/>
  <c r="AF9" i="714"/>
  <c r="W9" i="714"/>
  <c r="AG8" i="714"/>
  <c r="AF8" i="714"/>
  <c r="W8" i="714"/>
  <c r="AG7" i="714"/>
  <c r="AF7" i="714"/>
  <c r="W7" i="714"/>
  <c r="W6" i="714"/>
  <c r="N6" i="714" s="1"/>
  <c r="V6" i="714"/>
  <c r="P6" i="714"/>
  <c r="L6" i="714"/>
  <c r="K6" i="714"/>
  <c r="H6" i="714"/>
  <c r="F6" i="714"/>
  <c r="W5" i="714"/>
  <c r="N5" i="714" s="1"/>
  <c r="P5" i="714"/>
  <c r="K5" i="714"/>
  <c r="F5" i="714"/>
  <c r="H5" i="714" s="1"/>
  <c r="AA2" i="714"/>
  <c r="I2" i="714"/>
  <c r="E1" i="714"/>
  <c r="I22" i="713"/>
  <c r="G22" i="713"/>
  <c r="F22" i="713"/>
  <c r="J21" i="713"/>
  <c r="F21" i="713"/>
  <c r="H20" i="713"/>
  <c r="G20" i="713"/>
  <c r="E20" i="713"/>
  <c r="J19" i="713"/>
  <c r="I19" i="713"/>
  <c r="H19" i="713"/>
  <c r="G19" i="713"/>
  <c r="F19" i="713"/>
  <c r="J18" i="713"/>
  <c r="H18" i="713"/>
  <c r="G18" i="713"/>
  <c r="F18" i="713"/>
  <c r="E18" i="713"/>
  <c r="D18" i="713"/>
  <c r="J16" i="713"/>
  <c r="I16" i="713"/>
  <c r="H16" i="713"/>
  <c r="G16" i="713"/>
  <c r="F16" i="713"/>
  <c r="E16" i="713"/>
  <c r="D16" i="713"/>
  <c r="F13" i="713"/>
  <c r="O8" i="713"/>
  <c r="N8" i="713"/>
  <c r="M8" i="713"/>
  <c r="L8" i="713"/>
  <c r="O7" i="713"/>
  <c r="N7" i="713"/>
  <c r="M7" i="713"/>
  <c r="L7" i="713"/>
  <c r="L6" i="713"/>
  <c r="G3" i="713"/>
  <c r="AE79" i="712"/>
  <c r="AD79" i="712"/>
  <c r="J20" i="711" s="1"/>
  <c r="AA79" i="712"/>
  <c r="J18" i="711" s="1"/>
  <c r="Z79" i="712"/>
  <c r="M79" i="712"/>
  <c r="J22" i="711" s="1"/>
  <c r="J79" i="712"/>
  <c r="P79" i="712" s="1"/>
  <c r="W78" i="712"/>
  <c r="H78" i="712"/>
  <c r="W77" i="712"/>
  <c r="W76" i="712"/>
  <c r="W75" i="712"/>
  <c r="W74" i="712"/>
  <c r="N74" i="712" s="1"/>
  <c r="O74" i="712" s="1"/>
  <c r="V74" i="712"/>
  <c r="J74" i="712"/>
  <c r="F74" i="712"/>
  <c r="H74" i="712" s="1"/>
  <c r="W73" i="712"/>
  <c r="N73" i="712" s="1"/>
  <c r="O73" i="712" s="1"/>
  <c r="V73" i="712"/>
  <c r="R73" i="712"/>
  <c r="Q73" i="712"/>
  <c r="P73" i="712"/>
  <c r="L73" i="712"/>
  <c r="K73" i="712"/>
  <c r="J73" i="712"/>
  <c r="F73" i="712"/>
  <c r="H73" i="712" s="1"/>
  <c r="W72" i="712"/>
  <c r="N72" i="712" s="1"/>
  <c r="O72" i="712" s="1"/>
  <c r="V72" i="712"/>
  <c r="P72" i="712"/>
  <c r="L72" i="712"/>
  <c r="K72" i="712"/>
  <c r="J72" i="712"/>
  <c r="H72" i="712"/>
  <c r="F72" i="712"/>
  <c r="W71" i="712"/>
  <c r="N71" i="712" s="1"/>
  <c r="O71" i="712" s="1"/>
  <c r="V71" i="712"/>
  <c r="Q71" i="712"/>
  <c r="P71" i="712"/>
  <c r="L71" i="712"/>
  <c r="J71" i="712"/>
  <c r="H71" i="712"/>
  <c r="F71" i="712"/>
  <c r="W70" i="712"/>
  <c r="N70" i="712"/>
  <c r="K70" i="712"/>
  <c r="J70" i="712"/>
  <c r="P70" i="712" s="1"/>
  <c r="F70" i="712"/>
  <c r="H70" i="712" s="1"/>
  <c r="AE69" i="712"/>
  <c r="AD69" i="712"/>
  <c r="AA69" i="712"/>
  <c r="Z69" i="712"/>
  <c r="I18" i="711" s="1"/>
  <c r="N69" i="712"/>
  <c r="M69" i="712"/>
  <c r="J69" i="712"/>
  <c r="W68" i="712"/>
  <c r="H68" i="712"/>
  <c r="W67" i="712"/>
  <c r="W66" i="712"/>
  <c r="W65" i="712"/>
  <c r="W64" i="712"/>
  <c r="W63" i="712"/>
  <c r="W62" i="712"/>
  <c r="V62" i="712"/>
  <c r="O62" i="712"/>
  <c r="N62" i="712"/>
  <c r="K62" i="712"/>
  <c r="J62" i="712"/>
  <c r="P62" i="712" s="1"/>
  <c r="F62" i="712"/>
  <c r="H62" i="712" s="1"/>
  <c r="AG61" i="712"/>
  <c r="W61" i="712"/>
  <c r="V61" i="712"/>
  <c r="P61" i="712"/>
  <c r="N61" i="712"/>
  <c r="O61" i="712" s="1"/>
  <c r="L61" i="712"/>
  <c r="K61" i="712"/>
  <c r="AF61" i="712" s="1"/>
  <c r="J61" i="712"/>
  <c r="F61" i="712"/>
  <c r="H61" i="712" s="1"/>
  <c r="W60" i="712"/>
  <c r="V60" i="712"/>
  <c r="N60" i="712"/>
  <c r="K60" i="712"/>
  <c r="J60" i="712"/>
  <c r="P60" i="712" s="1"/>
  <c r="H60" i="712"/>
  <c r="F60" i="712"/>
  <c r="W59" i="712"/>
  <c r="P59" i="712"/>
  <c r="N59" i="712"/>
  <c r="L59" i="712"/>
  <c r="K59" i="712"/>
  <c r="J59" i="712"/>
  <c r="H59" i="712"/>
  <c r="F59" i="712"/>
  <c r="AE58" i="712"/>
  <c r="H21" i="711" s="1"/>
  <c r="AD58" i="712"/>
  <c r="H20" i="711" s="1"/>
  <c r="AA58" i="712"/>
  <c r="Z58" i="712"/>
  <c r="H18" i="711" s="1"/>
  <c r="M58" i="712"/>
  <c r="W57" i="712"/>
  <c r="W56" i="712"/>
  <c r="W55" i="712"/>
  <c r="W54" i="712"/>
  <c r="AG53" i="712"/>
  <c r="AF53" i="712"/>
  <c r="W53" i="712"/>
  <c r="AG52" i="712"/>
  <c r="W52" i="712"/>
  <c r="V52" i="712"/>
  <c r="P52" i="712"/>
  <c r="O52" i="712"/>
  <c r="N52" i="712"/>
  <c r="AF52" i="712" s="1"/>
  <c r="L52" i="712"/>
  <c r="K52" i="712"/>
  <c r="J52" i="712"/>
  <c r="H52" i="712"/>
  <c r="F52" i="712"/>
  <c r="W51" i="712"/>
  <c r="N51" i="712" s="1"/>
  <c r="V51" i="712"/>
  <c r="O51" i="712"/>
  <c r="K51" i="712"/>
  <c r="L51" i="712" s="1"/>
  <c r="J51" i="712"/>
  <c r="F51" i="712"/>
  <c r="H51" i="712" s="1"/>
  <c r="W50" i="712"/>
  <c r="N50" i="712" s="1"/>
  <c r="V50" i="712"/>
  <c r="K50" i="712"/>
  <c r="L50" i="712" s="1"/>
  <c r="J50" i="712"/>
  <c r="P50" i="712" s="1"/>
  <c r="F50" i="712"/>
  <c r="H50" i="712" s="1"/>
  <c r="W49" i="712"/>
  <c r="P49" i="712"/>
  <c r="O49" i="712"/>
  <c r="N49" i="712"/>
  <c r="K49" i="712"/>
  <c r="J49" i="712"/>
  <c r="H49" i="712"/>
  <c r="F49" i="712"/>
  <c r="AE48" i="712"/>
  <c r="AD48" i="712"/>
  <c r="G20" i="711" s="1"/>
  <c r="AA48" i="712"/>
  <c r="Z48" i="712"/>
  <c r="W48" i="712"/>
  <c r="M48" i="712"/>
  <c r="W47" i="712"/>
  <c r="H47" i="712"/>
  <c r="W46" i="712"/>
  <c r="W45" i="712"/>
  <c r="W44" i="712"/>
  <c r="W43" i="712"/>
  <c r="W42" i="712"/>
  <c r="AG41" i="712"/>
  <c r="AF41" i="712"/>
  <c r="W41" i="712"/>
  <c r="W40" i="712"/>
  <c r="V40" i="712"/>
  <c r="P40" i="712"/>
  <c r="N40" i="712"/>
  <c r="K40" i="712"/>
  <c r="L40" i="712" s="1"/>
  <c r="J40" i="712"/>
  <c r="F40" i="712"/>
  <c r="H40" i="712" s="1"/>
  <c r="W39" i="712"/>
  <c r="N39" i="712" s="1"/>
  <c r="V39" i="712"/>
  <c r="K39" i="712"/>
  <c r="J39" i="712"/>
  <c r="P39" i="712" s="1"/>
  <c r="H39" i="712"/>
  <c r="F39" i="712"/>
  <c r="AG38" i="712"/>
  <c r="AF38" i="712"/>
  <c r="W38" i="712"/>
  <c r="N38" i="712" s="1"/>
  <c r="K38" i="712"/>
  <c r="J38" i="712"/>
  <c r="H38" i="712"/>
  <c r="F38" i="712"/>
  <c r="AE37" i="712"/>
  <c r="AD37" i="712"/>
  <c r="AA37" i="712"/>
  <c r="Z37" i="712"/>
  <c r="M37" i="712"/>
  <c r="F22" i="711" s="1"/>
  <c r="K37" i="712"/>
  <c r="W36" i="712"/>
  <c r="H36" i="712"/>
  <c r="W35" i="712"/>
  <c r="W34" i="712"/>
  <c r="W33" i="712"/>
  <c r="W32" i="712"/>
  <c r="V32" i="712"/>
  <c r="P32" i="712"/>
  <c r="O32" i="712"/>
  <c r="N32" i="712"/>
  <c r="L32" i="712"/>
  <c r="J32" i="712"/>
  <c r="F32" i="712"/>
  <c r="H32" i="712" s="1"/>
  <c r="W31" i="712"/>
  <c r="N31" i="712" s="1"/>
  <c r="V31" i="712"/>
  <c r="P31" i="712"/>
  <c r="J31" i="712"/>
  <c r="L31" i="712" s="1"/>
  <c r="F31" i="712"/>
  <c r="H31" i="712" s="1"/>
  <c r="AG30" i="712"/>
  <c r="AF30" i="712"/>
  <c r="W30" i="712"/>
  <c r="N30" i="712" s="1"/>
  <c r="O30" i="712" s="1"/>
  <c r="V30" i="712"/>
  <c r="K30" i="712"/>
  <c r="J30" i="712"/>
  <c r="P30" i="712" s="1"/>
  <c r="F30" i="712"/>
  <c r="H30" i="712" s="1"/>
  <c r="AG29" i="712"/>
  <c r="W29" i="712"/>
  <c r="V29" i="712"/>
  <c r="N29" i="712"/>
  <c r="J29" i="712"/>
  <c r="F29" i="712"/>
  <c r="H29" i="712" s="1"/>
  <c r="AF28" i="712"/>
  <c r="W28" i="712"/>
  <c r="N28" i="712" s="1"/>
  <c r="V28" i="712"/>
  <c r="J28" i="712"/>
  <c r="H28" i="712"/>
  <c r="F28" i="712"/>
  <c r="W27" i="712"/>
  <c r="N27" i="712" s="1"/>
  <c r="P27" i="712"/>
  <c r="L27" i="712"/>
  <c r="J27" i="712"/>
  <c r="H27" i="712"/>
  <c r="F27" i="712"/>
  <c r="AE26" i="712"/>
  <c r="AD26" i="712"/>
  <c r="AA26" i="712"/>
  <c r="Z26" i="712"/>
  <c r="E18" i="711" s="1"/>
  <c r="P26" i="712"/>
  <c r="M26" i="712"/>
  <c r="E22" i="711" s="1"/>
  <c r="J26" i="712"/>
  <c r="W25" i="712"/>
  <c r="H25" i="712"/>
  <c r="W24" i="712"/>
  <c r="H24" i="712"/>
  <c r="W23" i="712"/>
  <c r="W21" i="712"/>
  <c r="N21" i="712" s="1"/>
  <c r="O21" i="712" s="1"/>
  <c r="V21" i="712"/>
  <c r="P21" i="712"/>
  <c r="K21" i="712"/>
  <c r="L21" i="712" s="1"/>
  <c r="F21" i="712"/>
  <c r="H21" i="712" s="1"/>
  <c r="W20" i="712"/>
  <c r="V20" i="712"/>
  <c r="P20" i="712"/>
  <c r="N20" i="712"/>
  <c r="O20" i="712" s="1"/>
  <c r="K20" i="712"/>
  <c r="L20" i="712" s="1"/>
  <c r="F20" i="712"/>
  <c r="H20" i="712" s="1"/>
  <c r="W19" i="712"/>
  <c r="N19" i="712" s="1"/>
  <c r="V19" i="712"/>
  <c r="P19" i="712"/>
  <c r="K19" i="712"/>
  <c r="L19" i="712" s="1"/>
  <c r="H19" i="712"/>
  <c r="F19" i="712"/>
  <c r="AG18" i="712"/>
  <c r="AF18" i="712"/>
  <c r="W18" i="712"/>
  <c r="N18" i="712" s="1"/>
  <c r="O18" i="712" s="1"/>
  <c r="V18" i="712"/>
  <c r="P18" i="712"/>
  <c r="K18" i="712"/>
  <c r="L18" i="712" s="1"/>
  <c r="H18" i="712"/>
  <c r="F18" i="712"/>
  <c r="AG17" i="712"/>
  <c r="AF17" i="712"/>
  <c r="W17" i="712"/>
  <c r="N17" i="712" s="1"/>
  <c r="O17" i="712" s="1"/>
  <c r="Q17" i="712" s="1"/>
  <c r="V17" i="712"/>
  <c r="R17" i="712"/>
  <c r="P17" i="712"/>
  <c r="L17" i="712"/>
  <c r="K17" i="712"/>
  <c r="F17" i="712"/>
  <c r="H17" i="712" s="1"/>
  <c r="W16" i="712"/>
  <c r="P16" i="712"/>
  <c r="N16" i="712"/>
  <c r="L16" i="712"/>
  <c r="K16" i="712"/>
  <c r="F16" i="712"/>
  <c r="H16" i="712" s="1"/>
  <c r="AE15" i="712"/>
  <c r="D21" i="711" s="1"/>
  <c r="AD15" i="712"/>
  <c r="AA15" i="712"/>
  <c r="AA2" i="712" s="1"/>
  <c r="Z15" i="712"/>
  <c r="P15" i="712"/>
  <c r="N15" i="712"/>
  <c r="M15" i="712"/>
  <c r="K15" i="712"/>
  <c r="J15" i="712"/>
  <c r="W14" i="712"/>
  <c r="W13" i="712"/>
  <c r="W12" i="712"/>
  <c r="AG11" i="712"/>
  <c r="AF11" i="712"/>
  <c r="W11" i="712"/>
  <c r="AG10" i="712"/>
  <c r="AF10" i="712"/>
  <c r="W10" i="712"/>
  <c r="AG9" i="712"/>
  <c r="AF9" i="712"/>
  <c r="W9" i="712"/>
  <c r="AG8" i="712"/>
  <c r="AF8" i="712"/>
  <c r="W8" i="712"/>
  <c r="AG7" i="712"/>
  <c r="AF7" i="712"/>
  <c r="W7" i="712"/>
  <c r="AG6" i="712"/>
  <c r="AF6" i="712"/>
  <c r="W6" i="712"/>
  <c r="V6" i="712"/>
  <c r="P6" i="712"/>
  <c r="N6" i="712"/>
  <c r="O6" i="712" s="1"/>
  <c r="L6" i="712"/>
  <c r="K6" i="712"/>
  <c r="F6" i="712"/>
  <c r="H6" i="712" s="1"/>
  <c r="AG5" i="712"/>
  <c r="W5" i="712"/>
  <c r="O5" i="712"/>
  <c r="N5" i="712"/>
  <c r="AF5" i="712" s="1"/>
  <c r="K5" i="712"/>
  <c r="J5" i="712"/>
  <c r="L5" i="712" s="1"/>
  <c r="L15" i="712" s="1"/>
  <c r="F5" i="712"/>
  <c r="H5" i="712" s="1"/>
  <c r="I2" i="712"/>
  <c r="E1" i="712"/>
  <c r="G22" i="711"/>
  <c r="D22" i="711"/>
  <c r="J21" i="711"/>
  <c r="I21" i="711"/>
  <c r="G21" i="711"/>
  <c r="E21" i="711"/>
  <c r="I20" i="711"/>
  <c r="E20" i="711"/>
  <c r="D20" i="711"/>
  <c r="J19" i="711"/>
  <c r="I19" i="711"/>
  <c r="H19" i="711"/>
  <c r="G19" i="711"/>
  <c r="F19" i="711"/>
  <c r="E19" i="711"/>
  <c r="D19" i="711"/>
  <c r="G18" i="711"/>
  <c r="F18" i="711"/>
  <c r="D18" i="711"/>
  <c r="J16" i="711"/>
  <c r="I16" i="711"/>
  <c r="H16" i="711"/>
  <c r="G16" i="711"/>
  <c r="F16" i="711"/>
  <c r="E16" i="711"/>
  <c r="D16" i="711"/>
  <c r="D13" i="711"/>
  <c r="O8" i="711"/>
  <c r="N8" i="711"/>
  <c r="M8" i="711"/>
  <c r="L8" i="711"/>
  <c r="O7" i="711"/>
  <c r="N7" i="711"/>
  <c r="M7" i="711"/>
  <c r="L7" i="711"/>
  <c r="G3" i="711"/>
  <c r="AE79" i="710"/>
  <c r="AD79" i="710"/>
  <c r="AA79" i="710"/>
  <c r="J18" i="709" s="1"/>
  <c r="Z79" i="710"/>
  <c r="O79" i="710"/>
  <c r="M79" i="710"/>
  <c r="K79" i="710"/>
  <c r="W78" i="710"/>
  <c r="H78" i="710"/>
  <c r="W77" i="710"/>
  <c r="W76" i="710"/>
  <c r="W75" i="710"/>
  <c r="W74" i="710"/>
  <c r="W73" i="710"/>
  <c r="N73" i="710" s="1"/>
  <c r="O73" i="710" s="1"/>
  <c r="V73" i="710"/>
  <c r="R73" i="710"/>
  <c r="P73" i="710"/>
  <c r="L73" i="710"/>
  <c r="Q73" i="710" s="1"/>
  <c r="H73" i="710"/>
  <c r="F73" i="710"/>
  <c r="W72" i="710"/>
  <c r="V72" i="710"/>
  <c r="O72" i="710"/>
  <c r="N72" i="710"/>
  <c r="N79" i="710" s="1"/>
  <c r="K72" i="710"/>
  <c r="J72" i="710"/>
  <c r="P72" i="710" s="1"/>
  <c r="F72" i="710"/>
  <c r="H72" i="710" s="1"/>
  <c r="W71" i="710"/>
  <c r="N71" i="710" s="1"/>
  <c r="O71" i="710" s="1"/>
  <c r="V71" i="710"/>
  <c r="P71" i="710"/>
  <c r="L71" i="710"/>
  <c r="F71" i="710"/>
  <c r="H71" i="710" s="1"/>
  <c r="AG70" i="710"/>
  <c r="AF70" i="710"/>
  <c r="W70" i="710"/>
  <c r="N70" i="710" s="1"/>
  <c r="O70" i="710" s="1"/>
  <c r="K70" i="710"/>
  <c r="J70" i="710"/>
  <c r="F70" i="710"/>
  <c r="H70" i="710" s="1"/>
  <c r="AE69" i="710"/>
  <c r="I21" i="709" s="1"/>
  <c r="AD69" i="710"/>
  <c r="I20" i="709" s="1"/>
  <c r="AA69" i="710"/>
  <c r="I19" i="709" s="1"/>
  <c r="Z69" i="710"/>
  <c r="I18" i="709" s="1"/>
  <c r="M69" i="710"/>
  <c r="W68" i="710"/>
  <c r="H68" i="710"/>
  <c r="W67" i="710"/>
  <c r="W66" i="710"/>
  <c r="W65" i="710"/>
  <c r="W64" i="710"/>
  <c r="W63" i="710"/>
  <c r="W62" i="710"/>
  <c r="N62" i="710" s="1"/>
  <c r="V62" i="710"/>
  <c r="O62" i="710"/>
  <c r="K62" i="710"/>
  <c r="J62" i="710"/>
  <c r="P62" i="710" s="1"/>
  <c r="H62" i="710"/>
  <c r="F62" i="710"/>
  <c r="W61" i="710"/>
  <c r="V61" i="710"/>
  <c r="N61" i="710"/>
  <c r="K61" i="710"/>
  <c r="J61" i="710"/>
  <c r="P61" i="710" s="1"/>
  <c r="H61" i="710"/>
  <c r="F61" i="710"/>
  <c r="AG60" i="710"/>
  <c r="W60" i="710"/>
  <c r="V60" i="710"/>
  <c r="N60" i="710"/>
  <c r="AF60" i="710" s="1"/>
  <c r="L60" i="710"/>
  <c r="K60" i="710"/>
  <c r="J60" i="710"/>
  <c r="P60" i="710" s="1"/>
  <c r="H60" i="710"/>
  <c r="F60" i="710"/>
  <c r="W59" i="710"/>
  <c r="P59" i="710"/>
  <c r="N59" i="710"/>
  <c r="L59" i="710"/>
  <c r="K59" i="710"/>
  <c r="J59" i="710"/>
  <c r="H59" i="710"/>
  <c r="F59" i="710"/>
  <c r="AE58" i="710"/>
  <c r="AD58" i="710"/>
  <c r="H20" i="709" s="1"/>
  <c r="AA58" i="710"/>
  <c r="H19" i="709" s="1"/>
  <c r="Z58" i="710"/>
  <c r="H18" i="709" s="1"/>
  <c r="M58" i="710"/>
  <c r="W57" i="710"/>
  <c r="W56" i="710"/>
  <c r="W55" i="710"/>
  <c r="W54" i="710"/>
  <c r="AG53" i="710"/>
  <c r="AF53" i="710"/>
  <c r="W53" i="710"/>
  <c r="W52" i="710"/>
  <c r="V52" i="710"/>
  <c r="N52" i="710"/>
  <c r="K52" i="710"/>
  <c r="J52" i="710"/>
  <c r="H52" i="710"/>
  <c r="F52" i="710"/>
  <c r="W51" i="710"/>
  <c r="N51" i="710" s="1"/>
  <c r="V51" i="710"/>
  <c r="P51" i="710"/>
  <c r="K51" i="710"/>
  <c r="L51" i="710" s="1"/>
  <c r="J51" i="710"/>
  <c r="F51" i="710"/>
  <c r="H51" i="710" s="1"/>
  <c r="AF50" i="710"/>
  <c r="W50" i="710"/>
  <c r="N50" i="710" s="1"/>
  <c r="V50" i="710"/>
  <c r="P50" i="710"/>
  <c r="K50" i="710"/>
  <c r="J50" i="710"/>
  <c r="H50" i="710"/>
  <c r="F50" i="710"/>
  <c r="W49" i="710"/>
  <c r="N49" i="710" s="1"/>
  <c r="L49" i="710"/>
  <c r="K49" i="710"/>
  <c r="J49" i="710"/>
  <c r="P49" i="710" s="1"/>
  <c r="F49" i="710"/>
  <c r="H49" i="710" s="1"/>
  <c r="AE48" i="710"/>
  <c r="G21" i="709" s="1"/>
  <c r="AD48" i="710"/>
  <c r="AA48" i="710"/>
  <c r="Z48" i="710"/>
  <c r="W48" i="710"/>
  <c r="M48" i="710"/>
  <c r="K48" i="710"/>
  <c r="J48" i="710"/>
  <c r="W47" i="710"/>
  <c r="H47" i="710"/>
  <c r="W46" i="710"/>
  <c r="W45" i="710"/>
  <c r="W44" i="710"/>
  <c r="W43" i="710"/>
  <c r="W42" i="710"/>
  <c r="AG41" i="710"/>
  <c r="AF41" i="710"/>
  <c r="W41" i="710"/>
  <c r="V41" i="710"/>
  <c r="R41" i="710"/>
  <c r="O41" i="710"/>
  <c r="Q41" i="710" s="1"/>
  <c r="N41" i="710"/>
  <c r="L41" i="710"/>
  <c r="K41" i="710"/>
  <c r="J41" i="710"/>
  <c r="P41" i="710" s="1"/>
  <c r="H41" i="710"/>
  <c r="F41" i="710"/>
  <c r="AG40" i="710"/>
  <c r="AF40" i="710"/>
  <c r="W40" i="710"/>
  <c r="V40" i="710"/>
  <c r="P40" i="710"/>
  <c r="N40" i="710"/>
  <c r="O40" i="710" s="1"/>
  <c r="L40" i="710"/>
  <c r="K40" i="710"/>
  <c r="J40" i="710"/>
  <c r="F40" i="710"/>
  <c r="H40" i="710" s="1"/>
  <c r="AG39" i="710"/>
  <c r="W39" i="710"/>
  <c r="V39" i="710"/>
  <c r="P39" i="710"/>
  <c r="N39" i="710"/>
  <c r="AF39" i="710" s="1"/>
  <c r="L39" i="710"/>
  <c r="K39" i="710"/>
  <c r="J39" i="710"/>
  <c r="H39" i="710"/>
  <c r="F39" i="710"/>
  <c r="AG38" i="710"/>
  <c r="W38" i="710"/>
  <c r="N38" i="710" s="1"/>
  <c r="N48" i="710" s="1"/>
  <c r="P38" i="710"/>
  <c r="L38" i="710"/>
  <c r="K38" i="710"/>
  <c r="J38" i="710"/>
  <c r="H38" i="710"/>
  <c r="F38" i="710"/>
  <c r="AE37" i="710"/>
  <c r="F21" i="709" s="1"/>
  <c r="AD37" i="710"/>
  <c r="AA37" i="710"/>
  <c r="F19" i="709" s="1"/>
  <c r="Z37" i="710"/>
  <c r="M37" i="710"/>
  <c r="K37" i="710"/>
  <c r="J37" i="710"/>
  <c r="W36" i="710"/>
  <c r="H36" i="710"/>
  <c r="W35" i="710"/>
  <c r="W34" i="710"/>
  <c r="W33" i="710"/>
  <c r="W32" i="710"/>
  <c r="W31" i="710"/>
  <c r="N31" i="710" s="1"/>
  <c r="V31" i="710"/>
  <c r="J31" i="710"/>
  <c r="F31" i="710"/>
  <c r="H31" i="710" s="1"/>
  <c r="W30" i="710"/>
  <c r="V30" i="710"/>
  <c r="P30" i="710"/>
  <c r="N30" i="710"/>
  <c r="L30" i="710"/>
  <c r="J30" i="710"/>
  <c r="F30" i="710"/>
  <c r="H30" i="710" s="1"/>
  <c r="W29" i="710"/>
  <c r="N29" i="710" s="1"/>
  <c r="V29" i="710"/>
  <c r="O29" i="710"/>
  <c r="K29" i="710"/>
  <c r="J29" i="710"/>
  <c r="P29" i="710" s="1"/>
  <c r="H29" i="710"/>
  <c r="F29" i="710"/>
  <c r="AF28" i="710"/>
  <c r="W28" i="710"/>
  <c r="N28" i="710" s="1"/>
  <c r="V28" i="710"/>
  <c r="P28" i="710"/>
  <c r="L28" i="710"/>
  <c r="J28" i="710"/>
  <c r="F28" i="710"/>
  <c r="H28" i="710" s="1"/>
  <c r="W27" i="710"/>
  <c r="N27" i="710" s="1"/>
  <c r="L27" i="710"/>
  <c r="J27" i="710"/>
  <c r="P27" i="710" s="1"/>
  <c r="H27" i="710"/>
  <c r="F27" i="710"/>
  <c r="AE26" i="710"/>
  <c r="AD26" i="710"/>
  <c r="E20" i="709" s="1"/>
  <c r="AA26" i="710"/>
  <c r="Z26" i="710"/>
  <c r="M26" i="710"/>
  <c r="J26" i="710"/>
  <c r="W25" i="710"/>
  <c r="H25" i="710"/>
  <c r="W24" i="710"/>
  <c r="H24" i="710"/>
  <c r="W23" i="710"/>
  <c r="W21" i="710"/>
  <c r="N21" i="710" s="1"/>
  <c r="O21" i="710" s="1"/>
  <c r="R21" i="710" s="1"/>
  <c r="V21" i="710"/>
  <c r="Q21" i="710"/>
  <c r="P21" i="710"/>
  <c r="L21" i="710"/>
  <c r="K21" i="710"/>
  <c r="F21" i="710"/>
  <c r="H21" i="710" s="1"/>
  <c r="W20" i="710"/>
  <c r="N20" i="710" s="1"/>
  <c r="O20" i="710" s="1"/>
  <c r="V20" i="710"/>
  <c r="R20" i="710"/>
  <c r="Q20" i="710"/>
  <c r="P20" i="710"/>
  <c r="K20" i="710"/>
  <c r="L20" i="710" s="1"/>
  <c r="F20" i="710"/>
  <c r="H20" i="710" s="1"/>
  <c r="AG19" i="710"/>
  <c r="AF19" i="710"/>
  <c r="W19" i="710"/>
  <c r="N19" i="710" s="1"/>
  <c r="V19" i="710"/>
  <c r="P19" i="710"/>
  <c r="O19" i="710"/>
  <c r="L19" i="710"/>
  <c r="K19" i="710"/>
  <c r="F19" i="710"/>
  <c r="H19" i="710" s="1"/>
  <c r="AG18" i="710"/>
  <c r="AF18" i="710"/>
  <c r="W18" i="710"/>
  <c r="N18" i="710" s="1"/>
  <c r="V18" i="710"/>
  <c r="P18" i="710"/>
  <c r="O18" i="710"/>
  <c r="K18" i="710"/>
  <c r="L18" i="710" s="1"/>
  <c r="F18" i="710"/>
  <c r="H18" i="710" s="1"/>
  <c r="AF17" i="710"/>
  <c r="W17" i="710"/>
  <c r="N17" i="710" s="1"/>
  <c r="AG17" i="710" s="1"/>
  <c r="V17" i="710"/>
  <c r="P17" i="710"/>
  <c r="K17" i="710"/>
  <c r="L17" i="710" s="1"/>
  <c r="F17" i="710"/>
  <c r="H17" i="710" s="1"/>
  <c r="W16" i="710"/>
  <c r="P16" i="710"/>
  <c r="N16" i="710"/>
  <c r="L16" i="710"/>
  <c r="K16" i="710"/>
  <c r="K26" i="710" s="1"/>
  <c r="H16" i="710"/>
  <c r="F16" i="710"/>
  <c r="AE15" i="710"/>
  <c r="D21" i="709" s="1"/>
  <c r="AD15" i="710"/>
  <c r="AA15" i="710"/>
  <c r="Z15" i="710"/>
  <c r="M15" i="710"/>
  <c r="D22" i="709" s="1"/>
  <c r="K15" i="710"/>
  <c r="J15" i="710"/>
  <c r="P15" i="710" s="1"/>
  <c r="W14" i="710"/>
  <c r="W13" i="710"/>
  <c r="W12" i="710"/>
  <c r="AG11" i="710"/>
  <c r="AF11" i="710"/>
  <c r="W11" i="710"/>
  <c r="AG10" i="710"/>
  <c r="AF10" i="710"/>
  <c r="W10" i="710"/>
  <c r="AG9" i="710"/>
  <c r="AF9" i="710"/>
  <c r="W9" i="710"/>
  <c r="AG8" i="710"/>
  <c r="AF8" i="710"/>
  <c r="W8" i="710"/>
  <c r="V8" i="710"/>
  <c r="P8" i="710"/>
  <c r="N8" i="710"/>
  <c r="O8" i="710" s="1"/>
  <c r="L8" i="710"/>
  <c r="R8" i="710" s="1"/>
  <c r="K8" i="710"/>
  <c r="F8" i="710"/>
  <c r="H8" i="710" s="1"/>
  <c r="AG7" i="710"/>
  <c r="W7" i="710"/>
  <c r="V7" i="710"/>
  <c r="P7" i="710"/>
  <c r="N7" i="710"/>
  <c r="L7" i="710"/>
  <c r="K7" i="710"/>
  <c r="H7" i="710"/>
  <c r="F7" i="710"/>
  <c r="W6" i="710"/>
  <c r="N6" i="710" s="1"/>
  <c r="V6" i="710"/>
  <c r="P6" i="710"/>
  <c r="L6" i="710"/>
  <c r="K6" i="710"/>
  <c r="H6" i="710"/>
  <c r="F6" i="710"/>
  <c r="W5" i="710"/>
  <c r="P5" i="710"/>
  <c r="N5" i="710"/>
  <c r="L5" i="710"/>
  <c r="K5" i="710"/>
  <c r="J5" i="710"/>
  <c r="H5" i="710"/>
  <c r="F5" i="710"/>
  <c r="AA2" i="710"/>
  <c r="I2" i="710"/>
  <c r="E1" i="710"/>
  <c r="I22" i="709"/>
  <c r="H22" i="709"/>
  <c r="G22" i="709"/>
  <c r="F22" i="709"/>
  <c r="J21" i="709"/>
  <c r="E21" i="709"/>
  <c r="J20" i="709"/>
  <c r="G20" i="709"/>
  <c r="F20" i="709"/>
  <c r="J19" i="709"/>
  <c r="G19" i="709"/>
  <c r="E19" i="709"/>
  <c r="D19" i="709"/>
  <c r="G18" i="709"/>
  <c r="F18" i="709"/>
  <c r="E18" i="709"/>
  <c r="D18" i="709"/>
  <c r="J16" i="709"/>
  <c r="I16" i="709"/>
  <c r="H16" i="709"/>
  <c r="G16" i="709"/>
  <c r="F16" i="709"/>
  <c r="E16" i="709"/>
  <c r="D16" i="709"/>
  <c r="O8" i="709"/>
  <c r="N8" i="709"/>
  <c r="M8" i="709"/>
  <c r="L8" i="709"/>
  <c r="O7" i="709"/>
  <c r="N7" i="709"/>
  <c r="M7" i="709"/>
  <c r="L7" i="709"/>
  <c r="L6" i="709"/>
  <c r="G3" i="709"/>
  <c r="AE79" i="708"/>
  <c r="J21" i="707" s="1"/>
  <c r="AD79" i="708"/>
  <c r="AA79" i="708"/>
  <c r="Z79" i="708"/>
  <c r="W78" i="708"/>
  <c r="W77" i="708"/>
  <c r="W76" i="708"/>
  <c r="W75" i="708"/>
  <c r="V75" i="708"/>
  <c r="P75" i="708"/>
  <c r="N75" i="708"/>
  <c r="O75" i="708" s="1"/>
  <c r="L75" i="708"/>
  <c r="H75" i="708"/>
  <c r="F75" i="708"/>
  <c r="W74" i="708"/>
  <c r="N74" i="708" s="1"/>
  <c r="O74" i="708" s="1"/>
  <c r="V74" i="708"/>
  <c r="L74" i="708"/>
  <c r="K74" i="708"/>
  <c r="J74" i="708"/>
  <c r="P74" i="708" s="1"/>
  <c r="H74" i="708"/>
  <c r="F74" i="708"/>
  <c r="W73" i="708"/>
  <c r="N73" i="708" s="1"/>
  <c r="O73" i="708" s="1"/>
  <c r="V73" i="708"/>
  <c r="R73" i="708"/>
  <c r="Q73" i="708"/>
  <c r="L73" i="708"/>
  <c r="J73" i="708"/>
  <c r="P73" i="708" s="1"/>
  <c r="H73" i="708"/>
  <c r="F73" i="708"/>
  <c r="W72" i="708"/>
  <c r="N72" i="708" s="1"/>
  <c r="O72" i="708" s="1"/>
  <c r="V72" i="708"/>
  <c r="P72" i="708"/>
  <c r="L72" i="708"/>
  <c r="K72" i="708"/>
  <c r="J72" i="708"/>
  <c r="H72" i="708"/>
  <c r="F72" i="708"/>
  <c r="W71" i="708"/>
  <c r="N71" i="708" s="1"/>
  <c r="O71" i="708" s="1"/>
  <c r="V71" i="708"/>
  <c r="P71" i="708"/>
  <c r="L71" i="708"/>
  <c r="F71" i="708"/>
  <c r="H71" i="708" s="1"/>
  <c r="W70" i="708"/>
  <c r="N70" i="708"/>
  <c r="K70" i="708"/>
  <c r="L70" i="708" s="1"/>
  <c r="J70" i="708"/>
  <c r="P70" i="708" s="1"/>
  <c r="H70" i="708"/>
  <c r="F70" i="708"/>
  <c r="AE69" i="708"/>
  <c r="AD69" i="708"/>
  <c r="AA69" i="708"/>
  <c r="Z69" i="708"/>
  <c r="M69" i="708"/>
  <c r="W68" i="708"/>
  <c r="H68" i="708"/>
  <c r="W67" i="708"/>
  <c r="W66" i="708"/>
  <c r="W65" i="708"/>
  <c r="W64" i="708"/>
  <c r="W63" i="708"/>
  <c r="V63" i="708"/>
  <c r="R63" i="708"/>
  <c r="N63" i="708"/>
  <c r="O63" i="708" s="1"/>
  <c r="Q63" i="708" s="1"/>
  <c r="K63" i="708"/>
  <c r="L63" i="708" s="1"/>
  <c r="J63" i="708"/>
  <c r="P63" i="708" s="1"/>
  <c r="H63" i="708"/>
  <c r="F63" i="708"/>
  <c r="W62" i="708"/>
  <c r="N62" i="708" s="1"/>
  <c r="V62" i="708"/>
  <c r="L62" i="708"/>
  <c r="K62" i="708"/>
  <c r="AF62" i="708" s="1"/>
  <c r="J62" i="708"/>
  <c r="P62" i="708" s="1"/>
  <c r="H62" i="708"/>
  <c r="F62" i="708"/>
  <c r="AG61" i="708"/>
  <c r="W61" i="708"/>
  <c r="N61" i="708" s="1"/>
  <c r="O61" i="708" s="1"/>
  <c r="V61" i="708"/>
  <c r="R61" i="708"/>
  <c r="L61" i="708"/>
  <c r="K61" i="708"/>
  <c r="J61" i="708"/>
  <c r="P61" i="708" s="1"/>
  <c r="H61" i="708"/>
  <c r="F61" i="708"/>
  <c r="AG60" i="708"/>
  <c r="AF60" i="708"/>
  <c r="W60" i="708"/>
  <c r="N60" i="708" s="1"/>
  <c r="O60" i="708" s="1"/>
  <c r="V60" i="708"/>
  <c r="K60" i="708"/>
  <c r="J60" i="708"/>
  <c r="P60" i="708" s="1"/>
  <c r="H60" i="708"/>
  <c r="F60" i="708"/>
  <c r="W59" i="708"/>
  <c r="N59" i="708" s="1"/>
  <c r="K59" i="708"/>
  <c r="J59" i="708"/>
  <c r="F59" i="708"/>
  <c r="H59" i="708" s="1"/>
  <c r="AE58" i="708"/>
  <c r="H21" i="707" s="1"/>
  <c r="AD58" i="708"/>
  <c r="AA58" i="708"/>
  <c r="H19" i="707" s="1"/>
  <c r="Z58" i="708"/>
  <c r="H18" i="707" s="1"/>
  <c r="M58" i="708"/>
  <c r="K58" i="708"/>
  <c r="W57" i="708"/>
  <c r="W56" i="708"/>
  <c r="W55" i="708"/>
  <c r="W54" i="708"/>
  <c r="AG53" i="708"/>
  <c r="AF53" i="708"/>
  <c r="W53" i="708"/>
  <c r="W52" i="708"/>
  <c r="N52" i="708" s="1"/>
  <c r="V52" i="708"/>
  <c r="O52" i="708"/>
  <c r="K52" i="708"/>
  <c r="J52" i="708"/>
  <c r="L52" i="708" s="1"/>
  <c r="F52" i="708"/>
  <c r="H52" i="708" s="1"/>
  <c r="W51" i="708"/>
  <c r="N51" i="708" s="1"/>
  <c r="V51" i="708"/>
  <c r="P51" i="708"/>
  <c r="L51" i="708"/>
  <c r="K51" i="708"/>
  <c r="J51" i="708"/>
  <c r="F51" i="708"/>
  <c r="H51" i="708" s="1"/>
  <c r="AG50" i="708"/>
  <c r="AF50" i="708"/>
  <c r="W50" i="708"/>
  <c r="N50" i="708" s="1"/>
  <c r="O50" i="708" s="1"/>
  <c r="Q50" i="708" s="1"/>
  <c r="V50" i="708"/>
  <c r="R50" i="708"/>
  <c r="K50" i="708"/>
  <c r="L50" i="708" s="1"/>
  <c r="J50" i="708"/>
  <c r="P50" i="708" s="1"/>
  <c r="H50" i="708"/>
  <c r="F50" i="708"/>
  <c r="W49" i="708"/>
  <c r="N49" i="708" s="1"/>
  <c r="L49" i="708"/>
  <c r="L58" i="708" s="1"/>
  <c r="H13" i="707" s="1"/>
  <c r="K49" i="708"/>
  <c r="AF49" i="708" s="1"/>
  <c r="J49" i="708"/>
  <c r="H49" i="708"/>
  <c r="F49" i="708"/>
  <c r="AE48" i="708"/>
  <c r="G21" i="707" s="1"/>
  <c r="AD48" i="708"/>
  <c r="AA48" i="708"/>
  <c r="Z48" i="708"/>
  <c r="W48" i="708"/>
  <c r="N48" i="708"/>
  <c r="M48" i="708"/>
  <c r="W47" i="708"/>
  <c r="H47" i="708"/>
  <c r="W46" i="708"/>
  <c r="W45" i="708"/>
  <c r="W44" i="708"/>
  <c r="W43" i="708"/>
  <c r="W42" i="708"/>
  <c r="AG41" i="708"/>
  <c r="AF41" i="708"/>
  <c r="W41" i="708"/>
  <c r="W40" i="708"/>
  <c r="V40" i="708"/>
  <c r="O40" i="708"/>
  <c r="N40" i="708"/>
  <c r="L40" i="708"/>
  <c r="K40" i="708"/>
  <c r="J40" i="708"/>
  <c r="P40" i="708" s="1"/>
  <c r="H40" i="708"/>
  <c r="F40" i="708"/>
  <c r="AF39" i="708"/>
  <c r="W39" i="708"/>
  <c r="V39" i="708"/>
  <c r="P39" i="708"/>
  <c r="N39" i="708"/>
  <c r="L39" i="708"/>
  <c r="K39" i="708"/>
  <c r="J39" i="708"/>
  <c r="F39" i="708"/>
  <c r="H39" i="708" s="1"/>
  <c r="AF38" i="708"/>
  <c r="W38" i="708"/>
  <c r="N38" i="708" s="1"/>
  <c r="P38" i="708"/>
  <c r="O38" i="708"/>
  <c r="K38" i="708"/>
  <c r="J38" i="708"/>
  <c r="J48" i="708" s="1"/>
  <c r="P48" i="708" s="1"/>
  <c r="H38" i="708"/>
  <c r="F38" i="708"/>
  <c r="AE37" i="708"/>
  <c r="AD37" i="708"/>
  <c r="F20" i="707" s="1"/>
  <c r="AA37" i="708"/>
  <c r="Z37" i="708"/>
  <c r="F18" i="707" s="1"/>
  <c r="L6" i="707" s="1"/>
  <c r="M37" i="708"/>
  <c r="J37" i="708"/>
  <c r="W36" i="708"/>
  <c r="H36" i="708"/>
  <c r="W35" i="708"/>
  <c r="W34" i="708"/>
  <c r="W33" i="708"/>
  <c r="V33" i="708"/>
  <c r="P33" i="708"/>
  <c r="O33" i="708"/>
  <c r="N33" i="708"/>
  <c r="K33" i="708"/>
  <c r="L33" i="708" s="1"/>
  <c r="Q33" i="708" s="1"/>
  <c r="J33" i="708"/>
  <c r="H33" i="708"/>
  <c r="F33" i="708"/>
  <c r="W32" i="708"/>
  <c r="V32" i="708"/>
  <c r="Q32" i="708"/>
  <c r="P32" i="708"/>
  <c r="O32" i="708"/>
  <c r="R32" i="708" s="1"/>
  <c r="N32" i="708"/>
  <c r="L32" i="708"/>
  <c r="J32" i="708"/>
  <c r="H32" i="708"/>
  <c r="F32" i="708"/>
  <c r="W31" i="708"/>
  <c r="V31" i="708"/>
  <c r="P31" i="708"/>
  <c r="N31" i="708"/>
  <c r="J31" i="708"/>
  <c r="L31" i="708" s="1"/>
  <c r="H31" i="708"/>
  <c r="F31" i="708"/>
  <c r="W30" i="708"/>
  <c r="V30" i="708"/>
  <c r="P30" i="708"/>
  <c r="N30" i="708"/>
  <c r="L30" i="708"/>
  <c r="K30" i="708"/>
  <c r="K37" i="708" s="1"/>
  <c r="J30" i="708"/>
  <c r="F30" i="708"/>
  <c r="H30" i="708" s="1"/>
  <c r="AF29" i="708"/>
  <c r="W29" i="708"/>
  <c r="V29" i="708"/>
  <c r="P29" i="708"/>
  <c r="N29" i="708"/>
  <c r="J29" i="708"/>
  <c r="L29" i="708" s="1"/>
  <c r="H29" i="708"/>
  <c r="F29" i="708"/>
  <c r="W28" i="708"/>
  <c r="N28" i="708" s="1"/>
  <c r="V28" i="708"/>
  <c r="P28" i="708"/>
  <c r="J28" i="708"/>
  <c r="L28" i="708" s="1"/>
  <c r="F28" i="708"/>
  <c r="H28" i="708" s="1"/>
  <c r="AF27" i="708"/>
  <c r="W27" i="708"/>
  <c r="N27" i="708" s="1"/>
  <c r="L27" i="708"/>
  <c r="J27" i="708"/>
  <c r="P27" i="708" s="1"/>
  <c r="H27" i="708"/>
  <c r="F27" i="708"/>
  <c r="AE26" i="708"/>
  <c r="AD26" i="708"/>
  <c r="AA26" i="708"/>
  <c r="Z26" i="708"/>
  <c r="M26" i="708"/>
  <c r="J26" i="708"/>
  <c r="W25" i="708"/>
  <c r="H25" i="708"/>
  <c r="W24" i="708"/>
  <c r="H24" i="708"/>
  <c r="W23" i="708"/>
  <c r="W22" i="708"/>
  <c r="N22" i="708" s="1"/>
  <c r="O22" i="708" s="1"/>
  <c r="V22" i="708"/>
  <c r="P22" i="708"/>
  <c r="K22" i="708"/>
  <c r="L22" i="708" s="1"/>
  <c r="F22" i="708"/>
  <c r="H22" i="708" s="1"/>
  <c r="W21" i="708"/>
  <c r="N21" i="708" s="1"/>
  <c r="O21" i="708" s="1"/>
  <c r="V21" i="708"/>
  <c r="R21" i="708"/>
  <c r="Q21" i="708"/>
  <c r="P21" i="708"/>
  <c r="L21" i="708"/>
  <c r="K21" i="708"/>
  <c r="H21" i="708"/>
  <c r="F21" i="708"/>
  <c r="W20" i="708"/>
  <c r="V20" i="708"/>
  <c r="P20" i="708"/>
  <c r="O20" i="708"/>
  <c r="N20" i="708"/>
  <c r="L20" i="708"/>
  <c r="K20" i="708"/>
  <c r="F20" i="708"/>
  <c r="H20" i="708" s="1"/>
  <c r="W19" i="708"/>
  <c r="V19" i="708"/>
  <c r="P19" i="708"/>
  <c r="N19" i="708"/>
  <c r="K19" i="708"/>
  <c r="L19" i="708" s="1"/>
  <c r="H19" i="708"/>
  <c r="F19" i="708"/>
  <c r="AF18" i="708"/>
  <c r="W18" i="708"/>
  <c r="V18" i="708"/>
  <c r="P18" i="708"/>
  <c r="O18" i="708"/>
  <c r="N18" i="708"/>
  <c r="K18" i="708"/>
  <c r="L18" i="708" s="1"/>
  <c r="R18" i="708" s="1"/>
  <c r="F18" i="708"/>
  <c r="H18" i="708" s="1"/>
  <c r="W17" i="708"/>
  <c r="N17" i="708" s="1"/>
  <c r="V17" i="708"/>
  <c r="P17" i="708"/>
  <c r="L17" i="708"/>
  <c r="K17" i="708"/>
  <c r="F17" i="708"/>
  <c r="H17" i="708" s="1"/>
  <c r="W16" i="708"/>
  <c r="N16" i="708" s="1"/>
  <c r="P16" i="708"/>
  <c r="K16" i="708"/>
  <c r="H16" i="708"/>
  <c r="F16" i="708"/>
  <c r="AE15" i="708"/>
  <c r="AD15" i="708"/>
  <c r="AA15" i="708"/>
  <c r="Z15" i="708"/>
  <c r="N15" i="708"/>
  <c r="M15" i="708"/>
  <c r="J15" i="708"/>
  <c r="W14" i="708"/>
  <c r="W13" i="708"/>
  <c r="W12" i="708"/>
  <c r="AG11" i="708"/>
  <c r="AF11" i="708"/>
  <c r="W11" i="708"/>
  <c r="AG10" i="708"/>
  <c r="AF10" i="708"/>
  <c r="W10" i="708"/>
  <c r="W9" i="708"/>
  <c r="N9" i="708" s="1"/>
  <c r="O9" i="708" s="1"/>
  <c r="V9" i="708"/>
  <c r="P9" i="708"/>
  <c r="K9" i="708"/>
  <c r="H9" i="708"/>
  <c r="F9" i="708"/>
  <c r="AG8" i="708"/>
  <c r="AF8" i="708"/>
  <c r="W8" i="708"/>
  <c r="V8" i="708"/>
  <c r="R8" i="708"/>
  <c r="Q8" i="708"/>
  <c r="P8" i="708"/>
  <c r="N8" i="708"/>
  <c r="O8" i="708" s="1"/>
  <c r="L8" i="708"/>
  <c r="F8" i="708"/>
  <c r="H8" i="708" s="1"/>
  <c r="AF7" i="708"/>
  <c r="W7" i="708"/>
  <c r="V7" i="708"/>
  <c r="P7" i="708"/>
  <c r="N7" i="708"/>
  <c r="L7" i="708"/>
  <c r="K7" i="708"/>
  <c r="F7" i="708"/>
  <c r="H7" i="708" s="1"/>
  <c r="W6" i="708"/>
  <c r="V6" i="708"/>
  <c r="P6" i="708"/>
  <c r="O6" i="708"/>
  <c r="N6" i="708"/>
  <c r="K6" i="708"/>
  <c r="F6" i="708"/>
  <c r="H6" i="708" s="1"/>
  <c r="W5" i="708"/>
  <c r="P5" i="708"/>
  <c r="N5" i="708"/>
  <c r="L5" i="708"/>
  <c r="F5" i="708"/>
  <c r="H5" i="708" s="1"/>
  <c r="AA2" i="708"/>
  <c r="I2" i="708"/>
  <c r="E1" i="708"/>
  <c r="H22" i="707"/>
  <c r="I21" i="707"/>
  <c r="F21" i="707"/>
  <c r="D21" i="707"/>
  <c r="J20" i="707"/>
  <c r="I20" i="707"/>
  <c r="H20" i="707"/>
  <c r="G20" i="707"/>
  <c r="E20" i="707"/>
  <c r="D20" i="707"/>
  <c r="J19" i="707"/>
  <c r="I19" i="707"/>
  <c r="G19" i="707"/>
  <c r="F19" i="707"/>
  <c r="E19" i="707"/>
  <c r="D19" i="707"/>
  <c r="J18" i="707"/>
  <c r="I18" i="707"/>
  <c r="G18" i="707"/>
  <c r="E18" i="707"/>
  <c r="D18" i="707"/>
  <c r="J16" i="707"/>
  <c r="I16" i="707"/>
  <c r="H16" i="707"/>
  <c r="G16" i="707"/>
  <c r="F16" i="707"/>
  <c r="E16" i="707"/>
  <c r="D16" i="707"/>
  <c r="O8" i="707"/>
  <c r="N8" i="707"/>
  <c r="M8" i="707"/>
  <c r="L8" i="707"/>
  <c r="O7" i="707"/>
  <c r="N7" i="707"/>
  <c r="M7" i="707"/>
  <c r="L7" i="707"/>
  <c r="G3" i="707"/>
  <c r="AE79" i="706"/>
  <c r="AD79" i="706"/>
  <c r="AA79" i="706"/>
  <c r="Z79" i="706"/>
  <c r="M79" i="706"/>
  <c r="W78" i="706"/>
  <c r="H78" i="706"/>
  <c r="W77" i="706"/>
  <c r="W76" i="706"/>
  <c r="W75" i="706"/>
  <c r="W74" i="706"/>
  <c r="N74" i="706" s="1"/>
  <c r="V74" i="706"/>
  <c r="P74" i="706"/>
  <c r="O74" i="706"/>
  <c r="J74" i="706"/>
  <c r="L74" i="706" s="1"/>
  <c r="F74" i="706"/>
  <c r="H74" i="706" s="1"/>
  <c r="W73" i="706"/>
  <c r="V73" i="706"/>
  <c r="P73" i="706"/>
  <c r="N73" i="706"/>
  <c r="O73" i="706" s="1"/>
  <c r="L73" i="706"/>
  <c r="K73" i="706"/>
  <c r="J73" i="706"/>
  <c r="F73" i="706"/>
  <c r="H73" i="706" s="1"/>
  <c r="W72" i="706"/>
  <c r="N72" i="706" s="1"/>
  <c r="O72" i="706" s="1"/>
  <c r="V72" i="706"/>
  <c r="P72" i="706"/>
  <c r="L72" i="706"/>
  <c r="K72" i="706"/>
  <c r="J72" i="706"/>
  <c r="H72" i="706"/>
  <c r="F72" i="706"/>
  <c r="W71" i="706"/>
  <c r="N71" i="706" s="1"/>
  <c r="V71" i="706"/>
  <c r="P71" i="706"/>
  <c r="L71" i="706"/>
  <c r="J71" i="706"/>
  <c r="F71" i="706"/>
  <c r="H71" i="706" s="1"/>
  <c r="W70" i="706"/>
  <c r="N70" i="706" s="1"/>
  <c r="P70" i="706"/>
  <c r="O70" i="706"/>
  <c r="K70" i="706"/>
  <c r="J70" i="706"/>
  <c r="J79" i="706" s="1"/>
  <c r="F70" i="706"/>
  <c r="H70" i="706" s="1"/>
  <c r="AE69" i="706"/>
  <c r="I21" i="705" s="1"/>
  <c r="AD69" i="706"/>
  <c r="I20" i="705" s="1"/>
  <c r="AA69" i="706"/>
  <c r="Z69" i="706"/>
  <c r="I18" i="705" s="1"/>
  <c r="M69" i="706"/>
  <c r="W68" i="706"/>
  <c r="H68" i="706"/>
  <c r="W67" i="706"/>
  <c r="W66" i="706"/>
  <c r="W65" i="706"/>
  <c r="W64" i="706"/>
  <c r="W63" i="706"/>
  <c r="V63" i="706"/>
  <c r="P63" i="706"/>
  <c r="N63" i="706"/>
  <c r="K63" i="706"/>
  <c r="L63" i="706" s="1"/>
  <c r="J63" i="706"/>
  <c r="F63" i="706"/>
  <c r="H63" i="706" s="1"/>
  <c r="AG62" i="706"/>
  <c r="AF62" i="706"/>
  <c r="W62" i="706"/>
  <c r="V62" i="706"/>
  <c r="O62" i="706"/>
  <c r="N62" i="706"/>
  <c r="K62" i="706"/>
  <c r="J62" i="706"/>
  <c r="H62" i="706"/>
  <c r="F62" i="706"/>
  <c r="AG61" i="706"/>
  <c r="AF61" i="706"/>
  <c r="W61" i="706"/>
  <c r="N61" i="706" s="1"/>
  <c r="O61" i="706" s="1"/>
  <c r="V61" i="706"/>
  <c r="K61" i="706"/>
  <c r="J61" i="706"/>
  <c r="F61" i="706"/>
  <c r="H61" i="706" s="1"/>
  <c r="W60" i="706"/>
  <c r="V60" i="706"/>
  <c r="N60" i="706"/>
  <c r="K60" i="706"/>
  <c r="L60" i="706" s="1"/>
  <c r="J60" i="706"/>
  <c r="P60" i="706" s="1"/>
  <c r="H60" i="706"/>
  <c r="F60" i="706"/>
  <c r="AG59" i="706"/>
  <c r="W59" i="706"/>
  <c r="O59" i="706"/>
  <c r="N59" i="706"/>
  <c r="K59" i="706"/>
  <c r="J59" i="706"/>
  <c r="P59" i="706" s="1"/>
  <c r="F59" i="706"/>
  <c r="H59" i="706" s="1"/>
  <c r="AE58" i="706"/>
  <c r="AD58" i="706"/>
  <c r="H20" i="705" s="1"/>
  <c r="AA58" i="706"/>
  <c r="Z58" i="706"/>
  <c r="M58" i="706"/>
  <c r="W57" i="706"/>
  <c r="W56" i="706"/>
  <c r="W55" i="706"/>
  <c r="W54" i="706"/>
  <c r="AG53" i="706"/>
  <c r="AF53" i="706"/>
  <c r="W53" i="706"/>
  <c r="W52" i="706"/>
  <c r="V52" i="706"/>
  <c r="N52" i="706"/>
  <c r="L52" i="706"/>
  <c r="K52" i="706"/>
  <c r="J52" i="706"/>
  <c r="P52" i="706" s="1"/>
  <c r="H52" i="706"/>
  <c r="F52" i="706"/>
  <c r="W51" i="706"/>
  <c r="V51" i="706"/>
  <c r="N51" i="706"/>
  <c r="K51" i="706"/>
  <c r="J51" i="706"/>
  <c r="P51" i="706" s="1"/>
  <c r="F51" i="706"/>
  <c r="H51" i="706" s="1"/>
  <c r="AF50" i="706"/>
  <c r="W50" i="706"/>
  <c r="N50" i="706" s="1"/>
  <c r="V50" i="706"/>
  <c r="P50" i="706"/>
  <c r="L50" i="706"/>
  <c r="K50" i="706"/>
  <c r="J50" i="706"/>
  <c r="F50" i="706"/>
  <c r="H50" i="706" s="1"/>
  <c r="AG49" i="706"/>
  <c r="AF49" i="706"/>
  <c r="W49" i="706"/>
  <c r="N49" i="706" s="1"/>
  <c r="O49" i="706" s="1"/>
  <c r="P49" i="706"/>
  <c r="L49" i="706"/>
  <c r="K49" i="706"/>
  <c r="J49" i="706"/>
  <c r="F49" i="706"/>
  <c r="H49" i="706" s="1"/>
  <c r="AE48" i="706"/>
  <c r="AD48" i="706"/>
  <c r="AA48" i="706"/>
  <c r="Z48" i="706"/>
  <c r="W48" i="706"/>
  <c r="M48" i="706"/>
  <c r="W47" i="706"/>
  <c r="H47" i="706"/>
  <c r="W46" i="706"/>
  <c r="W45" i="706"/>
  <c r="W44" i="706"/>
  <c r="W43" i="706"/>
  <c r="W42" i="706"/>
  <c r="AG41" i="706"/>
  <c r="AF41" i="706"/>
  <c r="W41" i="706"/>
  <c r="W40" i="706"/>
  <c r="V40" i="706"/>
  <c r="Q40" i="706"/>
  <c r="P40" i="706"/>
  <c r="O40" i="706"/>
  <c r="N40" i="706"/>
  <c r="L40" i="706"/>
  <c r="K40" i="706"/>
  <c r="J40" i="706"/>
  <c r="H40" i="706"/>
  <c r="F40" i="706"/>
  <c r="W39" i="706"/>
  <c r="V39" i="706"/>
  <c r="O39" i="706"/>
  <c r="N39" i="706"/>
  <c r="K39" i="706"/>
  <c r="K48" i="706" s="1"/>
  <c r="J39" i="706"/>
  <c r="H39" i="706"/>
  <c r="F39" i="706"/>
  <c r="W38" i="706"/>
  <c r="N38" i="706" s="1"/>
  <c r="P38" i="706"/>
  <c r="L38" i="706"/>
  <c r="K38" i="706"/>
  <c r="J38" i="706"/>
  <c r="F38" i="706"/>
  <c r="H38" i="706" s="1"/>
  <c r="AE37" i="706"/>
  <c r="AD37" i="706"/>
  <c r="AA37" i="706"/>
  <c r="F19" i="705" s="1"/>
  <c r="Z37" i="706"/>
  <c r="F18" i="705" s="1"/>
  <c r="M37" i="706"/>
  <c r="W36" i="706"/>
  <c r="W35" i="706"/>
  <c r="W34" i="706"/>
  <c r="V34" i="706"/>
  <c r="N34" i="706"/>
  <c r="O34" i="706" s="1"/>
  <c r="K34" i="706"/>
  <c r="J34" i="706"/>
  <c r="F34" i="706"/>
  <c r="H34" i="706" s="1"/>
  <c r="W33" i="706"/>
  <c r="V33" i="706"/>
  <c r="O33" i="706"/>
  <c r="N33" i="706"/>
  <c r="J33" i="706"/>
  <c r="P33" i="706" s="1"/>
  <c r="H33" i="706"/>
  <c r="F33" i="706"/>
  <c r="W32" i="706"/>
  <c r="N32" i="706" s="1"/>
  <c r="O32" i="706" s="1"/>
  <c r="V32" i="706"/>
  <c r="J32" i="706"/>
  <c r="H32" i="706"/>
  <c r="F32" i="706"/>
  <c r="W31" i="706"/>
  <c r="V31" i="706"/>
  <c r="N31" i="706"/>
  <c r="K31" i="706"/>
  <c r="AG31" i="706" s="1"/>
  <c r="J31" i="706"/>
  <c r="P31" i="706" s="1"/>
  <c r="H31" i="706"/>
  <c r="F31" i="706"/>
  <c r="AG30" i="706"/>
  <c r="W30" i="706"/>
  <c r="V30" i="706"/>
  <c r="N30" i="706"/>
  <c r="K30" i="706"/>
  <c r="J30" i="706"/>
  <c r="P30" i="706" s="1"/>
  <c r="F30" i="706"/>
  <c r="H30" i="706" s="1"/>
  <c r="W29" i="706"/>
  <c r="V29" i="706"/>
  <c r="P29" i="706"/>
  <c r="N29" i="706"/>
  <c r="L29" i="706"/>
  <c r="K29" i="706"/>
  <c r="J29" i="706"/>
  <c r="H29" i="706"/>
  <c r="F29" i="706"/>
  <c r="W28" i="706"/>
  <c r="N28" i="706" s="1"/>
  <c r="V28" i="706"/>
  <c r="J28" i="706"/>
  <c r="F28" i="706"/>
  <c r="H28" i="706" s="1"/>
  <c r="AF27" i="706"/>
  <c r="W27" i="706"/>
  <c r="N27" i="706" s="1"/>
  <c r="P27" i="706"/>
  <c r="O27" i="706"/>
  <c r="J27" i="706"/>
  <c r="L27" i="706" s="1"/>
  <c r="H27" i="706"/>
  <c r="F27" i="706"/>
  <c r="AE26" i="706"/>
  <c r="E21" i="705" s="1"/>
  <c r="AD26" i="706"/>
  <c r="E20" i="705" s="1"/>
  <c r="AA26" i="706"/>
  <c r="E19" i="705" s="1"/>
  <c r="Z26" i="706"/>
  <c r="M26" i="706"/>
  <c r="P26" i="706" s="1"/>
  <c r="J26" i="706"/>
  <c r="W25" i="706"/>
  <c r="H25" i="706"/>
  <c r="W24" i="706"/>
  <c r="H24" i="706"/>
  <c r="W23" i="706"/>
  <c r="W21" i="706"/>
  <c r="V21" i="706"/>
  <c r="P21" i="706"/>
  <c r="O21" i="706"/>
  <c r="N21" i="706"/>
  <c r="K21" i="706"/>
  <c r="L21" i="706" s="1"/>
  <c r="H21" i="706"/>
  <c r="F21" i="706"/>
  <c r="W20" i="706"/>
  <c r="N20" i="706" s="1"/>
  <c r="O20" i="706" s="1"/>
  <c r="V20" i="706"/>
  <c r="P20" i="706"/>
  <c r="L20" i="706"/>
  <c r="K20" i="706"/>
  <c r="F20" i="706"/>
  <c r="H20" i="706" s="1"/>
  <c r="AG19" i="706"/>
  <c r="AF19" i="706"/>
  <c r="W19" i="706"/>
  <c r="V19" i="706"/>
  <c r="R19" i="706"/>
  <c r="Q19" i="706"/>
  <c r="P19" i="706"/>
  <c r="O19" i="706"/>
  <c r="N19" i="706"/>
  <c r="K19" i="706"/>
  <c r="L19" i="706" s="1"/>
  <c r="F19" i="706"/>
  <c r="H19" i="706" s="1"/>
  <c r="AG18" i="706"/>
  <c r="W18" i="706"/>
  <c r="V18" i="706"/>
  <c r="P18" i="706"/>
  <c r="O18" i="706"/>
  <c r="N18" i="706"/>
  <c r="K18" i="706"/>
  <c r="H18" i="706"/>
  <c r="F18" i="706"/>
  <c r="W17" i="706"/>
  <c r="V17" i="706"/>
  <c r="P17" i="706"/>
  <c r="N17" i="706"/>
  <c r="L17" i="706"/>
  <c r="K17" i="706"/>
  <c r="H17" i="706"/>
  <c r="F17" i="706"/>
  <c r="W16" i="706"/>
  <c r="N16" i="706" s="1"/>
  <c r="AG16" i="706" s="1"/>
  <c r="P16" i="706"/>
  <c r="O16" i="706"/>
  <c r="L16" i="706"/>
  <c r="K16" i="706"/>
  <c r="F16" i="706"/>
  <c r="H16" i="706" s="1"/>
  <c r="AE15" i="706"/>
  <c r="D21" i="705" s="1"/>
  <c r="AD15" i="706"/>
  <c r="AA15" i="706"/>
  <c r="Z15" i="706"/>
  <c r="M15" i="706"/>
  <c r="J15" i="706"/>
  <c r="P15" i="706" s="1"/>
  <c r="W14" i="706"/>
  <c r="W13" i="706"/>
  <c r="W12" i="706"/>
  <c r="AG11" i="706"/>
  <c r="AF11" i="706"/>
  <c r="W11" i="706"/>
  <c r="AG10" i="706"/>
  <c r="AF10" i="706"/>
  <c r="W10" i="706"/>
  <c r="AG9" i="706"/>
  <c r="AF9" i="706"/>
  <c r="W9" i="706"/>
  <c r="AG8" i="706"/>
  <c r="AF8" i="706"/>
  <c r="W8" i="706"/>
  <c r="N8" i="706" s="1"/>
  <c r="O8" i="706" s="1"/>
  <c r="V8" i="706"/>
  <c r="R8" i="706"/>
  <c r="P8" i="706"/>
  <c r="K8" i="706"/>
  <c r="L8" i="706" s="1"/>
  <c r="Q8" i="706" s="1"/>
  <c r="H8" i="706"/>
  <c r="F8" i="706"/>
  <c r="W7" i="706"/>
  <c r="N7" i="706" s="1"/>
  <c r="V7" i="706"/>
  <c r="R7" i="706"/>
  <c r="P7" i="706"/>
  <c r="O7" i="706"/>
  <c r="K7" i="706"/>
  <c r="L7" i="706" s="1"/>
  <c r="H7" i="706"/>
  <c r="F7" i="706"/>
  <c r="W6" i="706"/>
  <c r="V6" i="706"/>
  <c r="P6" i="706"/>
  <c r="N6" i="706"/>
  <c r="L6" i="706"/>
  <c r="K6" i="706"/>
  <c r="H6" i="706"/>
  <c r="G1" i="706" s="1"/>
  <c r="F6" i="706"/>
  <c r="AF5" i="706"/>
  <c r="W5" i="706"/>
  <c r="P5" i="706"/>
  <c r="O5" i="706"/>
  <c r="N5" i="706"/>
  <c r="K5" i="706"/>
  <c r="F5" i="706"/>
  <c r="H5" i="706" s="1"/>
  <c r="I2" i="706"/>
  <c r="E1" i="706"/>
  <c r="I22" i="705"/>
  <c r="E22" i="705"/>
  <c r="D22" i="705"/>
  <c r="J21" i="705"/>
  <c r="H21" i="705"/>
  <c r="G21" i="705"/>
  <c r="J20" i="705"/>
  <c r="G20" i="705"/>
  <c r="F20" i="705"/>
  <c r="D20" i="705"/>
  <c r="J19" i="705"/>
  <c r="I19" i="705"/>
  <c r="H19" i="705"/>
  <c r="G19" i="705"/>
  <c r="J18" i="705"/>
  <c r="H18" i="705"/>
  <c r="G18" i="705"/>
  <c r="D18" i="705"/>
  <c r="J16" i="705"/>
  <c r="I16" i="705"/>
  <c r="H16" i="705"/>
  <c r="G16" i="705"/>
  <c r="F16" i="705"/>
  <c r="E16" i="705"/>
  <c r="D16" i="705"/>
  <c r="O8" i="705"/>
  <c r="N8" i="705"/>
  <c r="M8" i="705"/>
  <c r="L8" i="705"/>
  <c r="O7" i="705"/>
  <c r="N7" i="705"/>
  <c r="M7" i="705"/>
  <c r="L7" i="705"/>
  <c r="O6" i="705"/>
  <c r="N6" i="705"/>
  <c r="G3" i="705"/>
  <c r="AE79" i="704"/>
  <c r="AD79" i="704"/>
  <c r="AA79" i="704"/>
  <c r="Z79" i="704"/>
  <c r="N79" i="704"/>
  <c r="M79" i="704"/>
  <c r="W78" i="704"/>
  <c r="W77" i="704"/>
  <c r="W76" i="704"/>
  <c r="W75" i="704"/>
  <c r="W74" i="704"/>
  <c r="W73" i="704"/>
  <c r="N73" i="704" s="1"/>
  <c r="O73" i="704" s="1"/>
  <c r="V73" i="704"/>
  <c r="P73" i="704"/>
  <c r="K73" i="704"/>
  <c r="L73" i="704" s="1"/>
  <c r="Q73" i="704" s="1"/>
  <c r="J73" i="704"/>
  <c r="F73" i="704"/>
  <c r="H73" i="704" s="1"/>
  <c r="W72" i="704"/>
  <c r="N72" i="704" s="1"/>
  <c r="O72" i="704" s="1"/>
  <c r="V72" i="704"/>
  <c r="K72" i="704"/>
  <c r="J72" i="704"/>
  <c r="F72" i="704"/>
  <c r="H72" i="704" s="1"/>
  <c r="W71" i="704"/>
  <c r="N71" i="704" s="1"/>
  <c r="O71" i="704" s="1"/>
  <c r="V71" i="704"/>
  <c r="P71" i="704"/>
  <c r="K71" i="704"/>
  <c r="J71" i="704"/>
  <c r="L71" i="704" s="1"/>
  <c r="H71" i="704"/>
  <c r="F71" i="704"/>
  <c r="AF70" i="704"/>
  <c r="W70" i="704"/>
  <c r="N70" i="704" s="1"/>
  <c r="K70" i="704"/>
  <c r="J70" i="704"/>
  <c r="H70" i="704"/>
  <c r="F70" i="704"/>
  <c r="AE69" i="704"/>
  <c r="AD69" i="704"/>
  <c r="AA69" i="704"/>
  <c r="Z69" i="704"/>
  <c r="I18" i="703" s="1"/>
  <c r="M69" i="704"/>
  <c r="W68" i="704"/>
  <c r="H68" i="704"/>
  <c r="W67" i="704"/>
  <c r="W66" i="704"/>
  <c r="W65" i="704"/>
  <c r="W64" i="704"/>
  <c r="W63" i="704"/>
  <c r="N63" i="704" s="1"/>
  <c r="O63" i="704" s="1"/>
  <c r="V63" i="704"/>
  <c r="P63" i="704"/>
  <c r="K63" i="704"/>
  <c r="L63" i="704" s="1"/>
  <c r="J63" i="704"/>
  <c r="F63" i="704"/>
  <c r="H63" i="704" s="1"/>
  <c r="W62" i="704"/>
  <c r="N62" i="704" s="1"/>
  <c r="V62" i="704"/>
  <c r="L62" i="704"/>
  <c r="K62" i="704"/>
  <c r="J62" i="704"/>
  <c r="P62" i="704" s="1"/>
  <c r="F62" i="704"/>
  <c r="H62" i="704" s="1"/>
  <c r="W61" i="704"/>
  <c r="N61" i="704" s="1"/>
  <c r="V61" i="704"/>
  <c r="P61" i="704"/>
  <c r="L61" i="704"/>
  <c r="K61" i="704"/>
  <c r="J61" i="704"/>
  <c r="H61" i="704"/>
  <c r="F61" i="704"/>
  <c r="W60" i="704"/>
  <c r="V60" i="704"/>
  <c r="N60" i="704"/>
  <c r="L60" i="704"/>
  <c r="L69" i="704" s="1"/>
  <c r="I13" i="703" s="1"/>
  <c r="K60" i="704"/>
  <c r="J60" i="704"/>
  <c r="P60" i="704" s="1"/>
  <c r="H60" i="704"/>
  <c r="F60" i="704"/>
  <c r="W59" i="704"/>
  <c r="P59" i="704"/>
  <c r="N59" i="704"/>
  <c r="L59" i="704"/>
  <c r="K59" i="704"/>
  <c r="J59" i="704"/>
  <c r="F59" i="704"/>
  <c r="H59" i="704" s="1"/>
  <c r="AE58" i="704"/>
  <c r="H21" i="703" s="1"/>
  <c r="AD58" i="704"/>
  <c r="AA58" i="704"/>
  <c r="Z58" i="704"/>
  <c r="M58" i="704"/>
  <c r="K58" i="704"/>
  <c r="J58" i="704"/>
  <c r="W57" i="704"/>
  <c r="W56" i="704"/>
  <c r="W55" i="704"/>
  <c r="W54" i="704"/>
  <c r="AG53" i="704"/>
  <c r="AF53" i="704"/>
  <c r="W53" i="704"/>
  <c r="W52" i="704"/>
  <c r="N52" i="704" s="1"/>
  <c r="V52" i="704"/>
  <c r="P52" i="704"/>
  <c r="L52" i="704"/>
  <c r="K52" i="704"/>
  <c r="J52" i="704"/>
  <c r="H52" i="704"/>
  <c r="F52" i="704"/>
  <c r="AG51" i="704"/>
  <c r="AF51" i="704"/>
  <c r="W51" i="704"/>
  <c r="N51" i="704" s="1"/>
  <c r="V51" i="704"/>
  <c r="P51" i="704"/>
  <c r="O51" i="704"/>
  <c r="K51" i="704"/>
  <c r="J51" i="704"/>
  <c r="H51" i="704"/>
  <c r="F51" i="704"/>
  <c r="AG50" i="704"/>
  <c r="AF50" i="704"/>
  <c r="W50" i="704"/>
  <c r="V50" i="704"/>
  <c r="N50" i="704"/>
  <c r="O50" i="704" s="1"/>
  <c r="L50" i="704"/>
  <c r="R50" i="704" s="1"/>
  <c r="K50" i="704"/>
  <c r="J50" i="704"/>
  <c r="P50" i="704" s="1"/>
  <c r="H50" i="704"/>
  <c r="F50" i="704"/>
  <c r="AG49" i="704"/>
  <c r="W49" i="704"/>
  <c r="N49" i="704" s="1"/>
  <c r="P49" i="704"/>
  <c r="K49" i="704"/>
  <c r="L49" i="704" s="1"/>
  <c r="J49" i="704"/>
  <c r="F49" i="704"/>
  <c r="H49" i="704" s="1"/>
  <c r="AE48" i="704"/>
  <c r="AD48" i="704"/>
  <c r="G20" i="703" s="1"/>
  <c r="AA48" i="704"/>
  <c r="G19" i="703" s="1"/>
  <c r="Z48" i="704"/>
  <c r="W48" i="704"/>
  <c r="M48" i="704"/>
  <c r="J48" i="704"/>
  <c r="W47" i="704"/>
  <c r="H47" i="704"/>
  <c r="W46" i="704"/>
  <c r="W45" i="704"/>
  <c r="W44" i="704"/>
  <c r="W43" i="704"/>
  <c r="W42" i="704"/>
  <c r="AG41" i="704"/>
  <c r="AF41" i="704"/>
  <c r="W41" i="704"/>
  <c r="W40" i="704"/>
  <c r="V40" i="704"/>
  <c r="P40" i="704"/>
  <c r="N40" i="704"/>
  <c r="K40" i="704"/>
  <c r="L40" i="704" s="1"/>
  <c r="J40" i="704"/>
  <c r="F40" i="704"/>
  <c r="H40" i="704" s="1"/>
  <c r="AF39" i="704"/>
  <c r="W39" i="704"/>
  <c r="V39" i="704"/>
  <c r="P39" i="704"/>
  <c r="O39" i="704"/>
  <c r="N39" i="704"/>
  <c r="AG39" i="704" s="1"/>
  <c r="K39" i="704"/>
  <c r="L39" i="704" s="1"/>
  <c r="J39" i="704"/>
  <c r="F39" i="704"/>
  <c r="H39" i="704" s="1"/>
  <c r="W38" i="704"/>
  <c r="N38" i="704" s="1"/>
  <c r="L38" i="704"/>
  <c r="K38" i="704"/>
  <c r="J38" i="704"/>
  <c r="P38" i="704" s="1"/>
  <c r="F38" i="704"/>
  <c r="H38" i="704" s="1"/>
  <c r="AE37" i="704"/>
  <c r="AD37" i="704"/>
  <c r="AA37" i="704"/>
  <c r="Z37" i="704"/>
  <c r="M37" i="704"/>
  <c r="W36" i="704"/>
  <c r="W35" i="704"/>
  <c r="W34" i="704"/>
  <c r="V34" i="704"/>
  <c r="R34" i="704"/>
  <c r="O34" i="704"/>
  <c r="N34" i="704"/>
  <c r="K34" i="704"/>
  <c r="L34" i="704" s="1"/>
  <c r="J34" i="704"/>
  <c r="P34" i="704" s="1"/>
  <c r="H34" i="704"/>
  <c r="F34" i="704"/>
  <c r="W33" i="704"/>
  <c r="V33" i="704"/>
  <c r="N33" i="704"/>
  <c r="O33" i="704" s="1"/>
  <c r="J33" i="704"/>
  <c r="F33" i="704"/>
  <c r="H33" i="704" s="1"/>
  <c r="W32" i="704"/>
  <c r="V32" i="704"/>
  <c r="N32" i="704"/>
  <c r="O32" i="704" s="1"/>
  <c r="J32" i="704"/>
  <c r="H32" i="704"/>
  <c r="F32" i="704"/>
  <c r="W31" i="704"/>
  <c r="V31" i="704"/>
  <c r="N31" i="704"/>
  <c r="L31" i="704"/>
  <c r="J31" i="704"/>
  <c r="P31" i="704" s="1"/>
  <c r="F31" i="704"/>
  <c r="H31" i="704" s="1"/>
  <c r="W30" i="704"/>
  <c r="N30" i="704" s="1"/>
  <c r="V30" i="704"/>
  <c r="K30" i="704"/>
  <c r="J30" i="704"/>
  <c r="P30" i="704" s="1"/>
  <c r="F30" i="704"/>
  <c r="H30" i="704" s="1"/>
  <c r="AG29" i="704"/>
  <c r="W29" i="704"/>
  <c r="N29" i="704" s="1"/>
  <c r="V29" i="704"/>
  <c r="P29" i="704"/>
  <c r="L29" i="704"/>
  <c r="K29" i="704"/>
  <c r="J29" i="704"/>
  <c r="F29" i="704"/>
  <c r="H29" i="704" s="1"/>
  <c r="AF28" i="704"/>
  <c r="W28" i="704"/>
  <c r="N28" i="704" s="1"/>
  <c r="AG28" i="704" s="1"/>
  <c r="V28" i="704"/>
  <c r="O28" i="704"/>
  <c r="J28" i="704"/>
  <c r="F28" i="704"/>
  <c r="H28" i="704" s="1"/>
  <c r="W27" i="704"/>
  <c r="N27" i="704" s="1"/>
  <c r="J27" i="704"/>
  <c r="H27" i="704"/>
  <c r="F27" i="704"/>
  <c r="AE26" i="704"/>
  <c r="E21" i="703" s="1"/>
  <c r="AD26" i="704"/>
  <c r="AA26" i="704"/>
  <c r="E19" i="703" s="1"/>
  <c r="Z26" i="704"/>
  <c r="O26" i="704"/>
  <c r="M26" i="704"/>
  <c r="J26" i="704"/>
  <c r="W25" i="704"/>
  <c r="H25" i="704"/>
  <c r="W24" i="704"/>
  <c r="H24" i="704"/>
  <c r="W23" i="704"/>
  <c r="W21" i="704"/>
  <c r="N21" i="704" s="1"/>
  <c r="O21" i="704" s="1"/>
  <c r="V21" i="704"/>
  <c r="P21" i="704"/>
  <c r="K21" i="704"/>
  <c r="L21" i="704" s="1"/>
  <c r="F21" i="704"/>
  <c r="H21" i="704" s="1"/>
  <c r="W20" i="704"/>
  <c r="V20" i="704"/>
  <c r="P20" i="704"/>
  <c r="O20" i="704"/>
  <c r="N20" i="704"/>
  <c r="L20" i="704"/>
  <c r="K20" i="704"/>
  <c r="H20" i="704"/>
  <c r="F20" i="704"/>
  <c r="AF19" i="704"/>
  <c r="W19" i="704"/>
  <c r="V19" i="704"/>
  <c r="P19" i="704"/>
  <c r="O19" i="704"/>
  <c r="N19" i="704"/>
  <c r="AG19" i="704" s="1"/>
  <c r="L19" i="704"/>
  <c r="K19" i="704"/>
  <c r="F19" i="704"/>
  <c r="H19" i="704" s="1"/>
  <c r="AG18" i="704"/>
  <c r="AF18" i="704"/>
  <c r="W18" i="704"/>
  <c r="V18" i="704"/>
  <c r="P18" i="704"/>
  <c r="O18" i="704"/>
  <c r="N18" i="704"/>
  <c r="L18" i="704"/>
  <c r="Q18" i="704" s="1"/>
  <c r="K18" i="704"/>
  <c r="F18" i="704"/>
  <c r="H18" i="704" s="1"/>
  <c r="AG17" i="704"/>
  <c r="AF17" i="704"/>
  <c r="W17" i="704"/>
  <c r="V17" i="704"/>
  <c r="P17" i="704"/>
  <c r="O17" i="704"/>
  <c r="N17" i="704"/>
  <c r="K17" i="704"/>
  <c r="L17" i="704" s="1"/>
  <c r="Q17" i="704" s="1"/>
  <c r="F17" i="704"/>
  <c r="H17" i="704" s="1"/>
  <c r="AG16" i="704"/>
  <c r="W16" i="704"/>
  <c r="N16" i="704" s="1"/>
  <c r="O16" i="704" s="1"/>
  <c r="R16" i="704"/>
  <c r="P16" i="704"/>
  <c r="L16" i="704"/>
  <c r="Q16" i="704" s="1"/>
  <c r="K16" i="704"/>
  <c r="AF16" i="704" s="1"/>
  <c r="H16" i="704"/>
  <c r="F16" i="704"/>
  <c r="AE15" i="704"/>
  <c r="D21" i="703" s="1"/>
  <c r="AD15" i="704"/>
  <c r="AA15" i="704"/>
  <c r="Z15" i="704"/>
  <c r="M15" i="704"/>
  <c r="J15" i="704"/>
  <c r="W14" i="704"/>
  <c r="W13" i="704"/>
  <c r="W12" i="704"/>
  <c r="AG11" i="704"/>
  <c r="AF11" i="704"/>
  <c r="W11" i="704"/>
  <c r="AG10" i="704"/>
  <c r="AF10" i="704"/>
  <c r="W10" i="704"/>
  <c r="AG9" i="704"/>
  <c r="AF9" i="704"/>
  <c r="W9" i="704"/>
  <c r="W8" i="704"/>
  <c r="V8" i="704"/>
  <c r="P8" i="704"/>
  <c r="N8" i="704"/>
  <c r="K8" i="704"/>
  <c r="L8" i="704" s="1"/>
  <c r="H8" i="704"/>
  <c r="F8" i="704"/>
  <c r="W7" i="704"/>
  <c r="V7" i="704"/>
  <c r="P7" i="704"/>
  <c r="O7" i="704"/>
  <c r="N7" i="704"/>
  <c r="L7" i="704"/>
  <c r="K7" i="704"/>
  <c r="H7" i="704"/>
  <c r="F7" i="704"/>
  <c r="W6" i="704"/>
  <c r="V6" i="704"/>
  <c r="R6" i="704"/>
  <c r="P6" i="704"/>
  <c r="O6" i="704"/>
  <c r="N6" i="704"/>
  <c r="L6" i="704"/>
  <c r="K6" i="704"/>
  <c r="F6" i="704"/>
  <c r="H6" i="704" s="1"/>
  <c r="W5" i="704"/>
  <c r="P5" i="704"/>
  <c r="O5" i="704"/>
  <c r="N5" i="704"/>
  <c r="K5" i="704"/>
  <c r="F5" i="704"/>
  <c r="H5" i="704" s="1"/>
  <c r="I2" i="704"/>
  <c r="E1" i="704"/>
  <c r="G3" i="703" s="1"/>
  <c r="H22" i="703"/>
  <c r="G22" i="703"/>
  <c r="J21" i="703"/>
  <c r="I21" i="703"/>
  <c r="G21" i="703"/>
  <c r="J20" i="703"/>
  <c r="I20" i="703"/>
  <c r="H20" i="703"/>
  <c r="F20" i="703"/>
  <c r="D20" i="703"/>
  <c r="J19" i="703"/>
  <c r="I19" i="703"/>
  <c r="H19" i="703"/>
  <c r="F19" i="703"/>
  <c r="J18" i="703"/>
  <c r="H18" i="703"/>
  <c r="G18" i="703"/>
  <c r="F18" i="703"/>
  <c r="E18" i="703"/>
  <c r="J16" i="703"/>
  <c r="I16" i="703"/>
  <c r="H16" i="703"/>
  <c r="G16" i="703"/>
  <c r="F16" i="703"/>
  <c r="E16" i="703"/>
  <c r="D16" i="703"/>
  <c r="O8" i="703"/>
  <c r="N8" i="703"/>
  <c r="M8" i="703"/>
  <c r="L8" i="703"/>
  <c r="O7" i="703"/>
  <c r="N7" i="703"/>
  <c r="M7" i="703"/>
  <c r="L7" i="703"/>
  <c r="AE79" i="702"/>
  <c r="J21" i="701" s="1"/>
  <c r="AD79" i="702"/>
  <c r="J20" i="701" s="1"/>
  <c r="AA79" i="702"/>
  <c r="J18" i="701" s="1"/>
  <c r="Z79" i="702"/>
  <c r="M79" i="702"/>
  <c r="W78" i="702"/>
  <c r="H78" i="702"/>
  <c r="W77" i="702"/>
  <c r="H77" i="702"/>
  <c r="W76" i="702"/>
  <c r="W75" i="702"/>
  <c r="W74" i="702"/>
  <c r="W73" i="702"/>
  <c r="P73" i="702"/>
  <c r="O73" i="702"/>
  <c r="N73" i="702"/>
  <c r="K73" i="702"/>
  <c r="L73" i="702" s="1"/>
  <c r="J73" i="702"/>
  <c r="F73" i="702"/>
  <c r="H73" i="702" s="1"/>
  <c r="W72" i="702"/>
  <c r="N72" i="702" s="1"/>
  <c r="O72" i="702" s="1"/>
  <c r="P72" i="702"/>
  <c r="K72" i="702"/>
  <c r="L72" i="702" s="1"/>
  <c r="J72" i="702"/>
  <c r="F72" i="702"/>
  <c r="H72" i="702" s="1"/>
  <c r="W71" i="702"/>
  <c r="N71" i="702" s="1"/>
  <c r="O71" i="702" s="1"/>
  <c r="L71" i="702"/>
  <c r="K71" i="702"/>
  <c r="J71" i="702"/>
  <c r="P71" i="702" s="1"/>
  <c r="F71" i="702"/>
  <c r="H71" i="702" s="1"/>
  <c r="AG70" i="702"/>
  <c r="W70" i="702"/>
  <c r="P70" i="702"/>
  <c r="O70" i="702"/>
  <c r="N70" i="702"/>
  <c r="J70" i="702"/>
  <c r="H70" i="702"/>
  <c r="F70" i="702"/>
  <c r="AE69" i="702"/>
  <c r="AD69" i="702"/>
  <c r="AA69" i="702"/>
  <c r="I19" i="701" s="1"/>
  <c r="Z69" i="702"/>
  <c r="I18" i="701" s="1"/>
  <c r="M69" i="702"/>
  <c r="W68" i="702"/>
  <c r="H68" i="702"/>
  <c r="W67" i="702"/>
  <c r="W66" i="702"/>
  <c r="W65" i="702"/>
  <c r="W64" i="702"/>
  <c r="W63" i="702"/>
  <c r="AG62" i="702"/>
  <c r="AF62" i="702"/>
  <c r="W62" i="702"/>
  <c r="W61" i="702"/>
  <c r="V61" i="702"/>
  <c r="N61" i="702"/>
  <c r="L61" i="702"/>
  <c r="K61" i="702"/>
  <c r="J61" i="702"/>
  <c r="P61" i="702" s="1"/>
  <c r="F61" i="702"/>
  <c r="H61" i="702" s="1"/>
  <c r="AG60" i="702"/>
  <c r="AF60" i="702"/>
  <c r="W60" i="702"/>
  <c r="V60" i="702"/>
  <c r="N60" i="702"/>
  <c r="O60" i="702" s="1"/>
  <c r="L60" i="702"/>
  <c r="K60" i="702"/>
  <c r="J60" i="702"/>
  <c r="P60" i="702" s="1"/>
  <c r="H60" i="702"/>
  <c r="F60" i="702"/>
  <c r="AF59" i="702"/>
  <c r="W59" i="702"/>
  <c r="N59" i="702" s="1"/>
  <c r="K59" i="702"/>
  <c r="J59" i="702"/>
  <c r="F59" i="702"/>
  <c r="H59" i="702" s="1"/>
  <c r="AE58" i="702"/>
  <c r="H21" i="701" s="1"/>
  <c r="AD58" i="702"/>
  <c r="AA58" i="702"/>
  <c r="Z58" i="702"/>
  <c r="M58" i="702"/>
  <c r="W57" i="702"/>
  <c r="W56" i="702"/>
  <c r="W55" i="702"/>
  <c r="W54" i="702"/>
  <c r="AG53" i="702"/>
  <c r="AF53" i="702"/>
  <c r="W53" i="702"/>
  <c r="W52" i="702"/>
  <c r="N52" i="702" s="1"/>
  <c r="V52" i="702"/>
  <c r="P52" i="702"/>
  <c r="K52" i="702"/>
  <c r="L52" i="702" s="1"/>
  <c r="J52" i="702"/>
  <c r="H52" i="702"/>
  <c r="F52" i="702"/>
  <c r="W51" i="702"/>
  <c r="N51" i="702" s="1"/>
  <c r="V51" i="702"/>
  <c r="K51" i="702"/>
  <c r="J51" i="702"/>
  <c r="F51" i="702"/>
  <c r="H51" i="702" s="1"/>
  <c r="AG50" i="702"/>
  <c r="AF50" i="702"/>
  <c r="W50" i="702"/>
  <c r="V50" i="702"/>
  <c r="N50" i="702"/>
  <c r="O50" i="702" s="1"/>
  <c r="K50" i="702"/>
  <c r="J50" i="702"/>
  <c r="F50" i="702"/>
  <c r="H50" i="702" s="1"/>
  <c r="AF49" i="702"/>
  <c r="W49" i="702"/>
  <c r="N49" i="702" s="1"/>
  <c r="P49" i="702"/>
  <c r="O49" i="702"/>
  <c r="K49" i="702"/>
  <c r="J49" i="702"/>
  <c r="F49" i="702"/>
  <c r="H49" i="702" s="1"/>
  <c r="AE48" i="702"/>
  <c r="G21" i="701" s="1"/>
  <c r="AD48" i="702"/>
  <c r="G20" i="701" s="1"/>
  <c r="AA48" i="702"/>
  <c r="Z48" i="702"/>
  <c r="W48" i="702"/>
  <c r="M48" i="702"/>
  <c r="W47" i="702"/>
  <c r="H47" i="702"/>
  <c r="W46" i="702"/>
  <c r="W45" i="702"/>
  <c r="W44" i="702"/>
  <c r="W43" i="702"/>
  <c r="W42" i="702"/>
  <c r="AG41" i="702"/>
  <c r="AF41" i="702"/>
  <c r="W41" i="702"/>
  <c r="AG40" i="702"/>
  <c r="AF40" i="702"/>
  <c r="W40" i="702"/>
  <c r="W39" i="702"/>
  <c r="V39" i="702"/>
  <c r="O39" i="702"/>
  <c r="N39" i="702"/>
  <c r="K39" i="702"/>
  <c r="J39" i="702"/>
  <c r="H39" i="702"/>
  <c r="F39" i="702"/>
  <c r="W38" i="702"/>
  <c r="O38" i="702"/>
  <c r="N38" i="702"/>
  <c r="K38" i="702"/>
  <c r="J38" i="702"/>
  <c r="P38" i="702" s="1"/>
  <c r="H38" i="702"/>
  <c r="F38" i="702"/>
  <c r="AE37" i="702"/>
  <c r="AD37" i="702"/>
  <c r="AA37" i="702"/>
  <c r="Z37" i="702"/>
  <c r="F18" i="701" s="1"/>
  <c r="M37" i="702"/>
  <c r="W36" i="702"/>
  <c r="H36" i="702"/>
  <c r="W35" i="702"/>
  <c r="W34" i="702"/>
  <c r="W33" i="702"/>
  <c r="N33" i="702" s="1"/>
  <c r="O33" i="702" s="1"/>
  <c r="V33" i="702"/>
  <c r="P33" i="702"/>
  <c r="J33" i="702"/>
  <c r="L33" i="702" s="1"/>
  <c r="F33" i="702"/>
  <c r="H33" i="702" s="1"/>
  <c r="W32" i="702"/>
  <c r="N32" i="702" s="1"/>
  <c r="O32" i="702" s="1"/>
  <c r="V32" i="702"/>
  <c r="Q32" i="702"/>
  <c r="P32" i="702"/>
  <c r="L32" i="702"/>
  <c r="J32" i="702"/>
  <c r="F32" i="702"/>
  <c r="H32" i="702" s="1"/>
  <c r="W31" i="702"/>
  <c r="N31" i="702" s="1"/>
  <c r="V31" i="702"/>
  <c r="P31" i="702"/>
  <c r="L31" i="702"/>
  <c r="J31" i="702"/>
  <c r="F31" i="702"/>
  <c r="H31" i="702" s="1"/>
  <c r="AG30" i="702"/>
  <c r="W30" i="702"/>
  <c r="V30" i="702"/>
  <c r="R30" i="702"/>
  <c r="O30" i="702"/>
  <c r="Q30" i="702" s="1"/>
  <c r="N30" i="702"/>
  <c r="AF30" i="702" s="1"/>
  <c r="L30" i="702"/>
  <c r="K30" i="702"/>
  <c r="J30" i="702"/>
  <c r="P30" i="702" s="1"/>
  <c r="H30" i="702"/>
  <c r="F30" i="702"/>
  <c r="W29" i="702"/>
  <c r="N29" i="702" s="1"/>
  <c r="V29" i="702"/>
  <c r="P29" i="702"/>
  <c r="O29" i="702"/>
  <c r="K29" i="702"/>
  <c r="J29" i="702"/>
  <c r="H29" i="702"/>
  <c r="F29" i="702"/>
  <c r="AF28" i="702"/>
  <c r="W28" i="702"/>
  <c r="N28" i="702" s="1"/>
  <c r="V28" i="702"/>
  <c r="L28" i="702"/>
  <c r="J28" i="702"/>
  <c r="P28" i="702" s="1"/>
  <c r="H28" i="702"/>
  <c r="F28" i="702"/>
  <c r="AF27" i="702"/>
  <c r="W27" i="702"/>
  <c r="N27" i="702" s="1"/>
  <c r="P27" i="702"/>
  <c r="L27" i="702"/>
  <c r="J27" i="702"/>
  <c r="J37" i="702" s="1"/>
  <c r="P37" i="702" s="1"/>
  <c r="F27" i="702"/>
  <c r="H27" i="702" s="1"/>
  <c r="AE26" i="702"/>
  <c r="AD26" i="702"/>
  <c r="AD2" i="702" s="1"/>
  <c r="AA26" i="702"/>
  <c r="Z26" i="702"/>
  <c r="P26" i="702"/>
  <c r="M26" i="702"/>
  <c r="K26" i="702"/>
  <c r="J26" i="702"/>
  <c r="W25" i="702"/>
  <c r="H25" i="702"/>
  <c r="W24" i="702"/>
  <c r="H24" i="702"/>
  <c r="W23" i="702"/>
  <c r="W21" i="702"/>
  <c r="N21" i="702" s="1"/>
  <c r="O21" i="702" s="1"/>
  <c r="V21" i="702"/>
  <c r="P21" i="702"/>
  <c r="L21" i="702"/>
  <c r="K21" i="702"/>
  <c r="H21" i="702"/>
  <c r="F21" i="702"/>
  <c r="W20" i="702"/>
  <c r="N20" i="702" s="1"/>
  <c r="O20" i="702" s="1"/>
  <c r="Q20" i="702" s="1"/>
  <c r="V20" i="702"/>
  <c r="R20" i="702"/>
  <c r="P20" i="702"/>
  <c r="L20" i="702"/>
  <c r="K20" i="702"/>
  <c r="F20" i="702"/>
  <c r="H20" i="702" s="1"/>
  <c r="W19" i="702"/>
  <c r="V19" i="702"/>
  <c r="P19" i="702"/>
  <c r="N19" i="702"/>
  <c r="L19" i="702"/>
  <c r="K19" i="702"/>
  <c r="F19" i="702"/>
  <c r="H19" i="702" s="1"/>
  <c r="AF18" i="702"/>
  <c r="W18" i="702"/>
  <c r="N18" i="702" s="1"/>
  <c r="V18" i="702"/>
  <c r="P18" i="702"/>
  <c r="K18" i="702"/>
  <c r="L18" i="702" s="1"/>
  <c r="H18" i="702"/>
  <c r="F18" i="702"/>
  <c r="AF17" i="702"/>
  <c r="W17" i="702"/>
  <c r="N17" i="702" s="1"/>
  <c r="AG17" i="702" s="1"/>
  <c r="V17" i="702"/>
  <c r="P17" i="702"/>
  <c r="O17" i="702"/>
  <c r="L17" i="702"/>
  <c r="K17" i="702"/>
  <c r="H17" i="702"/>
  <c r="F17" i="702"/>
  <c r="AG16" i="702"/>
  <c r="W16" i="702"/>
  <c r="P16" i="702"/>
  <c r="N16" i="702"/>
  <c r="L16" i="702"/>
  <c r="K16" i="702"/>
  <c r="F16" i="702"/>
  <c r="H16" i="702" s="1"/>
  <c r="AE15" i="702"/>
  <c r="AD15" i="702"/>
  <c r="D20" i="701" s="1"/>
  <c r="AA15" i="702"/>
  <c r="D19" i="701" s="1"/>
  <c r="Z15" i="702"/>
  <c r="M15" i="702"/>
  <c r="L15" i="702"/>
  <c r="K15" i="702"/>
  <c r="J15" i="702"/>
  <c r="W14" i="702"/>
  <c r="W13" i="702"/>
  <c r="W12" i="702"/>
  <c r="AG11" i="702"/>
  <c r="AF11" i="702"/>
  <c r="W11" i="702"/>
  <c r="AG10" i="702"/>
  <c r="AF10" i="702"/>
  <c r="W10" i="702"/>
  <c r="AG9" i="702"/>
  <c r="AF9" i="702"/>
  <c r="W9" i="702"/>
  <c r="AG8" i="702"/>
  <c r="AF8" i="702"/>
  <c r="W8" i="702"/>
  <c r="W7" i="702"/>
  <c r="N7" i="702" s="1"/>
  <c r="O7" i="702" s="1"/>
  <c r="V7" i="702"/>
  <c r="P7" i="702"/>
  <c r="K7" i="702"/>
  <c r="L7" i="702" s="1"/>
  <c r="J7" i="702"/>
  <c r="H7" i="702"/>
  <c r="F7" i="702"/>
  <c r="W6" i="702"/>
  <c r="N6" i="702" s="1"/>
  <c r="V6" i="702"/>
  <c r="P6" i="702"/>
  <c r="K6" i="702"/>
  <c r="L6" i="702" s="1"/>
  <c r="F6" i="702"/>
  <c r="H6" i="702" s="1"/>
  <c r="W5" i="702"/>
  <c r="P5" i="702"/>
  <c r="N5" i="702"/>
  <c r="L5" i="702"/>
  <c r="K5" i="702"/>
  <c r="F5" i="702"/>
  <c r="H5" i="702" s="1"/>
  <c r="I2" i="702"/>
  <c r="E1" i="702"/>
  <c r="J22" i="701"/>
  <c r="I22" i="701"/>
  <c r="G22" i="701"/>
  <c r="F22" i="701"/>
  <c r="E22" i="701"/>
  <c r="D22" i="701"/>
  <c r="I21" i="701"/>
  <c r="F21" i="701"/>
  <c r="E21" i="701"/>
  <c r="D21" i="701"/>
  <c r="I20" i="701"/>
  <c r="H20" i="701"/>
  <c r="F20" i="701"/>
  <c r="E20" i="701"/>
  <c r="J19" i="701"/>
  <c r="H19" i="701"/>
  <c r="G19" i="701"/>
  <c r="E19" i="701"/>
  <c r="H18" i="701"/>
  <c r="G18" i="701"/>
  <c r="D18" i="701"/>
  <c r="J16" i="701"/>
  <c r="I16" i="701"/>
  <c r="H16" i="701"/>
  <c r="G16" i="701"/>
  <c r="F16" i="701"/>
  <c r="E16" i="701"/>
  <c r="D16" i="701"/>
  <c r="D13" i="701"/>
  <c r="O8" i="701"/>
  <c r="N8" i="701"/>
  <c r="M8" i="701"/>
  <c r="L8" i="701"/>
  <c r="O7" i="701"/>
  <c r="N7" i="701"/>
  <c r="M7" i="701"/>
  <c r="L7" i="701"/>
  <c r="O6" i="701"/>
  <c r="G3" i="701"/>
  <c r="AE79" i="700"/>
  <c r="J21" i="699" s="1"/>
  <c r="AD79" i="700"/>
  <c r="AA79" i="700"/>
  <c r="Z79" i="700"/>
  <c r="M79" i="700"/>
  <c r="J22" i="699" s="1"/>
  <c r="W78" i="700"/>
  <c r="H78" i="700"/>
  <c r="W77" i="700"/>
  <c r="W76" i="700"/>
  <c r="W75" i="700"/>
  <c r="W74" i="700"/>
  <c r="W73" i="700"/>
  <c r="N73" i="700" s="1"/>
  <c r="O73" i="700" s="1"/>
  <c r="V73" i="700"/>
  <c r="P73" i="700"/>
  <c r="K73" i="700"/>
  <c r="L73" i="700" s="1"/>
  <c r="Q73" i="700" s="1"/>
  <c r="J73" i="700"/>
  <c r="F73" i="700"/>
  <c r="H73" i="700" s="1"/>
  <c r="W72" i="700"/>
  <c r="N72" i="700" s="1"/>
  <c r="O72" i="700" s="1"/>
  <c r="V72" i="700"/>
  <c r="P72" i="700"/>
  <c r="L72" i="700"/>
  <c r="K72" i="700"/>
  <c r="J72" i="700"/>
  <c r="H72" i="700"/>
  <c r="F72" i="700"/>
  <c r="W71" i="700"/>
  <c r="N71" i="700" s="1"/>
  <c r="O71" i="700" s="1"/>
  <c r="V71" i="700"/>
  <c r="J71" i="700"/>
  <c r="F71" i="700"/>
  <c r="H71" i="700" s="1"/>
  <c r="W70" i="700"/>
  <c r="O70" i="700"/>
  <c r="N70" i="700"/>
  <c r="K70" i="700"/>
  <c r="J70" i="700"/>
  <c r="H70" i="700"/>
  <c r="F70" i="700"/>
  <c r="AE69" i="700"/>
  <c r="I21" i="699" s="1"/>
  <c r="AD69" i="700"/>
  <c r="AA69" i="700"/>
  <c r="Z69" i="700"/>
  <c r="M69" i="700"/>
  <c r="I22" i="699" s="1"/>
  <c r="K69" i="700"/>
  <c r="W68" i="700"/>
  <c r="H68" i="700"/>
  <c r="W67" i="700"/>
  <c r="W66" i="700"/>
  <c r="W65" i="700"/>
  <c r="W64" i="700"/>
  <c r="W63" i="700"/>
  <c r="AF62" i="700"/>
  <c r="W62" i="700"/>
  <c r="N62" i="700" s="1"/>
  <c r="V62" i="700"/>
  <c r="K62" i="700"/>
  <c r="J62" i="700"/>
  <c r="P62" i="700" s="1"/>
  <c r="H62" i="700"/>
  <c r="F62" i="700"/>
  <c r="AG61" i="700"/>
  <c r="AF61" i="700"/>
  <c r="W61" i="700"/>
  <c r="N61" i="700" s="1"/>
  <c r="O61" i="700" s="1"/>
  <c r="V61" i="700"/>
  <c r="Q61" i="700"/>
  <c r="L61" i="700"/>
  <c r="R61" i="700" s="1"/>
  <c r="K61" i="700"/>
  <c r="J61" i="700"/>
  <c r="P61" i="700" s="1"/>
  <c r="F61" i="700"/>
  <c r="H61" i="700" s="1"/>
  <c r="W60" i="700"/>
  <c r="N60" i="700" s="1"/>
  <c r="V60" i="700"/>
  <c r="L60" i="700"/>
  <c r="K60" i="700"/>
  <c r="J60" i="700"/>
  <c r="P60" i="700" s="1"/>
  <c r="F60" i="700"/>
  <c r="H60" i="700" s="1"/>
  <c r="AG59" i="700"/>
  <c r="AF59" i="700"/>
  <c r="W59" i="700"/>
  <c r="P59" i="700"/>
  <c r="O59" i="700"/>
  <c r="N59" i="700"/>
  <c r="L59" i="700"/>
  <c r="K59" i="700"/>
  <c r="J59" i="700"/>
  <c r="J69" i="700" s="1"/>
  <c r="P69" i="700" s="1"/>
  <c r="F59" i="700"/>
  <c r="H59" i="700" s="1"/>
  <c r="AE58" i="700"/>
  <c r="AD58" i="700"/>
  <c r="AA58" i="700"/>
  <c r="Z58" i="700"/>
  <c r="H18" i="699" s="1"/>
  <c r="M58" i="700"/>
  <c r="W57" i="700"/>
  <c r="W56" i="700"/>
  <c r="W55" i="700"/>
  <c r="W54" i="700"/>
  <c r="AG53" i="700"/>
  <c r="AF53" i="700"/>
  <c r="W53" i="700"/>
  <c r="W52" i="700"/>
  <c r="V52" i="700"/>
  <c r="N52" i="700"/>
  <c r="K52" i="700"/>
  <c r="L52" i="700" s="1"/>
  <c r="J52" i="700"/>
  <c r="P52" i="700" s="1"/>
  <c r="F52" i="700"/>
  <c r="H52" i="700" s="1"/>
  <c r="W51" i="700"/>
  <c r="N51" i="700" s="1"/>
  <c r="V51" i="700"/>
  <c r="K51" i="700"/>
  <c r="L51" i="700" s="1"/>
  <c r="J51" i="700"/>
  <c r="F51" i="700"/>
  <c r="H51" i="700" s="1"/>
  <c r="AF50" i="700"/>
  <c r="W50" i="700"/>
  <c r="V50" i="700"/>
  <c r="P50" i="700"/>
  <c r="O50" i="700"/>
  <c r="N50" i="700"/>
  <c r="AG50" i="700" s="1"/>
  <c r="K50" i="700"/>
  <c r="J50" i="700"/>
  <c r="L50" i="700" s="1"/>
  <c r="H50" i="700"/>
  <c r="F50" i="700"/>
  <c r="W49" i="700"/>
  <c r="P49" i="700"/>
  <c r="N49" i="700"/>
  <c r="K49" i="700"/>
  <c r="J49" i="700"/>
  <c r="H49" i="700"/>
  <c r="F49" i="700"/>
  <c r="AE48" i="700"/>
  <c r="AD48" i="700"/>
  <c r="G20" i="699" s="1"/>
  <c r="AA48" i="700"/>
  <c r="Z48" i="700"/>
  <c r="W48" i="700"/>
  <c r="M48" i="700"/>
  <c r="W47" i="700"/>
  <c r="H47" i="700"/>
  <c r="W46" i="700"/>
  <c r="W45" i="700"/>
  <c r="W44" i="700"/>
  <c r="W43" i="700"/>
  <c r="W42" i="700"/>
  <c r="AG41" i="700"/>
  <c r="AF41" i="700"/>
  <c r="W41" i="700"/>
  <c r="AG40" i="700"/>
  <c r="AF40" i="700"/>
  <c r="W40" i="700"/>
  <c r="W39" i="700"/>
  <c r="N39" i="700" s="1"/>
  <c r="V39" i="700"/>
  <c r="K39" i="700"/>
  <c r="J39" i="700"/>
  <c r="P39" i="700" s="1"/>
  <c r="F39" i="700"/>
  <c r="H39" i="700" s="1"/>
  <c r="AF38" i="700"/>
  <c r="W38" i="700"/>
  <c r="N38" i="700" s="1"/>
  <c r="K38" i="700"/>
  <c r="L38" i="700" s="1"/>
  <c r="J38" i="700"/>
  <c r="F38" i="700"/>
  <c r="H38" i="700" s="1"/>
  <c r="AE37" i="700"/>
  <c r="F21" i="699" s="1"/>
  <c r="AD37" i="700"/>
  <c r="F20" i="699" s="1"/>
  <c r="AA37" i="700"/>
  <c r="Z37" i="700"/>
  <c r="M37" i="700"/>
  <c r="F22" i="699" s="1"/>
  <c r="J37" i="700"/>
  <c r="P37" i="700" s="1"/>
  <c r="W36" i="700"/>
  <c r="H36" i="700"/>
  <c r="W35" i="700"/>
  <c r="W34" i="700"/>
  <c r="W33" i="700"/>
  <c r="W32" i="700"/>
  <c r="W31" i="700"/>
  <c r="N31" i="700" s="1"/>
  <c r="V31" i="700"/>
  <c r="P31" i="700"/>
  <c r="L31" i="700"/>
  <c r="J31" i="700"/>
  <c r="F31" i="700"/>
  <c r="H31" i="700" s="1"/>
  <c r="AG30" i="700"/>
  <c r="AF30" i="700"/>
  <c r="W30" i="700"/>
  <c r="N30" i="700" s="1"/>
  <c r="O30" i="700" s="1"/>
  <c r="R30" i="700" s="1"/>
  <c r="V30" i="700"/>
  <c r="Q30" i="700"/>
  <c r="P30" i="700"/>
  <c r="K30" i="700"/>
  <c r="L30" i="700" s="1"/>
  <c r="J30" i="700"/>
  <c r="F30" i="700"/>
  <c r="H30" i="700" s="1"/>
  <c r="AG29" i="700"/>
  <c r="AF29" i="700"/>
  <c r="W29" i="700"/>
  <c r="N29" i="700" s="1"/>
  <c r="O29" i="700" s="1"/>
  <c r="V29" i="700"/>
  <c r="L29" i="700"/>
  <c r="K29" i="700"/>
  <c r="K37" i="700" s="1"/>
  <c r="J29" i="700"/>
  <c r="P29" i="700" s="1"/>
  <c r="H29" i="700"/>
  <c r="F29" i="700"/>
  <c r="W28" i="700"/>
  <c r="N28" i="700" s="1"/>
  <c r="V28" i="700"/>
  <c r="J28" i="700"/>
  <c r="H28" i="700"/>
  <c r="F28" i="700"/>
  <c r="W27" i="700"/>
  <c r="N27" i="700" s="1"/>
  <c r="L27" i="700"/>
  <c r="J27" i="700"/>
  <c r="P27" i="700" s="1"/>
  <c r="H27" i="700"/>
  <c r="F27" i="700"/>
  <c r="AE26" i="700"/>
  <c r="AD26" i="700"/>
  <c r="E20" i="699" s="1"/>
  <c r="AA26" i="700"/>
  <c r="Z26" i="700"/>
  <c r="M26" i="700"/>
  <c r="I1" i="700" s="1"/>
  <c r="J26" i="700"/>
  <c r="W25" i="700"/>
  <c r="H25" i="700"/>
  <c r="W24" i="700"/>
  <c r="H24" i="700"/>
  <c r="W23" i="700"/>
  <c r="W21" i="700"/>
  <c r="N21" i="700" s="1"/>
  <c r="V21" i="700"/>
  <c r="P21" i="700"/>
  <c r="O21" i="700"/>
  <c r="L21" i="700"/>
  <c r="K21" i="700"/>
  <c r="F21" i="700"/>
  <c r="H21" i="700" s="1"/>
  <c r="W20" i="700"/>
  <c r="V20" i="700"/>
  <c r="P20" i="700"/>
  <c r="O20" i="700"/>
  <c r="N20" i="700"/>
  <c r="K20" i="700"/>
  <c r="L20" i="700" s="1"/>
  <c r="H20" i="700"/>
  <c r="F20" i="700"/>
  <c r="W19" i="700"/>
  <c r="N19" i="700" s="1"/>
  <c r="V19" i="700"/>
  <c r="R19" i="700"/>
  <c r="Q19" i="700"/>
  <c r="P19" i="700"/>
  <c r="O19" i="700"/>
  <c r="K19" i="700"/>
  <c r="L19" i="700" s="1"/>
  <c r="H19" i="700"/>
  <c r="F19" i="700"/>
  <c r="W18" i="700"/>
  <c r="V18" i="700"/>
  <c r="P18" i="700"/>
  <c r="N18" i="700"/>
  <c r="K18" i="700"/>
  <c r="L18" i="700" s="1"/>
  <c r="F18" i="700"/>
  <c r="H18" i="700" s="1"/>
  <c r="W17" i="700"/>
  <c r="N17" i="700" s="1"/>
  <c r="V17" i="700"/>
  <c r="R17" i="700"/>
  <c r="P17" i="700"/>
  <c r="O17" i="700"/>
  <c r="Q17" i="700" s="1"/>
  <c r="K17" i="700"/>
  <c r="L17" i="700" s="1"/>
  <c r="H17" i="700"/>
  <c r="F17" i="700"/>
  <c r="W16" i="700"/>
  <c r="N16" i="700" s="1"/>
  <c r="P16" i="700"/>
  <c r="O16" i="700"/>
  <c r="K16" i="700"/>
  <c r="L16" i="700" s="1"/>
  <c r="F16" i="700"/>
  <c r="H16" i="700" s="1"/>
  <c r="AE15" i="700"/>
  <c r="AE2" i="700" s="1"/>
  <c r="AD15" i="700"/>
  <c r="AA15" i="700"/>
  <c r="Z15" i="700"/>
  <c r="M15" i="700"/>
  <c r="D22" i="699" s="1"/>
  <c r="W14" i="700"/>
  <c r="W13" i="700"/>
  <c r="W12" i="700"/>
  <c r="AG11" i="700"/>
  <c r="AF11" i="700"/>
  <c r="W11" i="700"/>
  <c r="AG10" i="700"/>
  <c r="AF10" i="700"/>
  <c r="W10" i="700"/>
  <c r="AG9" i="700"/>
  <c r="AF9" i="700"/>
  <c r="W9" i="700"/>
  <c r="AG8" i="700"/>
  <c r="AF8" i="700"/>
  <c r="W8" i="700"/>
  <c r="AG7" i="700"/>
  <c r="AF7" i="700"/>
  <c r="W7" i="700"/>
  <c r="N7" i="700" s="1"/>
  <c r="V7" i="700"/>
  <c r="P7" i="700"/>
  <c r="O7" i="700"/>
  <c r="K7" i="700"/>
  <c r="J7" i="700"/>
  <c r="J15" i="700" s="1"/>
  <c r="P15" i="700" s="1"/>
  <c r="F7" i="700"/>
  <c r="H7" i="700" s="1"/>
  <c r="AG6" i="700"/>
  <c r="AF6" i="700"/>
  <c r="W6" i="700"/>
  <c r="N6" i="700" s="1"/>
  <c r="O6" i="700" s="1"/>
  <c r="R6" i="700" s="1"/>
  <c r="V6" i="700"/>
  <c r="Q6" i="700"/>
  <c r="P6" i="700"/>
  <c r="L6" i="700"/>
  <c r="K6" i="700"/>
  <c r="H6" i="700"/>
  <c r="F6" i="700"/>
  <c r="AG5" i="700"/>
  <c r="AF5" i="700"/>
  <c r="W5" i="700"/>
  <c r="R5" i="700"/>
  <c r="P5" i="700"/>
  <c r="O5" i="700"/>
  <c r="N5" i="700"/>
  <c r="L5" i="700"/>
  <c r="K5" i="700"/>
  <c r="K15" i="700" s="1"/>
  <c r="H5" i="700"/>
  <c r="F5" i="700"/>
  <c r="AD2" i="700"/>
  <c r="I2" i="700"/>
  <c r="E1" i="700"/>
  <c r="H22" i="699"/>
  <c r="G22" i="699"/>
  <c r="H21" i="699"/>
  <c r="G21" i="699"/>
  <c r="E21" i="699"/>
  <c r="D21" i="699"/>
  <c r="J20" i="699"/>
  <c r="I20" i="699"/>
  <c r="H20" i="699"/>
  <c r="D20" i="699"/>
  <c r="J19" i="699"/>
  <c r="I19" i="699"/>
  <c r="H19" i="699"/>
  <c r="G19" i="699"/>
  <c r="F19" i="699"/>
  <c r="E19" i="699"/>
  <c r="D19" i="699"/>
  <c r="M6" i="699" s="1"/>
  <c r="J18" i="699"/>
  <c r="I18" i="699"/>
  <c r="G18" i="699"/>
  <c r="F18" i="699"/>
  <c r="E18" i="699"/>
  <c r="J16" i="699"/>
  <c r="I16" i="699"/>
  <c r="H16" i="699"/>
  <c r="G16" i="699"/>
  <c r="F16" i="699"/>
  <c r="E16" i="699"/>
  <c r="D16" i="699"/>
  <c r="O8" i="699"/>
  <c r="N8" i="699"/>
  <c r="M8" i="699"/>
  <c r="L8" i="699"/>
  <c r="O7" i="699"/>
  <c r="N7" i="699"/>
  <c r="M7" i="699"/>
  <c r="L7" i="699"/>
  <c r="G3" i="699"/>
  <c r="AE79" i="698"/>
  <c r="J21" i="697" s="1"/>
  <c r="AD79" i="698"/>
  <c r="J20" i="697" s="1"/>
  <c r="AA79" i="698"/>
  <c r="Z79" i="698"/>
  <c r="M79" i="698"/>
  <c r="J79" i="698"/>
  <c r="W78" i="698"/>
  <c r="W77" i="698"/>
  <c r="W76" i="698"/>
  <c r="W75" i="698"/>
  <c r="W74" i="698"/>
  <c r="W73" i="698"/>
  <c r="V73" i="698"/>
  <c r="O73" i="698"/>
  <c r="N73" i="698"/>
  <c r="K73" i="698"/>
  <c r="J73" i="698"/>
  <c r="F73" i="698"/>
  <c r="H73" i="698" s="1"/>
  <c r="W72" i="698"/>
  <c r="V72" i="698"/>
  <c r="P72" i="698"/>
  <c r="O72" i="698"/>
  <c r="N72" i="698"/>
  <c r="L72" i="698"/>
  <c r="K72" i="698"/>
  <c r="J72" i="698"/>
  <c r="F72" i="698"/>
  <c r="H72" i="698" s="1"/>
  <c r="W71" i="698"/>
  <c r="V71" i="698"/>
  <c r="P71" i="698"/>
  <c r="N71" i="698"/>
  <c r="L71" i="698"/>
  <c r="J71" i="698"/>
  <c r="H71" i="698"/>
  <c r="F71" i="698"/>
  <c r="W70" i="698"/>
  <c r="N70" i="698" s="1"/>
  <c r="Q70" i="698"/>
  <c r="P70" i="698"/>
  <c r="O70" i="698"/>
  <c r="K70" i="698"/>
  <c r="L70" i="698" s="1"/>
  <c r="J70" i="698"/>
  <c r="H70" i="698"/>
  <c r="F70" i="698"/>
  <c r="AE69" i="698"/>
  <c r="AD69" i="698"/>
  <c r="I20" i="697" s="1"/>
  <c r="AA69" i="698"/>
  <c r="Z69" i="698"/>
  <c r="M69" i="698"/>
  <c r="I22" i="697" s="1"/>
  <c r="W68" i="698"/>
  <c r="H68" i="698"/>
  <c r="W67" i="698"/>
  <c r="W66" i="698"/>
  <c r="W65" i="698"/>
  <c r="W64" i="698"/>
  <c r="W63" i="698"/>
  <c r="W62" i="698"/>
  <c r="N62" i="698" s="1"/>
  <c r="V62" i="698"/>
  <c r="O62" i="698"/>
  <c r="K62" i="698"/>
  <c r="J62" i="698"/>
  <c r="P62" i="698" s="1"/>
  <c r="H62" i="698"/>
  <c r="F62" i="698"/>
  <c r="AG61" i="698"/>
  <c r="W61" i="698"/>
  <c r="V61" i="698"/>
  <c r="N61" i="698"/>
  <c r="K61" i="698"/>
  <c r="J61" i="698"/>
  <c r="F61" i="698"/>
  <c r="H61" i="698" s="1"/>
  <c r="W60" i="698"/>
  <c r="N60" i="698" s="1"/>
  <c r="V60" i="698"/>
  <c r="P60" i="698"/>
  <c r="K60" i="698"/>
  <c r="L60" i="698" s="1"/>
  <c r="J60" i="698"/>
  <c r="H60" i="698"/>
  <c r="F60" i="698"/>
  <c r="W59" i="698"/>
  <c r="P59" i="698"/>
  <c r="N59" i="698"/>
  <c r="L59" i="698"/>
  <c r="K59" i="698"/>
  <c r="J59" i="698"/>
  <c r="H59" i="698"/>
  <c r="F59" i="698"/>
  <c r="AE58" i="698"/>
  <c r="AD58" i="698"/>
  <c r="AA58" i="698"/>
  <c r="Z58" i="698"/>
  <c r="M58" i="698"/>
  <c r="J58" i="698"/>
  <c r="P58" i="698" s="1"/>
  <c r="W57" i="698"/>
  <c r="W56" i="698"/>
  <c r="W55" i="698"/>
  <c r="W54" i="698"/>
  <c r="W53" i="698"/>
  <c r="V53" i="698"/>
  <c r="O53" i="698"/>
  <c r="N53" i="698"/>
  <c r="K53" i="698"/>
  <c r="J53" i="698"/>
  <c r="P53" i="698" s="1"/>
  <c r="F53" i="698"/>
  <c r="H53" i="698" s="1"/>
  <c r="W52" i="698"/>
  <c r="V52" i="698"/>
  <c r="P52" i="698"/>
  <c r="N52" i="698"/>
  <c r="L52" i="698"/>
  <c r="K52" i="698"/>
  <c r="J52" i="698"/>
  <c r="H52" i="698"/>
  <c r="F52" i="698"/>
  <c r="W51" i="698"/>
  <c r="N51" i="698" s="1"/>
  <c r="V51" i="698"/>
  <c r="P51" i="698"/>
  <c r="K51" i="698"/>
  <c r="L51" i="698" s="1"/>
  <c r="J51" i="698"/>
  <c r="F51" i="698"/>
  <c r="H51" i="698" s="1"/>
  <c r="W50" i="698"/>
  <c r="N50" i="698" s="1"/>
  <c r="V50" i="698"/>
  <c r="P50" i="698"/>
  <c r="O50" i="698"/>
  <c r="L50" i="698"/>
  <c r="K50" i="698"/>
  <c r="J50" i="698"/>
  <c r="F50" i="698"/>
  <c r="H50" i="698" s="1"/>
  <c r="AF49" i="698"/>
  <c r="W49" i="698"/>
  <c r="P49" i="698"/>
  <c r="N49" i="698"/>
  <c r="K49" i="698"/>
  <c r="L49" i="698" s="1"/>
  <c r="J49" i="698"/>
  <c r="H49" i="698"/>
  <c r="F49" i="698"/>
  <c r="AE48" i="698"/>
  <c r="AD48" i="698"/>
  <c r="AA48" i="698"/>
  <c r="G19" i="697" s="1"/>
  <c r="Z48" i="698"/>
  <c r="W48" i="698"/>
  <c r="M48" i="698"/>
  <c r="W47" i="698"/>
  <c r="H47" i="698"/>
  <c r="W46" i="698"/>
  <c r="W45" i="698"/>
  <c r="W44" i="698"/>
  <c r="W43" i="698"/>
  <c r="W42" i="698"/>
  <c r="AG41" i="698"/>
  <c r="AF41" i="698"/>
  <c r="W41" i="698"/>
  <c r="W40" i="698"/>
  <c r="V40" i="698"/>
  <c r="N40" i="698"/>
  <c r="L40" i="698"/>
  <c r="K40" i="698"/>
  <c r="J40" i="698"/>
  <c r="P40" i="698" s="1"/>
  <c r="F40" i="698"/>
  <c r="H40" i="698" s="1"/>
  <c r="W39" i="698"/>
  <c r="V39" i="698"/>
  <c r="N39" i="698"/>
  <c r="K39" i="698"/>
  <c r="J39" i="698"/>
  <c r="H39" i="698"/>
  <c r="F39" i="698"/>
  <c r="W38" i="698"/>
  <c r="P38" i="698"/>
  <c r="N38" i="698"/>
  <c r="L38" i="698"/>
  <c r="K38" i="698"/>
  <c r="J38" i="698"/>
  <c r="J48" i="698" s="1"/>
  <c r="P48" i="698" s="1"/>
  <c r="H38" i="698"/>
  <c r="F38" i="698"/>
  <c r="AE37" i="698"/>
  <c r="F21" i="697" s="1"/>
  <c r="AD37" i="698"/>
  <c r="AA37" i="698"/>
  <c r="F19" i="697" s="1"/>
  <c r="Z37" i="698"/>
  <c r="F18" i="697" s="1"/>
  <c r="M37" i="698"/>
  <c r="W36" i="698"/>
  <c r="W35" i="698"/>
  <c r="W34" i="698"/>
  <c r="W33" i="698"/>
  <c r="N33" i="698" s="1"/>
  <c r="O33" i="698" s="1"/>
  <c r="V33" i="698"/>
  <c r="P33" i="698"/>
  <c r="J33" i="698"/>
  <c r="L33" i="698" s="1"/>
  <c r="H33" i="698"/>
  <c r="F33" i="698"/>
  <c r="W32" i="698"/>
  <c r="N32" i="698" s="1"/>
  <c r="O32" i="698" s="1"/>
  <c r="V32" i="698"/>
  <c r="R32" i="698"/>
  <c r="L32" i="698"/>
  <c r="J32" i="698"/>
  <c r="J37" i="698" s="1"/>
  <c r="F32" i="698"/>
  <c r="H32" i="698" s="1"/>
  <c r="G1" i="698" s="1"/>
  <c r="AF31" i="698"/>
  <c r="W31" i="698"/>
  <c r="V31" i="698"/>
  <c r="P31" i="698"/>
  <c r="N31" i="698"/>
  <c r="L31" i="698"/>
  <c r="J31" i="698"/>
  <c r="F31" i="698"/>
  <c r="H31" i="698" s="1"/>
  <c r="W30" i="698"/>
  <c r="N30" i="698" s="1"/>
  <c r="V30" i="698"/>
  <c r="P30" i="698"/>
  <c r="L30" i="698"/>
  <c r="K30" i="698"/>
  <c r="J30" i="698"/>
  <c r="H30" i="698"/>
  <c r="F30" i="698"/>
  <c r="W29" i="698"/>
  <c r="N29" i="698" s="1"/>
  <c r="V29" i="698"/>
  <c r="P29" i="698"/>
  <c r="K29" i="698"/>
  <c r="L29" i="698" s="1"/>
  <c r="J29" i="698"/>
  <c r="H29" i="698"/>
  <c r="F29" i="698"/>
  <c r="W28" i="698"/>
  <c r="N28" i="698" s="1"/>
  <c r="V28" i="698"/>
  <c r="P28" i="698"/>
  <c r="L28" i="698"/>
  <c r="J28" i="698"/>
  <c r="F28" i="698"/>
  <c r="H28" i="698" s="1"/>
  <c r="W27" i="698"/>
  <c r="N27" i="698" s="1"/>
  <c r="J27" i="698"/>
  <c r="H27" i="698"/>
  <c r="F27" i="698"/>
  <c r="AE26" i="698"/>
  <c r="E21" i="697" s="1"/>
  <c r="AD26" i="698"/>
  <c r="AA26" i="698"/>
  <c r="E19" i="697" s="1"/>
  <c r="Z26" i="698"/>
  <c r="M26" i="698"/>
  <c r="J26" i="698"/>
  <c r="W25" i="698"/>
  <c r="H25" i="698"/>
  <c r="W24" i="698"/>
  <c r="H24" i="698"/>
  <c r="W23" i="698"/>
  <c r="W21" i="698"/>
  <c r="V21" i="698"/>
  <c r="Q21" i="698"/>
  <c r="P21" i="698"/>
  <c r="O21" i="698"/>
  <c r="R21" i="698" s="1"/>
  <c r="N21" i="698"/>
  <c r="L21" i="698"/>
  <c r="K21" i="698"/>
  <c r="F21" i="698"/>
  <c r="H21" i="698" s="1"/>
  <c r="W20" i="698"/>
  <c r="V20" i="698"/>
  <c r="P20" i="698"/>
  <c r="O20" i="698"/>
  <c r="N20" i="698"/>
  <c r="L20" i="698"/>
  <c r="K20" i="698"/>
  <c r="H20" i="698"/>
  <c r="F20" i="698"/>
  <c r="W19" i="698"/>
  <c r="V19" i="698"/>
  <c r="R19" i="698"/>
  <c r="Q19" i="698"/>
  <c r="P19" i="698"/>
  <c r="O19" i="698"/>
  <c r="N19" i="698"/>
  <c r="L19" i="698"/>
  <c r="K19" i="698"/>
  <c r="AG19" i="698" s="1"/>
  <c r="H19" i="698"/>
  <c r="F19" i="698"/>
  <c r="W18" i="698"/>
  <c r="V18" i="698"/>
  <c r="P18" i="698"/>
  <c r="O18" i="698"/>
  <c r="N18" i="698"/>
  <c r="K18" i="698"/>
  <c r="H18" i="698"/>
  <c r="F18" i="698"/>
  <c r="W17" i="698"/>
  <c r="V17" i="698"/>
  <c r="P17" i="698"/>
  <c r="N17" i="698"/>
  <c r="L17" i="698"/>
  <c r="K17" i="698"/>
  <c r="H17" i="698"/>
  <c r="F17" i="698"/>
  <c r="W16" i="698"/>
  <c r="P16" i="698"/>
  <c r="N16" i="698"/>
  <c r="L16" i="698"/>
  <c r="K16" i="698"/>
  <c r="F16" i="698"/>
  <c r="H16" i="698" s="1"/>
  <c r="AE15" i="698"/>
  <c r="D21" i="697" s="1"/>
  <c r="AD15" i="698"/>
  <c r="AA15" i="698"/>
  <c r="Z15" i="698"/>
  <c r="P15" i="698"/>
  <c r="M15" i="698"/>
  <c r="L15" i="698"/>
  <c r="D13" i="697" s="1"/>
  <c r="K15" i="698"/>
  <c r="J15" i="698"/>
  <c r="W14" i="698"/>
  <c r="W13" i="698"/>
  <c r="W12" i="698"/>
  <c r="AG11" i="698"/>
  <c r="AF11" i="698"/>
  <c r="W11" i="698"/>
  <c r="AG10" i="698"/>
  <c r="AF10" i="698"/>
  <c r="W10" i="698"/>
  <c r="AG9" i="698"/>
  <c r="AF9" i="698"/>
  <c r="W9" i="698"/>
  <c r="AG8" i="698"/>
  <c r="AF8" i="698"/>
  <c r="W8" i="698"/>
  <c r="AG7" i="698"/>
  <c r="AF7" i="698"/>
  <c r="W7" i="698"/>
  <c r="W6" i="698"/>
  <c r="V6" i="698"/>
  <c r="P6" i="698"/>
  <c r="N6" i="698"/>
  <c r="K6" i="698"/>
  <c r="L6" i="698" s="1"/>
  <c r="H6" i="698"/>
  <c r="F6" i="698"/>
  <c r="W5" i="698"/>
  <c r="N5" i="698" s="1"/>
  <c r="P5" i="698"/>
  <c r="K5" i="698"/>
  <c r="L5" i="698" s="1"/>
  <c r="F5" i="698"/>
  <c r="H5" i="698" s="1"/>
  <c r="AE2" i="698"/>
  <c r="I2" i="698"/>
  <c r="E1" i="698"/>
  <c r="G3" i="697" s="1"/>
  <c r="H22" i="697"/>
  <c r="G22" i="697"/>
  <c r="F22" i="697"/>
  <c r="E22" i="697"/>
  <c r="D22" i="697"/>
  <c r="I21" i="697"/>
  <c r="H21" i="697"/>
  <c r="G21" i="697"/>
  <c r="H20" i="697"/>
  <c r="G20" i="697"/>
  <c r="F20" i="697"/>
  <c r="D20" i="697"/>
  <c r="J19" i="697"/>
  <c r="I19" i="697"/>
  <c r="H19" i="697"/>
  <c r="J18" i="697"/>
  <c r="I18" i="697"/>
  <c r="H18" i="697"/>
  <c r="G18" i="697"/>
  <c r="E18" i="697"/>
  <c r="D18" i="697"/>
  <c r="J16" i="697"/>
  <c r="I16" i="697"/>
  <c r="H16" i="697"/>
  <c r="G16" i="697"/>
  <c r="F16" i="697"/>
  <c r="E16" i="697"/>
  <c r="D16" i="697"/>
  <c r="O8" i="697"/>
  <c r="N8" i="697"/>
  <c r="M8" i="697"/>
  <c r="L8" i="697"/>
  <c r="O7" i="697"/>
  <c r="N7" i="697"/>
  <c r="M7" i="697"/>
  <c r="L7" i="697"/>
  <c r="L6" i="697"/>
  <c r="AE79" i="696"/>
  <c r="J21" i="695" s="1"/>
  <c r="AD79" i="696"/>
  <c r="AA79" i="696"/>
  <c r="Z79" i="696"/>
  <c r="M79" i="696"/>
  <c r="L79" i="696"/>
  <c r="K79" i="696"/>
  <c r="J79" i="696"/>
  <c r="P79" i="696" s="1"/>
  <c r="W78" i="696"/>
  <c r="H78" i="696"/>
  <c r="W77" i="696"/>
  <c r="H77" i="696"/>
  <c r="W76" i="696"/>
  <c r="H76" i="696"/>
  <c r="W75" i="696"/>
  <c r="W74" i="696"/>
  <c r="W73" i="696"/>
  <c r="V73" i="696"/>
  <c r="R73" i="696"/>
  <c r="Q73" i="696"/>
  <c r="P73" i="696"/>
  <c r="N73" i="696"/>
  <c r="O73" i="696" s="1"/>
  <c r="L73" i="696"/>
  <c r="K73" i="696"/>
  <c r="J73" i="696"/>
  <c r="H73" i="696"/>
  <c r="F73" i="696"/>
  <c r="W72" i="696"/>
  <c r="V72" i="696"/>
  <c r="R72" i="696"/>
  <c r="Q72" i="696"/>
  <c r="P72" i="696"/>
  <c r="N72" i="696"/>
  <c r="O72" i="696" s="1"/>
  <c r="L72" i="696"/>
  <c r="K72" i="696"/>
  <c r="J72" i="696"/>
  <c r="H72" i="696"/>
  <c r="F72" i="696"/>
  <c r="W71" i="696"/>
  <c r="V71" i="696"/>
  <c r="P71" i="696"/>
  <c r="N71" i="696"/>
  <c r="O71" i="696" s="1"/>
  <c r="L71" i="696"/>
  <c r="J71" i="696"/>
  <c r="F71" i="696"/>
  <c r="H71" i="696" s="1"/>
  <c r="W70" i="696"/>
  <c r="P70" i="696"/>
  <c r="N70" i="696"/>
  <c r="L70" i="696"/>
  <c r="K70" i="696"/>
  <c r="J70" i="696"/>
  <c r="F70" i="696"/>
  <c r="H70" i="696" s="1"/>
  <c r="AE69" i="696"/>
  <c r="AD69" i="696"/>
  <c r="I20" i="695" s="1"/>
  <c r="AA69" i="696"/>
  <c r="Z69" i="696"/>
  <c r="I18" i="695" s="1"/>
  <c r="M69" i="696"/>
  <c r="K69" i="696"/>
  <c r="J69" i="696"/>
  <c r="P69" i="696" s="1"/>
  <c r="W68" i="696"/>
  <c r="H68" i="696"/>
  <c r="W67" i="696"/>
  <c r="W66" i="696"/>
  <c r="W65" i="696"/>
  <c r="W64" i="696"/>
  <c r="W63" i="696"/>
  <c r="W62" i="696"/>
  <c r="V62" i="696"/>
  <c r="P62" i="696"/>
  <c r="N62" i="696"/>
  <c r="K62" i="696"/>
  <c r="L62" i="696" s="1"/>
  <c r="J62" i="696"/>
  <c r="F62" i="696"/>
  <c r="H62" i="696" s="1"/>
  <c r="AG61" i="696"/>
  <c r="W61" i="696"/>
  <c r="V61" i="696"/>
  <c r="R61" i="696"/>
  <c r="Q61" i="696"/>
  <c r="P61" i="696"/>
  <c r="O61" i="696"/>
  <c r="N61" i="696"/>
  <c r="AF61" i="696" s="1"/>
  <c r="K61" i="696"/>
  <c r="L61" i="696" s="1"/>
  <c r="J61" i="696"/>
  <c r="F61" i="696"/>
  <c r="H61" i="696" s="1"/>
  <c r="W60" i="696"/>
  <c r="N60" i="696" s="1"/>
  <c r="V60" i="696"/>
  <c r="P60" i="696"/>
  <c r="K60" i="696"/>
  <c r="L60" i="696" s="1"/>
  <c r="J60" i="696"/>
  <c r="F60" i="696"/>
  <c r="H60" i="696" s="1"/>
  <c r="AF59" i="696"/>
  <c r="W59" i="696"/>
  <c r="P59" i="696"/>
  <c r="O59" i="696"/>
  <c r="N59" i="696"/>
  <c r="L59" i="696"/>
  <c r="K59" i="696"/>
  <c r="J59" i="696"/>
  <c r="H59" i="696"/>
  <c r="F59" i="696"/>
  <c r="AE58" i="696"/>
  <c r="AD58" i="696"/>
  <c r="AA58" i="696"/>
  <c r="Z58" i="696"/>
  <c r="H18" i="695" s="1"/>
  <c r="M58" i="696"/>
  <c r="W57" i="696"/>
  <c r="W56" i="696"/>
  <c r="W55" i="696"/>
  <c r="W54" i="696"/>
  <c r="W53" i="696"/>
  <c r="N53" i="696" s="1"/>
  <c r="O53" i="696" s="1"/>
  <c r="V53" i="696"/>
  <c r="K53" i="696"/>
  <c r="J53" i="696"/>
  <c r="P53" i="696" s="1"/>
  <c r="F53" i="696"/>
  <c r="H53" i="696" s="1"/>
  <c r="AG52" i="696"/>
  <c r="AF52" i="696"/>
  <c r="W52" i="696"/>
  <c r="N52" i="696" s="1"/>
  <c r="O52" i="696" s="1"/>
  <c r="V52" i="696"/>
  <c r="K52" i="696"/>
  <c r="L52" i="696" s="1"/>
  <c r="R52" i="696" s="1"/>
  <c r="J52" i="696"/>
  <c r="P52" i="696" s="1"/>
  <c r="H52" i="696"/>
  <c r="F52" i="696"/>
  <c r="W51" i="696"/>
  <c r="V51" i="696"/>
  <c r="N51" i="696"/>
  <c r="K51" i="696"/>
  <c r="J51" i="696"/>
  <c r="F51" i="696"/>
  <c r="H51" i="696" s="1"/>
  <c r="W50" i="696"/>
  <c r="V50" i="696"/>
  <c r="N50" i="696"/>
  <c r="L50" i="696"/>
  <c r="K50" i="696"/>
  <c r="J50" i="696"/>
  <c r="P50" i="696" s="1"/>
  <c r="H50" i="696"/>
  <c r="F50" i="696"/>
  <c r="W49" i="696"/>
  <c r="P49" i="696"/>
  <c r="N49" i="696"/>
  <c r="L49" i="696"/>
  <c r="K49" i="696"/>
  <c r="J49" i="696"/>
  <c r="F49" i="696"/>
  <c r="H49" i="696" s="1"/>
  <c r="AE48" i="696"/>
  <c r="AD48" i="696"/>
  <c r="G20" i="695" s="1"/>
  <c r="AA48" i="696"/>
  <c r="Z48" i="696"/>
  <c r="G18" i="695" s="1"/>
  <c r="W48" i="696"/>
  <c r="N48" i="696"/>
  <c r="M48" i="696"/>
  <c r="K48" i="696"/>
  <c r="W47" i="696"/>
  <c r="H47" i="696"/>
  <c r="W46" i="696"/>
  <c r="W45" i="696"/>
  <c r="W44" i="696"/>
  <c r="W43" i="696"/>
  <c r="W42" i="696"/>
  <c r="AG41" i="696"/>
  <c r="AF41" i="696"/>
  <c r="W41" i="696"/>
  <c r="AG40" i="696"/>
  <c r="W40" i="696"/>
  <c r="V40" i="696"/>
  <c r="N40" i="696"/>
  <c r="K40" i="696"/>
  <c r="J40" i="696"/>
  <c r="P40" i="696" s="1"/>
  <c r="F40" i="696"/>
  <c r="H40" i="696" s="1"/>
  <c r="AG39" i="696"/>
  <c r="W39" i="696"/>
  <c r="V39" i="696"/>
  <c r="P39" i="696"/>
  <c r="O39" i="696"/>
  <c r="N39" i="696"/>
  <c r="L39" i="696"/>
  <c r="K39" i="696"/>
  <c r="J39" i="696"/>
  <c r="F39" i="696"/>
  <c r="H39" i="696" s="1"/>
  <c r="W38" i="696"/>
  <c r="R38" i="696"/>
  <c r="Q38" i="696"/>
  <c r="P38" i="696"/>
  <c r="O38" i="696"/>
  <c r="N38" i="696"/>
  <c r="L38" i="696"/>
  <c r="K38" i="696"/>
  <c r="J38" i="696"/>
  <c r="H38" i="696"/>
  <c r="F38" i="696"/>
  <c r="AE37" i="696"/>
  <c r="AE2" i="696" s="1"/>
  <c r="AD37" i="696"/>
  <c r="F20" i="695" s="1"/>
  <c r="AA37" i="696"/>
  <c r="F19" i="695" s="1"/>
  <c r="Z37" i="696"/>
  <c r="F18" i="695" s="1"/>
  <c r="M37" i="696"/>
  <c r="W36" i="696"/>
  <c r="H36" i="696"/>
  <c r="W35" i="696"/>
  <c r="W34" i="696"/>
  <c r="N34" i="696" s="1"/>
  <c r="O34" i="696" s="1"/>
  <c r="V34" i="696"/>
  <c r="Q34" i="696"/>
  <c r="L34" i="696"/>
  <c r="R34" i="696" s="1"/>
  <c r="J34" i="696"/>
  <c r="P34" i="696" s="1"/>
  <c r="H34" i="696"/>
  <c r="F34" i="696"/>
  <c r="W33" i="696"/>
  <c r="N33" i="696" s="1"/>
  <c r="V33" i="696"/>
  <c r="O33" i="696"/>
  <c r="J33" i="696"/>
  <c r="F33" i="696"/>
  <c r="H33" i="696" s="1"/>
  <c r="W32" i="696"/>
  <c r="N32" i="696" s="1"/>
  <c r="V32" i="696"/>
  <c r="P32" i="696"/>
  <c r="O32" i="696"/>
  <c r="J32" i="696"/>
  <c r="L32" i="696" s="1"/>
  <c r="H32" i="696"/>
  <c r="F32" i="696"/>
  <c r="AF31" i="696"/>
  <c r="W31" i="696"/>
  <c r="N31" i="696" s="1"/>
  <c r="V31" i="696"/>
  <c r="P31" i="696"/>
  <c r="J31" i="696"/>
  <c r="L31" i="696" s="1"/>
  <c r="H31" i="696"/>
  <c r="F31" i="696"/>
  <c r="W30" i="696"/>
  <c r="N30" i="696" s="1"/>
  <c r="V30" i="696"/>
  <c r="P30" i="696"/>
  <c r="K30" i="696"/>
  <c r="L30" i="696" s="1"/>
  <c r="J30" i="696"/>
  <c r="H30" i="696"/>
  <c r="F30" i="696"/>
  <c r="W29" i="696"/>
  <c r="N29" i="696" s="1"/>
  <c r="V29" i="696"/>
  <c r="L29" i="696"/>
  <c r="K29" i="696"/>
  <c r="J29" i="696"/>
  <c r="P29" i="696" s="1"/>
  <c r="H29" i="696"/>
  <c r="F29" i="696"/>
  <c r="AG28" i="696"/>
  <c r="W28" i="696"/>
  <c r="V28" i="696"/>
  <c r="N28" i="696"/>
  <c r="AF28" i="696" s="1"/>
  <c r="J28" i="696"/>
  <c r="P28" i="696" s="1"/>
  <c r="F28" i="696"/>
  <c r="H28" i="696" s="1"/>
  <c r="W27" i="696"/>
  <c r="O27" i="696"/>
  <c r="N27" i="696"/>
  <c r="J27" i="696"/>
  <c r="F27" i="696"/>
  <c r="H27" i="696" s="1"/>
  <c r="AE26" i="696"/>
  <c r="AD26" i="696"/>
  <c r="AA26" i="696"/>
  <c r="E19" i="695" s="1"/>
  <c r="Z26" i="696"/>
  <c r="M26" i="696"/>
  <c r="J26" i="696"/>
  <c r="W25" i="696"/>
  <c r="H25" i="696"/>
  <c r="W24" i="696"/>
  <c r="H24" i="696"/>
  <c r="W23" i="696"/>
  <c r="W21" i="696"/>
  <c r="V21" i="696"/>
  <c r="R21" i="696"/>
  <c r="P21" i="696"/>
  <c r="N21" i="696"/>
  <c r="O21" i="696" s="1"/>
  <c r="Q21" i="696" s="1"/>
  <c r="L21" i="696"/>
  <c r="K21" i="696"/>
  <c r="F21" i="696"/>
  <c r="H21" i="696" s="1"/>
  <c r="W20" i="696"/>
  <c r="N20" i="696" s="1"/>
  <c r="O20" i="696" s="1"/>
  <c r="V20" i="696"/>
  <c r="P20" i="696"/>
  <c r="L20" i="696"/>
  <c r="K20" i="696"/>
  <c r="H20" i="696"/>
  <c r="F20" i="696"/>
  <c r="W19" i="696"/>
  <c r="V19" i="696"/>
  <c r="P19" i="696"/>
  <c r="N19" i="696"/>
  <c r="L19" i="696"/>
  <c r="K19" i="696"/>
  <c r="H19" i="696"/>
  <c r="F19" i="696"/>
  <c r="AG18" i="696"/>
  <c r="W18" i="696"/>
  <c r="N18" i="696" s="1"/>
  <c r="O18" i="696" s="1"/>
  <c r="V18" i="696"/>
  <c r="P18" i="696"/>
  <c r="K18" i="696"/>
  <c r="L18" i="696" s="1"/>
  <c r="F18" i="696"/>
  <c r="H18" i="696" s="1"/>
  <c r="W17" i="696"/>
  <c r="N17" i="696" s="1"/>
  <c r="V17" i="696"/>
  <c r="P17" i="696"/>
  <c r="L17" i="696"/>
  <c r="K17" i="696"/>
  <c r="F17" i="696"/>
  <c r="H17" i="696" s="1"/>
  <c r="W16" i="696"/>
  <c r="P16" i="696"/>
  <c r="N16" i="696"/>
  <c r="K16" i="696"/>
  <c r="H16" i="696"/>
  <c r="F16" i="696"/>
  <c r="AE15" i="696"/>
  <c r="AD15" i="696"/>
  <c r="AA15" i="696"/>
  <c r="Z15" i="696"/>
  <c r="M15" i="696"/>
  <c r="J15" i="696"/>
  <c r="W14" i="696"/>
  <c r="W13" i="696"/>
  <c r="W12" i="696"/>
  <c r="AG11" i="696"/>
  <c r="AF11" i="696"/>
  <c r="W11" i="696"/>
  <c r="AG10" i="696"/>
  <c r="AF10" i="696"/>
  <c r="W10" i="696"/>
  <c r="AG9" i="696"/>
  <c r="AF9" i="696"/>
  <c r="W9" i="696"/>
  <c r="AG8" i="696"/>
  <c r="AF8" i="696"/>
  <c r="W8" i="696"/>
  <c r="W7" i="696"/>
  <c r="N7" i="696" s="1"/>
  <c r="V7" i="696"/>
  <c r="P7" i="696"/>
  <c r="K7" i="696"/>
  <c r="L7" i="696" s="1"/>
  <c r="F7" i="696"/>
  <c r="H7" i="696" s="1"/>
  <c r="W6" i="696"/>
  <c r="V6" i="696"/>
  <c r="P6" i="696"/>
  <c r="N6" i="696"/>
  <c r="L6" i="696"/>
  <c r="K6" i="696"/>
  <c r="F6" i="696"/>
  <c r="H6" i="696" s="1"/>
  <c r="W5" i="696"/>
  <c r="P5" i="696"/>
  <c r="O5" i="696"/>
  <c r="N5" i="696"/>
  <c r="K5" i="696"/>
  <c r="F5" i="696"/>
  <c r="H5" i="696" s="1"/>
  <c r="I2" i="696"/>
  <c r="E1" i="696"/>
  <c r="J22" i="695"/>
  <c r="I22" i="695"/>
  <c r="H22" i="695"/>
  <c r="G22" i="695"/>
  <c r="F22" i="695"/>
  <c r="I21" i="695"/>
  <c r="H21" i="695"/>
  <c r="G21" i="695"/>
  <c r="F21" i="695"/>
  <c r="E21" i="695"/>
  <c r="D21" i="695"/>
  <c r="J20" i="695"/>
  <c r="H20" i="695"/>
  <c r="E20" i="695"/>
  <c r="J19" i="695"/>
  <c r="I19" i="695"/>
  <c r="H19" i="695"/>
  <c r="G19" i="695"/>
  <c r="J18" i="695"/>
  <c r="E18" i="695"/>
  <c r="D18" i="695"/>
  <c r="J16" i="695"/>
  <c r="I16" i="695"/>
  <c r="H16" i="695"/>
  <c r="G16" i="695"/>
  <c r="F16" i="695"/>
  <c r="E16" i="695"/>
  <c r="D16" i="695"/>
  <c r="J13" i="695"/>
  <c r="O8" i="695"/>
  <c r="N8" i="695"/>
  <c r="M8" i="695"/>
  <c r="L8" i="695"/>
  <c r="O7" i="695"/>
  <c r="N7" i="695"/>
  <c r="M7" i="695"/>
  <c r="L7" i="695"/>
  <c r="G3" i="695"/>
  <c r="AE79" i="694"/>
  <c r="AD79" i="694"/>
  <c r="AA79" i="694"/>
  <c r="Z79" i="694"/>
  <c r="M79" i="694"/>
  <c r="W78" i="694"/>
  <c r="H78" i="694"/>
  <c r="W77" i="694"/>
  <c r="H77" i="694"/>
  <c r="W76" i="694"/>
  <c r="W75" i="694"/>
  <c r="W74" i="694"/>
  <c r="W73" i="694"/>
  <c r="W72" i="694"/>
  <c r="N72" i="694" s="1"/>
  <c r="O72" i="694" s="1"/>
  <c r="K72" i="694"/>
  <c r="J72" i="694"/>
  <c r="P72" i="694" s="1"/>
  <c r="F72" i="694"/>
  <c r="H72" i="694" s="1"/>
  <c r="W71" i="694"/>
  <c r="N71" i="694" s="1"/>
  <c r="O71" i="694" s="1"/>
  <c r="P71" i="694"/>
  <c r="K71" i="694"/>
  <c r="L71" i="694" s="1"/>
  <c r="J71" i="694"/>
  <c r="F71" i="694"/>
  <c r="H71" i="694" s="1"/>
  <c r="W70" i="694"/>
  <c r="N70" i="694" s="1"/>
  <c r="K70" i="694"/>
  <c r="J70" i="694"/>
  <c r="F70" i="694"/>
  <c r="H70" i="694" s="1"/>
  <c r="AE69" i="694"/>
  <c r="I21" i="693" s="1"/>
  <c r="AD69" i="694"/>
  <c r="AA69" i="694"/>
  <c r="Z69" i="694"/>
  <c r="Z2" i="694" s="1"/>
  <c r="M69" i="694"/>
  <c r="W68" i="694"/>
  <c r="H68" i="694"/>
  <c r="W67" i="694"/>
  <c r="W66" i="694"/>
  <c r="W65" i="694"/>
  <c r="W64" i="694"/>
  <c r="W63" i="694"/>
  <c r="N63" i="694" s="1"/>
  <c r="O63" i="694" s="1"/>
  <c r="V63" i="694"/>
  <c r="P63" i="694"/>
  <c r="K63" i="694"/>
  <c r="L63" i="694" s="1"/>
  <c r="J63" i="694"/>
  <c r="H63" i="694"/>
  <c r="F63" i="694"/>
  <c r="W62" i="694"/>
  <c r="V62" i="694"/>
  <c r="N62" i="694"/>
  <c r="K62" i="694"/>
  <c r="L62" i="694" s="1"/>
  <c r="J62" i="694"/>
  <c r="P62" i="694" s="1"/>
  <c r="H62" i="694"/>
  <c r="F62" i="694"/>
  <c r="W61" i="694"/>
  <c r="V61" i="694"/>
  <c r="P61" i="694"/>
  <c r="O61" i="694"/>
  <c r="N61" i="694"/>
  <c r="L61" i="694"/>
  <c r="K61" i="694"/>
  <c r="J61" i="694"/>
  <c r="F61" i="694"/>
  <c r="H61" i="694" s="1"/>
  <c r="W60" i="694"/>
  <c r="V60" i="694"/>
  <c r="O60" i="694"/>
  <c r="N60" i="694"/>
  <c r="K60" i="694"/>
  <c r="L60" i="694" s="1"/>
  <c r="J60" i="694"/>
  <c r="H60" i="694"/>
  <c r="F60" i="694"/>
  <c r="W59" i="694"/>
  <c r="N59" i="694" s="1"/>
  <c r="P59" i="694"/>
  <c r="O59" i="694"/>
  <c r="L59" i="694"/>
  <c r="K59" i="694"/>
  <c r="J59" i="694"/>
  <c r="F59" i="694"/>
  <c r="H59" i="694" s="1"/>
  <c r="AE58" i="694"/>
  <c r="H21" i="693" s="1"/>
  <c r="AD58" i="694"/>
  <c r="H20" i="693" s="1"/>
  <c r="AA58" i="694"/>
  <c r="H19" i="693" s="1"/>
  <c r="Z58" i="694"/>
  <c r="M58" i="694"/>
  <c r="H22" i="693" s="1"/>
  <c r="W57" i="694"/>
  <c r="W56" i="694"/>
  <c r="W55" i="694"/>
  <c r="W54" i="694"/>
  <c r="W53" i="694"/>
  <c r="P53" i="694"/>
  <c r="O53" i="694"/>
  <c r="N53" i="694"/>
  <c r="K53" i="694"/>
  <c r="J53" i="694"/>
  <c r="F53" i="694"/>
  <c r="H53" i="694" s="1"/>
  <c r="W52" i="694"/>
  <c r="V52" i="694"/>
  <c r="N52" i="694"/>
  <c r="K52" i="694"/>
  <c r="AG52" i="694" s="1"/>
  <c r="J52" i="694"/>
  <c r="H52" i="694"/>
  <c r="F52" i="694"/>
  <c r="W51" i="694"/>
  <c r="V51" i="694"/>
  <c r="P51" i="694"/>
  <c r="N51" i="694"/>
  <c r="K51" i="694"/>
  <c r="AF51" i="694" s="1"/>
  <c r="J51" i="694"/>
  <c r="F51" i="694"/>
  <c r="H51" i="694" s="1"/>
  <c r="W50" i="694"/>
  <c r="N50" i="694" s="1"/>
  <c r="V50" i="694"/>
  <c r="P50" i="694"/>
  <c r="K50" i="694"/>
  <c r="L50" i="694" s="1"/>
  <c r="J50" i="694"/>
  <c r="F50" i="694"/>
  <c r="H50" i="694" s="1"/>
  <c r="W49" i="694"/>
  <c r="N49" i="694"/>
  <c r="L49" i="694"/>
  <c r="K49" i="694"/>
  <c r="J49" i="694"/>
  <c r="P49" i="694" s="1"/>
  <c r="H49" i="694"/>
  <c r="F49" i="694"/>
  <c r="AE48" i="694"/>
  <c r="G21" i="693" s="1"/>
  <c r="AD48" i="694"/>
  <c r="AA48" i="694"/>
  <c r="Z48" i="694"/>
  <c r="W48" i="694"/>
  <c r="M48" i="694"/>
  <c r="G22" i="693" s="1"/>
  <c r="W47" i="694"/>
  <c r="H47" i="694"/>
  <c r="W46" i="694"/>
  <c r="W45" i="694"/>
  <c r="W44" i="694"/>
  <c r="W43" i="694"/>
  <c r="W42" i="694"/>
  <c r="N42" i="694" s="1"/>
  <c r="O42" i="694" s="1"/>
  <c r="V42" i="694"/>
  <c r="K42" i="694"/>
  <c r="J42" i="694"/>
  <c r="P42" i="694" s="1"/>
  <c r="H42" i="694"/>
  <c r="F42" i="694"/>
  <c r="AF41" i="694"/>
  <c r="W41" i="694"/>
  <c r="N41" i="694" s="1"/>
  <c r="V41" i="694"/>
  <c r="K41" i="694"/>
  <c r="L41" i="694" s="1"/>
  <c r="J41" i="694"/>
  <c r="P41" i="694" s="1"/>
  <c r="H41" i="694"/>
  <c r="F41" i="694"/>
  <c r="W40" i="694"/>
  <c r="N40" i="694" s="1"/>
  <c r="AF40" i="694" s="1"/>
  <c r="V40" i="694"/>
  <c r="P40" i="694"/>
  <c r="O40" i="694"/>
  <c r="K40" i="694"/>
  <c r="J40" i="694"/>
  <c r="H40" i="694"/>
  <c r="F40" i="694"/>
  <c r="W39" i="694"/>
  <c r="V39" i="694"/>
  <c r="N39" i="694"/>
  <c r="K39" i="694"/>
  <c r="L39" i="694" s="1"/>
  <c r="J39" i="694"/>
  <c r="F39" i="694"/>
  <c r="H39" i="694" s="1"/>
  <c r="W38" i="694"/>
  <c r="P38" i="694"/>
  <c r="N38" i="694"/>
  <c r="K38" i="694"/>
  <c r="J38" i="694"/>
  <c r="F38" i="694"/>
  <c r="H38" i="694" s="1"/>
  <c r="AE37" i="694"/>
  <c r="AD37" i="694"/>
  <c r="F20" i="693" s="1"/>
  <c r="AA37" i="694"/>
  <c r="Z37" i="694"/>
  <c r="M37" i="694"/>
  <c r="W36" i="694"/>
  <c r="W35" i="694"/>
  <c r="W34" i="694"/>
  <c r="W33" i="694"/>
  <c r="V33" i="694"/>
  <c r="O33" i="694"/>
  <c r="N33" i="694"/>
  <c r="K33" i="694"/>
  <c r="L33" i="694" s="1"/>
  <c r="J33" i="694"/>
  <c r="P33" i="694" s="1"/>
  <c r="H33" i="694"/>
  <c r="F33" i="694"/>
  <c r="W32" i="694"/>
  <c r="V32" i="694"/>
  <c r="N32" i="694"/>
  <c r="O32" i="694" s="1"/>
  <c r="J32" i="694"/>
  <c r="P32" i="694" s="1"/>
  <c r="F32" i="694"/>
  <c r="H32" i="694" s="1"/>
  <c r="W31" i="694"/>
  <c r="N31" i="694" s="1"/>
  <c r="V31" i="694"/>
  <c r="P31" i="694"/>
  <c r="L31" i="694"/>
  <c r="J31" i="694"/>
  <c r="H31" i="694"/>
  <c r="F31" i="694"/>
  <c r="W30" i="694"/>
  <c r="N30" i="694" s="1"/>
  <c r="V30" i="694"/>
  <c r="K30" i="694"/>
  <c r="J30" i="694"/>
  <c r="P30" i="694" s="1"/>
  <c r="H30" i="694"/>
  <c r="F30" i="694"/>
  <c r="W29" i="694"/>
  <c r="V29" i="694"/>
  <c r="N29" i="694"/>
  <c r="K29" i="694"/>
  <c r="J29" i="694"/>
  <c r="P29" i="694" s="1"/>
  <c r="H29" i="694"/>
  <c r="F29" i="694"/>
  <c r="AF28" i="694"/>
  <c r="W28" i="694"/>
  <c r="V28" i="694"/>
  <c r="R28" i="694"/>
  <c r="O28" i="694"/>
  <c r="N28" i="694"/>
  <c r="AG28" i="694" s="1"/>
  <c r="L28" i="694"/>
  <c r="J28" i="694"/>
  <c r="P28" i="694" s="1"/>
  <c r="F28" i="694"/>
  <c r="H28" i="694" s="1"/>
  <c r="W27" i="694"/>
  <c r="P27" i="694"/>
  <c r="N27" i="694"/>
  <c r="J27" i="694"/>
  <c r="L27" i="694" s="1"/>
  <c r="H27" i="694"/>
  <c r="F27" i="694"/>
  <c r="AE26" i="694"/>
  <c r="AD26" i="694"/>
  <c r="E20" i="693" s="1"/>
  <c r="AA26" i="694"/>
  <c r="Z26" i="694"/>
  <c r="M26" i="694"/>
  <c r="J26" i="694"/>
  <c r="W25" i="694"/>
  <c r="H25" i="694"/>
  <c r="W24" i="694"/>
  <c r="H24" i="694"/>
  <c r="W23" i="694"/>
  <c r="W22" i="694"/>
  <c r="V22" i="694"/>
  <c r="P22" i="694"/>
  <c r="N22" i="694"/>
  <c r="O22" i="694" s="1"/>
  <c r="K22" i="694"/>
  <c r="L22" i="694" s="1"/>
  <c r="H22" i="694"/>
  <c r="F22" i="694"/>
  <c r="W21" i="694"/>
  <c r="V21" i="694"/>
  <c r="P21" i="694"/>
  <c r="N21" i="694"/>
  <c r="O21" i="694" s="1"/>
  <c r="L21" i="694"/>
  <c r="K21" i="694"/>
  <c r="F21" i="694"/>
  <c r="H21" i="694" s="1"/>
  <c r="W20" i="694"/>
  <c r="N20" i="694" s="1"/>
  <c r="O20" i="694" s="1"/>
  <c r="V20" i="694"/>
  <c r="P20" i="694"/>
  <c r="L20" i="694"/>
  <c r="K20" i="694"/>
  <c r="F20" i="694"/>
  <c r="H20" i="694" s="1"/>
  <c r="W19" i="694"/>
  <c r="N19" i="694" s="1"/>
  <c r="V19" i="694"/>
  <c r="P19" i="694"/>
  <c r="L19" i="694"/>
  <c r="K19" i="694"/>
  <c r="H19" i="694"/>
  <c r="F19" i="694"/>
  <c r="W18" i="694"/>
  <c r="V18" i="694"/>
  <c r="P18" i="694"/>
  <c r="O18" i="694"/>
  <c r="N18" i="694"/>
  <c r="L18" i="694"/>
  <c r="K18" i="694"/>
  <c r="H18" i="694"/>
  <c r="F18" i="694"/>
  <c r="W17" i="694"/>
  <c r="V17" i="694"/>
  <c r="P17" i="694"/>
  <c r="N17" i="694"/>
  <c r="K17" i="694"/>
  <c r="L17" i="694" s="1"/>
  <c r="F17" i="694"/>
  <c r="H17" i="694" s="1"/>
  <c r="W16" i="694"/>
  <c r="N16" i="694" s="1"/>
  <c r="P16" i="694"/>
  <c r="K16" i="694"/>
  <c r="L16" i="694" s="1"/>
  <c r="F16" i="694"/>
  <c r="H16" i="694" s="1"/>
  <c r="AE15" i="694"/>
  <c r="AD15" i="694"/>
  <c r="AA15" i="694"/>
  <c r="Z15" i="694"/>
  <c r="M15" i="694"/>
  <c r="W14" i="694"/>
  <c r="W13" i="694"/>
  <c r="W12" i="694"/>
  <c r="AG11" i="694"/>
  <c r="AF11" i="694"/>
  <c r="W11" i="694"/>
  <c r="AG10" i="694"/>
  <c r="AF10" i="694"/>
  <c r="W10" i="694"/>
  <c r="W9" i="694"/>
  <c r="V9" i="694"/>
  <c r="P9" i="694"/>
  <c r="N9" i="694"/>
  <c r="L9" i="694"/>
  <c r="K9" i="694"/>
  <c r="J9" i="694"/>
  <c r="F9" i="694"/>
  <c r="H9" i="694" s="1"/>
  <c r="W8" i="694"/>
  <c r="N8" i="694" s="1"/>
  <c r="V8" i="694"/>
  <c r="O8" i="694"/>
  <c r="K8" i="694"/>
  <c r="J8" i="694"/>
  <c r="P8" i="694" s="1"/>
  <c r="F8" i="694"/>
  <c r="H8" i="694" s="1"/>
  <c r="W7" i="694"/>
  <c r="V7" i="694"/>
  <c r="N7" i="694"/>
  <c r="K7" i="694"/>
  <c r="J7" i="694"/>
  <c r="F7" i="694"/>
  <c r="H7" i="694" s="1"/>
  <c r="W6" i="694"/>
  <c r="N6" i="694" s="1"/>
  <c r="V6" i="694"/>
  <c r="P6" i="694"/>
  <c r="L6" i="694"/>
  <c r="K6" i="694"/>
  <c r="H6" i="694"/>
  <c r="F6" i="694"/>
  <c r="AF5" i="694"/>
  <c r="W5" i="694"/>
  <c r="P5" i="694"/>
  <c r="N5" i="694"/>
  <c r="L5" i="694"/>
  <c r="K5" i="694"/>
  <c r="H5" i="694"/>
  <c r="F5" i="694"/>
  <c r="I2" i="694"/>
  <c r="E1" i="694"/>
  <c r="G3" i="693" s="1"/>
  <c r="E22" i="693"/>
  <c r="D22" i="693"/>
  <c r="J21" i="693"/>
  <c r="F21" i="693"/>
  <c r="E21" i="693"/>
  <c r="J20" i="693"/>
  <c r="I20" i="693"/>
  <c r="G20" i="693"/>
  <c r="J19" i="693"/>
  <c r="I19" i="693"/>
  <c r="G19" i="693"/>
  <c r="F19" i="693"/>
  <c r="E19" i="693"/>
  <c r="J18" i="693"/>
  <c r="I18" i="693"/>
  <c r="H18" i="693"/>
  <c r="G18" i="693"/>
  <c r="F18" i="693"/>
  <c r="E18" i="693"/>
  <c r="D18" i="693"/>
  <c r="J16" i="693"/>
  <c r="I16" i="693"/>
  <c r="H16" i="693"/>
  <c r="G16" i="693"/>
  <c r="F16" i="693"/>
  <c r="E16" i="693"/>
  <c r="D16" i="693"/>
  <c r="O8" i="693"/>
  <c r="N8" i="693"/>
  <c r="M8" i="693"/>
  <c r="L8" i="693"/>
  <c r="O7" i="693"/>
  <c r="N7" i="693"/>
  <c r="M7" i="693"/>
  <c r="L7" i="693"/>
  <c r="AE79" i="692"/>
  <c r="AD79" i="692"/>
  <c r="AA79" i="692"/>
  <c r="Z79" i="692"/>
  <c r="M79" i="692"/>
  <c r="W78" i="692"/>
  <c r="H78" i="692"/>
  <c r="W77" i="692"/>
  <c r="H77" i="692"/>
  <c r="W76" i="692"/>
  <c r="W75" i="692"/>
  <c r="W74" i="692"/>
  <c r="W73" i="692"/>
  <c r="W72" i="692"/>
  <c r="W71" i="692"/>
  <c r="N71" i="692" s="1"/>
  <c r="O71" i="692" s="1"/>
  <c r="V71" i="692"/>
  <c r="P71" i="692"/>
  <c r="J71" i="692"/>
  <c r="L71" i="692" s="1"/>
  <c r="F71" i="692"/>
  <c r="H71" i="692" s="1"/>
  <c r="W70" i="692"/>
  <c r="N70" i="692"/>
  <c r="K70" i="692"/>
  <c r="K79" i="692" s="1"/>
  <c r="J70" i="692"/>
  <c r="H70" i="692"/>
  <c r="F70" i="692"/>
  <c r="AE69" i="692"/>
  <c r="AD69" i="692"/>
  <c r="AA69" i="692"/>
  <c r="I19" i="691" s="1"/>
  <c r="Z69" i="692"/>
  <c r="P69" i="692"/>
  <c r="M69" i="692"/>
  <c r="W68" i="692"/>
  <c r="W67" i="692"/>
  <c r="W66" i="692"/>
  <c r="W65" i="692"/>
  <c r="W64" i="692"/>
  <c r="W63" i="692"/>
  <c r="V63" i="692"/>
  <c r="N63" i="692"/>
  <c r="O63" i="692" s="1"/>
  <c r="K63" i="692"/>
  <c r="L63" i="692" s="1"/>
  <c r="J63" i="692"/>
  <c r="P63" i="692" s="1"/>
  <c r="H63" i="692"/>
  <c r="F63" i="692"/>
  <c r="W62" i="692"/>
  <c r="V62" i="692"/>
  <c r="P62" i="692"/>
  <c r="N62" i="692"/>
  <c r="L62" i="692"/>
  <c r="K62" i="692"/>
  <c r="J62" i="692"/>
  <c r="H62" i="692"/>
  <c r="F62" i="692"/>
  <c r="W61" i="692"/>
  <c r="V61" i="692"/>
  <c r="P61" i="692"/>
  <c r="O61" i="692"/>
  <c r="N61" i="692"/>
  <c r="K61" i="692"/>
  <c r="J61" i="692"/>
  <c r="J69" i="692" s="1"/>
  <c r="H61" i="692"/>
  <c r="F61" i="692"/>
  <c r="W60" i="692"/>
  <c r="N60" i="692" s="1"/>
  <c r="V60" i="692"/>
  <c r="P60" i="692"/>
  <c r="L60" i="692"/>
  <c r="K60" i="692"/>
  <c r="J60" i="692"/>
  <c r="F60" i="692"/>
  <c r="H60" i="692" s="1"/>
  <c r="W59" i="692"/>
  <c r="N59" i="692" s="1"/>
  <c r="P59" i="692"/>
  <c r="O59" i="692"/>
  <c r="K59" i="692"/>
  <c r="J59" i="692"/>
  <c r="F59" i="692"/>
  <c r="H59" i="692" s="1"/>
  <c r="AE58" i="692"/>
  <c r="H21" i="691" s="1"/>
  <c r="AD58" i="692"/>
  <c r="AA58" i="692"/>
  <c r="Z58" i="692"/>
  <c r="M58" i="692"/>
  <c r="W57" i="692"/>
  <c r="W56" i="692"/>
  <c r="W55" i="692"/>
  <c r="W54" i="692"/>
  <c r="W53" i="692"/>
  <c r="V53" i="692"/>
  <c r="P53" i="692"/>
  <c r="N53" i="692"/>
  <c r="L53" i="692"/>
  <c r="K53" i="692"/>
  <c r="J53" i="692"/>
  <c r="F53" i="692"/>
  <c r="H53" i="692" s="1"/>
  <c r="W52" i="692"/>
  <c r="V52" i="692"/>
  <c r="P52" i="692"/>
  <c r="N52" i="692"/>
  <c r="K52" i="692"/>
  <c r="L52" i="692" s="1"/>
  <c r="J52" i="692"/>
  <c r="H52" i="692"/>
  <c r="F52" i="692"/>
  <c r="W51" i="692"/>
  <c r="N51" i="692" s="1"/>
  <c r="N58" i="692" s="1"/>
  <c r="V51" i="692"/>
  <c r="K51" i="692"/>
  <c r="J51" i="692"/>
  <c r="P51" i="692" s="1"/>
  <c r="H51" i="692"/>
  <c r="F51" i="692"/>
  <c r="W50" i="692"/>
  <c r="N50" i="692" s="1"/>
  <c r="V50" i="692"/>
  <c r="K50" i="692"/>
  <c r="L50" i="692" s="1"/>
  <c r="J50" i="692"/>
  <c r="P50" i="692" s="1"/>
  <c r="F50" i="692"/>
  <c r="H50" i="692" s="1"/>
  <c r="AG49" i="692"/>
  <c r="AF49" i="692"/>
  <c r="W49" i="692"/>
  <c r="P49" i="692"/>
  <c r="O49" i="692"/>
  <c r="N49" i="692"/>
  <c r="K49" i="692"/>
  <c r="J49" i="692"/>
  <c r="F49" i="692"/>
  <c r="H49" i="692" s="1"/>
  <c r="AE48" i="692"/>
  <c r="G21" i="691" s="1"/>
  <c r="AD48" i="692"/>
  <c r="AA48" i="692"/>
  <c r="Z48" i="692"/>
  <c r="G18" i="691" s="1"/>
  <c r="W48" i="692"/>
  <c r="M48" i="692"/>
  <c r="W47" i="692"/>
  <c r="H47" i="692"/>
  <c r="W46" i="692"/>
  <c r="W45" i="692"/>
  <c r="W44" i="692"/>
  <c r="W43" i="692"/>
  <c r="W42" i="692"/>
  <c r="AG41" i="692"/>
  <c r="AF41" i="692"/>
  <c r="W41" i="692"/>
  <c r="W40" i="692"/>
  <c r="V40" i="692"/>
  <c r="Q40" i="692"/>
  <c r="P40" i="692"/>
  <c r="O40" i="692"/>
  <c r="R40" i="692" s="1"/>
  <c r="N40" i="692"/>
  <c r="L40" i="692"/>
  <c r="K40" i="692"/>
  <c r="J40" i="692"/>
  <c r="F40" i="692"/>
  <c r="H40" i="692" s="1"/>
  <c r="W39" i="692"/>
  <c r="N39" i="692" s="1"/>
  <c r="V39" i="692"/>
  <c r="P39" i="692"/>
  <c r="O39" i="692"/>
  <c r="K39" i="692"/>
  <c r="L39" i="692" s="1"/>
  <c r="J39" i="692"/>
  <c r="F39" i="692"/>
  <c r="H39" i="692" s="1"/>
  <c r="W38" i="692"/>
  <c r="N38" i="692"/>
  <c r="K38" i="692"/>
  <c r="J38" i="692"/>
  <c r="P38" i="692" s="1"/>
  <c r="H38" i="692"/>
  <c r="F38" i="692"/>
  <c r="AE37" i="692"/>
  <c r="F21" i="691" s="1"/>
  <c r="AD37" i="692"/>
  <c r="AA37" i="692"/>
  <c r="Z37" i="692"/>
  <c r="M37" i="692"/>
  <c r="K37" i="692"/>
  <c r="W36" i="692"/>
  <c r="H36" i="692"/>
  <c r="W35" i="692"/>
  <c r="W34" i="692"/>
  <c r="W33" i="692"/>
  <c r="N33" i="692" s="1"/>
  <c r="O33" i="692" s="1"/>
  <c r="V33" i="692"/>
  <c r="R33" i="692"/>
  <c r="Q33" i="692"/>
  <c r="P33" i="692"/>
  <c r="L33" i="692"/>
  <c r="J33" i="692"/>
  <c r="F33" i="692"/>
  <c r="H33" i="692" s="1"/>
  <c r="W32" i="692"/>
  <c r="N32" i="692" s="1"/>
  <c r="V32" i="692"/>
  <c r="O32" i="692"/>
  <c r="J32" i="692"/>
  <c r="F32" i="692"/>
  <c r="H32" i="692" s="1"/>
  <c r="W31" i="692"/>
  <c r="N31" i="692" s="1"/>
  <c r="V31" i="692"/>
  <c r="P31" i="692"/>
  <c r="L31" i="692"/>
  <c r="J31" i="692"/>
  <c r="F31" i="692"/>
  <c r="H31" i="692" s="1"/>
  <c r="AG30" i="692"/>
  <c r="W30" i="692"/>
  <c r="N30" i="692" s="1"/>
  <c r="AF30" i="692" s="1"/>
  <c r="V30" i="692"/>
  <c r="P30" i="692"/>
  <c r="O30" i="692"/>
  <c r="K30" i="692"/>
  <c r="J30" i="692"/>
  <c r="H30" i="692"/>
  <c r="F30" i="692"/>
  <c r="AG29" i="692"/>
  <c r="W29" i="692"/>
  <c r="N29" i="692" s="1"/>
  <c r="O29" i="692" s="1"/>
  <c r="V29" i="692"/>
  <c r="R29" i="692"/>
  <c r="Q29" i="692"/>
  <c r="P29" i="692"/>
  <c r="K29" i="692"/>
  <c r="J29" i="692"/>
  <c r="L29" i="692" s="1"/>
  <c r="F29" i="692"/>
  <c r="H29" i="692" s="1"/>
  <c r="W28" i="692"/>
  <c r="V28" i="692"/>
  <c r="N28" i="692"/>
  <c r="L28" i="692"/>
  <c r="J28" i="692"/>
  <c r="P28" i="692" s="1"/>
  <c r="H28" i="692"/>
  <c r="F28" i="692"/>
  <c r="W27" i="692"/>
  <c r="P27" i="692"/>
  <c r="N27" i="692"/>
  <c r="L27" i="692"/>
  <c r="J27" i="692"/>
  <c r="F27" i="692"/>
  <c r="H27" i="692" s="1"/>
  <c r="AE26" i="692"/>
  <c r="AD26" i="692"/>
  <c r="AA26" i="692"/>
  <c r="E19" i="691" s="1"/>
  <c r="Z26" i="692"/>
  <c r="E18" i="691" s="1"/>
  <c r="N26" i="692"/>
  <c r="M26" i="692"/>
  <c r="J26" i="692"/>
  <c r="W25" i="692"/>
  <c r="H25" i="692"/>
  <c r="W24" i="692"/>
  <c r="H24" i="692"/>
  <c r="W23" i="692"/>
  <c r="W21" i="692"/>
  <c r="N21" i="692" s="1"/>
  <c r="V21" i="692"/>
  <c r="R21" i="692"/>
  <c r="Q21" i="692"/>
  <c r="P21" i="692"/>
  <c r="O21" i="692"/>
  <c r="K21" i="692"/>
  <c r="L21" i="692" s="1"/>
  <c r="F21" i="692"/>
  <c r="H21" i="692" s="1"/>
  <c r="W20" i="692"/>
  <c r="V20" i="692"/>
  <c r="P20" i="692"/>
  <c r="O20" i="692"/>
  <c r="N20" i="692"/>
  <c r="K20" i="692"/>
  <c r="L20" i="692" s="1"/>
  <c r="F20" i="692"/>
  <c r="H20" i="692" s="1"/>
  <c r="W19" i="692"/>
  <c r="N19" i="692" s="1"/>
  <c r="V19" i="692"/>
  <c r="P19" i="692"/>
  <c r="O19" i="692"/>
  <c r="K19" i="692"/>
  <c r="L19" i="692" s="1"/>
  <c r="F19" i="692"/>
  <c r="H19" i="692" s="1"/>
  <c r="W18" i="692"/>
  <c r="N18" i="692" s="1"/>
  <c r="V18" i="692"/>
  <c r="P18" i="692"/>
  <c r="K18" i="692"/>
  <c r="L18" i="692" s="1"/>
  <c r="F18" i="692"/>
  <c r="H18" i="692" s="1"/>
  <c r="AG17" i="692"/>
  <c r="W17" i="692"/>
  <c r="N17" i="692" s="1"/>
  <c r="O17" i="692" s="1"/>
  <c r="V17" i="692"/>
  <c r="P17" i="692"/>
  <c r="K17" i="692"/>
  <c r="L17" i="692" s="1"/>
  <c r="F17" i="692"/>
  <c r="H17" i="692" s="1"/>
  <c r="W16" i="692"/>
  <c r="N16" i="692" s="1"/>
  <c r="P16" i="692"/>
  <c r="O16" i="692"/>
  <c r="K16" i="692"/>
  <c r="H16" i="692"/>
  <c r="F16" i="692"/>
  <c r="AE15" i="692"/>
  <c r="AD15" i="692"/>
  <c r="AA15" i="692"/>
  <c r="Z15" i="692"/>
  <c r="M15" i="692"/>
  <c r="J15" i="692"/>
  <c r="W14" i="692"/>
  <c r="W13" i="692"/>
  <c r="W12" i="692"/>
  <c r="AG11" i="692"/>
  <c r="AF11" i="692"/>
  <c r="W11" i="692"/>
  <c r="AG10" i="692"/>
  <c r="AF10" i="692"/>
  <c r="W10" i="692"/>
  <c r="AG9" i="692"/>
  <c r="AF9" i="692"/>
  <c r="W9" i="692"/>
  <c r="W8" i="692"/>
  <c r="V8" i="692"/>
  <c r="P8" i="692"/>
  <c r="N8" i="692"/>
  <c r="K8" i="692"/>
  <c r="L8" i="692" s="1"/>
  <c r="H8" i="692"/>
  <c r="F8" i="692"/>
  <c r="W7" i="692"/>
  <c r="V7" i="692"/>
  <c r="P7" i="692"/>
  <c r="N7" i="692"/>
  <c r="K7" i="692"/>
  <c r="L7" i="692" s="1"/>
  <c r="F7" i="692"/>
  <c r="H7" i="692" s="1"/>
  <c r="W6" i="692"/>
  <c r="V6" i="692"/>
  <c r="P6" i="692"/>
  <c r="N6" i="692"/>
  <c r="L6" i="692"/>
  <c r="K6" i="692"/>
  <c r="F6" i="692"/>
  <c r="H6" i="692" s="1"/>
  <c r="AG5" i="692"/>
  <c r="AF5" i="692"/>
  <c r="W5" i="692"/>
  <c r="N5" i="692" s="1"/>
  <c r="P5" i="692"/>
  <c r="O5" i="692"/>
  <c r="K5" i="692"/>
  <c r="H5" i="692"/>
  <c r="F5" i="692"/>
  <c r="AD2" i="692"/>
  <c r="I2" i="692"/>
  <c r="E1" i="692"/>
  <c r="J22" i="691"/>
  <c r="I22" i="691"/>
  <c r="H22" i="691"/>
  <c r="G22" i="691"/>
  <c r="F22" i="691"/>
  <c r="J21" i="691"/>
  <c r="I21" i="691"/>
  <c r="E21" i="691"/>
  <c r="J20" i="691"/>
  <c r="I20" i="691"/>
  <c r="H20" i="691"/>
  <c r="G20" i="691"/>
  <c r="F20" i="691"/>
  <c r="E20" i="691"/>
  <c r="D20" i="691"/>
  <c r="J19" i="691"/>
  <c r="H19" i="691"/>
  <c r="G19" i="691"/>
  <c r="M6" i="691" s="1"/>
  <c r="F19" i="691"/>
  <c r="D19" i="691"/>
  <c r="I18" i="691"/>
  <c r="H18" i="691"/>
  <c r="F18" i="691"/>
  <c r="J16" i="691"/>
  <c r="I16" i="691"/>
  <c r="H16" i="691"/>
  <c r="G16" i="691"/>
  <c r="F16" i="691"/>
  <c r="E16" i="691"/>
  <c r="D16" i="691"/>
  <c r="O8" i="691"/>
  <c r="N8" i="691"/>
  <c r="M8" i="691"/>
  <c r="L8" i="691"/>
  <c r="O7" i="691"/>
  <c r="N7" i="691"/>
  <c r="M7" i="691"/>
  <c r="L7" i="691"/>
  <c r="O6" i="691"/>
  <c r="N6" i="691"/>
  <c r="G3" i="691"/>
  <c r="AE79" i="690"/>
  <c r="J21" i="689" s="1"/>
  <c r="AD79" i="690"/>
  <c r="AA79" i="690"/>
  <c r="Z79" i="690"/>
  <c r="W78" i="690"/>
  <c r="W77" i="690"/>
  <c r="W76" i="690"/>
  <c r="W75" i="690"/>
  <c r="W74" i="690"/>
  <c r="W73" i="690"/>
  <c r="W72" i="690"/>
  <c r="V72" i="690"/>
  <c r="P72" i="690"/>
  <c r="O72" i="690"/>
  <c r="N72" i="690"/>
  <c r="K72" i="690"/>
  <c r="L72" i="690" s="1"/>
  <c r="J72" i="690"/>
  <c r="H72" i="690"/>
  <c r="F72" i="690"/>
  <c r="W71" i="690"/>
  <c r="V71" i="690"/>
  <c r="N71" i="690"/>
  <c r="O71" i="690" s="1"/>
  <c r="K71" i="690"/>
  <c r="J71" i="690"/>
  <c r="H71" i="690"/>
  <c r="F71" i="690"/>
  <c r="AG70" i="690"/>
  <c r="W70" i="690"/>
  <c r="P70" i="690"/>
  <c r="N70" i="690"/>
  <c r="L70" i="690"/>
  <c r="J70" i="690"/>
  <c r="F70" i="690"/>
  <c r="H70" i="690" s="1"/>
  <c r="AE69" i="690"/>
  <c r="AD69" i="690"/>
  <c r="AA69" i="690"/>
  <c r="Z69" i="690"/>
  <c r="M69" i="690"/>
  <c r="K69" i="690"/>
  <c r="W68" i="690"/>
  <c r="H68" i="690"/>
  <c r="W67" i="690"/>
  <c r="W66" i="690"/>
  <c r="W65" i="690"/>
  <c r="W64" i="690"/>
  <c r="W63" i="690"/>
  <c r="V63" i="690"/>
  <c r="O63" i="690"/>
  <c r="N63" i="690"/>
  <c r="K63" i="690"/>
  <c r="J63" i="690"/>
  <c r="F63" i="690"/>
  <c r="H63" i="690" s="1"/>
  <c r="W62" i="690"/>
  <c r="V62" i="690"/>
  <c r="P62" i="690"/>
  <c r="N62" i="690"/>
  <c r="K62" i="690"/>
  <c r="J62" i="690"/>
  <c r="L62" i="690" s="1"/>
  <c r="F62" i="690"/>
  <c r="H62" i="690" s="1"/>
  <c r="W61" i="690"/>
  <c r="N61" i="690" s="1"/>
  <c r="V61" i="690"/>
  <c r="P61" i="690"/>
  <c r="L61" i="690"/>
  <c r="K61" i="690"/>
  <c r="J61" i="690"/>
  <c r="H61" i="690"/>
  <c r="F61" i="690"/>
  <c r="AF60" i="690"/>
  <c r="W60" i="690"/>
  <c r="N60" i="690" s="1"/>
  <c r="V60" i="690"/>
  <c r="K60" i="690"/>
  <c r="J60" i="690"/>
  <c r="P60" i="690" s="1"/>
  <c r="H60" i="690"/>
  <c r="F60" i="690"/>
  <c r="W59" i="690"/>
  <c r="N59" i="690" s="1"/>
  <c r="L59" i="690"/>
  <c r="K59" i="690"/>
  <c r="J59" i="690"/>
  <c r="P59" i="690" s="1"/>
  <c r="H59" i="690"/>
  <c r="F59" i="690"/>
  <c r="AE58" i="690"/>
  <c r="AD58" i="690"/>
  <c r="AA58" i="690"/>
  <c r="Z58" i="690"/>
  <c r="M58" i="690"/>
  <c r="H22" i="689" s="1"/>
  <c r="W57" i="690"/>
  <c r="W56" i="690"/>
  <c r="W55" i="690"/>
  <c r="W54" i="690"/>
  <c r="AG53" i="690"/>
  <c r="AF53" i="690"/>
  <c r="W53" i="690"/>
  <c r="AG52" i="690"/>
  <c r="AF52" i="690"/>
  <c r="W52" i="690"/>
  <c r="N52" i="690" s="1"/>
  <c r="O52" i="690" s="1"/>
  <c r="V52" i="690"/>
  <c r="K52" i="690"/>
  <c r="J52" i="690"/>
  <c r="F52" i="690"/>
  <c r="H52" i="690" s="1"/>
  <c r="AG51" i="690"/>
  <c r="AF51" i="690"/>
  <c r="W51" i="690"/>
  <c r="N51" i="690" s="1"/>
  <c r="O51" i="690" s="1"/>
  <c r="V51" i="690"/>
  <c r="K51" i="690"/>
  <c r="J51" i="690"/>
  <c r="P51" i="690" s="1"/>
  <c r="F51" i="690"/>
  <c r="H51" i="690" s="1"/>
  <c r="AG50" i="690"/>
  <c r="W50" i="690"/>
  <c r="V50" i="690"/>
  <c r="O50" i="690"/>
  <c r="N50" i="690"/>
  <c r="K50" i="690"/>
  <c r="J50" i="690"/>
  <c r="H50" i="690"/>
  <c r="F50" i="690"/>
  <c r="W49" i="690"/>
  <c r="N49" i="690" s="1"/>
  <c r="P49" i="690"/>
  <c r="L49" i="690"/>
  <c r="K49" i="690"/>
  <c r="J49" i="690"/>
  <c r="F49" i="690"/>
  <c r="H49" i="690" s="1"/>
  <c r="AE48" i="690"/>
  <c r="AD48" i="690"/>
  <c r="AA48" i="690"/>
  <c r="G19" i="689" s="1"/>
  <c r="Z48" i="690"/>
  <c r="W48" i="690"/>
  <c r="M48" i="690"/>
  <c r="K48" i="690"/>
  <c r="J48" i="690"/>
  <c r="W47" i="690"/>
  <c r="H47" i="690"/>
  <c r="W46" i="690"/>
  <c r="W45" i="690"/>
  <c r="W44" i="690"/>
  <c r="W43" i="690"/>
  <c r="W42" i="690"/>
  <c r="AG41" i="690"/>
  <c r="AF41" i="690"/>
  <c r="W41" i="690"/>
  <c r="AG40" i="690"/>
  <c r="AF40" i="690"/>
  <c r="W40" i="690"/>
  <c r="N40" i="690" s="1"/>
  <c r="O40" i="690" s="1"/>
  <c r="V40" i="690"/>
  <c r="K40" i="690"/>
  <c r="J40" i="690"/>
  <c r="P40" i="690" s="1"/>
  <c r="H40" i="690"/>
  <c r="F40" i="690"/>
  <c r="W39" i="690"/>
  <c r="V39" i="690"/>
  <c r="N39" i="690"/>
  <c r="K39" i="690"/>
  <c r="L39" i="690" s="1"/>
  <c r="J39" i="690"/>
  <c r="P39" i="690" s="1"/>
  <c r="F39" i="690"/>
  <c r="H39" i="690" s="1"/>
  <c r="W38" i="690"/>
  <c r="N38" i="690"/>
  <c r="K38" i="690"/>
  <c r="L38" i="690" s="1"/>
  <c r="J38" i="690"/>
  <c r="P38" i="690" s="1"/>
  <c r="H38" i="690"/>
  <c r="F38" i="690"/>
  <c r="AE37" i="690"/>
  <c r="AD37" i="690"/>
  <c r="AA37" i="690"/>
  <c r="F19" i="689" s="1"/>
  <c r="Z37" i="690"/>
  <c r="F18" i="689" s="1"/>
  <c r="M37" i="690"/>
  <c r="J37" i="690"/>
  <c r="P37" i="690" s="1"/>
  <c r="W36" i="690"/>
  <c r="H36" i="690"/>
  <c r="W35" i="690"/>
  <c r="W34" i="690"/>
  <c r="W33" i="690"/>
  <c r="W32" i="690"/>
  <c r="V32" i="690"/>
  <c r="O32" i="690"/>
  <c r="N32" i="690"/>
  <c r="K32" i="690"/>
  <c r="L32" i="690" s="1"/>
  <c r="J32" i="690"/>
  <c r="P32" i="690" s="1"/>
  <c r="F32" i="690"/>
  <c r="H32" i="690" s="1"/>
  <c r="AF31" i="690"/>
  <c r="W31" i="690"/>
  <c r="V31" i="690"/>
  <c r="P31" i="690"/>
  <c r="O31" i="690"/>
  <c r="N31" i="690"/>
  <c r="AG31" i="690" s="1"/>
  <c r="L31" i="690"/>
  <c r="J31" i="690"/>
  <c r="F31" i="690"/>
  <c r="H31" i="690" s="1"/>
  <c r="W30" i="690"/>
  <c r="V30" i="690"/>
  <c r="N30" i="690"/>
  <c r="K30" i="690"/>
  <c r="J30" i="690"/>
  <c r="F30" i="690"/>
  <c r="H30" i="690" s="1"/>
  <c r="W29" i="690"/>
  <c r="V29" i="690"/>
  <c r="N29" i="690"/>
  <c r="K29" i="690"/>
  <c r="J29" i="690"/>
  <c r="F29" i="690"/>
  <c r="H29" i="690" s="1"/>
  <c r="W28" i="690"/>
  <c r="N28" i="690" s="1"/>
  <c r="V28" i="690"/>
  <c r="P28" i="690"/>
  <c r="L28" i="690"/>
  <c r="J28" i="690"/>
  <c r="F28" i="690"/>
  <c r="H28" i="690" s="1"/>
  <c r="W27" i="690"/>
  <c r="N27" i="690" s="1"/>
  <c r="P27" i="690"/>
  <c r="J27" i="690"/>
  <c r="L27" i="690" s="1"/>
  <c r="F27" i="690"/>
  <c r="H27" i="690" s="1"/>
  <c r="AE26" i="690"/>
  <c r="AD26" i="690"/>
  <c r="AA26" i="690"/>
  <c r="AA2" i="690" s="1"/>
  <c r="Z26" i="690"/>
  <c r="M26" i="690"/>
  <c r="W25" i="690"/>
  <c r="H25" i="690"/>
  <c r="W24" i="690"/>
  <c r="H24" i="690"/>
  <c r="W23" i="690"/>
  <c r="W21" i="690"/>
  <c r="V21" i="690"/>
  <c r="P21" i="690"/>
  <c r="N21" i="690"/>
  <c r="O21" i="690" s="1"/>
  <c r="L21" i="690"/>
  <c r="K21" i="690"/>
  <c r="J21" i="690"/>
  <c r="H21" i="690"/>
  <c r="F21" i="690"/>
  <c r="W20" i="690"/>
  <c r="V20" i="690"/>
  <c r="P20" i="690"/>
  <c r="N20" i="690"/>
  <c r="O20" i="690" s="1"/>
  <c r="K20" i="690"/>
  <c r="L20" i="690" s="1"/>
  <c r="F20" i="690"/>
  <c r="H20" i="690" s="1"/>
  <c r="W19" i="690"/>
  <c r="V19" i="690"/>
  <c r="P19" i="690"/>
  <c r="N19" i="690"/>
  <c r="L19" i="690"/>
  <c r="K19" i="690"/>
  <c r="H19" i="690"/>
  <c r="F19" i="690"/>
  <c r="W18" i="690"/>
  <c r="N18" i="690" s="1"/>
  <c r="V18" i="690"/>
  <c r="P18" i="690"/>
  <c r="L18" i="690"/>
  <c r="K18" i="690"/>
  <c r="AF18" i="690" s="1"/>
  <c r="F18" i="690"/>
  <c r="H18" i="690" s="1"/>
  <c r="W17" i="690"/>
  <c r="N17" i="690" s="1"/>
  <c r="V17" i="690"/>
  <c r="P17" i="690"/>
  <c r="L17" i="690"/>
  <c r="K17" i="690"/>
  <c r="F17" i="690"/>
  <c r="H17" i="690" s="1"/>
  <c r="W16" i="690"/>
  <c r="N16" i="690" s="1"/>
  <c r="P16" i="690"/>
  <c r="K16" i="690"/>
  <c r="J16" i="690"/>
  <c r="J26" i="690" s="1"/>
  <c r="F16" i="690"/>
  <c r="H16" i="690" s="1"/>
  <c r="AE15" i="690"/>
  <c r="D21" i="689" s="1"/>
  <c r="AD15" i="690"/>
  <c r="D20" i="689" s="1"/>
  <c r="AA15" i="690"/>
  <c r="Z15" i="690"/>
  <c r="P15" i="690"/>
  <c r="M15" i="690"/>
  <c r="J15" i="690"/>
  <c r="W14" i="690"/>
  <c r="W13" i="690"/>
  <c r="W12" i="690"/>
  <c r="AG11" i="690"/>
  <c r="AF11" i="690"/>
  <c r="W11" i="690"/>
  <c r="AG10" i="690"/>
  <c r="AF10" i="690"/>
  <c r="W10" i="690"/>
  <c r="AG9" i="690"/>
  <c r="AF9" i="690"/>
  <c r="W9" i="690"/>
  <c r="W8" i="690"/>
  <c r="V8" i="690"/>
  <c r="P8" i="690"/>
  <c r="N8" i="690"/>
  <c r="L8" i="690"/>
  <c r="K8" i="690"/>
  <c r="H8" i="690"/>
  <c r="F8" i="690"/>
  <c r="W7" i="690"/>
  <c r="V7" i="690"/>
  <c r="P7" i="690"/>
  <c r="N7" i="690"/>
  <c r="L7" i="690"/>
  <c r="K7" i="690"/>
  <c r="H7" i="690"/>
  <c r="F7" i="690"/>
  <c r="W6" i="690"/>
  <c r="V6" i="690"/>
  <c r="P6" i="690"/>
  <c r="N6" i="690"/>
  <c r="K6" i="690"/>
  <c r="L6" i="690" s="1"/>
  <c r="F6" i="690"/>
  <c r="H6" i="690" s="1"/>
  <c r="W5" i="690"/>
  <c r="N5" i="690" s="1"/>
  <c r="AF5" i="690" s="1"/>
  <c r="P5" i="690"/>
  <c r="K5" i="690"/>
  <c r="F5" i="690"/>
  <c r="H5" i="690" s="1"/>
  <c r="I2" i="690"/>
  <c r="E1" i="690"/>
  <c r="G3" i="689" s="1"/>
  <c r="J22" i="689"/>
  <c r="F22" i="689"/>
  <c r="E22" i="689"/>
  <c r="I21" i="689"/>
  <c r="H21" i="689"/>
  <c r="G21" i="689"/>
  <c r="F21" i="689"/>
  <c r="J20" i="689"/>
  <c r="I20" i="689"/>
  <c r="H20" i="689"/>
  <c r="G20" i="689"/>
  <c r="F20" i="689"/>
  <c r="J19" i="689"/>
  <c r="I19" i="689"/>
  <c r="H19" i="689"/>
  <c r="E19" i="689"/>
  <c r="D19" i="689"/>
  <c r="M6" i="689" s="1"/>
  <c r="J18" i="689"/>
  <c r="I18" i="689"/>
  <c r="H18" i="689"/>
  <c r="G18" i="689"/>
  <c r="D18" i="689"/>
  <c r="J16" i="689"/>
  <c r="I16" i="689"/>
  <c r="H16" i="689"/>
  <c r="G16" i="689"/>
  <c r="F16" i="689"/>
  <c r="E16" i="689"/>
  <c r="D16" i="689"/>
  <c r="O8" i="689"/>
  <c r="N8" i="689"/>
  <c r="M8" i="689"/>
  <c r="L8" i="689"/>
  <c r="O7" i="689"/>
  <c r="N7" i="689"/>
  <c r="M7" i="689"/>
  <c r="L7" i="689"/>
  <c r="AE79" i="688"/>
  <c r="AD79" i="688"/>
  <c r="J20" i="687" s="1"/>
  <c r="AA79" i="688"/>
  <c r="J18" i="687" s="1"/>
  <c r="Z79" i="688"/>
  <c r="M79" i="688"/>
  <c r="K79" i="688"/>
  <c r="J79" i="688"/>
  <c r="P79" i="688" s="1"/>
  <c r="W78" i="688"/>
  <c r="H78" i="688"/>
  <c r="W77" i="688"/>
  <c r="H77" i="688"/>
  <c r="W76" i="688"/>
  <c r="H76" i="688"/>
  <c r="W75" i="688"/>
  <c r="W74" i="688"/>
  <c r="W73" i="688"/>
  <c r="W72" i="688"/>
  <c r="W71" i="688"/>
  <c r="V71" i="688"/>
  <c r="N71" i="688"/>
  <c r="O71" i="688" s="1"/>
  <c r="L71" i="688"/>
  <c r="J71" i="688"/>
  <c r="P71" i="688" s="1"/>
  <c r="F71" i="688"/>
  <c r="H71" i="688" s="1"/>
  <c r="AG70" i="688"/>
  <c r="AF70" i="688"/>
  <c r="W70" i="688"/>
  <c r="N70" i="688" s="1"/>
  <c r="K70" i="688"/>
  <c r="J70" i="688"/>
  <c r="P70" i="688" s="1"/>
  <c r="F70" i="688"/>
  <c r="H70" i="688" s="1"/>
  <c r="AE69" i="688"/>
  <c r="AD69" i="688"/>
  <c r="AA69" i="688"/>
  <c r="I19" i="687" s="1"/>
  <c r="Z69" i="688"/>
  <c r="I18" i="687" s="1"/>
  <c r="M69" i="688"/>
  <c r="W68" i="688"/>
  <c r="H68" i="688"/>
  <c r="W67" i="688"/>
  <c r="W66" i="688"/>
  <c r="W65" i="688"/>
  <c r="W64" i="688"/>
  <c r="W63" i="688"/>
  <c r="W62" i="688"/>
  <c r="V62" i="688"/>
  <c r="N62" i="688"/>
  <c r="K62" i="688"/>
  <c r="L62" i="688" s="1"/>
  <c r="J62" i="688"/>
  <c r="P62" i="688" s="1"/>
  <c r="H62" i="688"/>
  <c r="F62" i="688"/>
  <c r="W61" i="688"/>
  <c r="N61" i="688" s="1"/>
  <c r="V61" i="688"/>
  <c r="K61" i="688"/>
  <c r="L61" i="688" s="1"/>
  <c r="J61" i="688"/>
  <c r="P61" i="688" s="1"/>
  <c r="F61" i="688"/>
  <c r="H61" i="688" s="1"/>
  <c r="W60" i="688"/>
  <c r="N60" i="688" s="1"/>
  <c r="O60" i="688" s="1"/>
  <c r="V60" i="688"/>
  <c r="K60" i="688"/>
  <c r="J60" i="688"/>
  <c r="P60" i="688" s="1"/>
  <c r="F60" i="688"/>
  <c r="H60" i="688" s="1"/>
  <c r="W59" i="688"/>
  <c r="N59" i="688"/>
  <c r="K59" i="688"/>
  <c r="L59" i="688" s="1"/>
  <c r="J59" i="688"/>
  <c r="F59" i="688"/>
  <c r="H59" i="688" s="1"/>
  <c r="AE58" i="688"/>
  <c r="H21" i="687" s="1"/>
  <c r="AD58" i="688"/>
  <c r="H20" i="687" s="1"/>
  <c r="AA58" i="688"/>
  <c r="H19" i="687" s="1"/>
  <c r="Z58" i="688"/>
  <c r="M58" i="688"/>
  <c r="H22" i="687" s="1"/>
  <c r="W57" i="688"/>
  <c r="W56" i="688"/>
  <c r="W55" i="688"/>
  <c r="W54" i="688"/>
  <c r="AG53" i="688"/>
  <c r="AF53" i="688"/>
  <c r="W53" i="688"/>
  <c r="W52" i="688"/>
  <c r="V52" i="688"/>
  <c r="P52" i="688"/>
  <c r="O52" i="688"/>
  <c r="R52" i="688" s="1"/>
  <c r="N52" i="688"/>
  <c r="K52" i="688"/>
  <c r="J52" i="688"/>
  <c r="L52" i="688" s="1"/>
  <c r="F52" i="688"/>
  <c r="H52" i="688" s="1"/>
  <c r="W51" i="688"/>
  <c r="V51" i="688"/>
  <c r="O51" i="688"/>
  <c r="N51" i="688"/>
  <c r="K51" i="688"/>
  <c r="J51" i="688"/>
  <c r="F51" i="688"/>
  <c r="H51" i="688" s="1"/>
  <c r="W50" i="688"/>
  <c r="N50" i="688" s="1"/>
  <c r="V50" i="688"/>
  <c r="P50" i="688"/>
  <c r="L50" i="688"/>
  <c r="K50" i="688"/>
  <c r="J50" i="688"/>
  <c r="F50" i="688"/>
  <c r="H50" i="688" s="1"/>
  <c r="AG49" i="688"/>
  <c r="AF49" i="688"/>
  <c r="W49" i="688"/>
  <c r="N49" i="688" s="1"/>
  <c r="O49" i="688" s="1"/>
  <c r="K49" i="688"/>
  <c r="K58" i="688" s="1"/>
  <c r="J49" i="688"/>
  <c r="H49" i="688"/>
  <c r="F49" i="688"/>
  <c r="AE48" i="688"/>
  <c r="G21" i="687" s="1"/>
  <c r="AD48" i="688"/>
  <c r="G20" i="687" s="1"/>
  <c r="AA48" i="688"/>
  <c r="G19" i="687" s="1"/>
  <c r="Z48" i="688"/>
  <c r="W48" i="688"/>
  <c r="M48" i="688"/>
  <c r="L48" i="688"/>
  <c r="G13" i="687" s="1"/>
  <c r="K48" i="688"/>
  <c r="J48" i="688"/>
  <c r="P48" i="688" s="1"/>
  <c r="W47" i="688"/>
  <c r="H47" i="688"/>
  <c r="W46" i="688"/>
  <c r="W45" i="688"/>
  <c r="W44" i="688"/>
  <c r="W43" i="688"/>
  <c r="W42" i="688"/>
  <c r="AG41" i="688"/>
  <c r="AF41" i="688"/>
  <c r="W41" i="688"/>
  <c r="AG40" i="688"/>
  <c r="W40" i="688"/>
  <c r="N40" i="688" s="1"/>
  <c r="O40" i="688" s="1"/>
  <c r="V40" i="688"/>
  <c r="P40" i="688"/>
  <c r="K40" i="688"/>
  <c r="L40" i="688" s="1"/>
  <c r="J40" i="688"/>
  <c r="F40" i="688"/>
  <c r="H40" i="688" s="1"/>
  <c r="AG39" i="688"/>
  <c r="W39" i="688"/>
  <c r="V39" i="688"/>
  <c r="P39" i="688"/>
  <c r="N39" i="688"/>
  <c r="AF39" i="688" s="1"/>
  <c r="L39" i="688"/>
  <c r="K39" i="688"/>
  <c r="J39" i="688"/>
  <c r="H39" i="688"/>
  <c r="F39" i="688"/>
  <c r="W38" i="688"/>
  <c r="P38" i="688"/>
  <c r="N38" i="688"/>
  <c r="L38" i="688"/>
  <c r="K38" i="688"/>
  <c r="J38" i="688"/>
  <c r="H38" i="688"/>
  <c r="F38" i="688"/>
  <c r="AE37" i="688"/>
  <c r="F21" i="687" s="1"/>
  <c r="AD37" i="688"/>
  <c r="F20" i="687" s="1"/>
  <c r="AA37" i="688"/>
  <c r="F19" i="687" s="1"/>
  <c r="Z37" i="688"/>
  <c r="M37" i="688"/>
  <c r="W36" i="688"/>
  <c r="H36" i="688"/>
  <c r="W35" i="688"/>
  <c r="W34" i="688"/>
  <c r="W33" i="688"/>
  <c r="W32" i="688"/>
  <c r="V32" i="688"/>
  <c r="O32" i="688"/>
  <c r="N32" i="688"/>
  <c r="L32" i="688"/>
  <c r="J32" i="688"/>
  <c r="P32" i="688" s="1"/>
  <c r="F32" i="688"/>
  <c r="H32" i="688" s="1"/>
  <c r="AG31" i="688"/>
  <c r="W31" i="688"/>
  <c r="V31" i="688"/>
  <c r="O31" i="688"/>
  <c r="N31" i="688"/>
  <c r="AF31" i="688" s="1"/>
  <c r="J31" i="688"/>
  <c r="F31" i="688"/>
  <c r="H31" i="688" s="1"/>
  <c r="W30" i="688"/>
  <c r="N30" i="688" s="1"/>
  <c r="V30" i="688"/>
  <c r="P30" i="688"/>
  <c r="K30" i="688"/>
  <c r="J30" i="688"/>
  <c r="F30" i="688"/>
  <c r="H30" i="688" s="1"/>
  <c r="AF29" i="688"/>
  <c r="W29" i="688"/>
  <c r="N29" i="688" s="1"/>
  <c r="O29" i="688" s="1"/>
  <c r="V29" i="688"/>
  <c r="R29" i="688"/>
  <c r="Q29" i="688"/>
  <c r="P29" i="688"/>
  <c r="L29" i="688"/>
  <c r="K29" i="688"/>
  <c r="J29" i="688"/>
  <c r="F29" i="688"/>
  <c r="H29" i="688" s="1"/>
  <c r="AG28" i="688"/>
  <c r="W28" i="688"/>
  <c r="N28" i="688" s="1"/>
  <c r="AF28" i="688" s="1"/>
  <c r="V28" i="688"/>
  <c r="O28" i="688"/>
  <c r="J28" i="688"/>
  <c r="F28" i="688"/>
  <c r="H28" i="688" s="1"/>
  <c r="AF27" i="688"/>
  <c r="W27" i="688"/>
  <c r="N27" i="688" s="1"/>
  <c r="L27" i="688"/>
  <c r="J27" i="688"/>
  <c r="H27" i="688"/>
  <c r="F27" i="688"/>
  <c r="AE26" i="688"/>
  <c r="AD26" i="688"/>
  <c r="AA26" i="688"/>
  <c r="E19" i="687" s="1"/>
  <c r="Z26" i="688"/>
  <c r="M26" i="688"/>
  <c r="J26" i="688"/>
  <c r="W25" i="688"/>
  <c r="H25" i="688"/>
  <c r="W24" i="688"/>
  <c r="H24" i="688"/>
  <c r="W23" i="688"/>
  <c r="W21" i="688"/>
  <c r="V21" i="688"/>
  <c r="P21" i="688"/>
  <c r="N21" i="688"/>
  <c r="O21" i="688" s="1"/>
  <c r="K21" i="688"/>
  <c r="L21" i="688" s="1"/>
  <c r="J21" i="688"/>
  <c r="F21" i="688"/>
  <c r="H21" i="688" s="1"/>
  <c r="W20" i="688"/>
  <c r="V20" i="688"/>
  <c r="P20" i="688"/>
  <c r="N20" i="688"/>
  <c r="O20" i="688" s="1"/>
  <c r="K20" i="688"/>
  <c r="L20" i="688" s="1"/>
  <c r="L26" i="688" s="1"/>
  <c r="E13" i="687" s="1"/>
  <c r="J20" i="688"/>
  <c r="F20" i="688"/>
  <c r="H20" i="688" s="1"/>
  <c r="W19" i="688"/>
  <c r="V19" i="688"/>
  <c r="P19" i="688"/>
  <c r="N19" i="688"/>
  <c r="K19" i="688"/>
  <c r="L19" i="688" s="1"/>
  <c r="J19" i="688"/>
  <c r="H19" i="688"/>
  <c r="F19" i="688"/>
  <c r="W18" i="688"/>
  <c r="N18" i="688" s="1"/>
  <c r="V18" i="688"/>
  <c r="K18" i="688"/>
  <c r="L18" i="688" s="1"/>
  <c r="J18" i="688"/>
  <c r="P18" i="688" s="1"/>
  <c r="F18" i="688"/>
  <c r="H18" i="688" s="1"/>
  <c r="W17" i="688"/>
  <c r="N17" i="688" s="1"/>
  <c r="V17" i="688"/>
  <c r="L17" i="688"/>
  <c r="K17" i="688"/>
  <c r="J17" i="688"/>
  <c r="P17" i="688" s="1"/>
  <c r="F17" i="688"/>
  <c r="H17" i="688" s="1"/>
  <c r="AF16" i="688"/>
  <c r="W16" i="688"/>
  <c r="N16" i="688"/>
  <c r="AG16" i="688" s="1"/>
  <c r="K16" i="688"/>
  <c r="L16" i="688" s="1"/>
  <c r="J16" i="688"/>
  <c r="P16" i="688" s="1"/>
  <c r="H16" i="688"/>
  <c r="F16" i="688"/>
  <c r="AE15" i="688"/>
  <c r="AD15" i="688"/>
  <c r="AA15" i="688"/>
  <c r="Z15" i="688"/>
  <c r="M15" i="688"/>
  <c r="W14" i="688"/>
  <c r="W13" i="688"/>
  <c r="W12" i="688"/>
  <c r="AG11" i="688"/>
  <c r="AF11" i="688"/>
  <c r="W11" i="688"/>
  <c r="AG10" i="688"/>
  <c r="AF10" i="688"/>
  <c r="W10" i="688"/>
  <c r="AG9" i="688"/>
  <c r="AF9" i="688"/>
  <c r="W9" i="688"/>
  <c r="AG8" i="688"/>
  <c r="AF8" i="688"/>
  <c r="W8" i="688"/>
  <c r="AG7" i="688"/>
  <c r="AF7" i="688"/>
  <c r="W7" i="688"/>
  <c r="W6" i="688"/>
  <c r="N6" i="688" s="1"/>
  <c r="V6" i="688"/>
  <c r="K6" i="688"/>
  <c r="L6" i="688" s="1"/>
  <c r="J6" i="688"/>
  <c r="F6" i="688"/>
  <c r="H6" i="688" s="1"/>
  <c r="W5" i="688"/>
  <c r="P5" i="688"/>
  <c r="O5" i="688"/>
  <c r="N5" i="688"/>
  <c r="K5" i="688"/>
  <c r="H5" i="688"/>
  <c r="F5" i="688"/>
  <c r="I2" i="688"/>
  <c r="I1" i="688"/>
  <c r="E1" i="688"/>
  <c r="G3" i="687" s="1"/>
  <c r="J22" i="687"/>
  <c r="G22" i="687"/>
  <c r="F22" i="687"/>
  <c r="D22" i="687"/>
  <c r="J21" i="687"/>
  <c r="I21" i="687"/>
  <c r="E21" i="687"/>
  <c r="I20" i="687"/>
  <c r="E20" i="687"/>
  <c r="D20" i="687"/>
  <c r="J19" i="687"/>
  <c r="H18" i="687"/>
  <c r="G18" i="687"/>
  <c r="F18" i="687"/>
  <c r="E18" i="687"/>
  <c r="D18" i="687"/>
  <c r="J16" i="687"/>
  <c r="I16" i="687"/>
  <c r="H16" i="687"/>
  <c r="G16" i="687"/>
  <c r="F16" i="687"/>
  <c r="E16" i="687"/>
  <c r="D16" i="687"/>
  <c r="O8" i="687"/>
  <c r="N8" i="687"/>
  <c r="M8" i="687"/>
  <c r="L8" i="687"/>
  <c r="O7" i="687"/>
  <c r="N7" i="687"/>
  <c r="M7" i="687"/>
  <c r="L7" i="687"/>
  <c r="AE79" i="686"/>
  <c r="AD79" i="686"/>
  <c r="J20" i="685" s="1"/>
  <c r="AA79" i="686"/>
  <c r="J18" i="685" s="1"/>
  <c r="Z79" i="686"/>
  <c r="P79" i="686"/>
  <c r="M79" i="686"/>
  <c r="K79" i="686"/>
  <c r="J79" i="686"/>
  <c r="W78" i="686"/>
  <c r="H78" i="686"/>
  <c r="W77" i="686"/>
  <c r="W76" i="686"/>
  <c r="W75" i="686"/>
  <c r="W74" i="686"/>
  <c r="W73" i="686"/>
  <c r="W72" i="686"/>
  <c r="W71" i="686"/>
  <c r="V71" i="686"/>
  <c r="P71" i="686"/>
  <c r="N71" i="686"/>
  <c r="O71" i="686" s="1"/>
  <c r="L71" i="686"/>
  <c r="K71" i="686"/>
  <c r="J71" i="686"/>
  <c r="F71" i="686"/>
  <c r="H71" i="686" s="1"/>
  <c r="W70" i="686"/>
  <c r="P70" i="686"/>
  <c r="N70" i="686"/>
  <c r="L70" i="686"/>
  <c r="J70" i="686"/>
  <c r="F70" i="686"/>
  <c r="H70" i="686" s="1"/>
  <c r="AE69" i="686"/>
  <c r="AD69" i="686"/>
  <c r="I20" i="685" s="1"/>
  <c r="AA69" i="686"/>
  <c r="Z69" i="686"/>
  <c r="I18" i="685" s="1"/>
  <c r="M69" i="686"/>
  <c r="K69" i="686"/>
  <c r="J69" i="686"/>
  <c r="P69" i="686" s="1"/>
  <c r="W68" i="686"/>
  <c r="H68" i="686"/>
  <c r="W67" i="686"/>
  <c r="W66" i="686"/>
  <c r="W65" i="686"/>
  <c r="W64" i="686"/>
  <c r="W63" i="686"/>
  <c r="AG62" i="686"/>
  <c r="AF62" i="686"/>
  <c r="W62" i="686"/>
  <c r="AG61" i="686"/>
  <c r="AF61" i="686"/>
  <c r="W61" i="686"/>
  <c r="N61" i="686" s="1"/>
  <c r="O61" i="686" s="1"/>
  <c r="Q61" i="686" s="1"/>
  <c r="V61" i="686"/>
  <c r="R61" i="686"/>
  <c r="P61" i="686"/>
  <c r="K61" i="686"/>
  <c r="L61" i="686" s="1"/>
  <c r="J61" i="686"/>
  <c r="H61" i="686"/>
  <c r="F61" i="686"/>
  <c r="AG60" i="686"/>
  <c r="AF60" i="686"/>
  <c r="W60" i="686"/>
  <c r="N60" i="686" s="1"/>
  <c r="O60" i="686" s="1"/>
  <c r="R60" i="686" s="1"/>
  <c r="V60" i="686"/>
  <c r="Q60" i="686"/>
  <c r="P60" i="686"/>
  <c r="L60" i="686"/>
  <c r="K60" i="686"/>
  <c r="J60" i="686"/>
  <c r="F60" i="686"/>
  <c r="H60" i="686" s="1"/>
  <c r="AG59" i="686"/>
  <c r="AF59" i="686"/>
  <c r="W59" i="686"/>
  <c r="N59" i="686" s="1"/>
  <c r="P59" i="686"/>
  <c r="K59" i="686"/>
  <c r="J59" i="686"/>
  <c r="F59" i="686"/>
  <c r="H59" i="686" s="1"/>
  <c r="AE58" i="686"/>
  <c r="AD58" i="686"/>
  <c r="AA58" i="686"/>
  <c r="H19" i="685" s="1"/>
  <c r="Z58" i="686"/>
  <c r="M58" i="686"/>
  <c r="W57" i="686"/>
  <c r="W56" i="686"/>
  <c r="W55" i="686"/>
  <c r="W54" i="686"/>
  <c r="AG53" i="686"/>
  <c r="AF53" i="686"/>
  <c r="W53" i="686"/>
  <c r="W52" i="686"/>
  <c r="V52" i="686"/>
  <c r="N52" i="686"/>
  <c r="K52" i="686"/>
  <c r="K58" i="686" s="1"/>
  <c r="J52" i="686"/>
  <c r="P52" i="686" s="1"/>
  <c r="F52" i="686"/>
  <c r="H52" i="686" s="1"/>
  <c r="W51" i="686"/>
  <c r="V51" i="686"/>
  <c r="P51" i="686"/>
  <c r="N51" i="686"/>
  <c r="L51" i="686"/>
  <c r="K51" i="686"/>
  <c r="J51" i="686"/>
  <c r="F51" i="686"/>
  <c r="H51" i="686" s="1"/>
  <c r="W50" i="686"/>
  <c r="N50" i="686" s="1"/>
  <c r="V50" i="686"/>
  <c r="P50" i="686"/>
  <c r="L50" i="686"/>
  <c r="K50" i="686"/>
  <c r="J50" i="686"/>
  <c r="F50" i="686"/>
  <c r="H50" i="686" s="1"/>
  <c r="AG49" i="686"/>
  <c r="W49" i="686"/>
  <c r="N49" i="686" s="1"/>
  <c r="K49" i="686"/>
  <c r="J49" i="686"/>
  <c r="F49" i="686"/>
  <c r="H49" i="686" s="1"/>
  <c r="AE48" i="686"/>
  <c r="AE2" i="686" s="1"/>
  <c r="AD48" i="686"/>
  <c r="G20" i="685" s="1"/>
  <c r="AA48" i="686"/>
  <c r="G19" i="685" s="1"/>
  <c r="Z48" i="686"/>
  <c r="G18" i="685" s="1"/>
  <c r="W48" i="686"/>
  <c r="N48" i="686"/>
  <c r="M48" i="686"/>
  <c r="J48" i="686"/>
  <c r="W47" i="686"/>
  <c r="H47" i="686"/>
  <c r="W46" i="686"/>
  <c r="W45" i="686"/>
  <c r="W44" i="686"/>
  <c r="W43" i="686"/>
  <c r="W42" i="686"/>
  <c r="AG41" i="686"/>
  <c r="AF41" i="686"/>
  <c r="W41" i="686"/>
  <c r="AG40" i="686"/>
  <c r="AF40" i="686"/>
  <c r="W40" i="686"/>
  <c r="AG39" i="686"/>
  <c r="AF39" i="686"/>
  <c r="W39" i="686"/>
  <c r="V39" i="686"/>
  <c r="P39" i="686"/>
  <c r="N39" i="686"/>
  <c r="O39" i="686" s="1"/>
  <c r="L39" i="686"/>
  <c r="K39" i="686"/>
  <c r="J39" i="686"/>
  <c r="F39" i="686"/>
  <c r="H39" i="686" s="1"/>
  <c r="AF38" i="686"/>
  <c r="W38" i="686"/>
  <c r="N38" i="686" s="1"/>
  <c r="P38" i="686"/>
  <c r="K38" i="686"/>
  <c r="K48" i="686" s="1"/>
  <c r="J38" i="686"/>
  <c r="F38" i="686"/>
  <c r="H38" i="686" s="1"/>
  <c r="AE37" i="686"/>
  <c r="AD37" i="686"/>
  <c r="AA37" i="686"/>
  <c r="Z37" i="686"/>
  <c r="M37" i="686"/>
  <c r="F22" i="685" s="1"/>
  <c r="W36" i="686"/>
  <c r="H36" i="686"/>
  <c r="W35" i="686"/>
  <c r="W34" i="686"/>
  <c r="W33" i="686"/>
  <c r="V33" i="686"/>
  <c r="P33" i="686"/>
  <c r="N33" i="686"/>
  <c r="O33" i="686" s="1"/>
  <c r="L33" i="686"/>
  <c r="J33" i="686"/>
  <c r="F33" i="686"/>
  <c r="H33" i="686" s="1"/>
  <c r="W32" i="686"/>
  <c r="V32" i="686"/>
  <c r="O32" i="686"/>
  <c r="N32" i="686"/>
  <c r="J32" i="686"/>
  <c r="F32" i="686"/>
  <c r="H32" i="686" s="1"/>
  <c r="W31" i="686"/>
  <c r="V31" i="686"/>
  <c r="N31" i="686"/>
  <c r="J31" i="686"/>
  <c r="P31" i="686" s="1"/>
  <c r="H31" i="686"/>
  <c r="F31" i="686"/>
  <c r="W30" i="686"/>
  <c r="V30" i="686"/>
  <c r="O30" i="686"/>
  <c r="N30" i="686"/>
  <c r="K30" i="686"/>
  <c r="J30" i="686"/>
  <c r="P30" i="686" s="1"/>
  <c r="F30" i="686"/>
  <c r="H30" i="686" s="1"/>
  <c r="AG29" i="686"/>
  <c r="W29" i="686"/>
  <c r="V29" i="686"/>
  <c r="N29" i="686"/>
  <c r="K29" i="686"/>
  <c r="J29" i="686"/>
  <c r="P29" i="686" s="1"/>
  <c r="H29" i="686"/>
  <c r="F29" i="686"/>
  <c r="W28" i="686"/>
  <c r="V28" i="686"/>
  <c r="N28" i="686"/>
  <c r="L28" i="686"/>
  <c r="J28" i="686"/>
  <c r="F28" i="686"/>
  <c r="H28" i="686" s="1"/>
  <c r="W27" i="686"/>
  <c r="P27" i="686"/>
  <c r="N27" i="686"/>
  <c r="J27" i="686"/>
  <c r="L27" i="686" s="1"/>
  <c r="F27" i="686"/>
  <c r="H27" i="686" s="1"/>
  <c r="AE26" i="686"/>
  <c r="AD26" i="686"/>
  <c r="AA26" i="686"/>
  <c r="Z26" i="686"/>
  <c r="E18" i="685" s="1"/>
  <c r="M26" i="686"/>
  <c r="W25" i="686"/>
  <c r="H25" i="686"/>
  <c r="W24" i="686"/>
  <c r="H24" i="686"/>
  <c r="W23" i="686"/>
  <c r="W21" i="686"/>
  <c r="W20" i="686"/>
  <c r="V20" i="686"/>
  <c r="N20" i="686"/>
  <c r="O20" i="686" s="1"/>
  <c r="K20" i="686"/>
  <c r="J20" i="686"/>
  <c r="P20" i="686" s="1"/>
  <c r="H20" i="686"/>
  <c r="F20" i="686"/>
  <c r="W19" i="686"/>
  <c r="N19" i="686" s="1"/>
  <c r="V19" i="686"/>
  <c r="P19" i="686"/>
  <c r="O19" i="686"/>
  <c r="K19" i="686"/>
  <c r="L19" i="686" s="1"/>
  <c r="J19" i="686"/>
  <c r="F19" i="686"/>
  <c r="H19" i="686" s="1"/>
  <c r="AG18" i="686"/>
  <c r="AF18" i="686"/>
  <c r="W18" i="686"/>
  <c r="N18" i="686" s="1"/>
  <c r="O18" i="686" s="1"/>
  <c r="V18" i="686"/>
  <c r="P18" i="686"/>
  <c r="K18" i="686"/>
  <c r="L18" i="686" s="1"/>
  <c r="J18" i="686"/>
  <c r="H18" i="686"/>
  <c r="F18" i="686"/>
  <c r="AG17" i="686"/>
  <c r="AF17" i="686"/>
  <c r="W17" i="686"/>
  <c r="N17" i="686" s="1"/>
  <c r="O17" i="686" s="1"/>
  <c r="V17" i="686"/>
  <c r="K17" i="686"/>
  <c r="J17" i="686"/>
  <c r="P17" i="686" s="1"/>
  <c r="F17" i="686"/>
  <c r="H17" i="686" s="1"/>
  <c r="AG16" i="686"/>
  <c r="AF16" i="686"/>
  <c r="W16" i="686"/>
  <c r="N16" i="686" s="1"/>
  <c r="K16" i="686"/>
  <c r="J16" i="686"/>
  <c r="P16" i="686" s="1"/>
  <c r="H16" i="686"/>
  <c r="F16" i="686"/>
  <c r="AE15" i="686"/>
  <c r="AD15" i="686"/>
  <c r="AA15" i="686"/>
  <c r="Z15" i="686"/>
  <c r="M15" i="686"/>
  <c r="W14" i="686"/>
  <c r="W13" i="686"/>
  <c r="W12" i="686"/>
  <c r="AG11" i="686"/>
  <c r="AF11" i="686"/>
  <c r="W11" i="686"/>
  <c r="AG10" i="686"/>
  <c r="AF10" i="686"/>
  <c r="W10" i="686"/>
  <c r="AG9" i="686"/>
  <c r="AF9" i="686"/>
  <c r="W9" i="686"/>
  <c r="AG8" i="686"/>
  <c r="AF8" i="686"/>
  <c r="W8" i="686"/>
  <c r="W7" i="686"/>
  <c r="N7" i="686" s="1"/>
  <c r="V7" i="686"/>
  <c r="K7" i="686"/>
  <c r="J7" i="686"/>
  <c r="P7" i="686" s="1"/>
  <c r="F7" i="686"/>
  <c r="H7" i="686" s="1"/>
  <c r="W6" i="686"/>
  <c r="N6" i="686" s="1"/>
  <c r="V6" i="686"/>
  <c r="K6" i="686"/>
  <c r="J6" i="686"/>
  <c r="P6" i="686" s="1"/>
  <c r="F6" i="686"/>
  <c r="H6" i="686" s="1"/>
  <c r="AF5" i="686"/>
  <c r="W5" i="686"/>
  <c r="N5" i="686" s="1"/>
  <c r="AG5" i="686" s="1"/>
  <c r="O5" i="686"/>
  <c r="K5" i="686"/>
  <c r="J5" i="686"/>
  <c r="H5" i="686"/>
  <c r="F5" i="686"/>
  <c r="I2" i="686"/>
  <c r="E1" i="686"/>
  <c r="G3" i="685" s="1"/>
  <c r="J22" i="685"/>
  <c r="I22" i="685"/>
  <c r="H22" i="685"/>
  <c r="J21" i="685"/>
  <c r="I21" i="685"/>
  <c r="H21" i="685"/>
  <c r="F21" i="685"/>
  <c r="E21" i="685"/>
  <c r="D21" i="685"/>
  <c r="H20" i="685"/>
  <c r="F20" i="685"/>
  <c r="E20" i="685"/>
  <c r="D20" i="685"/>
  <c r="J19" i="685"/>
  <c r="I19" i="685"/>
  <c r="F19" i="685"/>
  <c r="E19" i="685"/>
  <c r="H18" i="685"/>
  <c r="D18" i="685"/>
  <c r="J16" i="685"/>
  <c r="I16" i="685"/>
  <c r="H16" i="685"/>
  <c r="G16" i="685"/>
  <c r="F16" i="685"/>
  <c r="E16" i="685"/>
  <c r="D16" i="685"/>
  <c r="O8" i="685"/>
  <c r="N8" i="685"/>
  <c r="M8" i="685"/>
  <c r="L8" i="685"/>
  <c r="O7" i="685"/>
  <c r="N7" i="685"/>
  <c r="M7" i="685"/>
  <c r="L7" i="685"/>
  <c r="AE79" i="684"/>
  <c r="AD79" i="684"/>
  <c r="J20" i="683" s="1"/>
  <c r="AA79" i="684"/>
  <c r="Z79" i="684"/>
  <c r="O79" i="684"/>
  <c r="N79" i="684"/>
  <c r="M79" i="684"/>
  <c r="W78" i="684"/>
  <c r="H78" i="684"/>
  <c r="W77" i="684"/>
  <c r="W76" i="684"/>
  <c r="W75" i="684"/>
  <c r="W74" i="684"/>
  <c r="W73" i="684"/>
  <c r="W72" i="684"/>
  <c r="N72" i="684" s="1"/>
  <c r="O72" i="684" s="1"/>
  <c r="V72" i="684"/>
  <c r="R72" i="684"/>
  <c r="L72" i="684"/>
  <c r="K72" i="684"/>
  <c r="J72" i="684"/>
  <c r="P72" i="684" s="1"/>
  <c r="H72" i="684"/>
  <c r="F72" i="684"/>
  <c r="W71" i="684"/>
  <c r="N71" i="684" s="1"/>
  <c r="O71" i="684" s="1"/>
  <c r="V71" i="684"/>
  <c r="K71" i="684"/>
  <c r="J71" i="684"/>
  <c r="P71" i="684" s="1"/>
  <c r="F71" i="684"/>
  <c r="H71" i="684" s="1"/>
  <c r="G1" i="684" s="1"/>
  <c r="W70" i="684"/>
  <c r="N70" i="684"/>
  <c r="O70" i="684" s="1"/>
  <c r="K70" i="684"/>
  <c r="J70" i="684"/>
  <c r="F70" i="684"/>
  <c r="H70" i="684" s="1"/>
  <c r="AE69" i="684"/>
  <c r="I21" i="683" s="1"/>
  <c r="AD69" i="684"/>
  <c r="I20" i="683" s="1"/>
  <c r="AA69" i="684"/>
  <c r="I19" i="683" s="1"/>
  <c r="Z69" i="684"/>
  <c r="M69" i="684"/>
  <c r="W68" i="684"/>
  <c r="H68" i="684"/>
  <c r="W67" i="684"/>
  <c r="W66" i="684"/>
  <c r="W65" i="684"/>
  <c r="W64" i="684"/>
  <c r="W63" i="684"/>
  <c r="AG62" i="684"/>
  <c r="AF62" i="684"/>
  <c r="W62" i="684"/>
  <c r="W61" i="684"/>
  <c r="N61" i="684" s="1"/>
  <c r="V61" i="684"/>
  <c r="P61" i="684"/>
  <c r="K61" i="684"/>
  <c r="L61" i="684" s="1"/>
  <c r="J61" i="684"/>
  <c r="F61" i="684"/>
  <c r="H61" i="684" s="1"/>
  <c r="W60" i="684"/>
  <c r="N60" i="684" s="1"/>
  <c r="AG60" i="684" s="1"/>
  <c r="V60" i="684"/>
  <c r="P60" i="684"/>
  <c r="O60" i="684"/>
  <c r="K60" i="684"/>
  <c r="J60" i="684"/>
  <c r="H60" i="684"/>
  <c r="F60" i="684"/>
  <c r="W59" i="684"/>
  <c r="N59" i="684" s="1"/>
  <c r="K59" i="684"/>
  <c r="J59" i="684"/>
  <c r="F59" i="684"/>
  <c r="H59" i="684" s="1"/>
  <c r="AE58" i="684"/>
  <c r="AD58" i="684"/>
  <c r="AA58" i="684"/>
  <c r="Z58" i="684"/>
  <c r="M58" i="684"/>
  <c r="K58" i="684"/>
  <c r="W57" i="684"/>
  <c r="W56" i="684"/>
  <c r="W55" i="684"/>
  <c r="W54" i="684"/>
  <c r="AF53" i="684"/>
  <c r="W53" i="684"/>
  <c r="N53" i="684" s="1"/>
  <c r="AG53" i="684" s="1"/>
  <c r="V53" i="684"/>
  <c r="O53" i="684"/>
  <c r="K53" i="684"/>
  <c r="J53" i="684"/>
  <c r="P53" i="684" s="1"/>
  <c r="F53" i="684"/>
  <c r="H53" i="684" s="1"/>
  <c r="W52" i="684"/>
  <c r="N52" i="684" s="1"/>
  <c r="V52" i="684"/>
  <c r="P52" i="684"/>
  <c r="L52" i="684"/>
  <c r="K52" i="684"/>
  <c r="J52" i="684"/>
  <c r="F52" i="684"/>
  <c r="H52" i="684" s="1"/>
  <c r="AG51" i="684"/>
  <c r="W51" i="684"/>
  <c r="V51" i="684"/>
  <c r="N51" i="684"/>
  <c r="L51" i="684"/>
  <c r="K51" i="684"/>
  <c r="J51" i="684"/>
  <c r="P51" i="684" s="1"/>
  <c r="F51" i="684"/>
  <c r="H51" i="684" s="1"/>
  <c r="W50" i="684"/>
  <c r="V50" i="684"/>
  <c r="P50" i="684"/>
  <c r="N50" i="684"/>
  <c r="L50" i="684"/>
  <c r="K50" i="684"/>
  <c r="J50" i="684"/>
  <c r="F50" i="684"/>
  <c r="H50" i="684" s="1"/>
  <c r="W49" i="684"/>
  <c r="P49" i="684"/>
  <c r="N49" i="684"/>
  <c r="L49" i="684"/>
  <c r="K49" i="684"/>
  <c r="J49" i="684"/>
  <c r="F49" i="684"/>
  <c r="H49" i="684" s="1"/>
  <c r="AE48" i="684"/>
  <c r="AD48" i="684"/>
  <c r="G20" i="683" s="1"/>
  <c r="AA48" i="684"/>
  <c r="G19" i="683" s="1"/>
  <c r="Z48" i="684"/>
  <c r="G18" i="683" s="1"/>
  <c r="W48" i="684"/>
  <c r="M48" i="684"/>
  <c r="G22" i="683" s="1"/>
  <c r="J48" i="684"/>
  <c r="W47" i="684"/>
  <c r="H47" i="684"/>
  <c r="W46" i="684"/>
  <c r="W45" i="684"/>
  <c r="W44" i="684"/>
  <c r="W43" i="684"/>
  <c r="W42" i="684"/>
  <c r="AG41" i="684"/>
  <c r="AF41" i="684"/>
  <c r="W41" i="684"/>
  <c r="W40" i="684"/>
  <c r="N40" i="684" s="1"/>
  <c r="V40" i="684"/>
  <c r="P40" i="684"/>
  <c r="K40" i="684"/>
  <c r="L40" i="684" s="1"/>
  <c r="J40" i="684"/>
  <c r="F40" i="684"/>
  <c r="H40" i="684" s="1"/>
  <c r="W39" i="684"/>
  <c r="N39" i="684" s="1"/>
  <c r="V39" i="684"/>
  <c r="K39" i="684"/>
  <c r="K48" i="684" s="1"/>
  <c r="J39" i="684"/>
  <c r="P39" i="684" s="1"/>
  <c r="F39" i="684"/>
  <c r="H39" i="684" s="1"/>
  <c r="W38" i="684"/>
  <c r="P38" i="684"/>
  <c r="N38" i="684"/>
  <c r="L38" i="684"/>
  <c r="K38" i="684"/>
  <c r="J38" i="684"/>
  <c r="H38" i="684"/>
  <c r="F38" i="684"/>
  <c r="AE37" i="684"/>
  <c r="AD37" i="684"/>
  <c r="AA37" i="684"/>
  <c r="Z37" i="684"/>
  <c r="M37" i="684"/>
  <c r="F22" i="683" s="1"/>
  <c r="W36" i="684"/>
  <c r="H36" i="684"/>
  <c r="W35" i="684"/>
  <c r="W34" i="684"/>
  <c r="N34" i="684" s="1"/>
  <c r="O34" i="684" s="1"/>
  <c r="V34" i="684"/>
  <c r="P34" i="684"/>
  <c r="J34" i="684"/>
  <c r="L34" i="684" s="1"/>
  <c r="H34" i="684"/>
  <c r="F34" i="684"/>
  <c r="W33" i="684"/>
  <c r="N33" i="684" s="1"/>
  <c r="O33" i="684" s="1"/>
  <c r="V33" i="684"/>
  <c r="P33" i="684"/>
  <c r="L33" i="684"/>
  <c r="J33" i="684"/>
  <c r="F33" i="684"/>
  <c r="H33" i="684" s="1"/>
  <c r="W32" i="684"/>
  <c r="N32" i="684" s="1"/>
  <c r="O32" i="684" s="1"/>
  <c r="V32" i="684"/>
  <c r="R32" i="684"/>
  <c r="Q32" i="684"/>
  <c r="P32" i="684"/>
  <c r="L32" i="684"/>
  <c r="J32" i="684"/>
  <c r="F32" i="684"/>
  <c r="H32" i="684" s="1"/>
  <c r="AF31" i="684"/>
  <c r="W31" i="684"/>
  <c r="N31" i="684" s="1"/>
  <c r="AG31" i="684" s="1"/>
  <c r="V31" i="684"/>
  <c r="P31" i="684"/>
  <c r="O31" i="684"/>
  <c r="L31" i="684"/>
  <c r="K31" i="684"/>
  <c r="J31" i="684"/>
  <c r="F31" i="684"/>
  <c r="H31" i="684" s="1"/>
  <c r="AG30" i="684"/>
  <c r="AF30" i="684"/>
  <c r="W30" i="684"/>
  <c r="N30" i="684" s="1"/>
  <c r="O30" i="684" s="1"/>
  <c r="V30" i="684"/>
  <c r="P30" i="684"/>
  <c r="K30" i="684"/>
  <c r="J30" i="684"/>
  <c r="F30" i="684"/>
  <c r="H30" i="684" s="1"/>
  <c r="W29" i="684"/>
  <c r="V29" i="684"/>
  <c r="N29" i="684"/>
  <c r="L29" i="684"/>
  <c r="J29" i="684"/>
  <c r="P29" i="684" s="1"/>
  <c r="F29" i="684"/>
  <c r="H29" i="684" s="1"/>
  <c r="AG28" i="684"/>
  <c r="W28" i="684"/>
  <c r="N28" i="684" s="1"/>
  <c r="AF28" i="684" s="1"/>
  <c r="V28" i="684"/>
  <c r="O28" i="684"/>
  <c r="J28" i="684"/>
  <c r="H28" i="684"/>
  <c r="F28" i="684"/>
  <c r="W27" i="684"/>
  <c r="N27" i="684" s="1"/>
  <c r="P27" i="684"/>
  <c r="L27" i="684"/>
  <c r="J27" i="684"/>
  <c r="H27" i="684"/>
  <c r="F27" i="684"/>
  <c r="AE26" i="684"/>
  <c r="AD26" i="684"/>
  <c r="AA26" i="684"/>
  <c r="E19" i="683" s="1"/>
  <c r="Z26" i="684"/>
  <c r="M26" i="684"/>
  <c r="W25" i="684"/>
  <c r="H25" i="684"/>
  <c r="W24" i="684"/>
  <c r="H24" i="684"/>
  <c r="W23" i="684"/>
  <c r="W22" i="684"/>
  <c r="N22" i="684" s="1"/>
  <c r="O22" i="684" s="1"/>
  <c r="V22" i="684"/>
  <c r="K22" i="684"/>
  <c r="L22" i="684" s="1"/>
  <c r="J22" i="684"/>
  <c r="P22" i="684" s="1"/>
  <c r="H22" i="684"/>
  <c r="F22" i="684"/>
  <c r="W21" i="684"/>
  <c r="N21" i="684" s="1"/>
  <c r="V21" i="684"/>
  <c r="P21" i="684"/>
  <c r="O21" i="684"/>
  <c r="K21" i="684"/>
  <c r="J21" i="684"/>
  <c r="H21" i="684"/>
  <c r="F21" i="684"/>
  <c r="W20" i="684"/>
  <c r="N20" i="684" s="1"/>
  <c r="V20" i="684"/>
  <c r="Q20" i="684"/>
  <c r="P20" i="684"/>
  <c r="O20" i="684"/>
  <c r="K20" i="684"/>
  <c r="L20" i="684" s="1"/>
  <c r="J20" i="684"/>
  <c r="F20" i="684"/>
  <c r="H20" i="684" s="1"/>
  <c r="W19" i="684"/>
  <c r="N19" i="684" s="1"/>
  <c r="V19" i="684"/>
  <c r="K19" i="684"/>
  <c r="J19" i="684"/>
  <c r="P19" i="684" s="1"/>
  <c r="F19" i="684"/>
  <c r="H19" i="684" s="1"/>
  <c r="AG18" i="684"/>
  <c r="AF18" i="684"/>
  <c r="W18" i="684"/>
  <c r="N18" i="684" s="1"/>
  <c r="O18" i="684" s="1"/>
  <c r="V18" i="684"/>
  <c r="L18" i="684"/>
  <c r="K18" i="684"/>
  <c r="J18" i="684"/>
  <c r="P18" i="684" s="1"/>
  <c r="F18" i="684"/>
  <c r="H18" i="684" s="1"/>
  <c r="AG17" i="684"/>
  <c r="AF17" i="684"/>
  <c r="W17" i="684"/>
  <c r="V17" i="684"/>
  <c r="R17" i="684"/>
  <c r="Q17" i="684"/>
  <c r="N17" i="684"/>
  <c r="O17" i="684" s="1"/>
  <c r="L17" i="684"/>
  <c r="K17" i="684"/>
  <c r="J17" i="684"/>
  <c r="P17" i="684" s="1"/>
  <c r="F17" i="684"/>
  <c r="H17" i="684" s="1"/>
  <c r="W16" i="684"/>
  <c r="N16" i="684" s="1"/>
  <c r="P16" i="684"/>
  <c r="O16" i="684"/>
  <c r="K16" i="684"/>
  <c r="L16" i="684" s="1"/>
  <c r="J16" i="684"/>
  <c r="F16" i="684"/>
  <c r="H16" i="684" s="1"/>
  <c r="AE15" i="684"/>
  <c r="AE2" i="684" s="1"/>
  <c r="AD15" i="684"/>
  <c r="AA15" i="684"/>
  <c r="Z15" i="684"/>
  <c r="M15" i="684"/>
  <c r="W14" i="684"/>
  <c r="W13" i="684"/>
  <c r="W12" i="684"/>
  <c r="AG11" i="684"/>
  <c r="AF11" i="684"/>
  <c r="W11" i="684"/>
  <c r="AG10" i="684"/>
  <c r="AF10" i="684"/>
  <c r="W10" i="684"/>
  <c r="W9" i="684"/>
  <c r="N9" i="684" s="1"/>
  <c r="V9" i="684"/>
  <c r="P9" i="684"/>
  <c r="O9" i="684"/>
  <c r="K9" i="684"/>
  <c r="L9" i="684" s="1"/>
  <c r="F9" i="684"/>
  <c r="H9" i="684" s="1"/>
  <c r="AG8" i="684"/>
  <c r="AF8" i="684"/>
  <c r="W8" i="684"/>
  <c r="N8" i="684" s="1"/>
  <c r="V8" i="684"/>
  <c r="P8" i="684"/>
  <c r="O8" i="684"/>
  <c r="K8" i="684"/>
  <c r="L8" i="684" s="1"/>
  <c r="J8" i="684"/>
  <c r="F8" i="684"/>
  <c r="H8" i="684" s="1"/>
  <c r="AF7" i="684"/>
  <c r="W7" i="684"/>
  <c r="N7" i="684" s="1"/>
  <c r="V7" i="684"/>
  <c r="K7" i="684"/>
  <c r="J7" i="684"/>
  <c r="F7" i="684"/>
  <c r="H7" i="684" s="1"/>
  <c r="AF6" i="684"/>
  <c r="W6" i="684"/>
  <c r="N6" i="684" s="1"/>
  <c r="V6" i="684"/>
  <c r="P6" i="684"/>
  <c r="L6" i="684"/>
  <c r="K6" i="684"/>
  <c r="J6" i="684"/>
  <c r="F6" i="684"/>
  <c r="H6" i="684" s="1"/>
  <c r="W5" i="684"/>
  <c r="R5" i="684"/>
  <c r="Q5" i="684"/>
  <c r="P5" i="684"/>
  <c r="O5" i="684"/>
  <c r="N5" i="684"/>
  <c r="L5" i="684"/>
  <c r="K5" i="684"/>
  <c r="H5" i="684"/>
  <c r="F5" i="684"/>
  <c r="I2" i="684"/>
  <c r="E1" i="684"/>
  <c r="G3" i="683" s="1"/>
  <c r="J22" i="683"/>
  <c r="E22" i="683"/>
  <c r="J21" i="683"/>
  <c r="H21" i="683"/>
  <c r="G21" i="683"/>
  <c r="F21" i="683"/>
  <c r="E21" i="683"/>
  <c r="H20" i="683"/>
  <c r="F20" i="683"/>
  <c r="E20" i="683"/>
  <c r="J19" i="683"/>
  <c r="H19" i="683"/>
  <c r="F19" i="683"/>
  <c r="J18" i="683"/>
  <c r="H18" i="683"/>
  <c r="F18" i="683"/>
  <c r="E18" i="683"/>
  <c r="D18" i="683"/>
  <c r="J16" i="683"/>
  <c r="I16" i="683"/>
  <c r="H16" i="683"/>
  <c r="G16" i="683"/>
  <c r="F16" i="683"/>
  <c r="E16" i="683"/>
  <c r="D16" i="683"/>
  <c r="O8" i="683"/>
  <c r="N8" i="683"/>
  <c r="M8" i="683"/>
  <c r="L8" i="683"/>
  <c r="O7" i="683"/>
  <c r="N7" i="683"/>
  <c r="M7" i="683"/>
  <c r="L7" i="683"/>
  <c r="AE79" i="682"/>
  <c r="J21" i="681" s="1"/>
  <c r="AD79" i="682"/>
  <c r="AA79" i="682"/>
  <c r="J18" i="681" s="1"/>
  <c r="Z79" i="682"/>
  <c r="N79" i="682"/>
  <c r="M79" i="682"/>
  <c r="W78" i="682"/>
  <c r="H78" i="682"/>
  <c r="W77" i="682"/>
  <c r="H77" i="682"/>
  <c r="W76" i="682"/>
  <c r="W75" i="682"/>
  <c r="W74" i="682"/>
  <c r="W73" i="682"/>
  <c r="W72" i="682"/>
  <c r="N72" i="682" s="1"/>
  <c r="O72" i="682" s="1"/>
  <c r="V72" i="682"/>
  <c r="K72" i="682"/>
  <c r="J72" i="682"/>
  <c r="P72" i="682" s="1"/>
  <c r="H72" i="682"/>
  <c r="F72" i="682"/>
  <c r="W71" i="682"/>
  <c r="V71" i="682"/>
  <c r="P71" i="682"/>
  <c r="N71" i="682"/>
  <c r="O71" i="682" s="1"/>
  <c r="R71" i="682" s="1"/>
  <c r="L71" i="682"/>
  <c r="K71" i="682"/>
  <c r="J71" i="682"/>
  <c r="F71" i="682"/>
  <c r="H71" i="682" s="1"/>
  <c r="W70" i="682"/>
  <c r="P70" i="682"/>
  <c r="N70" i="682"/>
  <c r="L70" i="682"/>
  <c r="K70" i="682"/>
  <c r="J70" i="682"/>
  <c r="J79" i="682" s="1"/>
  <c r="F70" i="682"/>
  <c r="H70" i="682" s="1"/>
  <c r="AE69" i="682"/>
  <c r="I21" i="681" s="1"/>
  <c r="AD69" i="682"/>
  <c r="AA69" i="682"/>
  <c r="I19" i="681" s="1"/>
  <c r="Z69" i="682"/>
  <c r="I18" i="681" s="1"/>
  <c r="M69" i="682"/>
  <c r="W68" i="682"/>
  <c r="H68" i="682"/>
  <c r="W67" i="682"/>
  <c r="W66" i="682"/>
  <c r="W65" i="682"/>
  <c r="W64" i="682"/>
  <c r="W63" i="682"/>
  <c r="AG62" i="682"/>
  <c r="AF62" i="682"/>
  <c r="W62" i="682"/>
  <c r="W61" i="682"/>
  <c r="V61" i="682"/>
  <c r="P61" i="682"/>
  <c r="N61" i="682"/>
  <c r="K61" i="682"/>
  <c r="L61" i="682" s="1"/>
  <c r="J61" i="682"/>
  <c r="H61" i="682"/>
  <c r="F61" i="682"/>
  <c r="W60" i="682"/>
  <c r="N60" i="682" s="1"/>
  <c r="V60" i="682"/>
  <c r="K60" i="682"/>
  <c r="J60" i="682"/>
  <c r="P60" i="682" s="1"/>
  <c r="H60" i="682"/>
  <c r="F60" i="682"/>
  <c r="W59" i="682"/>
  <c r="N59" i="682"/>
  <c r="K59" i="682"/>
  <c r="J59" i="682"/>
  <c r="H59" i="682"/>
  <c r="F59" i="682"/>
  <c r="AE58" i="682"/>
  <c r="AD58" i="682"/>
  <c r="AA58" i="682"/>
  <c r="H19" i="681" s="1"/>
  <c r="M6" i="681" s="1"/>
  <c r="Z58" i="682"/>
  <c r="H18" i="681" s="1"/>
  <c r="M58" i="682"/>
  <c r="W57" i="682"/>
  <c r="W56" i="682"/>
  <c r="W55" i="682"/>
  <c r="W54" i="682"/>
  <c r="AG53" i="682"/>
  <c r="AF53" i="682"/>
  <c r="W53" i="682"/>
  <c r="AG52" i="682"/>
  <c r="W52" i="682"/>
  <c r="V52" i="682"/>
  <c r="P52" i="682"/>
  <c r="N52" i="682"/>
  <c r="AF52" i="682" s="1"/>
  <c r="L52" i="682"/>
  <c r="K52" i="682"/>
  <c r="J52" i="682"/>
  <c r="F52" i="682"/>
  <c r="H52" i="682" s="1"/>
  <c r="AG51" i="682"/>
  <c r="W51" i="682"/>
  <c r="V51" i="682"/>
  <c r="N51" i="682"/>
  <c r="K51" i="682"/>
  <c r="J51" i="682"/>
  <c r="P51" i="682" s="1"/>
  <c r="H51" i="682"/>
  <c r="F51" i="682"/>
  <c r="W50" i="682"/>
  <c r="V50" i="682"/>
  <c r="N50" i="682"/>
  <c r="K50" i="682"/>
  <c r="K58" i="682" s="1"/>
  <c r="J50" i="682"/>
  <c r="P50" i="682" s="1"/>
  <c r="F50" i="682"/>
  <c r="H50" i="682" s="1"/>
  <c r="W49" i="682"/>
  <c r="N49" i="682"/>
  <c r="K49" i="682"/>
  <c r="J49" i="682"/>
  <c r="H49" i="682"/>
  <c r="F49" i="682"/>
  <c r="AE48" i="682"/>
  <c r="G21" i="681" s="1"/>
  <c r="AD48" i="682"/>
  <c r="G20" i="681" s="1"/>
  <c r="AA48" i="682"/>
  <c r="Z48" i="682"/>
  <c r="W48" i="682"/>
  <c r="M48" i="682"/>
  <c r="J48" i="682"/>
  <c r="P48" i="682" s="1"/>
  <c r="W47" i="682"/>
  <c r="H47" i="682"/>
  <c r="W46" i="682"/>
  <c r="W45" i="682"/>
  <c r="W44" i="682"/>
  <c r="W43" i="682"/>
  <c r="W42" i="682"/>
  <c r="AG41" i="682"/>
  <c r="AF41" i="682"/>
  <c r="W41" i="682"/>
  <c r="W40" i="682"/>
  <c r="N40" i="682" s="1"/>
  <c r="V40" i="682"/>
  <c r="K40" i="682"/>
  <c r="L40" i="682" s="1"/>
  <c r="J40" i="682"/>
  <c r="P40" i="682" s="1"/>
  <c r="F40" i="682"/>
  <c r="H40" i="682" s="1"/>
  <c r="W39" i="682"/>
  <c r="N39" i="682" s="1"/>
  <c r="V39" i="682"/>
  <c r="P39" i="682"/>
  <c r="K39" i="682"/>
  <c r="F39" i="682"/>
  <c r="H39" i="682" s="1"/>
  <c r="AG38" i="682"/>
  <c r="W38" i="682"/>
  <c r="R38" i="682"/>
  <c r="Q38" i="682"/>
  <c r="P38" i="682"/>
  <c r="O38" i="682"/>
  <c r="N38" i="682"/>
  <c r="AF38" i="682" s="1"/>
  <c r="L38" i="682"/>
  <c r="K38" i="682"/>
  <c r="J38" i="682"/>
  <c r="H38" i="682"/>
  <c r="F38" i="682"/>
  <c r="AE37" i="682"/>
  <c r="F21" i="681" s="1"/>
  <c r="AD37" i="682"/>
  <c r="F20" i="681" s="1"/>
  <c r="AA37" i="682"/>
  <c r="F19" i="681" s="1"/>
  <c r="Z37" i="682"/>
  <c r="M37" i="682"/>
  <c r="W36" i="682"/>
  <c r="H36" i="682"/>
  <c r="W35" i="682"/>
  <c r="W34" i="682"/>
  <c r="W33" i="682"/>
  <c r="W32" i="682"/>
  <c r="N32" i="682" s="1"/>
  <c r="O32" i="682" s="1"/>
  <c r="V32" i="682"/>
  <c r="J32" i="682"/>
  <c r="F32" i="682"/>
  <c r="H32" i="682" s="1"/>
  <c r="W31" i="682"/>
  <c r="N31" i="682" s="1"/>
  <c r="V31" i="682"/>
  <c r="J31" i="682"/>
  <c r="P31" i="682" s="1"/>
  <c r="F31" i="682"/>
  <c r="H31" i="682" s="1"/>
  <c r="AG30" i="682"/>
  <c r="W30" i="682"/>
  <c r="N30" i="682" s="1"/>
  <c r="O30" i="682" s="1"/>
  <c r="V30" i="682"/>
  <c r="Q30" i="682"/>
  <c r="P30" i="682"/>
  <c r="L30" i="682"/>
  <c r="K30" i="682"/>
  <c r="K37" i="682" s="1"/>
  <c r="J30" i="682"/>
  <c r="H30" i="682"/>
  <c r="F30" i="682"/>
  <c r="W29" i="682"/>
  <c r="V29" i="682"/>
  <c r="N29" i="682"/>
  <c r="J29" i="682"/>
  <c r="P29" i="682" s="1"/>
  <c r="H29" i="682"/>
  <c r="F29" i="682"/>
  <c r="W28" i="682"/>
  <c r="N28" i="682" s="1"/>
  <c r="V28" i="682"/>
  <c r="J28" i="682"/>
  <c r="H28" i="682"/>
  <c r="F28" i="682"/>
  <c r="AF27" i="682"/>
  <c r="W27" i="682"/>
  <c r="N27" i="682" s="1"/>
  <c r="P27" i="682"/>
  <c r="L27" i="682"/>
  <c r="J27" i="682"/>
  <c r="F27" i="682"/>
  <c r="H27" i="682" s="1"/>
  <c r="AE26" i="682"/>
  <c r="E21" i="681" s="1"/>
  <c r="AD26" i="682"/>
  <c r="AA26" i="682"/>
  <c r="E19" i="681" s="1"/>
  <c r="Z26" i="682"/>
  <c r="E18" i="681" s="1"/>
  <c r="M26" i="682"/>
  <c r="E22" i="681" s="1"/>
  <c r="J26" i="682"/>
  <c r="W25" i="682"/>
  <c r="H25" i="682"/>
  <c r="W24" i="682"/>
  <c r="W23" i="682"/>
  <c r="W22" i="682"/>
  <c r="N22" i="682" s="1"/>
  <c r="O22" i="682" s="1"/>
  <c r="V22" i="682"/>
  <c r="L22" i="682"/>
  <c r="K22" i="682"/>
  <c r="J22" i="682"/>
  <c r="P22" i="682" s="1"/>
  <c r="F22" i="682"/>
  <c r="H22" i="682" s="1"/>
  <c r="W21" i="682"/>
  <c r="N21" i="682" s="1"/>
  <c r="O21" i="682" s="1"/>
  <c r="V21" i="682"/>
  <c r="P21" i="682"/>
  <c r="L21" i="682"/>
  <c r="K21" i="682"/>
  <c r="J21" i="682"/>
  <c r="F21" i="682"/>
  <c r="H21" i="682" s="1"/>
  <c r="W20" i="682"/>
  <c r="V20" i="682"/>
  <c r="N20" i="682"/>
  <c r="O20" i="682" s="1"/>
  <c r="K20" i="682"/>
  <c r="J20" i="682"/>
  <c r="P20" i="682" s="1"/>
  <c r="F20" i="682"/>
  <c r="H20" i="682" s="1"/>
  <c r="W19" i="682"/>
  <c r="V19" i="682"/>
  <c r="Q19" i="682"/>
  <c r="N19" i="682"/>
  <c r="O19" i="682" s="1"/>
  <c r="K19" i="682"/>
  <c r="L19" i="682" s="1"/>
  <c r="J19" i="682"/>
  <c r="P19" i="682" s="1"/>
  <c r="H19" i="682"/>
  <c r="F19" i="682"/>
  <c r="W18" i="682"/>
  <c r="N18" i="682" s="1"/>
  <c r="V18" i="682"/>
  <c r="P18" i="682"/>
  <c r="K18" i="682"/>
  <c r="J18" i="682"/>
  <c r="F18" i="682"/>
  <c r="H18" i="682" s="1"/>
  <c r="W17" i="682"/>
  <c r="V17" i="682"/>
  <c r="P17" i="682"/>
  <c r="N17" i="682"/>
  <c r="L17" i="682"/>
  <c r="K17" i="682"/>
  <c r="J17" i="682"/>
  <c r="H17" i="682"/>
  <c r="F17" i="682"/>
  <c r="W16" i="682"/>
  <c r="N16" i="682" s="1"/>
  <c r="K16" i="682"/>
  <c r="J16" i="682"/>
  <c r="P16" i="682" s="1"/>
  <c r="H16" i="682"/>
  <c r="F16" i="682"/>
  <c r="AE15" i="682"/>
  <c r="AD15" i="682"/>
  <c r="AA15" i="682"/>
  <c r="Z15" i="682"/>
  <c r="M15" i="682"/>
  <c r="J15" i="682"/>
  <c r="W14" i="682"/>
  <c r="W13" i="682"/>
  <c r="W12" i="682"/>
  <c r="AG11" i="682"/>
  <c r="AF11" i="682"/>
  <c r="W11" i="682"/>
  <c r="AG10" i="682"/>
  <c r="AF10" i="682"/>
  <c r="W10" i="682"/>
  <c r="AG9" i="682"/>
  <c r="AF9" i="682"/>
  <c r="W9" i="682"/>
  <c r="W8" i="682"/>
  <c r="V8" i="682"/>
  <c r="P8" i="682"/>
  <c r="O8" i="682"/>
  <c r="N8" i="682"/>
  <c r="K8" i="682"/>
  <c r="L8" i="682" s="1"/>
  <c r="F8" i="682"/>
  <c r="H8" i="682" s="1"/>
  <c r="W7" i="682"/>
  <c r="V7" i="682"/>
  <c r="N7" i="682"/>
  <c r="L7" i="682"/>
  <c r="K7" i="682"/>
  <c r="J7" i="682"/>
  <c r="P7" i="682" s="1"/>
  <c r="H7" i="682"/>
  <c r="F7" i="682"/>
  <c r="W6" i="682"/>
  <c r="V6" i="682"/>
  <c r="P6" i="682"/>
  <c r="O6" i="682"/>
  <c r="N6" i="682"/>
  <c r="L6" i="682"/>
  <c r="K6" i="682"/>
  <c r="K15" i="682" s="1"/>
  <c r="J6" i="682"/>
  <c r="F6" i="682"/>
  <c r="H6" i="682" s="1"/>
  <c r="W5" i="682"/>
  <c r="N5" i="682" s="1"/>
  <c r="AF5" i="682" s="1"/>
  <c r="P5" i="682"/>
  <c r="O5" i="682"/>
  <c r="K5" i="682"/>
  <c r="H5" i="682"/>
  <c r="F5" i="682"/>
  <c r="AD2" i="682"/>
  <c r="AA2" i="682"/>
  <c r="I2" i="682"/>
  <c r="E1" i="682"/>
  <c r="G3" i="681" s="1"/>
  <c r="J22" i="681"/>
  <c r="I22" i="681"/>
  <c r="H22" i="681"/>
  <c r="G22" i="681"/>
  <c r="F22" i="681"/>
  <c r="H21" i="681"/>
  <c r="D21" i="681"/>
  <c r="J20" i="681"/>
  <c r="I20" i="681"/>
  <c r="H20" i="681"/>
  <c r="E20" i="681"/>
  <c r="D20" i="681"/>
  <c r="J19" i="681"/>
  <c r="G19" i="681"/>
  <c r="D19" i="681"/>
  <c r="G18" i="681"/>
  <c r="F18" i="681"/>
  <c r="D18" i="681"/>
  <c r="J16" i="681"/>
  <c r="I16" i="681"/>
  <c r="H16" i="681"/>
  <c r="G16" i="681"/>
  <c r="F16" i="681"/>
  <c r="E16" i="681"/>
  <c r="D16" i="681"/>
  <c r="O8" i="681"/>
  <c r="N8" i="681"/>
  <c r="M8" i="681"/>
  <c r="L8" i="681"/>
  <c r="O7" i="681"/>
  <c r="N7" i="681"/>
  <c r="M7" i="681"/>
  <c r="L7" i="681"/>
  <c r="L6" i="681"/>
  <c r="AE79" i="680"/>
  <c r="J21" i="679" s="1"/>
  <c r="AD79" i="680"/>
  <c r="AA79" i="680"/>
  <c r="Z79" i="680"/>
  <c r="M79" i="680"/>
  <c r="W78" i="680"/>
  <c r="W77" i="680"/>
  <c r="W76" i="680"/>
  <c r="W75" i="680"/>
  <c r="W74" i="680"/>
  <c r="W73" i="680"/>
  <c r="W72" i="680"/>
  <c r="N72" i="680" s="1"/>
  <c r="O72" i="680" s="1"/>
  <c r="V72" i="680"/>
  <c r="L72" i="680"/>
  <c r="K72" i="680"/>
  <c r="J72" i="680"/>
  <c r="P72" i="680" s="1"/>
  <c r="F72" i="680"/>
  <c r="H72" i="680" s="1"/>
  <c r="W71" i="680"/>
  <c r="N71" i="680" s="1"/>
  <c r="O71" i="680" s="1"/>
  <c r="V71" i="680"/>
  <c r="P71" i="680"/>
  <c r="K71" i="680"/>
  <c r="K79" i="680" s="1"/>
  <c r="J71" i="680"/>
  <c r="F71" i="680"/>
  <c r="H71" i="680" s="1"/>
  <c r="W70" i="680"/>
  <c r="N70" i="680"/>
  <c r="K70" i="680"/>
  <c r="J70" i="680"/>
  <c r="H70" i="680"/>
  <c r="F70" i="680"/>
  <c r="AE69" i="680"/>
  <c r="AD69" i="680"/>
  <c r="I20" i="679" s="1"/>
  <c r="AA69" i="680"/>
  <c r="Z69" i="680"/>
  <c r="N69" i="680"/>
  <c r="M69" i="680"/>
  <c r="K69" i="680"/>
  <c r="W68" i="680"/>
  <c r="H68" i="680"/>
  <c r="W67" i="680"/>
  <c r="W66" i="680"/>
  <c r="W65" i="680"/>
  <c r="W64" i="680"/>
  <c r="W63" i="680"/>
  <c r="AG62" i="680"/>
  <c r="AF62" i="680"/>
  <c r="W62" i="680"/>
  <c r="N62" i="680" s="1"/>
  <c r="V62" i="680"/>
  <c r="O62" i="680"/>
  <c r="K62" i="680"/>
  <c r="J62" i="680"/>
  <c r="P62" i="680" s="1"/>
  <c r="H62" i="680"/>
  <c r="F62" i="680"/>
  <c r="AG61" i="680"/>
  <c r="W61" i="680"/>
  <c r="N61" i="680" s="1"/>
  <c r="V61" i="680"/>
  <c r="P61" i="680"/>
  <c r="K61" i="680"/>
  <c r="L61" i="680" s="1"/>
  <c r="J61" i="680"/>
  <c r="F61" i="680"/>
  <c r="H61" i="680" s="1"/>
  <c r="AG60" i="680"/>
  <c r="AF60" i="680"/>
  <c r="W60" i="680"/>
  <c r="N60" i="680" s="1"/>
  <c r="V60" i="680"/>
  <c r="O60" i="680"/>
  <c r="K60" i="680"/>
  <c r="J60" i="680"/>
  <c r="P60" i="680" s="1"/>
  <c r="F60" i="680"/>
  <c r="H60" i="680" s="1"/>
  <c r="AG59" i="680"/>
  <c r="AF59" i="680"/>
  <c r="W59" i="680"/>
  <c r="P59" i="680"/>
  <c r="N59" i="680"/>
  <c r="O59" i="680" s="1"/>
  <c r="K59" i="680"/>
  <c r="L59" i="680" s="1"/>
  <c r="Q59" i="680" s="1"/>
  <c r="J59" i="680"/>
  <c r="F59" i="680"/>
  <c r="H59" i="680" s="1"/>
  <c r="AE58" i="680"/>
  <c r="H21" i="679" s="1"/>
  <c r="AD58" i="680"/>
  <c r="H20" i="679" s="1"/>
  <c r="O6" i="679" s="1"/>
  <c r="AA58" i="680"/>
  <c r="H19" i="679" s="1"/>
  <c r="Z58" i="680"/>
  <c r="H18" i="679" s="1"/>
  <c r="M58" i="680"/>
  <c r="W57" i="680"/>
  <c r="W56" i="680"/>
  <c r="W55" i="680"/>
  <c r="W54" i="680"/>
  <c r="AG53" i="680"/>
  <c r="AF53" i="680"/>
  <c r="W53" i="680"/>
  <c r="V53" i="680"/>
  <c r="N53" i="680"/>
  <c r="O53" i="680" s="1"/>
  <c r="K53" i="680"/>
  <c r="J53" i="680"/>
  <c r="F53" i="680"/>
  <c r="H53" i="680" s="1"/>
  <c r="W52" i="680"/>
  <c r="V52" i="680"/>
  <c r="N52" i="680"/>
  <c r="K52" i="680"/>
  <c r="L52" i="680" s="1"/>
  <c r="J52" i="680"/>
  <c r="P52" i="680" s="1"/>
  <c r="H52" i="680"/>
  <c r="F52" i="680"/>
  <c r="W51" i="680"/>
  <c r="V51" i="680"/>
  <c r="O51" i="680"/>
  <c r="N51" i="680"/>
  <c r="K51" i="680"/>
  <c r="AG51" i="680" s="1"/>
  <c r="J51" i="680"/>
  <c r="P51" i="680" s="1"/>
  <c r="H51" i="680"/>
  <c r="F51" i="680"/>
  <c r="W50" i="680"/>
  <c r="V50" i="680"/>
  <c r="P50" i="680"/>
  <c r="O50" i="680"/>
  <c r="N50" i="680"/>
  <c r="L50" i="680"/>
  <c r="K50" i="680"/>
  <c r="J50" i="680"/>
  <c r="F50" i="680"/>
  <c r="H50" i="680" s="1"/>
  <c r="W49" i="680"/>
  <c r="N49" i="680" s="1"/>
  <c r="O49" i="680"/>
  <c r="K49" i="680"/>
  <c r="J49" i="680"/>
  <c r="H49" i="680"/>
  <c r="F49" i="680"/>
  <c r="AE48" i="680"/>
  <c r="AD48" i="680"/>
  <c r="G20" i="679" s="1"/>
  <c r="AA48" i="680"/>
  <c r="Z48" i="680"/>
  <c r="G18" i="679" s="1"/>
  <c r="W48" i="680"/>
  <c r="M48" i="680"/>
  <c r="W47" i="680"/>
  <c r="H47" i="680"/>
  <c r="W46" i="680"/>
  <c r="W45" i="680"/>
  <c r="W44" i="680"/>
  <c r="W43" i="680"/>
  <c r="W42" i="680"/>
  <c r="W41" i="680"/>
  <c r="N41" i="680" s="1"/>
  <c r="O41" i="680" s="1"/>
  <c r="V41" i="680"/>
  <c r="K41" i="680"/>
  <c r="J41" i="680"/>
  <c r="P41" i="680" s="1"/>
  <c r="F41" i="680"/>
  <c r="H41" i="680" s="1"/>
  <c r="W40" i="680"/>
  <c r="V40" i="680"/>
  <c r="N40" i="680"/>
  <c r="N48" i="680" s="1"/>
  <c r="L40" i="680"/>
  <c r="K40" i="680"/>
  <c r="J40" i="680"/>
  <c r="P40" i="680" s="1"/>
  <c r="H40" i="680"/>
  <c r="F40" i="680"/>
  <c r="W39" i="680"/>
  <c r="V39" i="680"/>
  <c r="O39" i="680"/>
  <c r="N39" i="680"/>
  <c r="K39" i="680"/>
  <c r="K48" i="680" s="1"/>
  <c r="J39" i="680"/>
  <c r="P39" i="680" s="1"/>
  <c r="H39" i="680"/>
  <c r="F39" i="680"/>
  <c r="W38" i="680"/>
  <c r="O38" i="680"/>
  <c r="N38" i="680"/>
  <c r="K38" i="680"/>
  <c r="J38" i="680"/>
  <c r="J48" i="680" s="1"/>
  <c r="P48" i="680" s="1"/>
  <c r="F38" i="680"/>
  <c r="H38" i="680" s="1"/>
  <c r="AE37" i="680"/>
  <c r="AD37" i="680"/>
  <c r="F20" i="679" s="1"/>
  <c r="AA37" i="680"/>
  <c r="Z37" i="680"/>
  <c r="M37" i="680"/>
  <c r="W36" i="680"/>
  <c r="H36" i="680"/>
  <c r="W35" i="680"/>
  <c r="W34" i="680"/>
  <c r="W33" i="680"/>
  <c r="W32" i="680"/>
  <c r="V32" i="680"/>
  <c r="P32" i="680"/>
  <c r="N32" i="680"/>
  <c r="O32" i="680" s="1"/>
  <c r="J32" i="680"/>
  <c r="L32" i="680" s="1"/>
  <c r="H32" i="680"/>
  <c r="F32" i="680"/>
  <c r="AG31" i="680"/>
  <c r="W31" i="680"/>
  <c r="V31" i="680"/>
  <c r="P31" i="680"/>
  <c r="O31" i="680"/>
  <c r="N31" i="680"/>
  <c r="AF31" i="680" s="1"/>
  <c r="J31" i="680"/>
  <c r="L31" i="680" s="1"/>
  <c r="F31" i="680"/>
  <c r="H31" i="680" s="1"/>
  <c r="AG30" i="680"/>
  <c r="AF30" i="680"/>
  <c r="W30" i="680"/>
  <c r="V30" i="680"/>
  <c r="P30" i="680"/>
  <c r="O30" i="680"/>
  <c r="N30" i="680"/>
  <c r="K30" i="680"/>
  <c r="J30" i="680"/>
  <c r="F30" i="680"/>
  <c r="H30" i="680" s="1"/>
  <c r="W29" i="680"/>
  <c r="N29" i="680" s="1"/>
  <c r="V29" i="680"/>
  <c r="O29" i="680"/>
  <c r="K29" i="680"/>
  <c r="J29" i="680"/>
  <c r="P29" i="680" s="1"/>
  <c r="F29" i="680"/>
  <c r="H29" i="680" s="1"/>
  <c r="W28" i="680"/>
  <c r="N28" i="680" s="1"/>
  <c r="V28" i="680"/>
  <c r="P28" i="680"/>
  <c r="L28" i="680"/>
  <c r="J28" i="680"/>
  <c r="F28" i="680"/>
  <c r="H28" i="680" s="1"/>
  <c r="W27" i="680"/>
  <c r="N27" i="680" s="1"/>
  <c r="J27" i="680"/>
  <c r="H27" i="680"/>
  <c r="F27" i="680"/>
  <c r="AE26" i="680"/>
  <c r="AD26" i="680"/>
  <c r="E20" i="679" s="1"/>
  <c r="AA26" i="680"/>
  <c r="E19" i="679" s="1"/>
  <c r="Z26" i="680"/>
  <c r="M26" i="680"/>
  <c r="W25" i="680"/>
  <c r="H25" i="680"/>
  <c r="W24" i="680"/>
  <c r="H24" i="680"/>
  <c r="W23" i="680"/>
  <c r="W21" i="680"/>
  <c r="V21" i="680"/>
  <c r="N21" i="680"/>
  <c r="O21" i="680" s="1"/>
  <c r="K21" i="680"/>
  <c r="J21" i="680"/>
  <c r="H21" i="680"/>
  <c r="F21" i="680"/>
  <c r="W20" i="680"/>
  <c r="V20" i="680"/>
  <c r="P20" i="680"/>
  <c r="O20" i="680"/>
  <c r="N20" i="680"/>
  <c r="K20" i="680"/>
  <c r="L20" i="680" s="1"/>
  <c r="J20" i="680"/>
  <c r="H20" i="680"/>
  <c r="F20" i="680"/>
  <c r="AF19" i="680"/>
  <c r="W19" i="680"/>
  <c r="V19" i="680"/>
  <c r="P19" i="680"/>
  <c r="N19" i="680"/>
  <c r="AG19" i="680" s="1"/>
  <c r="L19" i="680"/>
  <c r="K19" i="680"/>
  <c r="J19" i="680"/>
  <c r="F19" i="680"/>
  <c r="H19" i="680" s="1"/>
  <c r="AG18" i="680"/>
  <c r="W18" i="680"/>
  <c r="V18" i="680"/>
  <c r="P18" i="680"/>
  <c r="N18" i="680"/>
  <c r="AF18" i="680" s="1"/>
  <c r="K18" i="680"/>
  <c r="L18" i="680" s="1"/>
  <c r="J18" i="680"/>
  <c r="F18" i="680"/>
  <c r="H18" i="680" s="1"/>
  <c r="W17" i="680"/>
  <c r="N17" i="680" s="1"/>
  <c r="V17" i="680"/>
  <c r="P17" i="680"/>
  <c r="L17" i="680"/>
  <c r="K17" i="680"/>
  <c r="J17" i="680"/>
  <c r="H17" i="680"/>
  <c r="F17" i="680"/>
  <c r="W16" i="680"/>
  <c r="N16" i="680" s="1"/>
  <c r="AF16" i="680" s="1"/>
  <c r="P16" i="680"/>
  <c r="L16" i="680"/>
  <c r="K16" i="680"/>
  <c r="J16" i="680"/>
  <c r="H16" i="680"/>
  <c r="F16" i="680"/>
  <c r="AE15" i="680"/>
  <c r="AD15" i="680"/>
  <c r="AA15" i="680"/>
  <c r="D19" i="679" s="1"/>
  <c r="M6" i="679" s="1"/>
  <c r="Z15" i="680"/>
  <c r="D18" i="679" s="1"/>
  <c r="P15" i="680"/>
  <c r="M15" i="680"/>
  <c r="D22" i="679" s="1"/>
  <c r="K15" i="680"/>
  <c r="W14" i="680"/>
  <c r="W13" i="680"/>
  <c r="W12" i="680"/>
  <c r="AG11" i="680"/>
  <c r="AF11" i="680"/>
  <c r="W11" i="680"/>
  <c r="AG10" i="680"/>
  <c r="AF10" i="680"/>
  <c r="W10" i="680"/>
  <c r="AG9" i="680"/>
  <c r="AF9" i="680"/>
  <c r="W9" i="680"/>
  <c r="W8" i="680"/>
  <c r="V8" i="680"/>
  <c r="P8" i="680"/>
  <c r="N8" i="680"/>
  <c r="L8" i="680"/>
  <c r="K8" i="680"/>
  <c r="F8" i="680"/>
  <c r="H8" i="680" s="1"/>
  <c r="AG7" i="680"/>
  <c r="W7" i="680"/>
  <c r="N7" i="680" s="1"/>
  <c r="V7" i="680"/>
  <c r="P7" i="680"/>
  <c r="L7" i="680"/>
  <c r="K7" i="680"/>
  <c r="J7" i="680"/>
  <c r="H7" i="680"/>
  <c r="F7" i="680"/>
  <c r="AG6" i="680"/>
  <c r="AF6" i="680"/>
  <c r="W6" i="680"/>
  <c r="N6" i="680" s="1"/>
  <c r="O6" i="680" s="1"/>
  <c r="V6" i="680"/>
  <c r="P6" i="680"/>
  <c r="K6" i="680"/>
  <c r="J6" i="680"/>
  <c r="J15" i="680" s="1"/>
  <c r="H6" i="680"/>
  <c r="F6" i="680"/>
  <c r="AF5" i="680"/>
  <c r="W5" i="680"/>
  <c r="N5" i="680" s="1"/>
  <c r="P5" i="680"/>
  <c r="K5" i="680"/>
  <c r="L5" i="680" s="1"/>
  <c r="F5" i="680"/>
  <c r="H5" i="680" s="1"/>
  <c r="AA2" i="680"/>
  <c r="Z2" i="680"/>
  <c r="I2" i="680"/>
  <c r="E1" i="680"/>
  <c r="J22" i="679"/>
  <c r="H22" i="679"/>
  <c r="G22" i="679"/>
  <c r="F22" i="679"/>
  <c r="I21" i="679"/>
  <c r="G21" i="679"/>
  <c r="F21" i="679"/>
  <c r="D21" i="679"/>
  <c r="J20" i="679"/>
  <c r="D20" i="679"/>
  <c r="J19" i="679"/>
  <c r="I19" i="679"/>
  <c r="G19" i="679"/>
  <c r="F19" i="679"/>
  <c r="J18" i="679"/>
  <c r="I18" i="679"/>
  <c r="F18" i="679"/>
  <c r="E18" i="679"/>
  <c r="J16" i="679"/>
  <c r="I16" i="679"/>
  <c r="H16" i="679"/>
  <c r="G16" i="679"/>
  <c r="F16" i="679"/>
  <c r="E16" i="679"/>
  <c r="D16" i="679"/>
  <c r="O8" i="679"/>
  <c r="N8" i="679"/>
  <c r="M8" i="679"/>
  <c r="L8" i="679"/>
  <c r="O7" i="679"/>
  <c r="N7" i="679"/>
  <c r="M7" i="679"/>
  <c r="L7" i="679"/>
  <c r="G3" i="679"/>
  <c r="AE79" i="678"/>
  <c r="J21" i="677" s="1"/>
  <c r="AD79" i="678"/>
  <c r="AA79" i="678"/>
  <c r="Z79" i="678"/>
  <c r="W78" i="678"/>
  <c r="W77" i="678"/>
  <c r="W76" i="678"/>
  <c r="W75" i="678"/>
  <c r="W74" i="678"/>
  <c r="W73" i="678"/>
  <c r="W72" i="678"/>
  <c r="V72" i="678"/>
  <c r="O72" i="678"/>
  <c r="N72" i="678"/>
  <c r="K72" i="678"/>
  <c r="L72" i="678" s="1"/>
  <c r="J72" i="678"/>
  <c r="P72" i="678" s="1"/>
  <c r="H72" i="678"/>
  <c r="F72" i="678"/>
  <c r="W71" i="678"/>
  <c r="N71" i="678" s="1"/>
  <c r="V71" i="678"/>
  <c r="O71" i="678"/>
  <c r="K71" i="678"/>
  <c r="J71" i="678"/>
  <c r="P71" i="678" s="1"/>
  <c r="F71" i="678"/>
  <c r="H71" i="678" s="1"/>
  <c r="W70" i="678"/>
  <c r="N70" i="678"/>
  <c r="K70" i="678"/>
  <c r="L70" i="678" s="1"/>
  <c r="J70" i="678"/>
  <c r="P70" i="678" s="1"/>
  <c r="H70" i="678"/>
  <c r="F70" i="678"/>
  <c r="AE69" i="678"/>
  <c r="AD69" i="678"/>
  <c r="AA69" i="678"/>
  <c r="Z69" i="678"/>
  <c r="M69" i="678"/>
  <c r="W68" i="678"/>
  <c r="H68" i="678"/>
  <c r="W67" i="678"/>
  <c r="W66" i="678"/>
  <c r="W65" i="678"/>
  <c r="W64" i="678"/>
  <c r="W63" i="678"/>
  <c r="V63" i="678"/>
  <c r="N63" i="678"/>
  <c r="O63" i="678" s="1"/>
  <c r="K63" i="678"/>
  <c r="J63" i="678"/>
  <c r="P63" i="678" s="1"/>
  <c r="F63" i="678"/>
  <c r="H63" i="678" s="1"/>
  <c r="W62" i="678"/>
  <c r="N62" i="678" s="1"/>
  <c r="O62" i="678" s="1"/>
  <c r="R62" i="678" s="1"/>
  <c r="V62" i="678"/>
  <c r="L62" i="678"/>
  <c r="K62" i="678"/>
  <c r="AG62" i="678" s="1"/>
  <c r="J62" i="678"/>
  <c r="P62" i="678" s="1"/>
  <c r="F62" i="678"/>
  <c r="H62" i="678" s="1"/>
  <c r="W61" i="678"/>
  <c r="N61" i="678" s="1"/>
  <c r="V61" i="678"/>
  <c r="K61" i="678"/>
  <c r="J61" i="678"/>
  <c r="H61" i="678"/>
  <c r="F61" i="678"/>
  <c r="AF60" i="678"/>
  <c r="W60" i="678"/>
  <c r="N60" i="678" s="1"/>
  <c r="O60" i="678" s="1"/>
  <c r="V60" i="678"/>
  <c r="K60" i="678"/>
  <c r="L60" i="678" s="1"/>
  <c r="Q60" i="678" s="1"/>
  <c r="J60" i="678"/>
  <c r="P60" i="678" s="1"/>
  <c r="F60" i="678"/>
  <c r="H60" i="678" s="1"/>
  <c r="W59" i="678"/>
  <c r="N59" i="678"/>
  <c r="K59" i="678"/>
  <c r="J59" i="678"/>
  <c r="F59" i="678"/>
  <c r="H59" i="678" s="1"/>
  <c r="AE58" i="678"/>
  <c r="H21" i="677" s="1"/>
  <c r="AD58" i="678"/>
  <c r="H20" i="677" s="1"/>
  <c r="AA58" i="678"/>
  <c r="Z58" i="678"/>
  <c r="M58" i="678"/>
  <c r="K58" i="678"/>
  <c r="W57" i="678"/>
  <c r="W56" i="678"/>
  <c r="W55" i="678"/>
  <c r="W54" i="678"/>
  <c r="AG53" i="678"/>
  <c r="AF53" i="678"/>
  <c r="W53" i="678"/>
  <c r="V53" i="678"/>
  <c r="P53" i="678"/>
  <c r="O53" i="678"/>
  <c r="N53" i="678"/>
  <c r="L53" i="678"/>
  <c r="K53" i="678"/>
  <c r="J53" i="678"/>
  <c r="F53" i="678"/>
  <c r="H53" i="678" s="1"/>
  <c r="W52" i="678"/>
  <c r="V52" i="678"/>
  <c r="P52" i="678"/>
  <c r="N52" i="678"/>
  <c r="L52" i="678"/>
  <c r="K52" i="678"/>
  <c r="J52" i="678"/>
  <c r="H52" i="678"/>
  <c r="F52" i="678"/>
  <c r="W51" i="678"/>
  <c r="V51" i="678"/>
  <c r="P51" i="678"/>
  <c r="N51" i="678"/>
  <c r="K51" i="678"/>
  <c r="L51" i="678" s="1"/>
  <c r="J51" i="678"/>
  <c r="F51" i="678"/>
  <c r="H51" i="678" s="1"/>
  <c r="AG50" i="678"/>
  <c r="AF50" i="678"/>
  <c r="W50" i="678"/>
  <c r="N50" i="678" s="1"/>
  <c r="V50" i="678"/>
  <c r="O50" i="678"/>
  <c r="K50" i="678"/>
  <c r="J50" i="678"/>
  <c r="P50" i="678" s="1"/>
  <c r="F50" i="678"/>
  <c r="H50" i="678" s="1"/>
  <c r="W49" i="678"/>
  <c r="N49" i="678" s="1"/>
  <c r="K49" i="678"/>
  <c r="J49" i="678"/>
  <c r="F49" i="678"/>
  <c r="H49" i="678" s="1"/>
  <c r="AE48" i="678"/>
  <c r="AD48" i="678"/>
  <c r="G20" i="677" s="1"/>
  <c r="AA48" i="678"/>
  <c r="Z48" i="678"/>
  <c r="W48" i="678"/>
  <c r="M48" i="678"/>
  <c r="K48" i="678"/>
  <c r="W47" i="678"/>
  <c r="H47" i="678"/>
  <c r="W46" i="678"/>
  <c r="W45" i="678"/>
  <c r="W44" i="678"/>
  <c r="W43" i="678"/>
  <c r="W42" i="678"/>
  <c r="AG41" i="678"/>
  <c r="AF41" i="678"/>
  <c r="W41" i="678"/>
  <c r="N41" i="678" s="1"/>
  <c r="O41" i="678" s="1"/>
  <c r="V41" i="678"/>
  <c r="K41" i="678"/>
  <c r="L41" i="678" s="1"/>
  <c r="R41" i="678" s="1"/>
  <c r="J41" i="678"/>
  <c r="P41" i="678" s="1"/>
  <c r="F41" i="678"/>
  <c r="H41" i="678" s="1"/>
  <c r="AG40" i="678"/>
  <c r="AF40" i="678"/>
  <c r="W40" i="678"/>
  <c r="N40" i="678" s="1"/>
  <c r="O40" i="678" s="1"/>
  <c r="V40" i="678"/>
  <c r="K40" i="678"/>
  <c r="J40" i="678"/>
  <c r="P40" i="678" s="1"/>
  <c r="F40" i="678"/>
  <c r="H40" i="678" s="1"/>
  <c r="AG39" i="678"/>
  <c r="W39" i="678"/>
  <c r="V39" i="678"/>
  <c r="P39" i="678"/>
  <c r="N39" i="678"/>
  <c r="K39" i="678"/>
  <c r="L39" i="678" s="1"/>
  <c r="J39" i="678"/>
  <c r="H39" i="678"/>
  <c r="F39" i="678"/>
  <c r="W38" i="678"/>
  <c r="N38" i="678" s="1"/>
  <c r="P38" i="678"/>
  <c r="L38" i="678"/>
  <c r="K38" i="678"/>
  <c r="J38" i="678"/>
  <c r="H38" i="678"/>
  <c r="AE37" i="678"/>
  <c r="AD37" i="678"/>
  <c r="AA37" i="678"/>
  <c r="F19" i="677" s="1"/>
  <c r="Z37" i="678"/>
  <c r="N37" i="678"/>
  <c r="M37" i="678"/>
  <c r="J37" i="678"/>
  <c r="W36" i="678"/>
  <c r="H36" i="678"/>
  <c r="W35" i="678"/>
  <c r="W34" i="678"/>
  <c r="W33" i="678"/>
  <c r="W32" i="678"/>
  <c r="V32" i="678"/>
  <c r="R32" i="678"/>
  <c r="P32" i="678"/>
  <c r="O32" i="678"/>
  <c r="N32" i="678"/>
  <c r="L32" i="678"/>
  <c r="K32" i="678"/>
  <c r="J32" i="678"/>
  <c r="F32" i="678"/>
  <c r="H32" i="678" s="1"/>
  <c r="W31" i="678"/>
  <c r="V31" i="678"/>
  <c r="N31" i="678"/>
  <c r="O31" i="678" s="1"/>
  <c r="L31" i="678"/>
  <c r="J31" i="678"/>
  <c r="P31" i="678" s="1"/>
  <c r="H31" i="678"/>
  <c r="F31" i="678"/>
  <c r="W30" i="678"/>
  <c r="N30" i="678" s="1"/>
  <c r="V30" i="678"/>
  <c r="P30" i="678"/>
  <c r="K30" i="678"/>
  <c r="L30" i="678" s="1"/>
  <c r="L37" i="678" s="1"/>
  <c r="F13" i="677" s="1"/>
  <c r="J30" i="678"/>
  <c r="H30" i="678"/>
  <c r="AG29" i="678"/>
  <c r="W29" i="678"/>
  <c r="V29" i="678"/>
  <c r="P29" i="678"/>
  <c r="N29" i="678"/>
  <c r="AF29" i="678" s="1"/>
  <c r="K29" i="678"/>
  <c r="L29" i="678" s="1"/>
  <c r="J29" i="678"/>
  <c r="F29" i="678"/>
  <c r="H29" i="678" s="1"/>
  <c r="AG28" i="678"/>
  <c r="AF28" i="678"/>
  <c r="W28" i="678"/>
  <c r="N28" i="678" s="1"/>
  <c r="O28" i="678" s="1"/>
  <c r="V28" i="678"/>
  <c r="P28" i="678"/>
  <c r="L28" i="678"/>
  <c r="R28" i="678" s="1"/>
  <c r="K28" i="678"/>
  <c r="J28" i="678"/>
  <c r="F28" i="678"/>
  <c r="H28" i="678" s="1"/>
  <c r="AG27" i="678"/>
  <c r="AF27" i="678"/>
  <c r="W27" i="678"/>
  <c r="P27" i="678"/>
  <c r="N27" i="678"/>
  <c r="O27" i="678" s="1"/>
  <c r="L27" i="678"/>
  <c r="J27" i="678"/>
  <c r="F27" i="678"/>
  <c r="H27" i="678" s="1"/>
  <c r="AE26" i="678"/>
  <c r="AD26" i="678"/>
  <c r="AA26" i="678"/>
  <c r="Z26" i="678"/>
  <c r="M26" i="678"/>
  <c r="W25" i="678"/>
  <c r="H25" i="678"/>
  <c r="W24" i="678"/>
  <c r="H24" i="678"/>
  <c r="W23" i="678"/>
  <c r="W21" i="678"/>
  <c r="V21" i="678"/>
  <c r="N21" i="678"/>
  <c r="O21" i="678" s="1"/>
  <c r="K21" i="678"/>
  <c r="J21" i="678"/>
  <c r="P21" i="678" s="1"/>
  <c r="H21" i="678"/>
  <c r="F21" i="678"/>
  <c r="W20" i="678"/>
  <c r="V20" i="678"/>
  <c r="P20" i="678"/>
  <c r="N20" i="678"/>
  <c r="O20" i="678" s="1"/>
  <c r="K20" i="678"/>
  <c r="J20" i="678"/>
  <c r="H20" i="678"/>
  <c r="F20" i="678"/>
  <c r="AG19" i="678"/>
  <c r="W19" i="678"/>
  <c r="N19" i="678" s="1"/>
  <c r="O19" i="678" s="1"/>
  <c r="V19" i="678"/>
  <c r="K19" i="678"/>
  <c r="J19" i="678"/>
  <c r="P19" i="678" s="1"/>
  <c r="F19" i="678"/>
  <c r="H19" i="678" s="1"/>
  <c r="W18" i="678"/>
  <c r="V18" i="678"/>
  <c r="N18" i="678"/>
  <c r="K18" i="678"/>
  <c r="L18" i="678" s="1"/>
  <c r="J18" i="678"/>
  <c r="P18" i="678" s="1"/>
  <c r="F18" i="678"/>
  <c r="H18" i="678" s="1"/>
  <c r="W17" i="678"/>
  <c r="V17" i="678"/>
  <c r="O17" i="678"/>
  <c r="N17" i="678"/>
  <c r="K17" i="678"/>
  <c r="J17" i="678"/>
  <c r="P17" i="678" s="1"/>
  <c r="H17" i="678"/>
  <c r="F17" i="678"/>
  <c r="W16" i="678"/>
  <c r="P16" i="678"/>
  <c r="N16" i="678"/>
  <c r="O16" i="678" s="1"/>
  <c r="K16" i="678"/>
  <c r="L16" i="678" s="1"/>
  <c r="J16" i="678"/>
  <c r="F16" i="678"/>
  <c r="H16" i="678" s="1"/>
  <c r="AE15" i="678"/>
  <c r="D21" i="677" s="1"/>
  <c r="AD15" i="678"/>
  <c r="AA15" i="678"/>
  <c r="Z15" i="678"/>
  <c r="D18" i="677" s="1"/>
  <c r="M15" i="678"/>
  <c r="W14" i="678"/>
  <c r="W13" i="678"/>
  <c r="W12" i="678"/>
  <c r="AG11" i="678"/>
  <c r="AF11" i="678"/>
  <c r="W11" i="678"/>
  <c r="AG10" i="678"/>
  <c r="AF10" i="678"/>
  <c r="W10" i="678"/>
  <c r="AG9" i="678"/>
  <c r="AF9" i="678"/>
  <c r="W9" i="678"/>
  <c r="W8" i="678"/>
  <c r="N8" i="678" s="1"/>
  <c r="V8" i="678"/>
  <c r="K8" i="678"/>
  <c r="L8" i="678" s="1"/>
  <c r="J8" i="678"/>
  <c r="P8" i="678" s="1"/>
  <c r="H8" i="678"/>
  <c r="F8" i="678"/>
  <c r="W7" i="678"/>
  <c r="V7" i="678"/>
  <c r="O7" i="678"/>
  <c r="N7" i="678"/>
  <c r="L7" i="678"/>
  <c r="K7" i="678"/>
  <c r="J7" i="678"/>
  <c r="P7" i="678" s="1"/>
  <c r="F7" i="678"/>
  <c r="H7" i="678" s="1"/>
  <c r="G1" i="678" s="1"/>
  <c r="AF6" i="678"/>
  <c r="W6" i="678"/>
  <c r="V6" i="678"/>
  <c r="N6" i="678"/>
  <c r="K6" i="678"/>
  <c r="L6" i="678" s="1"/>
  <c r="J6" i="678"/>
  <c r="P6" i="678" s="1"/>
  <c r="H6" i="678"/>
  <c r="F6" i="678"/>
  <c r="W5" i="678"/>
  <c r="O5" i="678"/>
  <c r="N5" i="678"/>
  <c r="K5" i="678"/>
  <c r="J5" i="678"/>
  <c r="F5" i="678"/>
  <c r="H5" i="678" s="1"/>
  <c r="AA2" i="678"/>
  <c r="I2" i="678"/>
  <c r="E1" i="678"/>
  <c r="G3" i="677" s="1"/>
  <c r="H22" i="677"/>
  <c r="F22" i="677"/>
  <c r="E22" i="677"/>
  <c r="D22" i="677"/>
  <c r="I21" i="677"/>
  <c r="G21" i="677"/>
  <c r="F21" i="677"/>
  <c r="J20" i="677"/>
  <c r="I20" i="677"/>
  <c r="F20" i="677"/>
  <c r="E20" i="677"/>
  <c r="J19" i="677"/>
  <c r="I19" i="677"/>
  <c r="H19" i="677"/>
  <c r="G19" i="677"/>
  <c r="E19" i="677"/>
  <c r="D19" i="677"/>
  <c r="J18" i="677"/>
  <c r="I18" i="677"/>
  <c r="H18" i="677"/>
  <c r="G18" i="677"/>
  <c r="E18" i="677"/>
  <c r="J16" i="677"/>
  <c r="I16" i="677"/>
  <c r="H16" i="677"/>
  <c r="G16" i="677"/>
  <c r="F16" i="677"/>
  <c r="E16" i="677"/>
  <c r="D16" i="677"/>
  <c r="O8" i="677"/>
  <c r="N8" i="677"/>
  <c r="M8" i="677"/>
  <c r="L8" i="677"/>
  <c r="O7" i="677"/>
  <c r="N7" i="677"/>
  <c r="M7" i="677"/>
  <c r="L7" i="677"/>
  <c r="M6" i="677"/>
  <c r="AE79" i="676"/>
  <c r="J21" i="675" s="1"/>
  <c r="AD79" i="676"/>
  <c r="AA79" i="676"/>
  <c r="Z79" i="676"/>
  <c r="P79" i="676"/>
  <c r="M79" i="676"/>
  <c r="L79" i="676"/>
  <c r="J13" i="675" s="1"/>
  <c r="J79" i="676"/>
  <c r="W78" i="676"/>
  <c r="W77" i="676"/>
  <c r="W76" i="676"/>
  <c r="W75" i="676"/>
  <c r="W74" i="676"/>
  <c r="W73" i="676"/>
  <c r="W72" i="676"/>
  <c r="N72" i="676" s="1"/>
  <c r="O72" i="676" s="1"/>
  <c r="V72" i="676"/>
  <c r="P72" i="676"/>
  <c r="L72" i="676"/>
  <c r="K72" i="676"/>
  <c r="J72" i="676"/>
  <c r="H72" i="676"/>
  <c r="F72" i="676"/>
  <c r="W71" i="676"/>
  <c r="N71" i="676" s="1"/>
  <c r="O71" i="676" s="1"/>
  <c r="R71" i="676" s="1"/>
  <c r="V71" i="676"/>
  <c r="Q71" i="676"/>
  <c r="P71" i="676"/>
  <c r="K71" i="676"/>
  <c r="L71" i="676" s="1"/>
  <c r="J71" i="676"/>
  <c r="F71" i="676"/>
  <c r="H71" i="676" s="1"/>
  <c r="W70" i="676"/>
  <c r="P70" i="676"/>
  <c r="N70" i="676"/>
  <c r="L70" i="676"/>
  <c r="K70" i="676"/>
  <c r="J70" i="676"/>
  <c r="F70" i="676"/>
  <c r="H70" i="676" s="1"/>
  <c r="AE69" i="676"/>
  <c r="I21" i="675" s="1"/>
  <c r="AD69" i="676"/>
  <c r="AA69" i="676"/>
  <c r="Z69" i="676"/>
  <c r="I18" i="675" s="1"/>
  <c r="M69" i="676"/>
  <c r="W68" i="676"/>
  <c r="H68" i="676"/>
  <c r="W67" i="676"/>
  <c r="W66" i="676"/>
  <c r="W65" i="676"/>
  <c r="W64" i="676"/>
  <c r="W63" i="676"/>
  <c r="N63" i="676" s="1"/>
  <c r="O63" i="676" s="1"/>
  <c r="R63" i="676" s="1"/>
  <c r="V63" i="676"/>
  <c r="Q63" i="676"/>
  <c r="K63" i="676"/>
  <c r="L63" i="676" s="1"/>
  <c r="J63" i="676"/>
  <c r="P63" i="676" s="1"/>
  <c r="F63" i="676"/>
  <c r="H63" i="676" s="1"/>
  <c r="W62" i="676"/>
  <c r="V62" i="676"/>
  <c r="P62" i="676"/>
  <c r="O62" i="676"/>
  <c r="N62" i="676"/>
  <c r="K62" i="676"/>
  <c r="J62" i="676"/>
  <c r="H62" i="676"/>
  <c r="F62" i="676"/>
  <c r="W61" i="676"/>
  <c r="N61" i="676" s="1"/>
  <c r="V61" i="676"/>
  <c r="P61" i="676"/>
  <c r="O61" i="676"/>
  <c r="L61" i="676"/>
  <c r="K61" i="676"/>
  <c r="J61" i="676"/>
  <c r="F61" i="676"/>
  <c r="H61" i="676" s="1"/>
  <c r="W60" i="676"/>
  <c r="N60" i="676" s="1"/>
  <c r="V60" i="676"/>
  <c r="P60" i="676"/>
  <c r="O60" i="676"/>
  <c r="K60" i="676"/>
  <c r="L60" i="676" s="1"/>
  <c r="Q60" i="676" s="1"/>
  <c r="J60" i="676"/>
  <c r="F60" i="676"/>
  <c r="H60" i="676" s="1"/>
  <c r="W59" i="676"/>
  <c r="N59" i="676"/>
  <c r="K59" i="676"/>
  <c r="J59" i="676"/>
  <c r="F59" i="676"/>
  <c r="H59" i="676" s="1"/>
  <c r="AE58" i="676"/>
  <c r="H21" i="675" s="1"/>
  <c r="AD58" i="676"/>
  <c r="H20" i="675" s="1"/>
  <c r="AA58" i="676"/>
  <c r="Z58" i="676"/>
  <c r="H18" i="675" s="1"/>
  <c r="M58" i="676"/>
  <c r="K58" i="676"/>
  <c r="W57" i="676"/>
  <c r="W56" i="676"/>
  <c r="W55" i="676"/>
  <c r="W54" i="676"/>
  <c r="V54" i="676"/>
  <c r="N54" i="676"/>
  <c r="O54" i="676" s="1"/>
  <c r="K54" i="676"/>
  <c r="J54" i="676"/>
  <c r="P54" i="676" s="1"/>
  <c r="F54" i="676"/>
  <c r="H54" i="676" s="1"/>
  <c r="AG53" i="676"/>
  <c r="AF53" i="676"/>
  <c r="W53" i="676"/>
  <c r="V53" i="676"/>
  <c r="N53" i="676"/>
  <c r="O53" i="676" s="1"/>
  <c r="K53" i="676"/>
  <c r="J53" i="676"/>
  <c r="F53" i="676"/>
  <c r="H53" i="676" s="1"/>
  <c r="W52" i="676"/>
  <c r="N52" i="676" s="1"/>
  <c r="V52" i="676"/>
  <c r="P52" i="676"/>
  <c r="K52" i="676"/>
  <c r="L52" i="676" s="1"/>
  <c r="J52" i="676"/>
  <c r="H52" i="676"/>
  <c r="F52" i="676"/>
  <c r="AF51" i="676"/>
  <c r="W51" i="676"/>
  <c r="V51" i="676"/>
  <c r="O51" i="676"/>
  <c r="R51" i="676" s="1"/>
  <c r="N51" i="676"/>
  <c r="K51" i="676"/>
  <c r="L51" i="676" s="1"/>
  <c r="J51" i="676"/>
  <c r="P51" i="676" s="1"/>
  <c r="F51" i="676"/>
  <c r="H51" i="676" s="1"/>
  <c r="W50" i="676"/>
  <c r="V50" i="676"/>
  <c r="P50" i="676"/>
  <c r="N50" i="676"/>
  <c r="K50" i="676"/>
  <c r="L50" i="676" s="1"/>
  <c r="J50" i="676"/>
  <c r="F50" i="676"/>
  <c r="H50" i="676" s="1"/>
  <c r="W49" i="676"/>
  <c r="N49" i="676"/>
  <c r="K49" i="676"/>
  <c r="L49" i="676" s="1"/>
  <c r="J49" i="676"/>
  <c r="P49" i="676" s="1"/>
  <c r="H49" i="676"/>
  <c r="F49" i="676"/>
  <c r="AE48" i="676"/>
  <c r="G21" i="675" s="1"/>
  <c r="AD48" i="676"/>
  <c r="G20" i="675" s="1"/>
  <c r="O6" i="675" s="1"/>
  <c r="AA48" i="676"/>
  <c r="Z48" i="676"/>
  <c r="G18" i="675" s="1"/>
  <c r="W48" i="676"/>
  <c r="M48" i="676"/>
  <c r="G22" i="675" s="1"/>
  <c r="K48" i="676"/>
  <c r="W47" i="676"/>
  <c r="H47" i="676"/>
  <c r="W46" i="676"/>
  <c r="W45" i="676"/>
  <c r="W44" i="676"/>
  <c r="W43" i="676"/>
  <c r="W42" i="676"/>
  <c r="W41" i="676"/>
  <c r="V41" i="676"/>
  <c r="P41" i="676"/>
  <c r="N41" i="676"/>
  <c r="L41" i="676"/>
  <c r="K41" i="676"/>
  <c r="J41" i="676"/>
  <c r="F41" i="676"/>
  <c r="H41" i="676" s="1"/>
  <c r="W40" i="676"/>
  <c r="N40" i="676" s="1"/>
  <c r="V40" i="676"/>
  <c r="K40" i="676"/>
  <c r="J40" i="676"/>
  <c r="F40" i="676"/>
  <c r="H40" i="676" s="1"/>
  <c r="AG39" i="676"/>
  <c r="AF39" i="676"/>
  <c r="W39" i="676"/>
  <c r="N39" i="676" s="1"/>
  <c r="O39" i="676" s="1"/>
  <c r="V39" i="676"/>
  <c r="R39" i="676"/>
  <c r="Q39" i="676"/>
  <c r="P39" i="676"/>
  <c r="K39" i="676"/>
  <c r="L39" i="676" s="1"/>
  <c r="J39" i="676"/>
  <c r="F39" i="676"/>
  <c r="H39" i="676" s="1"/>
  <c r="W38" i="676"/>
  <c r="N38" i="676"/>
  <c r="AG38" i="676" s="1"/>
  <c r="K38" i="676"/>
  <c r="J38" i="676"/>
  <c r="H38" i="676"/>
  <c r="AE37" i="676"/>
  <c r="F21" i="675" s="1"/>
  <c r="AD37" i="676"/>
  <c r="AA37" i="676"/>
  <c r="Z37" i="676"/>
  <c r="M37" i="676"/>
  <c r="J37" i="676"/>
  <c r="P37" i="676" s="1"/>
  <c r="W36" i="676"/>
  <c r="H36" i="676"/>
  <c r="W35" i="676"/>
  <c r="W34" i="676"/>
  <c r="W33" i="676"/>
  <c r="W32" i="676"/>
  <c r="AF31" i="676"/>
  <c r="W31" i="676"/>
  <c r="N31" i="676" s="1"/>
  <c r="O31" i="676" s="1"/>
  <c r="V31" i="676"/>
  <c r="K31" i="676"/>
  <c r="L31" i="676" s="1"/>
  <c r="J31" i="676"/>
  <c r="P31" i="676" s="1"/>
  <c r="H31" i="676"/>
  <c r="F31" i="676"/>
  <c r="W30" i="676"/>
  <c r="N30" i="676" s="1"/>
  <c r="V30" i="676"/>
  <c r="P30" i="676"/>
  <c r="L30" i="676"/>
  <c r="J30" i="676"/>
  <c r="H30" i="676"/>
  <c r="F30" i="676"/>
  <c r="W29" i="676"/>
  <c r="V29" i="676"/>
  <c r="N29" i="676"/>
  <c r="AG29" i="676" s="1"/>
  <c r="K29" i="676"/>
  <c r="J29" i="676"/>
  <c r="P29" i="676" s="1"/>
  <c r="F29" i="676"/>
  <c r="H29" i="676" s="1"/>
  <c r="AG28" i="676"/>
  <c r="W28" i="676"/>
  <c r="N28" i="676" s="1"/>
  <c r="N37" i="676" s="1"/>
  <c r="V28" i="676"/>
  <c r="K28" i="676"/>
  <c r="J28" i="676"/>
  <c r="P28" i="676" s="1"/>
  <c r="H28" i="676"/>
  <c r="F28" i="676"/>
  <c r="AG27" i="676"/>
  <c r="AF27" i="676"/>
  <c r="W27" i="676"/>
  <c r="P27" i="676"/>
  <c r="N27" i="676"/>
  <c r="O27" i="676" s="1"/>
  <c r="L27" i="676"/>
  <c r="J27" i="676"/>
  <c r="H27" i="676"/>
  <c r="F27" i="676"/>
  <c r="AE26" i="676"/>
  <c r="AD26" i="676"/>
  <c r="E20" i="675" s="1"/>
  <c r="AA26" i="676"/>
  <c r="Z26" i="676"/>
  <c r="E18" i="675" s="1"/>
  <c r="M26" i="676"/>
  <c r="E22" i="675" s="1"/>
  <c r="W25" i="676"/>
  <c r="H25" i="676"/>
  <c r="W24" i="676"/>
  <c r="H24" i="676"/>
  <c r="W23" i="676"/>
  <c r="W21" i="676"/>
  <c r="N21" i="676" s="1"/>
  <c r="V21" i="676"/>
  <c r="P21" i="676"/>
  <c r="O21" i="676"/>
  <c r="K21" i="676"/>
  <c r="L21" i="676" s="1"/>
  <c r="J21" i="676"/>
  <c r="H21" i="676"/>
  <c r="F21" i="676"/>
  <c r="W20" i="676"/>
  <c r="N20" i="676" s="1"/>
  <c r="V20" i="676"/>
  <c r="P20" i="676"/>
  <c r="O20" i="676"/>
  <c r="K20" i="676"/>
  <c r="L20" i="676" s="1"/>
  <c r="J20" i="676"/>
  <c r="F20" i="676"/>
  <c r="H20" i="676" s="1"/>
  <c r="AG19" i="676"/>
  <c r="W19" i="676"/>
  <c r="N19" i="676" s="1"/>
  <c r="V19" i="676"/>
  <c r="K19" i="676"/>
  <c r="J19" i="676"/>
  <c r="H19" i="676"/>
  <c r="F19" i="676"/>
  <c r="W18" i="676"/>
  <c r="N18" i="676" s="1"/>
  <c r="V18" i="676"/>
  <c r="P18" i="676"/>
  <c r="K18" i="676"/>
  <c r="L18" i="676" s="1"/>
  <c r="J18" i="676"/>
  <c r="H18" i="676"/>
  <c r="F18" i="676"/>
  <c r="W17" i="676"/>
  <c r="N17" i="676" s="1"/>
  <c r="AG17" i="676" s="1"/>
  <c r="V17" i="676"/>
  <c r="O17" i="676"/>
  <c r="K17" i="676"/>
  <c r="L17" i="676" s="1"/>
  <c r="J17" i="676"/>
  <c r="P17" i="676" s="1"/>
  <c r="F17" i="676"/>
  <c r="H17" i="676" s="1"/>
  <c r="W16" i="676"/>
  <c r="O16" i="676"/>
  <c r="N16" i="676"/>
  <c r="K16" i="676"/>
  <c r="J16" i="676"/>
  <c r="H16" i="676"/>
  <c r="F16" i="676"/>
  <c r="AE15" i="676"/>
  <c r="AD15" i="676"/>
  <c r="AA15" i="676"/>
  <c r="Z15" i="676"/>
  <c r="M15" i="676"/>
  <c r="D22" i="675" s="1"/>
  <c r="J15" i="676"/>
  <c r="P15" i="676" s="1"/>
  <c r="W14" i="676"/>
  <c r="W13" i="676"/>
  <c r="W12" i="676"/>
  <c r="AG11" i="676"/>
  <c r="AF11" i="676"/>
  <c r="W11" i="676"/>
  <c r="AG10" i="676"/>
  <c r="AF10" i="676"/>
  <c r="W10" i="676"/>
  <c r="AG9" i="676"/>
  <c r="AF9" i="676"/>
  <c r="W9" i="676"/>
  <c r="W8" i="676"/>
  <c r="N8" i="676" s="1"/>
  <c r="V8" i="676"/>
  <c r="P8" i="676"/>
  <c r="L8" i="676"/>
  <c r="K8" i="676"/>
  <c r="J8" i="676"/>
  <c r="H8" i="676"/>
  <c r="F8" i="676"/>
  <c r="AG7" i="676"/>
  <c r="W7" i="676"/>
  <c r="N7" i="676" s="1"/>
  <c r="AF7" i="676" s="1"/>
  <c r="V7" i="676"/>
  <c r="Q7" i="676"/>
  <c r="P7" i="676"/>
  <c r="O7" i="676"/>
  <c r="R7" i="676" s="1"/>
  <c r="K7" i="676"/>
  <c r="L7" i="676" s="1"/>
  <c r="J7" i="676"/>
  <c r="F7" i="676"/>
  <c r="H7" i="676" s="1"/>
  <c r="G1" i="676" s="1"/>
  <c r="AG6" i="676"/>
  <c r="W6" i="676"/>
  <c r="V6" i="676"/>
  <c r="N6" i="676"/>
  <c r="O6" i="676" s="1"/>
  <c r="K6" i="676"/>
  <c r="J6" i="676"/>
  <c r="P6" i="676" s="1"/>
  <c r="H6" i="676"/>
  <c r="F6" i="676"/>
  <c r="W5" i="676"/>
  <c r="N5" i="676" s="1"/>
  <c r="O5" i="676" s="1"/>
  <c r="K5" i="676"/>
  <c r="K15" i="676" s="1"/>
  <c r="J5" i="676"/>
  <c r="P5" i="676" s="1"/>
  <c r="F5" i="676"/>
  <c r="H5" i="676" s="1"/>
  <c r="I2" i="676"/>
  <c r="E1" i="676"/>
  <c r="G3" i="675" s="1"/>
  <c r="J22" i="675"/>
  <c r="I22" i="675"/>
  <c r="F22" i="675"/>
  <c r="E21" i="675"/>
  <c r="D21" i="675"/>
  <c r="J20" i="675"/>
  <c r="I20" i="675"/>
  <c r="F20" i="675"/>
  <c r="D20" i="675"/>
  <c r="J19" i="675"/>
  <c r="H19" i="675"/>
  <c r="G19" i="675"/>
  <c r="F19" i="675"/>
  <c r="E19" i="675"/>
  <c r="D19" i="675"/>
  <c r="J18" i="675"/>
  <c r="F18" i="675"/>
  <c r="J16" i="675"/>
  <c r="I16" i="675"/>
  <c r="H16" i="675"/>
  <c r="G16" i="675"/>
  <c r="F16" i="675"/>
  <c r="E16" i="675"/>
  <c r="D16" i="675"/>
  <c r="O8" i="675"/>
  <c r="N8" i="675"/>
  <c r="M8" i="675"/>
  <c r="L8" i="675"/>
  <c r="O7" i="675"/>
  <c r="N7" i="675"/>
  <c r="M7" i="675"/>
  <c r="L7" i="675"/>
  <c r="AE79" i="674"/>
  <c r="J21" i="673" s="1"/>
  <c r="AD79" i="674"/>
  <c r="AA79" i="674"/>
  <c r="Z79" i="674"/>
  <c r="M79" i="674"/>
  <c r="W78" i="674"/>
  <c r="H78" i="674"/>
  <c r="W77" i="674"/>
  <c r="W76" i="674"/>
  <c r="W75" i="674"/>
  <c r="W74" i="674"/>
  <c r="W73" i="674"/>
  <c r="V73" i="674"/>
  <c r="N73" i="674"/>
  <c r="O73" i="674" s="1"/>
  <c r="K73" i="674"/>
  <c r="J73" i="674"/>
  <c r="P73" i="674" s="1"/>
  <c r="H73" i="674"/>
  <c r="F73" i="674"/>
  <c r="W72" i="674"/>
  <c r="V72" i="674"/>
  <c r="P72" i="674"/>
  <c r="N72" i="674"/>
  <c r="O72" i="674" s="1"/>
  <c r="K72" i="674"/>
  <c r="L72" i="674" s="1"/>
  <c r="J72" i="674"/>
  <c r="H72" i="674"/>
  <c r="F72" i="674"/>
  <c r="W71" i="674"/>
  <c r="N71" i="674" s="1"/>
  <c r="O71" i="674" s="1"/>
  <c r="R71" i="674" s="1"/>
  <c r="V71" i="674"/>
  <c r="Q71" i="674"/>
  <c r="K71" i="674"/>
  <c r="L71" i="674" s="1"/>
  <c r="J71" i="674"/>
  <c r="P71" i="674" s="1"/>
  <c r="H71" i="674"/>
  <c r="AG70" i="674"/>
  <c r="W70" i="674"/>
  <c r="Q70" i="674"/>
  <c r="P70" i="674"/>
  <c r="O70" i="674"/>
  <c r="N70" i="674"/>
  <c r="AF70" i="674" s="1"/>
  <c r="K70" i="674"/>
  <c r="J70" i="674"/>
  <c r="L70" i="674" s="1"/>
  <c r="H70" i="674"/>
  <c r="F70" i="674"/>
  <c r="AE69" i="674"/>
  <c r="AD69" i="674"/>
  <c r="I20" i="673" s="1"/>
  <c r="AA69" i="674"/>
  <c r="I19" i="673" s="1"/>
  <c r="Z69" i="674"/>
  <c r="I18" i="673" s="1"/>
  <c r="M69" i="674"/>
  <c r="W68" i="674"/>
  <c r="H68" i="674"/>
  <c r="W67" i="674"/>
  <c r="W66" i="674"/>
  <c r="W65" i="674"/>
  <c r="W64" i="674"/>
  <c r="W63" i="674"/>
  <c r="N63" i="674" s="1"/>
  <c r="O63" i="674" s="1"/>
  <c r="V63" i="674"/>
  <c r="K63" i="674"/>
  <c r="L63" i="674" s="1"/>
  <c r="J63" i="674"/>
  <c r="P63" i="674" s="1"/>
  <c r="F63" i="674"/>
  <c r="H63" i="674" s="1"/>
  <c r="AG62" i="674"/>
  <c r="AF62" i="674"/>
  <c r="W62" i="674"/>
  <c r="V62" i="674"/>
  <c r="O62" i="674"/>
  <c r="N62" i="674"/>
  <c r="K62" i="674"/>
  <c r="J62" i="674"/>
  <c r="P62" i="674" s="1"/>
  <c r="F62" i="674"/>
  <c r="H62" i="674" s="1"/>
  <c r="W61" i="674"/>
  <c r="N61" i="674" s="1"/>
  <c r="V61" i="674"/>
  <c r="L61" i="674"/>
  <c r="K61" i="674"/>
  <c r="J61" i="674"/>
  <c r="P61" i="674" s="1"/>
  <c r="F61" i="674"/>
  <c r="H61" i="674" s="1"/>
  <c r="W60" i="674"/>
  <c r="N60" i="674" s="1"/>
  <c r="V60" i="674"/>
  <c r="P60" i="674"/>
  <c r="O60" i="674"/>
  <c r="R60" i="674" s="1"/>
  <c r="L60" i="674"/>
  <c r="K60" i="674"/>
  <c r="J60" i="674"/>
  <c r="H60" i="674"/>
  <c r="F60" i="674"/>
  <c r="W59" i="674"/>
  <c r="N59" i="674" s="1"/>
  <c r="AG59" i="674" s="1"/>
  <c r="P59" i="674"/>
  <c r="L59" i="674"/>
  <c r="K59" i="674"/>
  <c r="J59" i="674"/>
  <c r="H59" i="674"/>
  <c r="F59" i="674"/>
  <c r="AE58" i="674"/>
  <c r="AD58" i="674"/>
  <c r="H20" i="673" s="1"/>
  <c r="AA58" i="674"/>
  <c r="H19" i="673" s="1"/>
  <c r="Z58" i="674"/>
  <c r="M58" i="674"/>
  <c r="K58" i="674"/>
  <c r="W57" i="674"/>
  <c r="W56" i="674"/>
  <c r="W55" i="674"/>
  <c r="W54" i="674"/>
  <c r="AG53" i="674"/>
  <c r="AF53" i="674"/>
  <c r="W53" i="674"/>
  <c r="AG52" i="674"/>
  <c r="W52" i="674"/>
  <c r="N52" i="674" s="1"/>
  <c r="O52" i="674" s="1"/>
  <c r="V52" i="674"/>
  <c r="R52" i="674"/>
  <c r="Q52" i="674"/>
  <c r="P52" i="674"/>
  <c r="K52" i="674"/>
  <c r="J52" i="674"/>
  <c r="L52" i="674" s="1"/>
  <c r="F52" i="674"/>
  <c r="H52" i="674" s="1"/>
  <c r="AG51" i="674"/>
  <c r="AF51" i="674"/>
  <c r="W51" i="674"/>
  <c r="N51" i="674" s="1"/>
  <c r="V51" i="674"/>
  <c r="O51" i="674"/>
  <c r="L51" i="674"/>
  <c r="K51" i="674"/>
  <c r="J51" i="674"/>
  <c r="P51" i="674" s="1"/>
  <c r="H51" i="674"/>
  <c r="F51" i="674"/>
  <c r="W50" i="674"/>
  <c r="N50" i="674" s="1"/>
  <c r="O50" i="674" s="1"/>
  <c r="V50" i="674"/>
  <c r="K50" i="674"/>
  <c r="J50" i="674"/>
  <c r="F50" i="674"/>
  <c r="H50" i="674" s="1"/>
  <c r="W49" i="674"/>
  <c r="N49" i="674" s="1"/>
  <c r="K49" i="674"/>
  <c r="J49" i="674"/>
  <c r="L49" i="674" s="1"/>
  <c r="F49" i="674"/>
  <c r="H49" i="674" s="1"/>
  <c r="AE48" i="674"/>
  <c r="AD48" i="674"/>
  <c r="G20" i="673" s="1"/>
  <c r="AA48" i="674"/>
  <c r="G19" i="673" s="1"/>
  <c r="Z48" i="674"/>
  <c r="G18" i="673" s="1"/>
  <c r="W48" i="674"/>
  <c r="M48" i="674"/>
  <c r="W47" i="674"/>
  <c r="H47" i="674"/>
  <c r="W46" i="674"/>
  <c r="W45" i="674"/>
  <c r="W44" i="674"/>
  <c r="W43" i="674"/>
  <c r="W42" i="674"/>
  <c r="AG41" i="674"/>
  <c r="AF41" i="674"/>
  <c r="W41" i="674"/>
  <c r="W40" i="674"/>
  <c r="N40" i="674" s="1"/>
  <c r="V40" i="674"/>
  <c r="P40" i="674"/>
  <c r="K40" i="674"/>
  <c r="L40" i="674" s="1"/>
  <c r="J40" i="674"/>
  <c r="H40" i="674"/>
  <c r="F40" i="674"/>
  <c r="W39" i="674"/>
  <c r="N39" i="674" s="1"/>
  <c r="V39" i="674"/>
  <c r="K39" i="674"/>
  <c r="L39" i="674" s="1"/>
  <c r="J39" i="674"/>
  <c r="P39" i="674" s="1"/>
  <c r="H39" i="674"/>
  <c r="F39" i="674"/>
  <c r="W38" i="674"/>
  <c r="N38" i="674" s="1"/>
  <c r="O38" i="674"/>
  <c r="K38" i="674"/>
  <c r="K48" i="674" s="1"/>
  <c r="J38" i="674"/>
  <c r="P38" i="674" s="1"/>
  <c r="F38" i="674"/>
  <c r="H38" i="674" s="1"/>
  <c r="AE37" i="674"/>
  <c r="AD37" i="674"/>
  <c r="AA37" i="674"/>
  <c r="Z37" i="674"/>
  <c r="F18" i="673" s="1"/>
  <c r="N37" i="674"/>
  <c r="M37" i="674"/>
  <c r="F22" i="673" s="1"/>
  <c r="W36" i="674"/>
  <c r="H36" i="674"/>
  <c r="W35" i="674"/>
  <c r="W34" i="674"/>
  <c r="W33" i="674"/>
  <c r="W32" i="674"/>
  <c r="W31" i="674"/>
  <c r="N31" i="674" s="1"/>
  <c r="O31" i="674" s="1"/>
  <c r="V31" i="674"/>
  <c r="K31" i="674"/>
  <c r="J31" i="674"/>
  <c r="P31" i="674" s="1"/>
  <c r="F31" i="674"/>
  <c r="H31" i="674" s="1"/>
  <c r="AG30" i="674"/>
  <c r="AF30" i="674"/>
  <c r="W30" i="674"/>
  <c r="V30" i="674"/>
  <c r="O30" i="674"/>
  <c r="N30" i="674"/>
  <c r="J30" i="674"/>
  <c r="L30" i="674" s="1"/>
  <c r="R30" i="674" s="1"/>
  <c r="F30" i="674"/>
  <c r="H30" i="674" s="1"/>
  <c r="W29" i="674"/>
  <c r="V29" i="674"/>
  <c r="N29" i="674"/>
  <c r="K29" i="674"/>
  <c r="J29" i="674"/>
  <c r="P29" i="674" s="1"/>
  <c r="H29" i="674"/>
  <c r="F29" i="674"/>
  <c r="W28" i="674"/>
  <c r="V28" i="674"/>
  <c r="P28" i="674"/>
  <c r="O28" i="674"/>
  <c r="N28" i="674"/>
  <c r="K28" i="674"/>
  <c r="J28" i="674"/>
  <c r="F28" i="674"/>
  <c r="H28" i="674" s="1"/>
  <c r="AG27" i="674"/>
  <c r="AF27" i="674"/>
  <c r="W27" i="674"/>
  <c r="N27" i="674" s="1"/>
  <c r="O27" i="674" s="1"/>
  <c r="J27" i="674"/>
  <c r="F27" i="674"/>
  <c r="H27" i="674" s="1"/>
  <c r="AE26" i="674"/>
  <c r="AE2" i="674" s="1"/>
  <c r="AD26" i="674"/>
  <c r="E20" i="673" s="1"/>
  <c r="AA26" i="674"/>
  <c r="Z26" i="674"/>
  <c r="M26" i="674"/>
  <c r="W25" i="674"/>
  <c r="H25" i="674"/>
  <c r="W24" i="674"/>
  <c r="W23" i="674"/>
  <c r="W21" i="674"/>
  <c r="W20" i="674"/>
  <c r="V20" i="674"/>
  <c r="P20" i="674"/>
  <c r="N20" i="674"/>
  <c r="O20" i="674" s="1"/>
  <c r="L20" i="674"/>
  <c r="K20" i="674"/>
  <c r="J20" i="674"/>
  <c r="H20" i="674"/>
  <c r="F20" i="674"/>
  <c r="AF19" i="674"/>
  <c r="W19" i="674"/>
  <c r="V19" i="674"/>
  <c r="P19" i="674"/>
  <c r="N19" i="674"/>
  <c r="L19" i="674"/>
  <c r="K19" i="674"/>
  <c r="J19" i="674"/>
  <c r="F19" i="674"/>
  <c r="H19" i="674" s="1"/>
  <c r="W18" i="674"/>
  <c r="V18" i="674"/>
  <c r="N18" i="674"/>
  <c r="K18" i="674"/>
  <c r="J18" i="674"/>
  <c r="P18" i="674" s="1"/>
  <c r="F18" i="674"/>
  <c r="H18" i="674" s="1"/>
  <c r="AG17" i="674"/>
  <c r="W17" i="674"/>
  <c r="N17" i="674" s="1"/>
  <c r="O17" i="674" s="1"/>
  <c r="V17" i="674"/>
  <c r="K17" i="674"/>
  <c r="J17" i="674"/>
  <c r="H17" i="674"/>
  <c r="F17" i="674"/>
  <c r="W16" i="674"/>
  <c r="N16" i="674" s="1"/>
  <c r="K16" i="674"/>
  <c r="J16" i="674"/>
  <c r="P16" i="674" s="1"/>
  <c r="H16" i="674"/>
  <c r="F16" i="674"/>
  <c r="AE15" i="674"/>
  <c r="AD15" i="674"/>
  <c r="AA15" i="674"/>
  <c r="Z15" i="674"/>
  <c r="N15" i="674"/>
  <c r="M15" i="674"/>
  <c r="W14" i="674"/>
  <c r="W13" i="674"/>
  <c r="W12" i="674"/>
  <c r="AG11" i="674"/>
  <c r="AF11" i="674"/>
  <c r="W11" i="674"/>
  <c r="AG10" i="674"/>
  <c r="AF10" i="674"/>
  <c r="W10" i="674"/>
  <c r="AG9" i="674"/>
  <c r="AF9" i="674"/>
  <c r="W9" i="674"/>
  <c r="AF8" i="674"/>
  <c r="W8" i="674"/>
  <c r="V8" i="674"/>
  <c r="P8" i="674"/>
  <c r="O8" i="674"/>
  <c r="N8" i="674"/>
  <c r="AG8" i="674" s="1"/>
  <c r="L8" i="674"/>
  <c r="K8" i="674"/>
  <c r="J8" i="674"/>
  <c r="F8" i="674"/>
  <c r="H8" i="674" s="1"/>
  <c r="W7" i="674"/>
  <c r="V7" i="674"/>
  <c r="P7" i="674"/>
  <c r="N7" i="674"/>
  <c r="K7" i="674"/>
  <c r="L7" i="674" s="1"/>
  <c r="J7" i="674"/>
  <c r="F7" i="674"/>
  <c r="H7" i="674" s="1"/>
  <c r="G1" i="674" s="1"/>
  <c r="AG6" i="674"/>
  <c r="AF6" i="674"/>
  <c r="W6" i="674"/>
  <c r="N6" i="674" s="1"/>
  <c r="O6" i="674" s="1"/>
  <c r="V6" i="674"/>
  <c r="K6" i="674"/>
  <c r="J6" i="674"/>
  <c r="F6" i="674"/>
  <c r="H6" i="674" s="1"/>
  <c r="W5" i="674"/>
  <c r="N5" i="674" s="1"/>
  <c r="AG5" i="674" s="1"/>
  <c r="K5" i="674"/>
  <c r="J5" i="674"/>
  <c r="F5" i="674"/>
  <c r="H5" i="674" s="1"/>
  <c r="I2" i="674"/>
  <c r="E1" i="674"/>
  <c r="J22" i="673"/>
  <c r="I22" i="673"/>
  <c r="H22" i="673"/>
  <c r="G22" i="673"/>
  <c r="D22" i="673"/>
  <c r="I21" i="673"/>
  <c r="H21" i="673"/>
  <c r="G21" i="673"/>
  <c r="F21" i="673"/>
  <c r="D21" i="673"/>
  <c r="J20" i="673"/>
  <c r="F20" i="673"/>
  <c r="D20" i="673"/>
  <c r="J19" i="673"/>
  <c r="F19" i="673"/>
  <c r="E19" i="673"/>
  <c r="D19" i="673"/>
  <c r="J18" i="673"/>
  <c r="H18" i="673"/>
  <c r="E18" i="673"/>
  <c r="D18" i="673"/>
  <c r="J16" i="673"/>
  <c r="I16" i="673"/>
  <c r="H16" i="673"/>
  <c r="G16" i="673"/>
  <c r="F16" i="673"/>
  <c r="E16" i="673"/>
  <c r="D16" i="673"/>
  <c r="O8" i="673"/>
  <c r="N8" i="673"/>
  <c r="M8" i="673"/>
  <c r="L8" i="673"/>
  <c r="O7" i="673"/>
  <c r="N7" i="673"/>
  <c r="M7" i="673"/>
  <c r="L7" i="673"/>
  <c r="G3" i="673"/>
  <c r="AE79" i="672"/>
  <c r="AD79" i="672"/>
  <c r="AA79" i="672"/>
  <c r="Z79" i="672"/>
  <c r="O79" i="672"/>
  <c r="N79" i="672"/>
  <c r="M79" i="672"/>
  <c r="I1" i="672" s="1"/>
  <c r="W78" i="672"/>
  <c r="W77" i="672"/>
  <c r="W76" i="672"/>
  <c r="W75" i="672"/>
  <c r="W74" i="672"/>
  <c r="W73" i="672"/>
  <c r="N73" i="672" s="1"/>
  <c r="V73" i="672"/>
  <c r="R73" i="672"/>
  <c r="Q73" i="672"/>
  <c r="P73" i="672"/>
  <c r="O73" i="672"/>
  <c r="K73" i="672"/>
  <c r="L73" i="672" s="1"/>
  <c r="J73" i="672"/>
  <c r="F73" i="672"/>
  <c r="H73" i="672" s="1"/>
  <c r="W72" i="672"/>
  <c r="N72" i="672" s="1"/>
  <c r="V72" i="672"/>
  <c r="P72" i="672"/>
  <c r="O72" i="672"/>
  <c r="K72" i="672"/>
  <c r="L72" i="672" s="1"/>
  <c r="J72" i="672"/>
  <c r="F72" i="672"/>
  <c r="H72" i="672" s="1"/>
  <c r="W71" i="672"/>
  <c r="N71" i="672" s="1"/>
  <c r="V71" i="672"/>
  <c r="P71" i="672"/>
  <c r="O71" i="672"/>
  <c r="K71" i="672"/>
  <c r="L71" i="672" s="1"/>
  <c r="J71" i="672"/>
  <c r="F71" i="672"/>
  <c r="H71" i="672" s="1"/>
  <c r="AG70" i="672"/>
  <c r="AF70" i="672"/>
  <c r="W70" i="672"/>
  <c r="N70" i="672" s="1"/>
  <c r="O70" i="672"/>
  <c r="L70" i="672"/>
  <c r="L79" i="672" s="1"/>
  <c r="J13" i="671" s="1"/>
  <c r="K70" i="672"/>
  <c r="J70" i="672"/>
  <c r="H70" i="672"/>
  <c r="AE69" i="672"/>
  <c r="I21" i="671" s="1"/>
  <c r="AD69" i="672"/>
  <c r="AA69" i="672"/>
  <c r="Z69" i="672"/>
  <c r="I18" i="671" s="1"/>
  <c r="M69" i="672"/>
  <c r="K69" i="672"/>
  <c r="J69" i="672"/>
  <c r="P69" i="672" s="1"/>
  <c r="W68" i="672"/>
  <c r="H68" i="672"/>
  <c r="W67" i="672"/>
  <c r="W66" i="672"/>
  <c r="W65" i="672"/>
  <c r="W64" i="672"/>
  <c r="W63" i="672"/>
  <c r="AG62" i="672"/>
  <c r="W62" i="672"/>
  <c r="N62" i="672" s="1"/>
  <c r="AF62" i="672" s="1"/>
  <c r="V62" i="672"/>
  <c r="O62" i="672"/>
  <c r="L62" i="672"/>
  <c r="K62" i="672"/>
  <c r="J62" i="672"/>
  <c r="P62" i="672" s="1"/>
  <c r="F62" i="672"/>
  <c r="H62" i="672" s="1"/>
  <c r="W61" i="672"/>
  <c r="N61" i="672" s="1"/>
  <c r="V61" i="672"/>
  <c r="L61" i="672"/>
  <c r="K61" i="672"/>
  <c r="J61" i="672"/>
  <c r="P61" i="672" s="1"/>
  <c r="F61" i="672"/>
  <c r="H61" i="672" s="1"/>
  <c r="AG60" i="672"/>
  <c r="W60" i="672"/>
  <c r="V60" i="672"/>
  <c r="Q60" i="672"/>
  <c r="P60" i="672"/>
  <c r="O60" i="672"/>
  <c r="N60" i="672"/>
  <c r="AF60" i="672" s="1"/>
  <c r="L60" i="672"/>
  <c r="K60" i="672"/>
  <c r="J60" i="672"/>
  <c r="H60" i="672"/>
  <c r="F60" i="672"/>
  <c r="W59" i="672"/>
  <c r="N59" i="672" s="1"/>
  <c r="P59" i="672"/>
  <c r="L59" i="672"/>
  <c r="K59" i="672"/>
  <c r="J59" i="672"/>
  <c r="H59" i="672"/>
  <c r="F59" i="672"/>
  <c r="AE58" i="672"/>
  <c r="AD58" i="672"/>
  <c r="H20" i="671" s="1"/>
  <c r="AA58" i="672"/>
  <c r="H19" i="671" s="1"/>
  <c r="Z58" i="672"/>
  <c r="H18" i="671" s="1"/>
  <c r="M58" i="672"/>
  <c r="W57" i="672"/>
  <c r="W56" i="672"/>
  <c r="W55" i="672"/>
  <c r="W54" i="672"/>
  <c r="AG53" i="672"/>
  <c r="W53" i="672"/>
  <c r="V53" i="672"/>
  <c r="N53" i="672"/>
  <c r="K53" i="672"/>
  <c r="L53" i="672" s="1"/>
  <c r="J53" i="672"/>
  <c r="P53" i="672" s="1"/>
  <c r="H53" i="672"/>
  <c r="F53" i="672"/>
  <c r="W52" i="672"/>
  <c r="V52" i="672"/>
  <c r="P52" i="672"/>
  <c r="N52" i="672"/>
  <c r="K52" i="672"/>
  <c r="L52" i="672" s="1"/>
  <c r="J52" i="672"/>
  <c r="F52" i="672"/>
  <c r="H52" i="672" s="1"/>
  <c r="W51" i="672"/>
  <c r="V51" i="672"/>
  <c r="N51" i="672"/>
  <c r="AG51" i="672" s="1"/>
  <c r="K51" i="672"/>
  <c r="L51" i="672" s="1"/>
  <c r="J51" i="672"/>
  <c r="P51" i="672" s="1"/>
  <c r="F51" i="672"/>
  <c r="H51" i="672" s="1"/>
  <c r="W50" i="672"/>
  <c r="N50" i="672" s="1"/>
  <c r="V50" i="672"/>
  <c r="L50" i="672"/>
  <c r="K50" i="672"/>
  <c r="J50" i="672"/>
  <c r="P50" i="672" s="1"/>
  <c r="F50" i="672"/>
  <c r="H50" i="672" s="1"/>
  <c r="W49" i="672"/>
  <c r="N49" i="672"/>
  <c r="O49" i="672" s="1"/>
  <c r="K49" i="672"/>
  <c r="K58" i="672" s="1"/>
  <c r="J49" i="672"/>
  <c r="P49" i="672" s="1"/>
  <c r="H49" i="672"/>
  <c r="F49" i="672"/>
  <c r="AE48" i="672"/>
  <c r="AD48" i="672"/>
  <c r="G20" i="671" s="1"/>
  <c r="AA48" i="672"/>
  <c r="Z48" i="672"/>
  <c r="W48" i="672"/>
  <c r="M48" i="672"/>
  <c r="G22" i="671" s="1"/>
  <c r="W47" i="672"/>
  <c r="H47" i="672"/>
  <c r="W46" i="672"/>
  <c r="W45" i="672"/>
  <c r="W44" i="672"/>
  <c r="W43" i="672"/>
  <c r="W42" i="672"/>
  <c r="AG41" i="672"/>
  <c r="AF41" i="672"/>
  <c r="W41" i="672"/>
  <c r="AG40" i="672"/>
  <c r="AF40" i="672"/>
  <c r="W40" i="672"/>
  <c r="W39" i="672"/>
  <c r="V39" i="672"/>
  <c r="N39" i="672"/>
  <c r="K39" i="672"/>
  <c r="J39" i="672"/>
  <c r="P39" i="672" s="1"/>
  <c r="F39" i="672"/>
  <c r="H39" i="672" s="1"/>
  <c r="W38" i="672"/>
  <c r="N38" i="672" s="1"/>
  <c r="K38" i="672"/>
  <c r="J38" i="672"/>
  <c r="F38" i="672"/>
  <c r="H38" i="672" s="1"/>
  <c r="AE37" i="672"/>
  <c r="F21" i="671" s="1"/>
  <c r="AD37" i="672"/>
  <c r="F20" i="671" s="1"/>
  <c r="AA37" i="672"/>
  <c r="Z37" i="672"/>
  <c r="F18" i="671" s="1"/>
  <c r="M37" i="672"/>
  <c r="W36" i="672"/>
  <c r="H36" i="672"/>
  <c r="W35" i="672"/>
  <c r="W34" i="672"/>
  <c r="W33" i="672"/>
  <c r="W32" i="672"/>
  <c r="W31" i="672"/>
  <c r="N31" i="672" s="1"/>
  <c r="V31" i="672"/>
  <c r="P31" i="672"/>
  <c r="L31" i="672"/>
  <c r="J31" i="672"/>
  <c r="F31" i="672"/>
  <c r="H31" i="672" s="1"/>
  <c r="W30" i="672"/>
  <c r="N30" i="672" s="1"/>
  <c r="O30" i="672" s="1"/>
  <c r="V30" i="672"/>
  <c r="J30" i="672"/>
  <c r="F30" i="672"/>
  <c r="H30" i="672" s="1"/>
  <c r="W29" i="672"/>
  <c r="N29" i="672" s="1"/>
  <c r="O29" i="672" s="1"/>
  <c r="V29" i="672"/>
  <c r="K29" i="672"/>
  <c r="L29" i="672" s="1"/>
  <c r="J29" i="672"/>
  <c r="P29" i="672" s="1"/>
  <c r="F29" i="672"/>
  <c r="H29" i="672" s="1"/>
  <c r="W28" i="672"/>
  <c r="N28" i="672" s="1"/>
  <c r="O28" i="672" s="1"/>
  <c r="V28" i="672"/>
  <c r="L28" i="672"/>
  <c r="K28" i="672"/>
  <c r="J28" i="672"/>
  <c r="P28" i="672" s="1"/>
  <c r="F28" i="672"/>
  <c r="H28" i="672" s="1"/>
  <c r="W27" i="672"/>
  <c r="N27" i="672" s="1"/>
  <c r="J27" i="672"/>
  <c r="H27" i="672"/>
  <c r="F27" i="672"/>
  <c r="AE26" i="672"/>
  <c r="AD26" i="672"/>
  <c r="AA26" i="672"/>
  <c r="Z26" i="672"/>
  <c r="M26" i="672"/>
  <c r="W25" i="672"/>
  <c r="H25" i="672"/>
  <c r="W24" i="672"/>
  <c r="H24" i="672"/>
  <c r="W23" i="672"/>
  <c r="W21" i="672"/>
  <c r="W20" i="672"/>
  <c r="W19" i="672"/>
  <c r="V19" i="672"/>
  <c r="P19" i="672"/>
  <c r="N19" i="672"/>
  <c r="L19" i="672"/>
  <c r="K19" i="672"/>
  <c r="J19" i="672"/>
  <c r="H19" i="672"/>
  <c r="F19" i="672"/>
  <c r="W18" i="672"/>
  <c r="V18" i="672"/>
  <c r="P18" i="672"/>
  <c r="N18" i="672"/>
  <c r="O18" i="672" s="1"/>
  <c r="K18" i="672"/>
  <c r="L18" i="672" s="1"/>
  <c r="J18" i="672"/>
  <c r="F18" i="672"/>
  <c r="H18" i="672" s="1"/>
  <c r="W17" i="672"/>
  <c r="V17" i="672"/>
  <c r="N17" i="672"/>
  <c r="K17" i="672"/>
  <c r="J17" i="672"/>
  <c r="P17" i="672" s="1"/>
  <c r="F17" i="672"/>
  <c r="H17" i="672" s="1"/>
  <c r="W16" i="672"/>
  <c r="N16" i="672"/>
  <c r="N26" i="672" s="1"/>
  <c r="K16" i="672"/>
  <c r="L16" i="672" s="1"/>
  <c r="J16" i="672"/>
  <c r="H16" i="672"/>
  <c r="F16" i="672"/>
  <c r="AE15" i="672"/>
  <c r="D21" i="671" s="1"/>
  <c r="AD15" i="672"/>
  <c r="D20" i="671" s="1"/>
  <c r="AA15" i="672"/>
  <c r="Z15" i="672"/>
  <c r="P15" i="672"/>
  <c r="M15" i="672"/>
  <c r="D22" i="671" s="1"/>
  <c r="J15" i="672"/>
  <c r="W14" i="672"/>
  <c r="W13" i="672"/>
  <c r="W12" i="672"/>
  <c r="AG11" i="672"/>
  <c r="AF11" i="672"/>
  <c r="W11" i="672"/>
  <c r="AG10" i="672"/>
  <c r="AF10" i="672"/>
  <c r="W10" i="672"/>
  <c r="AG9" i="672"/>
  <c r="AF9" i="672"/>
  <c r="W9" i="672"/>
  <c r="AG8" i="672"/>
  <c r="AF8" i="672"/>
  <c r="W8" i="672"/>
  <c r="W7" i="672"/>
  <c r="N7" i="672" s="1"/>
  <c r="V7" i="672"/>
  <c r="P7" i="672"/>
  <c r="L7" i="672"/>
  <c r="K7" i="672"/>
  <c r="J7" i="672"/>
  <c r="H7" i="672"/>
  <c r="F7" i="672"/>
  <c r="W6" i="672"/>
  <c r="N6" i="672" s="1"/>
  <c r="AF6" i="672" s="1"/>
  <c r="V6" i="672"/>
  <c r="P6" i="672"/>
  <c r="K6" i="672"/>
  <c r="L6" i="672" s="1"/>
  <c r="J6" i="672"/>
  <c r="F6" i="672"/>
  <c r="H6" i="672" s="1"/>
  <c r="W5" i="672"/>
  <c r="N5" i="672" s="1"/>
  <c r="O5" i="672"/>
  <c r="K5" i="672"/>
  <c r="AG5" i="672" s="1"/>
  <c r="J5" i="672"/>
  <c r="P5" i="672" s="1"/>
  <c r="F5" i="672"/>
  <c r="H5" i="672" s="1"/>
  <c r="AA2" i="672"/>
  <c r="I2" i="672"/>
  <c r="E1" i="672"/>
  <c r="G3" i="671" s="1"/>
  <c r="I22" i="671"/>
  <c r="H22" i="671"/>
  <c r="E22" i="671"/>
  <c r="J21" i="671"/>
  <c r="H21" i="671"/>
  <c r="G21" i="671"/>
  <c r="E21" i="671"/>
  <c r="J20" i="671"/>
  <c r="I20" i="671"/>
  <c r="E20" i="671"/>
  <c r="J19" i="671"/>
  <c r="I19" i="671"/>
  <c r="G19" i="671"/>
  <c r="F19" i="671"/>
  <c r="E19" i="671"/>
  <c r="M6" i="671" s="1"/>
  <c r="D19" i="671"/>
  <c r="J18" i="671"/>
  <c r="G18" i="671"/>
  <c r="E18" i="671"/>
  <c r="D18" i="671"/>
  <c r="J16" i="671"/>
  <c r="I16" i="671"/>
  <c r="H16" i="671"/>
  <c r="G16" i="671"/>
  <c r="F16" i="671"/>
  <c r="E16" i="671"/>
  <c r="D16" i="671"/>
  <c r="O8" i="671"/>
  <c r="N8" i="671"/>
  <c r="M8" i="671"/>
  <c r="L8" i="671"/>
  <c r="O7" i="671"/>
  <c r="N7" i="671"/>
  <c r="M7" i="671"/>
  <c r="L7" i="671"/>
  <c r="AE79" i="670"/>
  <c r="J21" i="669" s="1"/>
  <c r="AD79" i="670"/>
  <c r="AA79" i="670"/>
  <c r="Z79" i="670"/>
  <c r="M79" i="670"/>
  <c r="J22" i="669" s="1"/>
  <c r="K79" i="670"/>
  <c r="J79" i="670"/>
  <c r="P79" i="670" s="1"/>
  <c r="W78" i="670"/>
  <c r="H78" i="670"/>
  <c r="W77" i="670"/>
  <c r="W76" i="670"/>
  <c r="W75" i="670"/>
  <c r="V75" i="670"/>
  <c r="P75" i="670"/>
  <c r="N75" i="670"/>
  <c r="O75" i="670" s="1"/>
  <c r="R75" i="670" s="1"/>
  <c r="L75" i="670"/>
  <c r="K75" i="670"/>
  <c r="J75" i="670"/>
  <c r="H75" i="670"/>
  <c r="F75" i="670"/>
  <c r="W74" i="670"/>
  <c r="V74" i="670"/>
  <c r="P74" i="670"/>
  <c r="N74" i="670"/>
  <c r="O74" i="670" s="1"/>
  <c r="R74" i="670" s="1"/>
  <c r="L74" i="670"/>
  <c r="K74" i="670"/>
  <c r="J74" i="670"/>
  <c r="H74" i="670"/>
  <c r="F74" i="670"/>
  <c r="W73" i="670"/>
  <c r="N73" i="670" s="1"/>
  <c r="O73" i="670" s="1"/>
  <c r="V73" i="670"/>
  <c r="P73" i="670"/>
  <c r="L73" i="670"/>
  <c r="K73" i="670"/>
  <c r="J73" i="670"/>
  <c r="H73" i="670"/>
  <c r="W72" i="670"/>
  <c r="N72" i="670" s="1"/>
  <c r="O72" i="670" s="1"/>
  <c r="V72" i="670"/>
  <c r="P72" i="670"/>
  <c r="L72" i="670"/>
  <c r="K72" i="670"/>
  <c r="J72" i="670"/>
  <c r="H72" i="670"/>
  <c r="F72" i="670"/>
  <c r="W71" i="670"/>
  <c r="V71" i="670"/>
  <c r="P71" i="670"/>
  <c r="N71" i="670"/>
  <c r="O71" i="670" s="1"/>
  <c r="Q71" i="670" s="1"/>
  <c r="L71" i="670"/>
  <c r="K71" i="670"/>
  <c r="J71" i="670"/>
  <c r="H71" i="670"/>
  <c r="AG70" i="670"/>
  <c r="AF70" i="670"/>
  <c r="W70" i="670"/>
  <c r="N70" i="670" s="1"/>
  <c r="O70" i="670" s="1"/>
  <c r="P70" i="670"/>
  <c r="L70" i="670"/>
  <c r="Q70" i="670" s="1"/>
  <c r="K70" i="670"/>
  <c r="J70" i="670"/>
  <c r="F70" i="670"/>
  <c r="H70" i="670" s="1"/>
  <c r="AE69" i="670"/>
  <c r="I21" i="669" s="1"/>
  <c r="AD69" i="670"/>
  <c r="AA69" i="670"/>
  <c r="I19" i="669" s="1"/>
  <c r="Z69" i="670"/>
  <c r="N69" i="670"/>
  <c r="M69" i="670"/>
  <c r="P69" i="670" s="1"/>
  <c r="J69" i="670"/>
  <c r="W68" i="670"/>
  <c r="H68" i="670"/>
  <c r="W67" i="670"/>
  <c r="W66" i="670"/>
  <c r="W65" i="670"/>
  <c r="W64" i="670"/>
  <c r="W63" i="670"/>
  <c r="AG62" i="670"/>
  <c r="AF62" i="670"/>
  <c r="W62" i="670"/>
  <c r="N62" i="670" s="1"/>
  <c r="O62" i="670" s="1"/>
  <c r="R62" i="670" s="1"/>
  <c r="V62" i="670"/>
  <c r="P62" i="670"/>
  <c r="L62" i="670"/>
  <c r="Q62" i="670" s="1"/>
  <c r="K62" i="670"/>
  <c r="J62" i="670"/>
  <c r="F62" i="670"/>
  <c r="H62" i="670" s="1"/>
  <c r="W61" i="670"/>
  <c r="N61" i="670" s="1"/>
  <c r="O61" i="670" s="1"/>
  <c r="V61" i="670"/>
  <c r="K61" i="670"/>
  <c r="L61" i="670" s="1"/>
  <c r="R61" i="670" s="1"/>
  <c r="J61" i="670"/>
  <c r="P61" i="670" s="1"/>
  <c r="F61" i="670"/>
  <c r="H61" i="670" s="1"/>
  <c r="W60" i="670"/>
  <c r="V60" i="670"/>
  <c r="N60" i="670"/>
  <c r="O60" i="670" s="1"/>
  <c r="Q60" i="670" s="1"/>
  <c r="K60" i="670"/>
  <c r="L60" i="670" s="1"/>
  <c r="J60" i="670"/>
  <c r="P60" i="670" s="1"/>
  <c r="F60" i="670"/>
  <c r="H60" i="670" s="1"/>
  <c r="W59" i="670"/>
  <c r="N59" i="670" s="1"/>
  <c r="P59" i="670"/>
  <c r="O59" i="670"/>
  <c r="Q59" i="670" s="1"/>
  <c r="L59" i="670"/>
  <c r="K59" i="670"/>
  <c r="J59" i="670"/>
  <c r="F59" i="670"/>
  <c r="H59" i="670" s="1"/>
  <c r="AE58" i="670"/>
  <c r="H21" i="669" s="1"/>
  <c r="AD58" i="670"/>
  <c r="AA58" i="670"/>
  <c r="Z58" i="670"/>
  <c r="M58" i="670"/>
  <c r="W57" i="670"/>
  <c r="W56" i="670"/>
  <c r="W55" i="670"/>
  <c r="W54" i="670"/>
  <c r="AG53" i="670"/>
  <c r="W53" i="670"/>
  <c r="N53" i="670" s="1"/>
  <c r="AF53" i="670" s="1"/>
  <c r="V53" i="670"/>
  <c r="O53" i="670"/>
  <c r="K53" i="670"/>
  <c r="J53" i="670"/>
  <c r="P53" i="670" s="1"/>
  <c r="F53" i="670"/>
  <c r="H53" i="670" s="1"/>
  <c r="AG52" i="670"/>
  <c r="W52" i="670"/>
  <c r="V52" i="670"/>
  <c r="Q52" i="670"/>
  <c r="P52" i="670"/>
  <c r="O52" i="670"/>
  <c r="N52" i="670"/>
  <c r="K52" i="670"/>
  <c r="L52" i="670" s="1"/>
  <c r="J52" i="670"/>
  <c r="H52" i="670"/>
  <c r="F52" i="670"/>
  <c r="AF51" i="670"/>
  <c r="W51" i="670"/>
  <c r="V51" i="670"/>
  <c r="P51" i="670"/>
  <c r="N51" i="670"/>
  <c r="K51" i="670"/>
  <c r="L51" i="670" s="1"/>
  <c r="J51" i="670"/>
  <c r="F51" i="670"/>
  <c r="H51" i="670" s="1"/>
  <c r="AF50" i="670"/>
  <c r="W50" i="670"/>
  <c r="N50" i="670" s="1"/>
  <c r="V50" i="670"/>
  <c r="P50" i="670"/>
  <c r="K50" i="670"/>
  <c r="J50" i="670"/>
  <c r="F50" i="670"/>
  <c r="H50" i="670" s="1"/>
  <c r="W49" i="670"/>
  <c r="N49" i="670" s="1"/>
  <c r="K49" i="670"/>
  <c r="J49" i="670"/>
  <c r="P49" i="670" s="1"/>
  <c r="F49" i="670"/>
  <c r="H49" i="670" s="1"/>
  <c r="AE48" i="670"/>
  <c r="G21" i="669" s="1"/>
  <c r="AD48" i="670"/>
  <c r="AA48" i="670"/>
  <c r="G19" i="669" s="1"/>
  <c r="Z48" i="670"/>
  <c r="W48" i="670"/>
  <c r="M48" i="670"/>
  <c r="K48" i="670"/>
  <c r="J48" i="670"/>
  <c r="W47" i="670"/>
  <c r="H47" i="670"/>
  <c r="W46" i="670"/>
  <c r="W45" i="670"/>
  <c r="W44" i="670"/>
  <c r="W43" i="670"/>
  <c r="W42" i="670"/>
  <c r="AG41" i="670"/>
  <c r="AF41" i="670"/>
  <c r="W41" i="670"/>
  <c r="AG40" i="670"/>
  <c r="AF40" i="670"/>
  <c r="W40" i="670"/>
  <c r="V40" i="670"/>
  <c r="N40" i="670"/>
  <c r="O40" i="670" s="1"/>
  <c r="K40" i="670"/>
  <c r="J40" i="670"/>
  <c r="P40" i="670" s="1"/>
  <c r="F40" i="670"/>
  <c r="H40" i="670" s="1"/>
  <c r="W39" i="670"/>
  <c r="N39" i="670" s="1"/>
  <c r="V39" i="670"/>
  <c r="P39" i="670"/>
  <c r="K39" i="670"/>
  <c r="L39" i="670" s="1"/>
  <c r="J39" i="670"/>
  <c r="F39" i="670"/>
  <c r="H39" i="670" s="1"/>
  <c r="W38" i="670"/>
  <c r="N38" i="670" s="1"/>
  <c r="AF38" i="670" s="1"/>
  <c r="K38" i="670"/>
  <c r="J38" i="670"/>
  <c r="P38" i="670" s="1"/>
  <c r="F38" i="670"/>
  <c r="H38" i="670" s="1"/>
  <c r="AE37" i="670"/>
  <c r="F21" i="669" s="1"/>
  <c r="AD37" i="670"/>
  <c r="AA37" i="670"/>
  <c r="F19" i="669" s="1"/>
  <c r="Z37" i="670"/>
  <c r="M37" i="670"/>
  <c r="J37" i="670"/>
  <c r="W36" i="670"/>
  <c r="H36" i="670"/>
  <c r="W35" i="670"/>
  <c r="W34" i="670"/>
  <c r="W33" i="670"/>
  <c r="W32" i="670"/>
  <c r="W31" i="670"/>
  <c r="V31" i="670"/>
  <c r="P31" i="670"/>
  <c r="N31" i="670"/>
  <c r="L31" i="670"/>
  <c r="K31" i="670"/>
  <c r="J31" i="670"/>
  <c r="H31" i="670"/>
  <c r="F31" i="670"/>
  <c r="W30" i="670"/>
  <c r="N30" i="670" s="1"/>
  <c r="V30" i="670"/>
  <c r="P30" i="670"/>
  <c r="O30" i="670"/>
  <c r="R30" i="670" s="1"/>
  <c r="K30" i="670"/>
  <c r="L30" i="670" s="1"/>
  <c r="J30" i="670"/>
  <c r="H30" i="670"/>
  <c r="F30" i="670"/>
  <c r="W29" i="670"/>
  <c r="V29" i="670"/>
  <c r="N29" i="670"/>
  <c r="K29" i="670"/>
  <c r="J29" i="670"/>
  <c r="P29" i="670" s="1"/>
  <c r="F29" i="670"/>
  <c r="H29" i="670" s="1"/>
  <c r="W28" i="670"/>
  <c r="V28" i="670"/>
  <c r="N28" i="670"/>
  <c r="K28" i="670"/>
  <c r="J28" i="670"/>
  <c r="P28" i="670" s="1"/>
  <c r="F28" i="670"/>
  <c r="H28" i="670" s="1"/>
  <c r="W27" i="670"/>
  <c r="P27" i="670"/>
  <c r="O27" i="670"/>
  <c r="N27" i="670"/>
  <c r="L27" i="670"/>
  <c r="K27" i="670"/>
  <c r="J27" i="670"/>
  <c r="H27" i="670"/>
  <c r="F27" i="670"/>
  <c r="AE26" i="670"/>
  <c r="AD26" i="670"/>
  <c r="AA26" i="670"/>
  <c r="E19" i="669" s="1"/>
  <c r="M6" i="669" s="1"/>
  <c r="Z26" i="670"/>
  <c r="E18" i="669" s="1"/>
  <c r="L6" i="669" s="1"/>
  <c r="M26" i="670"/>
  <c r="K26" i="670"/>
  <c r="W25" i="670"/>
  <c r="H25" i="670"/>
  <c r="W24" i="670"/>
  <c r="W23" i="670"/>
  <c r="W21" i="670"/>
  <c r="V21" i="670"/>
  <c r="N21" i="670"/>
  <c r="O21" i="670" s="1"/>
  <c r="K21" i="670"/>
  <c r="J21" i="670"/>
  <c r="P21" i="670" s="1"/>
  <c r="H21" i="670"/>
  <c r="F21" i="670"/>
  <c r="W20" i="670"/>
  <c r="V20" i="670"/>
  <c r="N20" i="670"/>
  <c r="O20" i="670" s="1"/>
  <c r="R20" i="670" s="1"/>
  <c r="K20" i="670"/>
  <c r="L20" i="670" s="1"/>
  <c r="J20" i="670"/>
  <c r="P20" i="670" s="1"/>
  <c r="H20" i="670"/>
  <c r="F20" i="670"/>
  <c r="AG19" i="670"/>
  <c r="AF19" i="670"/>
  <c r="W19" i="670"/>
  <c r="V19" i="670"/>
  <c r="N19" i="670"/>
  <c r="O19" i="670" s="1"/>
  <c r="K19" i="670"/>
  <c r="L19" i="670" s="1"/>
  <c r="J19" i="670"/>
  <c r="P19" i="670" s="1"/>
  <c r="H19" i="670"/>
  <c r="F19" i="670"/>
  <c r="W18" i="670"/>
  <c r="V18" i="670"/>
  <c r="N18" i="670"/>
  <c r="AF18" i="670" s="1"/>
  <c r="K18" i="670"/>
  <c r="L18" i="670" s="1"/>
  <c r="J18" i="670"/>
  <c r="P18" i="670" s="1"/>
  <c r="F18" i="670"/>
  <c r="H18" i="670" s="1"/>
  <c r="W17" i="670"/>
  <c r="V17" i="670"/>
  <c r="N17" i="670"/>
  <c r="K17" i="670"/>
  <c r="L17" i="670" s="1"/>
  <c r="J17" i="670"/>
  <c r="P17" i="670" s="1"/>
  <c r="F17" i="670"/>
  <c r="H17" i="670" s="1"/>
  <c r="W16" i="670"/>
  <c r="N16" i="670"/>
  <c r="AF16" i="670" s="1"/>
  <c r="K16" i="670"/>
  <c r="J16" i="670"/>
  <c r="F16" i="670"/>
  <c r="H16" i="670" s="1"/>
  <c r="AE15" i="670"/>
  <c r="D21" i="669" s="1"/>
  <c r="AD15" i="670"/>
  <c r="AA15" i="670"/>
  <c r="Z15" i="670"/>
  <c r="D18" i="669" s="1"/>
  <c r="M15" i="670"/>
  <c r="D22" i="669" s="1"/>
  <c r="W14" i="670"/>
  <c r="W13" i="670"/>
  <c r="W12" i="670"/>
  <c r="AG11" i="670"/>
  <c r="AF11" i="670"/>
  <c r="W11" i="670"/>
  <c r="AG10" i="670"/>
  <c r="AF10" i="670"/>
  <c r="W10" i="670"/>
  <c r="AG9" i="670"/>
  <c r="AF9" i="670"/>
  <c r="W9" i="670"/>
  <c r="W8" i="670"/>
  <c r="N8" i="670" s="1"/>
  <c r="O8" i="670" s="1"/>
  <c r="V8" i="670"/>
  <c r="K8" i="670"/>
  <c r="L8" i="670" s="1"/>
  <c r="J8" i="670"/>
  <c r="P8" i="670" s="1"/>
  <c r="F8" i="670"/>
  <c r="H8" i="670" s="1"/>
  <c r="W7" i="670"/>
  <c r="V7" i="670"/>
  <c r="N7" i="670"/>
  <c r="AF7" i="670" s="1"/>
  <c r="K7" i="670"/>
  <c r="K15" i="670" s="1"/>
  <c r="J7" i="670"/>
  <c r="P7" i="670" s="1"/>
  <c r="F7" i="670"/>
  <c r="H7" i="670" s="1"/>
  <c r="W6" i="670"/>
  <c r="V6" i="670"/>
  <c r="N6" i="670"/>
  <c r="K6" i="670"/>
  <c r="L6" i="670" s="1"/>
  <c r="J6" i="670"/>
  <c r="P6" i="670" s="1"/>
  <c r="F6" i="670"/>
  <c r="H6" i="670" s="1"/>
  <c r="W5" i="670"/>
  <c r="N5" i="670"/>
  <c r="AF5" i="670" s="1"/>
  <c r="K5" i="670"/>
  <c r="J5" i="670"/>
  <c r="P5" i="670" s="1"/>
  <c r="F5" i="670"/>
  <c r="H5" i="670" s="1"/>
  <c r="AD2" i="670"/>
  <c r="I2" i="670"/>
  <c r="E1" i="670"/>
  <c r="G3" i="669" s="1"/>
  <c r="I22" i="669"/>
  <c r="H22" i="669"/>
  <c r="G22" i="669"/>
  <c r="F22" i="669"/>
  <c r="E22" i="669"/>
  <c r="E21" i="669"/>
  <c r="J20" i="669"/>
  <c r="I20" i="669"/>
  <c r="H20" i="669"/>
  <c r="G20" i="669"/>
  <c r="F20" i="669"/>
  <c r="E20" i="669"/>
  <c r="N6" i="669" s="1"/>
  <c r="D20" i="669"/>
  <c r="J19" i="669"/>
  <c r="H19" i="669"/>
  <c r="D19" i="669"/>
  <c r="J18" i="669"/>
  <c r="I18" i="669"/>
  <c r="H18" i="669"/>
  <c r="G18" i="669"/>
  <c r="F18" i="669"/>
  <c r="J16" i="669"/>
  <c r="I16" i="669"/>
  <c r="H16" i="669"/>
  <c r="G16" i="669"/>
  <c r="F16" i="669"/>
  <c r="E16" i="669"/>
  <c r="D16" i="669"/>
  <c r="O8" i="669"/>
  <c r="N8" i="669"/>
  <c r="M8" i="669"/>
  <c r="L8" i="669"/>
  <c r="O7" i="669"/>
  <c r="N7" i="669"/>
  <c r="M7" i="669"/>
  <c r="L7" i="669"/>
  <c r="AE79" i="605"/>
  <c r="AD79" i="605"/>
  <c r="AA79" i="605"/>
  <c r="Z79" i="605"/>
  <c r="M79" i="605"/>
  <c r="K79" i="605"/>
  <c r="W78" i="605"/>
  <c r="W77" i="605"/>
  <c r="W76" i="605"/>
  <c r="W75" i="605"/>
  <c r="W74" i="605"/>
  <c r="W73" i="605"/>
  <c r="V73" i="605"/>
  <c r="Q73" i="605"/>
  <c r="P73" i="605"/>
  <c r="O73" i="605"/>
  <c r="N73" i="605"/>
  <c r="K73" i="605"/>
  <c r="L73" i="605" s="1"/>
  <c r="J73" i="605"/>
  <c r="H73" i="605"/>
  <c r="F73" i="605"/>
  <c r="W72" i="605"/>
  <c r="V72" i="605"/>
  <c r="P72" i="605"/>
  <c r="N72" i="605"/>
  <c r="O72" i="605" s="1"/>
  <c r="L72" i="605"/>
  <c r="K72" i="605"/>
  <c r="J72" i="605"/>
  <c r="H72" i="605"/>
  <c r="F72" i="605"/>
  <c r="W71" i="605"/>
  <c r="V71" i="605"/>
  <c r="P71" i="605"/>
  <c r="N71" i="605"/>
  <c r="O71" i="605" s="1"/>
  <c r="L71" i="605"/>
  <c r="K71" i="605"/>
  <c r="J71" i="605"/>
  <c r="J79" i="605" s="1"/>
  <c r="H71" i="605"/>
  <c r="F71" i="605"/>
  <c r="W70" i="605"/>
  <c r="P70" i="605"/>
  <c r="N70" i="605"/>
  <c r="O70" i="605" s="1"/>
  <c r="L70" i="605"/>
  <c r="L79" i="605" s="1"/>
  <c r="J13" i="604" s="1"/>
  <c r="K70" i="605"/>
  <c r="J70" i="605"/>
  <c r="H70" i="605"/>
  <c r="F70" i="605"/>
  <c r="AE69" i="605"/>
  <c r="AD69" i="605"/>
  <c r="I20" i="604" s="1"/>
  <c r="AA69" i="605"/>
  <c r="I19" i="604" s="1"/>
  <c r="Z69" i="605"/>
  <c r="M69" i="605"/>
  <c r="W68" i="605"/>
  <c r="H68" i="605"/>
  <c r="W67" i="605"/>
  <c r="W66" i="605"/>
  <c r="W65" i="605"/>
  <c r="W64" i="605"/>
  <c r="W63" i="605"/>
  <c r="W62" i="605"/>
  <c r="V62" i="605"/>
  <c r="R62" i="605"/>
  <c r="Q62" i="605"/>
  <c r="P62" i="605"/>
  <c r="O62" i="605"/>
  <c r="N62" i="605"/>
  <c r="L62" i="605"/>
  <c r="K62" i="605"/>
  <c r="J62" i="605"/>
  <c r="H62" i="605"/>
  <c r="F62" i="605"/>
  <c r="W61" i="605"/>
  <c r="N61" i="605" s="1"/>
  <c r="O61" i="605" s="1"/>
  <c r="V61" i="605"/>
  <c r="P61" i="605"/>
  <c r="K61" i="605"/>
  <c r="L61" i="605" s="1"/>
  <c r="J61" i="605"/>
  <c r="H61" i="605"/>
  <c r="F61" i="605"/>
  <c r="W60" i="605"/>
  <c r="V60" i="605"/>
  <c r="N60" i="605"/>
  <c r="K60" i="605"/>
  <c r="L60" i="605" s="1"/>
  <c r="J60" i="605"/>
  <c r="P60" i="605" s="1"/>
  <c r="H60" i="605"/>
  <c r="F60" i="605"/>
  <c r="W59" i="605"/>
  <c r="N59" i="605"/>
  <c r="K59" i="605"/>
  <c r="L59" i="605" s="1"/>
  <c r="L69" i="605" s="1"/>
  <c r="I13" i="604" s="1"/>
  <c r="J6" i="604" s="1"/>
  <c r="J59" i="605"/>
  <c r="P59" i="605" s="1"/>
  <c r="F59" i="605"/>
  <c r="H59" i="605" s="1"/>
  <c r="AE58" i="605"/>
  <c r="AD58" i="605"/>
  <c r="AA58" i="605"/>
  <c r="Z58" i="605"/>
  <c r="M58" i="605"/>
  <c r="H22" i="604" s="1"/>
  <c r="W57" i="605"/>
  <c r="W56" i="605"/>
  <c r="W55" i="605"/>
  <c r="W54" i="605"/>
  <c r="W53" i="605"/>
  <c r="V53" i="605"/>
  <c r="N53" i="605"/>
  <c r="AF53" i="605" s="1"/>
  <c r="K53" i="605"/>
  <c r="L53" i="605" s="1"/>
  <c r="J53" i="605"/>
  <c r="P53" i="605" s="1"/>
  <c r="F53" i="605"/>
  <c r="H53" i="605" s="1"/>
  <c r="AG52" i="605"/>
  <c r="AF52" i="605"/>
  <c r="W52" i="605"/>
  <c r="V52" i="605"/>
  <c r="N52" i="605"/>
  <c r="O52" i="605" s="1"/>
  <c r="K52" i="605"/>
  <c r="L52" i="605" s="1"/>
  <c r="J52" i="605"/>
  <c r="P52" i="605" s="1"/>
  <c r="F52" i="605"/>
  <c r="H52" i="605" s="1"/>
  <c r="AF51" i="605"/>
  <c r="W51" i="605"/>
  <c r="V51" i="605"/>
  <c r="P51" i="605"/>
  <c r="O51" i="605"/>
  <c r="N51" i="605"/>
  <c r="K51" i="605"/>
  <c r="L51" i="605" s="1"/>
  <c r="R51" i="605" s="1"/>
  <c r="J51" i="605"/>
  <c r="F51" i="605"/>
  <c r="H51" i="605" s="1"/>
  <c r="W50" i="605"/>
  <c r="V50" i="605"/>
  <c r="P50" i="605"/>
  <c r="N50" i="605"/>
  <c r="K50" i="605"/>
  <c r="L50" i="605" s="1"/>
  <c r="J50" i="605"/>
  <c r="F50" i="605"/>
  <c r="H50" i="605" s="1"/>
  <c r="W49" i="605"/>
  <c r="P49" i="605"/>
  <c r="N49" i="605"/>
  <c r="N58" i="605" s="1"/>
  <c r="K49" i="605"/>
  <c r="J49" i="605"/>
  <c r="F49" i="605"/>
  <c r="H49" i="605" s="1"/>
  <c r="AE48" i="605"/>
  <c r="AD48" i="605"/>
  <c r="G20" i="604" s="1"/>
  <c r="AA48" i="605"/>
  <c r="G19" i="604" s="1"/>
  <c r="Z48" i="605"/>
  <c r="W48" i="605"/>
  <c r="M48" i="605"/>
  <c r="G22" i="604" s="1"/>
  <c r="W47" i="605"/>
  <c r="H47" i="605"/>
  <c r="W46" i="605"/>
  <c r="W45" i="605"/>
  <c r="W44" i="605"/>
  <c r="W43" i="605"/>
  <c r="W42" i="605"/>
  <c r="V42" i="605"/>
  <c r="P42" i="605"/>
  <c r="N42" i="605"/>
  <c r="O42" i="605" s="1"/>
  <c r="L42" i="605"/>
  <c r="R42" i="605" s="1"/>
  <c r="K42" i="605"/>
  <c r="J42" i="605"/>
  <c r="F42" i="605"/>
  <c r="H42" i="605" s="1"/>
  <c r="W41" i="605"/>
  <c r="V41" i="605"/>
  <c r="N41" i="605"/>
  <c r="K41" i="605"/>
  <c r="J41" i="605"/>
  <c r="P41" i="605" s="1"/>
  <c r="F41" i="605"/>
  <c r="H41" i="605" s="1"/>
  <c r="W40" i="605"/>
  <c r="N40" i="605" s="1"/>
  <c r="V40" i="605"/>
  <c r="K40" i="605"/>
  <c r="J40" i="605"/>
  <c r="F40" i="605"/>
  <c r="H40" i="605" s="1"/>
  <c r="AG39" i="605"/>
  <c r="AF39" i="605"/>
  <c r="W39" i="605"/>
  <c r="N39" i="605" s="1"/>
  <c r="O39" i="605" s="1"/>
  <c r="V39" i="605"/>
  <c r="K39" i="605"/>
  <c r="J39" i="605"/>
  <c r="P39" i="605" s="1"/>
  <c r="H39" i="605"/>
  <c r="AG38" i="605"/>
  <c r="AF38" i="605"/>
  <c r="W38" i="605"/>
  <c r="N38" i="605"/>
  <c r="O38" i="605" s="1"/>
  <c r="K38" i="605"/>
  <c r="J38" i="605"/>
  <c r="H38" i="605"/>
  <c r="G1" i="605" s="1"/>
  <c r="AE37" i="605"/>
  <c r="F21" i="604" s="1"/>
  <c r="AD37" i="605"/>
  <c r="AA37" i="605"/>
  <c r="F19" i="604" s="1"/>
  <c r="Z37" i="605"/>
  <c r="M37" i="605"/>
  <c r="J37" i="605"/>
  <c r="W36" i="605"/>
  <c r="H36" i="605"/>
  <c r="W35" i="605"/>
  <c r="W34" i="605"/>
  <c r="W33" i="605"/>
  <c r="W32" i="605"/>
  <c r="AG31" i="605"/>
  <c r="AF31" i="605"/>
  <c r="W31" i="605"/>
  <c r="W30" i="605"/>
  <c r="V30" i="605"/>
  <c r="P30" i="605"/>
  <c r="N30" i="605"/>
  <c r="O30" i="605" s="1"/>
  <c r="K30" i="605"/>
  <c r="L30" i="605" s="1"/>
  <c r="J30" i="605"/>
  <c r="F30" i="605"/>
  <c r="H30" i="605" s="1"/>
  <c r="W29" i="605"/>
  <c r="V29" i="605"/>
  <c r="P29" i="605"/>
  <c r="N29" i="605"/>
  <c r="L29" i="605"/>
  <c r="K29" i="605"/>
  <c r="J29" i="605"/>
  <c r="H29" i="605"/>
  <c r="F29" i="605"/>
  <c r="W28" i="605"/>
  <c r="N28" i="605" s="1"/>
  <c r="V28" i="605"/>
  <c r="P28" i="605"/>
  <c r="O28" i="605"/>
  <c r="K28" i="605"/>
  <c r="L28" i="605" s="1"/>
  <c r="J28" i="605"/>
  <c r="F28" i="605"/>
  <c r="H28" i="605" s="1"/>
  <c r="AG27" i="605"/>
  <c r="W27" i="605"/>
  <c r="N27" i="605" s="1"/>
  <c r="O27" i="605"/>
  <c r="K27" i="605"/>
  <c r="J27" i="605"/>
  <c r="P27" i="605" s="1"/>
  <c r="F27" i="605"/>
  <c r="H27" i="605" s="1"/>
  <c r="AE26" i="605"/>
  <c r="E21" i="604" s="1"/>
  <c r="AD26" i="605"/>
  <c r="AA26" i="605"/>
  <c r="Z26" i="605"/>
  <c r="E18" i="604" s="1"/>
  <c r="M26" i="605"/>
  <c r="K26" i="605"/>
  <c r="W25" i="605"/>
  <c r="H25" i="605"/>
  <c r="W24" i="605"/>
  <c r="H24" i="605"/>
  <c r="W23" i="605"/>
  <c r="W21" i="605"/>
  <c r="V21" i="605"/>
  <c r="N21" i="605"/>
  <c r="O21" i="605" s="1"/>
  <c r="K21" i="605"/>
  <c r="J21" i="605"/>
  <c r="P21" i="605" s="1"/>
  <c r="F21" i="605"/>
  <c r="H21" i="605" s="1"/>
  <c r="W20" i="605"/>
  <c r="N20" i="605" s="1"/>
  <c r="O20" i="605" s="1"/>
  <c r="V20" i="605"/>
  <c r="K20" i="605"/>
  <c r="J20" i="605"/>
  <c r="P20" i="605" s="1"/>
  <c r="F20" i="605"/>
  <c r="H20" i="605" s="1"/>
  <c r="W19" i="605"/>
  <c r="N19" i="605" s="1"/>
  <c r="O19" i="605" s="1"/>
  <c r="V19" i="605"/>
  <c r="K19" i="605"/>
  <c r="J19" i="605"/>
  <c r="J26" i="605" s="1"/>
  <c r="P26" i="605" s="1"/>
  <c r="H19" i="605"/>
  <c r="F19" i="605"/>
  <c r="W18" i="605"/>
  <c r="N18" i="605" s="1"/>
  <c r="AF18" i="605" s="1"/>
  <c r="V18" i="605"/>
  <c r="O18" i="605"/>
  <c r="K18" i="605"/>
  <c r="J18" i="605"/>
  <c r="P18" i="605" s="1"/>
  <c r="F18" i="605"/>
  <c r="H18" i="605" s="1"/>
  <c r="W17" i="605"/>
  <c r="N17" i="605" s="1"/>
  <c r="V17" i="605"/>
  <c r="K17" i="605"/>
  <c r="J17" i="605"/>
  <c r="P17" i="605" s="1"/>
  <c r="F17" i="605"/>
  <c r="H17" i="605" s="1"/>
  <c r="W16" i="605"/>
  <c r="N16" i="605" s="1"/>
  <c r="P16" i="605"/>
  <c r="K16" i="605"/>
  <c r="L16" i="605" s="1"/>
  <c r="J16" i="605"/>
  <c r="F16" i="605"/>
  <c r="H16" i="605" s="1"/>
  <c r="AE15" i="605"/>
  <c r="AD15" i="605"/>
  <c r="AA15" i="605"/>
  <c r="D19" i="604" s="1"/>
  <c r="Z15" i="605"/>
  <c r="D18" i="604" s="1"/>
  <c r="P15" i="605"/>
  <c r="M15" i="605"/>
  <c r="J15" i="605"/>
  <c r="W14" i="605"/>
  <c r="W13" i="605"/>
  <c r="W12" i="605"/>
  <c r="AG11" i="605"/>
  <c r="AF11" i="605"/>
  <c r="W11" i="605"/>
  <c r="AG10" i="605"/>
  <c r="AF10" i="605"/>
  <c r="W10" i="605"/>
  <c r="AG9" i="605"/>
  <c r="AF9" i="605"/>
  <c r="W9" i="605"/>
  <c r="W8" i="605"/>
  <c r="N8" i="605" s="1"/>
  <c r="O8" i="605" s="1"/>
  <c r="V8" i="605"/>
  <c r="P8" i="605"/>
  <c r="L8" i="605"/>
  <c r="R8" i="605" s="1"/>
  <c r="K8" i="605"/>
  <c r="J8" i="605"/>
  <c r="F8" i="605"/>
  <c r="H8" i="605" s="1"/>
  <c r="AG7" i="605"/>
  <c r="AF7" i="605"/>
  <c r="W7" i="605"/>
  <c r="N7" i="605" s="1"/>
  <c r="V7" i="605"/>
  <c r="O7" i="605"/>
  <c r="R7" i="605" s="1"/>
  <c r="L7" i="605"/>
  <c r="K7" i="605"/>
  <c r="J7" i="605"/>
  <c r="P7" i="605" s="1"/>
  <c r="F7" i="605"/>
  <c r="H7" i="605" s="1"/>
  <c r="AG6" i="605"/>
  <c r="AF6" i="605"/>
  <c r="W6" i="605"/>
  <c r="V6" i="605"/>
  <c r="N6" i="605"/>
  <c r="O6" i="605" s="1"/>
  <c r="K6" i="605"/>
  <c r="L6" i="605" s="1"/>
  <c r="J6" i="605"/>
  <c r="P6" i="605" s="1"/>
  <c r="F6" i="605"/>
  <c r="H6" i="605" s="1"/>
  <c r="W5" i="605"/>
  <c r="N5" i="605" s="1"/>
  <c r="P5" i="605"/>
  <c r="K5" i="605"/>
  <c r="J5" i="605"/>
  <c r="F5" i="605"/>
  <c r="H5" i="605" s="1"/>
  <c r="AA2" i="605"/>
  <c r="I2" i="605"/>
  <c r="I1" i="605"/>
  <c r="E1" i="605"/>
  <c r="G3" i="604" s="1"/>
  <c r="I22" i="604"/>
  <c r="E22" i="604"/>
  <c r="D22" i="604"/>
  <c r="J21" i="604"/>
  <c r="I21" i="604"/>
  <c r="H21" i="604"/>
  <c r="G21" i="604"/>
  <c r="J20" i="604"/>
  <c r="H20" i="604"/>
  <c r="F20" i="604"/>
  <c r="E20" i="604"/>
  <c r="J19" i="604"/>
  <c r="H19" i="604"/>
  <c r="E19" i="604"/>
  <c r="J18" i="604"/>
  <c r="I18" i="604"/>
  <c r="H18" i="604"/>
  <c r="G18" i="604"/>
  <c r="F18" i="604"/>
  <c r="L6" i="604" s="1"/>
  <c r="J16" i="604"/>
  <c r="I16" i="604"/>
  <c r="H16" i="604"/>
  <c r="G16" i="604"/>
  <c r="F16" i="604"/>
  <c r="E16" i="604"/>
  <c r="D16" i="604"/>
  <c r="O8" i="604"/>
  <c r="N8" i="604"/>
  <c r="M8" i="604"/>
  <c r="L8" i="604"/>
  <c r="O7" i="604"/>
  <c r="N7" i="604"/>
  <c r="M7" i="604"/>
  <c r="L7" i="604"/>
  <c r="AE79" i="3"/>
  <c r="AD79" i="3"/>
  <c r="AA79" i="3"/>
  <c r="Z79" i="3"/>
  <c r="M79" i="3"/>
  <c r="J79" i="3"/>
  <c r="P79" i="3" s="1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/>
  <c r="K70" i="3"/>
  <c r="J70" i="3"/>
  <c r="P70" i="3" s="1"/>
  <c r="F70" i="3"/>
  <c r="H70" i="3" s="1"/>
  <c r="B70" i="3"/>
  <c r="AE69" i="3"/>
  <c r="AD69" i="3"/>
  <c r="AA69" i="3"/>
  <c r="Z69" i="3"/>
  <c r="P69" i="3"/>
  <c r="M69" i="3"/>
  <c r="K69" i="3"/>
  <c r="J69" i="3"/>
  <c r="W68" i="3"/>
  <c r="H68" i="3"/>
  <c r="W67" i="3"/>
  <c r="W66" i="3"/>
  <c r="W65" i="3"/>
  <c r="W64" i="3"/>
  <c r="W63" i="3"/>
  <c r="AG62" i="3"/>
  <c r="AF62" i="3"/>
  <c r="W62" i="3"/>
  <c r="W61" i="3"/>
  <c r="V61" i="3"/>
  <c r="P61" i="3"/>
  <c r="N61" i="3"/>
  <c r="O61" i="3" s="1"/>
  <c r="K61" i="3"/>
  <c r="L61" i="3" s="1"/>
  <c r="J61" i="3"/>
  <c r="H61" i="3"/>
  <c r="F61" i="3"/>
  <c r="B61" i="3"/>
  <c r="W60" i="3"/>
  <c r="V60" i="3"/>
  <c r="P60" i="3"/>
  <c r="N60" i="3"/>
  <c r="L60" i="3"/>
  <c r="K60" i="3"/>
  <c r="J60" i="3"/>
  <c r="F60" i="3"/>
  <c r="H60" i="3" s="1"/>
  <c r="B60" i="3"/>
  <c r="W59" i="3"/>
  <c r="N59" i="3" s="1"/>
  <c r="P59" i="3"/>
  <c r="L59" i="3"/>
  <c r="L69" i="3" s="1"/>
  <c r="K59" i="3"/>
  <c r="J59" i="3"/>
  <c r="H59" i="3"/>
  <c r="F59" i="3"/>
  <c r="B59" i="3"/>
  <c r="AE58" i="3"/>
  <c r="AD58" i="3"/>
  <c r="AA58" i="3"/>
  <c r="Z58" i="3"/>
  <c r="M58" i="3"/>
  <c r="K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P51" i="3"/>
  <c r="N51" i="3"/>
  <c r="AF51" i="3" s="1"/>
  <c r="K51" i="3"/>
  <c r="J51" i="3"/>
  <c r="L51" i="3" s="1"/>
  <c r="F51" i="3"/>
  <c r="H51" i="3" s="1"/>
  <c r="B51" i="3"/>
  <c r="AF50" i="3"/>
  <c r="W50" i="3"/>
  <c r="V50" i="3"/>
  <c r="R50" i="3"/>
  <c r="Q50" i="3"/>
  <c r="P50" i="3"/>
  <c r="O50" i="3"/>
  <c r="N50" i="3"/>
  <c r="K50" i="3"/>
  <c r="L50" i="3" s="1"/>
  <c r="J50" i="3"/>
  <c r="F50" i="3"/>
  <c r="H50" i="3" s="1"/>
  <c r="B50" i="3"/>
  <c r="W49" i="3"/>
  <c r="N49" i="3" s="1"/>
  <c r="AG49" i="3" s="1"/>
  <c r="K49" i="3"/>
  <c r="J49" i="3"/>
  <c r="P49" i="3" s="1"/>
  <c r="F49" i="3"/>
  <c r="H49" i="3" s="1"/>
  <c r="B49" i="3"/>
  <c r="AE48" i="3"/>
  <c r="AD48" i="3"/>
  <c r="AA48" i="3"/>
  <c r="Z48" i="3"/>
  <c r="W48" i="3"/>
  <c r="N48" i="3"/>
  <c r="AG48" i="3" s="1"/>
  <c r="AH38" i="3" s="1"/>
  <c r="M48" i="3"/>
  <c r="K48" i="3"/>
  <c r="W47" i="3"/>
  <c r="H47" i="3"/>
  <c r="W46" i="3"/>
  <c r="W45" i="3"/>
  <c r="W44" i="3"/>
  <c r="W43" i="3"/>
  <c r="W42" i="3"/>
  <c r="AG41" i="3"/>
  <c r="AF41" i="3"/>
  <c r="W41" i="3"/>
  <c r="W40" i="3"/>
  <c r="V40" i="3"/>
  <c r="N40" i="3"/>
  <c r="AG40" i="3" s="1"/>
  <c r="K40" i="3"/>
  <c r="J40" i="3"/>
  <c r="L40" i="3" s="1"/>
  <c r="H40" i="3"/>
  <c r="F40" i="3"/>
  <c r="B40" i="3"/>
  <c r="W39" i="3"/>
  <c r="V39" i="3"/>
  <c r="P39" i="3"/>
  <c r="N39" i="3"/>
  <c r="O39" i="3" s="1"/>
  <c r="K39" i="3"/>
  <c r="L39" i="3" s="1"/>
  <c r="J39" i="3"/>
  <c r="F39" i="3"/>
  <c r="H39" i="3" s="1"/>
  <c r="B39" i="3"/>
  <c r="AF38" i="3"/>
  <c r="W38" i="3"/>
  <c r="N38" i="3" s="1"/>
  <c r="K38" i="3"/>
  <c r="J38" i="3"/>
  <c r="L38" i="3" s="1"/>
  <c r="L48" i="3" s="1"/>
  <c r="H38" i="3"/>
  <c r="F38" i="3"/>
  <c r="B38" i="3"/>
  <c r="AE37" i="3"/>
  <c r="AD37" i="3"/>
  <c r="AA37" i="3"/>
  <c r="Z37" i="3"/>
  <c r="M37" i="3"/>
  <c r="K37" i="3"/>
  <c r="J37" i="3"/>
  <c r="P37" i="3" s="1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V29" i="3"/>
  <c r="O29" i="3"/>
  <c r="K29" i="3"/>
  <c r="J29" i="3"/>
  <c r="P29" i="3" s="1"/>
  <c r="F29" i="3"/>
  <c r="H29" i="3" s="1"/>
  <c r="B29" i="3"/>
  <c r="AF28" i="3"/>
  <c r="W28" i="3"/>
  <c r="N28" i="3" s="1"/>
  <c r="V28" i="3"/>
  <c r="K28" i="3"/>
  <c r="J28" i="3"/>
  <c r="P28" i="3" s="1"/>
  <c r="F28" i="3"/>
  <c r="H28" i="3" s="1"/>
  <c r="B28" i="3"/>
  <c r="AG27" i="3"/>
  <c r="AF27" i="3"/>
  <c r="W27" i="3"/>
  <c r="N27" i="3" s="1"/>
  <c r="K27" i="3"/>
  <c r="J27" i="3"/>
  <c r="P27" i="3" s="1"/>
  <c r="F27" i="3"/>
  <c r="H27" i="3" s="1"/>
  <c r="B27" i="3"/>
  <c r="AE26" i="3"/>
  <c r="AD26" i="3"/>
  <c r="AA26" i="3"/>
  <c r="Z26" i="3"/>
  <c r="M26" i="3"/>
  <c r="W25" i="3"/>
  <c r="H25" i="3"/>
  <c r="W24" i="3"/>
  <c r="H24" i="3"/>
  <c r="W23" i="3"/>
  <c r="W21" i="3"/>
  <c r="W20" i="3"/>
  <c r="V20" i="3"/>
  <c r="AG19" i="3"/>
  <c r="AF19" i="3"/>
  <c r="W19" i="3"/>
  <c r="V19" i="3"/>
  <c r="AF18" i="3"/>
  <c r="W18" i="3"/>
  <c r="V18" i="3"/>
  <c r="P18" i="3"/>
  <c r="O18" i="3"/>
  <c r="N18" i="3"/>
  <c r="AG18" i="3" s="1"/>
  <c r="L18" i="3"/>
  <c r="K18" i="3"/>
  <c r="J18" i="3"/>
  <c r="F18" i="3"/>
  <c r="H18" i="3" s="1"/>
  <c r="B18" i="3"/>
  <c r="AF17" i="3"/>
  <c r="W17" i="3"/>
  <c r="N17" i="3" s="1"/>
  <c r="V17" i="3"/>
  <c r="P17" i="3"/>
  <c r="O17" i="3"/>
  <c r="K17" i="3"/>
  <c r="J17" i="3"/>
  <c r="F17" i="3"/>
  <c r="H17" i="3" s="1"/>
  <c r="B17" i="3"/>
  <c r="W16" i="3"/>
  <c r="N16" i="3"/>
  <c r="K16" i="3"/>
  <c r="K26" i="3" s="1"/>
  <c r="J16" i="3"/>
  <c r="J26" i="3" s="1"/>
  <c r="F16" i="3"/>
  <c r="H16" i="3" s="1"/>
  <c r="B16" i="3"/>
  <c r="AE15" i="3"/>
  <c r="AD15" i="3"/>
  <c r="AA15" i="3"/>
  <c r="Z15" i="3"/>
  <c r="Z2" i="3" s="1"/>
  <c r="P15" i="3"/>
  <c r="N15" i="3"/>
  <c r="M15" i="3"/>
  <c r="D22" i="2" s="1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N7" i="3" s="1"/>
  <c r="O7" i="3" s="1"/>
  <c r="V7" i="3"/>
  <c r="R7" i="3"/>
  <c r="Q7" i="3"/>
  <c r="P7" i="3"/>
  <c r="L7" i="3"/>
  <c r="K7" i="3"/>
  <c r="J7" i="3"/>
  <c r="F7" i="3"/>
  <c r="H7" i="3" s="1"/>
  <c r="B7" i="3"/>
  <c r="W6" i="3"/>
  <c r="V6" i="3"/>
  <c r="P6" i="3"/>
  <c r="N6" i="3"/>
  <c r="O6" i="3" s="1"/>
  <c r="L6" i="3"/>
  <c r="K6" i="3"/>
  <c r="J6" i="3"/>
  <c r="F6" i="3"/>
  <c r="H6" i="3" s="1"/>
  <c r="B6" i="3"/>
  <c r="W5" i="3"/>
  <c r="P5" i="3"/>
  <c r="N5" i="3"/>
  <c r="O5" i="3" s="1"/>
  <c r="L5" i="3"/>
  <c r="L15" i="3" s="1"/>
  <c r="K5" i="3"/>
  <c r="K15" i="3" s="1"/>
  <c r="J5" i="3"/>
  <c r="J15" i="3" s="1"/>
  <c r="F5" i="3"/>
  <c r="H5" i="3" s="1"/>
  <c r="B5" i="3"/>
  <c r="AA2" i="3"/>
  <c r="I2" i="3"/>
  <c r="G1" i="3"/>
  <c r="E1" i="3"/>
  <c r="J22" i="2"/>
  <c r="F22" i="2"/>
  <c r="J16" i="2"/>
  <c r="I16" i="2"/>
  <c r="H16" i="2"/>
  <c r="G16" i="2"/>
  <c r="F16" i="2"/>
  <c r="E16" i="2"/>
  <c r="D16" i="2"/>
  <c r="G3" i="2"/>
  <c r="E30" i="4"/>
  <c r="E29" i="4"/>
  <c r="E28" i="4"/>
  <c r="E27" i="4"/>
  <c r="E25" i="4"/>
  <c r="E24" i="4"/>
  <c r="E23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724"/>
  <c r="I22" i="724"/>
  <c r="H22" i="724"/>
  <c r="G22" i="724"/>
  <c r="F22" i="724"/>
  <c r="E22" i="724"/>
  <c r="D22" i="724"/>
  <c r="J21" i="724"/>
  <c r="I21" i="724"/>
  <c r="H21" i="724"/>
  <c r="G21" i="724"/>
  <c r="F21" i="724"/>
  <c r="E21" i="724"/>
  <c r="D21" i="724"/>
  <c r="J20" i="724"/>
  <c r="I20" i="724"/>
  <c r="H20" i="724"/>
  <c r="G20" i="724"/>
  <c r="F20" i="724"/>
  <c r="E20" i="724"/>
  <c r="D20" i="724"/>
  <c r="J19" i="724"/>
  <c r="I19" i="724"/>
  <c r="H19" i="724"/>
  <c r="G19" i="724"/>
  <c r="F19" i="724"/>
  <c r="E19" i="724"/>
  <c r="D19" i="724"/>
  <c r="J18" i="724"/>
  <c r="I18" i="724"/>
  <c r="H18" i="724"/>
  <c r="G18" i="724"/>
  <c r="F18" i="724"/>
  <c r="L6" i="724" s="1"/>
  <c r="E18" i="724"/>
  <c r="D18" i="724"/>
  <c r="J16" i="724"/>
  <c r="I16" i="724"/>
  <c r="H16" i="724"/>
  <c r="G16" i="724"/>
  <c r="F16" i="724"/>
  <c r="E16" i="724"/>
  <c r="D16" i="724"/>
  <c r="E13" i="724"/>
  <c r="O8" i="724"/>
  <c r="N8" i="724"/>
  <c r="M8" i="724"/>
  <c r="L8" i="724"/>
  <c r="O7" i="724"/>
  <c r="N7" i="724"/>
  <c r="M7" i="724"/>
  <c r="L7" i="724"/>
  <c r="M6" i="724"/>
  <c r="G3" i="724"/>
  <c r="K48" i="729" l="1"/>
  <c r="L39" i="729"/>
  <c r="R17" i="729"/>
  <c r="Q17" i="729"/>
  <c r="AG39" i="729"/>
  <c r="O61" i="729"/>
  <c r="AG61" i="729"/>
  <c r="AF61" i="729"/>
  <c r="G1" i="729"/>
  <c r="G2" i="729" s="1"/>
  <c r="AG27" i="729"/>
  <c r="N37" i="729"/>
  <c r="AF27" i="729"/>
  <c r="O27" i="729"/>
  <c r="L26" i="729"/>
  <c r="E13" i="728" s="1"/>
  <c r="AG19" i="729"/>
  <c r="AF19" i="729"/>
  <c r="O19" i="729"/>
  <c r="L71" i="729"/>
  <c r="R71" i="729" s="1"/>
  <c r="AG5" i="729"/>
  <c r="AF5" i="729"/>
  <c r="N15" i="729"/>
  <c r="R8" i="729"/>
  <c r="Q8" i="729"/>
  <c r="L48" i="729"/>
  <c r="G13" i="728" s="1"/>
  <c r="K58" i="729"/>
  <c r="Q58" i="729" s="1"/>
  <c r="L51" i="729"/>
  <c r="L58" i="729" s="1"/>
  <c r="H13" i="728" s="1"/>
  <c r="O5" i="729"/>
  <c r="AF8" i="729"/>
  <c r="O49" i="729"/>
  <c r="AG49" i="729"/>
  <c r="AF49" i="729"/>
  <c r="AF51" i="729"/>
  <c r="O60" i="729"/>
  <c r="N69" i="729"/>
  <c r="AG60" i="729"/>
  <c r="AF60" i="729"/>
  <c r="L6" i="728"/>
  <c r="AG8" i="729"/>
  <c r="J37" i="729"/>
  <c r="P37" i="729" s="1"/>
  <c r="L28" i="729"/>
  <c r="P28" i="729"/>
  <c r="R38" i="729"/>
  <c r="Q38" i="729"/>
  <c r="O48" i="729"/>
  <c r="P48" i="729"/>
  <c r="J22" i="728"/>
  <c r="P79" i="729"/>
  <c r="O16" i="729"/>
  <c r="N26" i="729"/>
  <c r="AG16" i="729"/>
  <c r="AF16" i="729"/>
  <c r="AG18" i="729"/>
  <c r="AF18" i="729"/>
  <c r="J79" i="729"/>
  <c r="O18" i="729"/>
  <c r="L79" i="729"/>
  <c r="AA2" i="729"/>
  <c r="D19" i="728"/>
  <c r="L69" i="729"/>
  <c r="AG70" i="729"/>
  <c r="AF70" i="729"/>
  <c r="N79" i="729"/>
  <c r="K15" i="729"/>
  <c r="D20" i="728"/>
  <c r="O6" i="728" s="1"/>
  <c r="AD2" i="729"/>
  <c r="AG50" i="729"/>
  <c r="AF50" i="729"/>
  <c r="O50" i="729"/>
  <c r="O70" i="729"/>
  <c r="E22" i="728"/>
  <c r="O6" i="729"/>
  <c r="L29" i="729"/>
  <c r="L37" i="729" s="1"/>
  <c r="F13" i="728" s="1"/>
  <c r="G22" i="728"/>
  <c r="Z2" i="729"/>
  <c r="O7" i="729"/>
  <c r="L32" i="729"/>
  <c r="Q32" i="729" s="1"/>
  <c r="N48" i="729"/>
  <c r="J69" i="729"/>
  <c r="P69" i="729" s="1"/>
  <c r="O29" i="729"/>
  <c r="O30" i="729"/>
  <c r="O31" i="729"/>
  <c r="O52" i="729"/>
  <c r="O59" i="729"/>
  <c r="K69" i="729"/>
  <c r="J15" i="729"/>
  <c r="P15" i="729" s="1"/>
  <c r="O28" i="729"/>
  <c r="O39" i="729"/>
  <c r="O51" i="729"/>
  <c r="AF17" i="729"/>
  <c r="K26" i="729"/>
  <c r="AF38" i="729"/>
  <c r="P52" i="729"/>
  <c r="L60" i="729"/>
  <c r="AF6" i="729"/>
  <c r="AF28" i="729"/>
  <c r="AF39" i="729"/>
  <c r="AF7" i="729"/>
  <c r="AG51" i="729"/>
  <c r="K79" i="729"/>
  <c r="E19" i="728"/>
  <c r="D13" i="728"/>
  <c r="F22" i="728"/>
  <c r="J13" i="728"/>
  <c r="D21" i="728"/>
  <c r="N6" i="728"/>
  <c r="AG5" i="727"/>
  <c r="AF5" i="727"/>
  <c r="N15" i="727"/>
  <c r="O5" i="727"/>
  <c r="AG70" i="727"/>
  <c r="AF70" i="727"/>
  <c r="O70" i="727"/>
  <c r="N79" i="727"/>
  <c r="Q16" i="727"/>
  <c r="R16" i="727"/>
  <c r="L37" i="727"/>
  <c r="F13" i="726" s="1"/>
  <c r="O9" i="727"/>
  <c r="AG9" i="727"/>
  <c r="AF9" i="727"/>
  <c r="AG18" i="727"/>
  <c r="AF18" i="727"/>
  <c r="O18" i="727"/>
  <c r="AF31" i="727"/>
  <c r="O31" i="727"/>
  <c r="AG31" i="727"/>
  <c r="AG50" i="727"/>
  <c r="AF50" i="727"/>
  <c r="O50" i="727"/>
  <c r="N37" i="727"/>
  <c r="AG27" i="727"/>
  <c r="AF27" i="727"/>
  <c r="O27" i="727"/>
  <c r="P37" i="727"/>
  <c r="O52" i="727"/>
  <c r="AG52" i="727"/>
  <c r="AF52" i="727"/>
  <c r="R17" i="727"/>
  <c r="Q17" i="727"/>
  <c r="O61" i="727"/>
  <c r="AG61" i="727"/>
  <c r="AF61" i="727"/>
  <c r="R71" i="727"/>
  <c r="Q71" i="727"/>
  <c r="AF6" i="727"/>
  <c r="O6" i="727"/>
  <c r="AG6" i="727"/>
  <c r="L6" i="726"/>
  <c r="R32" i="727"/>
  <c r="Q32" i="727"/>
  <c r="AF39" i="727"/>
  <c r="O39" i="727"/>
  <c r="AG39" i="727"/>
  <c r="L69" i="727"/>
  <c r="O8" i="727"/>
  <c r="AG8" i="727"/>
  <c r="AF8" i="727"/>
  <c r="AG49" i="727"/>
  <c r="AF49" i="727"/>
  <c r="N58" i="727"/>
  <c r="O49" i="727"/>
  <c r="AF51" i="727"/>
  <c r="O51" i="727"/>
  <c r="AG51" i="727"/>
  <c r="G1" i="727"/>
  <c r="G2" i="727" s="1"/>
  <c r="R7" i="727"/>
  <c r="Q7" i="727"/>
  <c r="L26" i="727"/>
  <c r="E13" i="726" s="1"/>
  <c r="AG30" i="727"/>
  <c r="AF30" i="727"/>
  <c r="O30" i="727"/>
  <c r="N69" i="727"/>
  <c r="O59" i="727"/>
  <c r="AG59" i="727"/>
  <c r="AF59" i="727"/>
  <c r="L5" i="727"/>
  <c r="L15" i="727" s="1"/>
  <c r="D13" i="726" s="1"/>
  <c r="O19" i="727"/>
  <c r="L70" i="727"/>
  <c r="L79" i="727" s="1"/>
  <c r="F22" i="726"/>
  <c r="I1" i="727"/>
  <c r="O28" i="727"/>
  <c r="O29" i="727"/>
  <c r="L30" i="727"/>
  <c r="O38" i="727"/>
  <c r="J48" i="727"/>
  <c r="P48" i="727" s="1"/>
  <c r="AF16" i="727"/>
  <c r="P79" i="727"/>
  <c r="E22" i="726"/>
  <c r="G19" i="726"/>
  <c r="M6" i="726" s="1"/>
  <c r="AG16" i="727"/>
  <c r="P58" i="727"/>
  <c r="P70" i="727"/>
  <c r="AF17" i="727"/>
  <c r="K26" i="727"/>
  <c r="P30" i="727"/>
  <c r="AG17" i="727"/>
  <c r="N48" i="727"/>
  <c r="J69" i="727"/>
  <c r="P69" i="727" s="1"/>
  <c r="AF19" i="727"/>
  <c r="D20" i="726"/>
  <c r="N26" i="727"/>
  <c r="AF28" i="727"/>
  <c r="AF29" i="727"/>
  <c r="AF38" i="727"/>
  <c r="D21" i="726"/>
  <c r="L49" i="727"/>
  <c r="L58" i="727" s="1"/>
  <c r="G13" i="726"/>
  <c r="O6" i="726"/>
  <c r="N6" i="726"/>
  <c r="D22" i="726"/>
  <c r="J13" i="726"/>
  <c r="H13" i="726"/>
  <c r="Q70" i="605"/>
  <c r="O79" i="605"/>
  <c r="R70" i="605"/>
  <c r="AG48" i="680"/>
  <c r="AH38" i="680" s="1"/>
  <c r="Q48" i="680"/>
  <c r="AF48" i="680"/>
  <c r="J3" i="683"/>
  <c r="G2" i="684"/>
  <c r="L6" i="2"/>
  <c r="R21" i="670"/>
  <c r="AF59" i="672"/>
  <c r="O59" i="672"/>
  <c r="N69" i="672"/>
  <c r="AG59" i="672"/>
  <c r="Q38" i="674"/>
  <c r="Q61" i="3"/>
  <c r="R61" i="3"/>
  <c r="Q20" i="686"/>
  <c r="Q17" i="3"/>
  <c r="Q73" i="670"/>
  <c r="R73" i="670"/>
  <c r="R32" i="680"/>
  <c r="Q32" i="680"/>
  <c r="AG61" i="684"/>
  <c r="AF61" i="684"/>
  <c r="O61" i="684"/>
  <c r="R5" i="3"/>
  <c r="Q5" i="3"/>
  <c r="O15" i="3"/>
  <c r="I13" i="2"/>
  <c r="J6" i="2" s="1"/>
  <c r="AG37" i="676"/>
  <c r="AH27" i="676" s="1"/>
  <c r="AF37" i="676"/>
  <c r="J3" i="677"/>
  <c r="G2" i="678"/>
  <c r="R33" i="686"/>
  <c r="Q33" i="686"/>
  <c r="R6" i="605"/>
  <c r="Q6" i="605"/>
  <c r="AF15" i="674"/>
  <c r="Q39" i="3"/>
  <c r="R39" i="3"/>
  <c r="G2" i="674"/>
  <c r="J3" i="673"/>
  <c r="G2" i="676"/>
  <c r="J3" i="675"/>
  <c r="R72" i="605"/>
  <c r="Q72" i="605"/>
  <c r="AF7" i="672"/>
  <c r="AG7" i="672"/>
  <c r="O7" i="672"/>
  <c r="N15" i="672"/>
  <c r="R31" i="676"/>
  <c r="Q31" i="676"/>
  <c r="J3" i="697"/>
  <c r="G2" i="698"/>
  <c r="J6" i="703"/>
  <c r="R29" i="3"/>
  <c r="N15" i="605"/>
  <c r="AG5" i="605"/>
  <c r="AF5" i="605"/>
  <c r="O5" i="605"/>
  <c r="AG16" i="605"/>
  <c r="AF16" i="605"/>
  <c r="N26" i="605"/>
  <c r="O16" i="605"/>
  <c r="AG58" i="605"/>
  <c r="AH49" i="605" s="1"/>
  <c r="R61" i="605"/>
  <c r="Q61" i="605"/>
  <c r="R31" i="678"/>
  <c r="Q31" i="678"/>
  <c r="Q72" i="670"/>
  <c r="R72" i="670"/>
  <c r="R18" i="672"/>
  <c r="Q18" i="672"/>
  <c r="O61" i="672"/>
  <c r="AF61" i="672"/>
  <c r="AG61" i="672"/>
  <c r="D13" i="2"/>
  <c r="G13" i="2"/>
  <c r="R71" i="605"/>
  <c r="Q71" i="605"/>
  <c r="AG26" i="672"/>
  <c r="AH16" i="672" s="1"/>
  <c r="AF26" i="672"/>
  <c r="AF17" i="605"/>
  <c r="O17" i="605"/>
  <c r="AG17" i="605"/>
  <c r="Q30" i="605"/>
  <c r="R30" i="605"/>
  <c r="O38" i="672"/>
  <c r="AG38" i="672"/>
  <c r="N48" i="672"/>
  <c r="AF38" i="672"/>
  <c r="AF15" i="3"/>
  <c r="AG15" i="3"/>
  <c r="AH5" i="3" s="1"/>
  <c r="R18" i="3"/>
  <c r="Q18" i="3"/>
  <c r="N79" i="3"/>
  <c r="O70" i="3"/>
  <c r="AG50" i="605"/>
  <c r="AF50" i="605"/>
  <c r="O50" i="605"/>
  <c r="O28" i="670"/>
  <c r="AG28" i="670"/>
  <c r="AF28" i="670"/>
  <c r="L16" i="674"/>
  <c r="K26" i="674"/>
  <c r="R5" i="676"/>
  <c r="AF38" i="678"/>
  <c r="N48" i="678"/>
  <c r="AG38" i="678"/>
  <c r="O29" i="684"/>
  <c r="AF29" i="684"/>
  <c r="AG29" i="684"/>
  <c r="AF38" i="688"/>
  <c r="N48" i="688"/>
  <c r="O38" i="688"/>
  <c r="AG38" i="688"/>
  <c r="E20" i="689"/>
  <c r="AD2" i="690"/>
  <c r="AG39" i="690"/>
  <c r="AF39" i="690"/>
  <c r="I22" i="693"/>
  <c r="R16" i="700"/>
  <c r="O26" i="700"/>
  <c r="Q16" i="700"/>
  <c r="R63" i="704"/>
  <c r="Q63" i="704"/>
  <c r="O6" i="724"/>
  <c r="N6" i="724"/>
  <c r="O18" i="670"/>
  <c r="L5" i="672"/>
  <c r="L15" i="672" s="1"/>
  <c r="D13" i="671" s="1"/>
  <c r="O50" i="672"/>
  <c r="AG50" i="672"/>
  <c r="Q79" i="672"/>
  <c r="O39" i="674"/>
  <c r="AG39" i="674"/>
  <c r="Z2" i="676"/>
  <c r="D18" i="675"/>
  <c r="L6" i="675" s="1"/>
  <c r="AG52" i="676"/>
  <c r="AF52" i="676"/>
  <c r="O52" i="676"/>
  <c r="F18" i="677"/>
  <c r="Z2" i="678"/>
  <c r="L39" i="680"/>
  <c r="Q39" i="680" s="1"/>
  <c r="Q69" i="680"/>
  <c r="AF69" i="680"/>
  <c r="AG69" i="680"/>
  <c r="AH59" i="680" s="1"/>
  <c r="R21" i="682"/>
  <c r="Q21" i="682"/>
  <c r="R18" i="686"/>
  <c r="Q18" i="686"/>
  <c r="E21" i="689"/>
  <c r="AE2" i="690"/>
  <c r="O39" i="690"/>
  <c r="P48" i="690"/>
  <c r="G22" i="689"/>
  <c r="D18" i="691"/>
  <c r="L6" i="691" s="1"/>
  <c r="Z2" i="692"/>
  <c r="AF30" i="694"/>
  <c r="K37" i="694"/>
  <c r="Q71" i="694"/>
  <c r="R71" i="694"/>
  <c r="D22" i="695"/>
  <c r="I1" i="696"/>
  <c r="P15" i="696"/>
  <c r="R33" i="698"/>
  <c r="Q33" i="698"/>
  <c r="G2" i="718"/>
  <c r="J3" i="717"/>
  <c r="J3" i="2"/>
  <c r="Q5" i="672"/>
  <c r="P30" i="672"/>
  <c r="L30" i="672"/>
  <c r="O31" i="672"/>
  <c r="AG31" i="672"/>
  <c r="R79" i="672"/>
  <c r="S70" i="672" s="1"/>
  <c r="J15" i="671" s="1"/>
  <c r="J14" i="671"/>
  <c r="AD2" i="674"/>
  <c r="N26" i="674"/>
  <c r="O16" i="674"/>
  <c r="AF16" i="674"/>
  <c r="J37" i="674"/>
  <c r="L27" i="674"/>
  <c r="P27" i="674"/>
  <c r="AF39" i="674"/>
  <c r="Q60" i="674"/>
  <c r="AG5" i="676"/>
  <c r="AG40" i="676"/>
  <c r="AF40" i="676"/>
  <c r="O40" i="676"/>
  <c r="L54" i="676"/>
  <c r="Q20" i="678"/>
  <c r="O31" i="682"/>
  <c r="AF31" i="682"/>
  <c r="AG31" i="682"/>
  <c r="AG40" i="682"/>
  <c r="O40" i="682"/>
  <c r="N58" i="682"/>
  <c r="AG49" i="682"/>
  <c r="O49" i="682"/>
  <c r="AF49" i="682"/>
  <c r="F18" i="685"/>
  <c r="L6" i="685" s="1"/>
  <c r="Z2" i="686"/>
  <c r="Q48" i="686"/>
  <c r="AG48" i="686"/>
  <c r="AH38" i="686" s="1"/>
  <c r="AF48" i="686"/>
  <c r="AG7" i="690"/>
  <c r="AF7" i="690"/>
  <c r="AF19" i="694"/>
  <c r="O19" i="694"/>
  <c r="L30" i="694"/>
  <c r="K15" i="696"/>
  <c r="L5" i="696"/>
  <c r="L15" i="696" s="1"/>
  <c r="D13" i="695" s="1"/>
  <c r="L26" i="698"/>
  <c r="E13" i="697" s="1"/>
  <c r="F6" i="697" s="1"/>
  <c r="E20" i="697"/>
  <c r="O6" i="697" s="1"/>
  <c r="AD2" i="698"/>
  <c r="L63" i="718"/>
  <c r="P63" i="718"/>
  <c r="AF58" i="725"/>
  <c r="L49" i="3"/>
  <c r="L58" i="3" s="1"/>
  <c r="R27" i="670"/>
  <c r="AF31" i="670"/>
  <c r="AG31" i="670"/>
  <c r="R71" i="670"/>
  <c r="AF28" i="672"/>
  <c r="L39" i="672"/>
  <c r="L49" i="672"/>
  <c r="L58" i="672" s="1"/>
  <c r="H13" i="671" s="1"/>
  <c r="P79" i="672"/>
  <c r="L18" i="674"/>
  <c r="AF50" i="676"/>
  <c r="AG50" i="676"/>
  <c r="R54" i="676"/>
  <c r="Q54" i="676"/>
  <c r="AG59" i="678"/>
  <c r="AF59" i="678"/>
  <c r="O59" i="678"/>
  <c r="N69" i="678"/>
  <c r="O70" i="678"/>
  <c r="AF70" i="678"/>
  <c r="AG70" i="678"/>
  <c r="O7" i="690"/>
  <c r="P71" i="690"/>
  <c r="J79" i="690"/>
  <c r="P79" i="690" s="1"/>
  <c r="AG19" i="694"/>
  <c r="N37" i="694"/>
  <c r="AF27" i="694"/>
  <c r="O27" i="694"/>
  <c r="AG27" i="694"/>
  <c r="R20" i="696"/>
  <c r="Q20" i="696"/>
  <c r="AG16" i="698"/>
  <c r="AF16" i="698"/>
  <c r="Q20" i="698"/>
  <c r="R20" i="698"/>
  <c r="G2" i="706"/>
  <c r="J3" i="705"/>
  <c r="R20" i="706"/>
  <c r="Q20" i="706"/>
  <c r="L70" i="706"/>
  <c r="L79" i="706" s="1"/>
  <c r="J13" i="705" s="1"/>
  <c r="K79" i="706"/>
  <c r="AG70" i="706"/>
  <c r="AG28" i="708"/>
  <c r="O28" i="708"/>
  <c r="N37" i="708"/>
  <c r="N26" i="716"/>
  <c r="AG16" i="716"/>
  <c r="AF16" i="716"/>
  <c r="O16" i="716"/>
  <c r="O51" i="716"/>
  <c r="AG51" i="716"/>
  <c r="AF51" i="716"/>
  <c r="M6" i="604"/>
  <c r="O31" i="670"/>
  <c r="AG39" i="670"/>
  <c r="AF39" i="670"/>
  <c r="O39" i="670"/>
  <c r="P48" i="670"/>
  <c r="L69" i="670"/>
  <c r="I13" i="669" s="1"/>
  <c r="AG61" i="670"/>
  <c r="AF19" i="672"/>
  <c r="AG19" i="672"/>
  <c r="AG28" i="672"/>
  <c r="AG39" i="672"/>
  <c r="AF39" i="672"/>
  <c r="R72" i="672"/>
  <c r="Q72" i="672"/>
  <c r="AA2" i="674"/>
  <c r="AF60" i="674"/>
  <c r="AG60" i="674"/>
  <c r="O30" i="676"/>
  <c r="AF30" i="676"/>
  <c r="AG30" i="676"/>
  <c r="P53" i="676"/>
  <c r="L53" i="676"/>
  <c r="Q53" i="676" s="1"/>
  <c r="R60" i="676"/>
  <c r="L17" i="678"/>
  <c r="P61" i="678"/>
  <c r="L61" i="678"/>
  <c r="N37" i="680"/>
  <c r="O27" i="680"/>
  <c r="R53" i="684"/>
  <c r="AG31" i="686"/>
  <c r="AF31" i="686"/>
  <c r="O31" i="686"/>
  <c r="N6" i="687"/>
  <c r="O6" i="687"/>
  <c r="L59" i="692"/>
  <c r="K69" i="692"/>
  <c r="AG59" i="692"/>
  <c r="AF59" i="692"/>
  <c r="R18" i="694"/>
  <c r="Q18" i="694"/>
  <c r="R60" i="694"/>
  <c r="Q60" i="694"/>
  <c r="L53" i="696"/>
  <c r="R53" i="696" s="1"/>
  <c r="AF53" i="696"/>
  <c r="K58" i="696"/>
  <c r="AF6" i="698"/>
  <c r="O6" i="698"/>
  <c r="AG6" i="698"/>
  <c r="O16" i="698"/>
  <c r="AG17" i="708"/>
  <c r="AF17" i="708"/>
  <c r="O17" i="708"/>
  <c r="AG31" i="712"/>
  <c r="AF31" i="712"/>
  <c r="O31" i="712"/>
  <c r="R73" i="725"/>
  <c r="Q73" i="725"/>
  <c r="G2" i="3"/>
  <c r="AF6" i="3"/>
  <c r="O40" i="3"/>
  <c r="AF29" i="605"/>
  <c r="AG29" i="605"/>
  <c r="R39" i="605"/>
  <c r="L7" i="670"/>
  <c r="J26" i="670"/>
  <c r="P26" i="670" s="1"/>
  <c r="Q27" i="670"/>
  <c r="K37" i="670"/>
  <c r="O79" i="670"/>
  <c r="J22" i="671"/>
  <c r="O39" i="672"/>
  <c r="L5" i="674"/>
  <c r="K15" i="674"/>
  <c r="Q31" i="674"/>
  <c r="N48" i="674"/>
  <c r="AG38" i="674"/>
  <c r="AF38" i="674"/>
  <c r="Q62" i="674"/>
  <c r="AA2" i="676"/>
  <c r="I19" i="675"/>
  <c r="M6" i="675" s="1"/>
  <c r="L5" i="678"/>
  <c r="I22" i="677"/>
  <c r="M79" i="678"/>
  <c r="Q16" i="684"/>
  <c r="R16" i="684"/>
  <c r="P28" i="712"/>
  <c r="L28" i="712"/>
  <c r="L37" i="712" s="1"/>
  <c r="F13" i="711" s="1"/>
  <c r="J37" i="712"/>
  <c r="P37" i="712" s="1"/>
  <c r="K69" i="712"/>
  <c r="AG69" i="712" s="1"/>
  <c r="AH59" i="712" s="1"/>
  <c r="L60" i="712"/>
  <c r="L69" i="712" s="1"/>
  <c r="I13" i="711" s="1"/>
  <c r="J6" i="711" s="1"/>
  <c r="G19" i="715"/>
  <c r="M6" i="715" s="1"/>
  <c r="AA2" i="716"/>
  <c r="AF51" i="725"/>
  <c r="AG51" i="725"/>
  <c r="O51" i="725"/>
  <c r="L70" i="725"/>
  <c r="K79" i="725"/>
  <c r="AG70" i="725"/>
  <c r="E22" i="2"/>
  <c r="P40" i="3"/>
  <c r="AF49" i="3"/>
  <c r="O59" i="3"/>
  <c r="AG59" i="3"/>
  <c r="N69" i="3"/>
  <c r="K37" i="605"/>
  <c r="Q30" i="670"/>
  <c r="AF60" i="670"/>
  <c r="AF5" i="672"/>
  <c r="L17" i="672"/>
  <c r="L26" i="672" s="1"/>
  <c r="E13" i="671" s="1"/>
  <c r="AG27" i="672"/>
  <c r="AF27" i="672"/>
  <c r="O27" i="672"/>
  <c r="Q62" i="672"/>
  <c r="R8" i="674"/>
  <c r="Q8" i="674"/>
  <c r="AF31" i="674"/>
  <c r="P59" i="676"/>
  <c r="J69" i="676"/>
  <c r="P69" i="676" s="1"/>
  <c r="AG60" i="676"/>
  <c r="R53" i="678"/>
  <c r="AG27" i="680"/>
  <c r="Q38" i="680"/>
  <c r="O6" i="686"/>
  <c r="AG6" i="686"/>
  <c r="AF6" i="686"/>
  <c r="P49" i="688"/>
  <c r="J58" i="688"/>
  <c r="P58" i="688" s="1"/>
  <c r="AG50" i="688"/>
  <c r="O50" i="688"/>
  <c r="N58" i="688"/>
  <c r="AF50" i="688"/>
  <c r="R71" i="688"/>
  <c r="Q71" i="688"/>
  <c r="AG62" i="690"/>
  <c r="AF62" i="690"/>
  <c r="O62" i="690"/>
  <c r="G1" i="692"/>
  <c r="Q71" i="696"/>
  <c r="R71" i="696"/>
  <c r="L58" i="698"/>
  <c r="H13" i="697" s="1"/>
  <c r="L69" i="698"/>
  <c r="I13" i="697" s="1"/>
  <c r="J6" i="697" s="1"/>
  <c r="F19" i="701"/>
  <c r="AA2" i="702"/>
  <c r="AG61" i="702"/>
  <c r="AF61" i="702"/>
  <c r="O61" i="702"/>
  <c r="L18" i="720"/>
  <c r="AG18" i="720"/>
  <c r="AF15" i="723"/>
  <c r="AG15" i="723"/>
  <c r="AH5" i="723" s="1"/>
  <c r="AG7" i="725"/>
  <c r="AF7" i="725"/>
  <c r="O7" i="725"/>
  <c r="N15" i="725"/>
  <c r="Q18" i="725"/>
  <c r="R18" i="725"/>
  <c r="AD2" i="3"/>
  <c r="K15" i="605"/>
  <c r="Q18" i="605"/>
  <c r="L21" i="605"/>
  <c r="R21" i="605" s="1"/>
  <c r="L27" i="605"/>
  <c r="L37" i="605" s="1"/>
  <c r="F13" i="604" s="1"/>
  <c r="AG41" i="605"/>
  <c r="O41" i="605"/>
  <c r="O29" i="670"/>
  <c r="AG29" i="670"/>
  <c r="AF29" i="670"/>
  <c r="AG60" i="670"/>
  <c r="AG17" i="672"/>
  <c r="AF17" i="672"/>
  <c r="O6" i="673"/>
  <c r="N6" i="673"/>
  <c r="AF29" i="674"/>
  <c r="AG29" i="674"/>
  <c r="AD2" i="676"/>
  <c r="K26" i="678"/>
  <c r="O61" i="678"/>
  <c r="AG61" i="678"/>
  <c r="P59" i="684"/>
  <c r="J69" i="684"/>
  <c r="AG28" i="686"/>
  <c r="O28" i="686"/>
  <c r="AF28" i="686"/>
  <c r="K26" i="688"/>
  <c r="AG8" i="692"/>
  <c r="AF8" i="692"/>
  <c r="O8" i="692"/>
  <c r="N15" i="692"/>
  <c r="L16" i="692"/>
  <c r="L26" i="692" s="1"/>
  <c r="E13" i="691" s="1"/>
  <c r="K26" i="692"/>
  <c r="AF59" i="698"/>
  <c r="O59" i="698"/>
  <c r="N69" i="698"/>
  <c r="AG59" i="698"/>
  <c r="P39" i="702"/>
  <c r="J48" i="702"/>
  <c r="P48" i="702" s="1"/>
  <c r="AF48" i="710"/>
  <c r="Q48" i="710"/>
  <c r="AG48" i="710"/>
  <c r="AH38" i="710" s="1"/>
  <c r="N6" i="715"/>
  <c r="O6" i="715"/>
  <c r="R73" i="723"/>
  <c r="Q73" i="723"/>
  <c r="M6" i="2"/>
  <c r="L27" i="3"/>
  <c r="L37" i="3" s="1"/>
  <c r="AG61" i="3"/>
  <c r="L5" i="605"/>
  <c r="L15" i="605" s="1"/>
  <c r="D13" i="604" s="1"/>
  <c r="R18" i="605"/>
  <c r="Q20" i="670"/>
  <c r="O17" i="672"/>
  <c r="J58" i="672"/>
  <c r="P58" i="672" s="1"/>
  <c r="AG79" i="672"/>
  <c r="AH70" i="672" s="1"/>
  <c r="AG7" i="674"/>
  <c r="AF7" i="674"/>
  <c r="AG15" i="674"/>
  <c r="AH5" i="674" s="1"/>
  <c r="K37" i="674"/>
  <c r="AF37" i="674" s="1"/>
  <c r="L28" i="674"/>
  <c r="Q28" i="674" s="1"/>
  <c r="AF28" i="674"/>
  <c r="O29" i="674"/>
  <c r="P49" i="674"/>
  <c r="K79" i="674"/>
  <c r="AE2" i="676"/>
  <c r="AF49" i="676"/>
  <c r="N58" i="676"/>
  <c r="N69" i="676"/>
  <c r="AF59" i="676"/>
  <c r="O59" i="676"/>
  <c r="J26" i="678"/>
  <c r="P26" i="678" s="1"/>
  <c r="R19" i="678"/>
  <c r="AG30" i="678"/>
  <c r="AF30" i="678"/>
  <c r="O30" i="678"/>
  <c r="AF52" i="678"/>
  <c r="O52" i="678"/>
  <c r="AG52" i="678"/>
  <c r="Q53" i="678"/>
  <c r="AF61" i="678"/>
  <c r="J26" i="680"/>
  <c r="P26" i="680" s="1"/>
  <c r="P21" i="680"/>
  <c r="J79" i="680"/>
  <c r="P70" i="680"/>
  <c r="L29" i="682"/>
  <c r="P37" i="684"/>
  <c r="N48" i="684"/>
  <c r="AG38" i="684"/>
  <c r="AF38" i="684"/>
  <c r="L30" i="686"/>
  <c r="AF30" i="686"/>
  <c r="AG30" i="686"/>
  <c r="P32" i="686"/>
  <c r="L32" i="686"/>
  <c r="P31" i="688"/>
  <c r="L31" i="688"/>
  <c r="R22" i="694"/>
  <c r="Q22" i="694"/>
  <c r="AF50" i="694"/>
  <c r="AG50" i="694"/>
  <c r="O50" i="694"/>
  <c r="L52" i="694"/>
  <c r="AF29" i="698"/>
  <c r="O29" i="698"/>
  <c r="K58" i="698"/>
  <c r="P26" i="710"/>
  <c r="E22" i="709"/>
  <c r="I1" i="710"/>
  <c r="Q20" i="714"/>
  <c r="R20" i="714"/>
  <c r="Q37" i="714"/>
  <c r="AG37" i="714"/>
  <c r="AH27" i="714" s="1"/>
  <c r="AF37" i="714"/>
  <c r="AF49" i="714"/>
  <c r="N58" i="714"/>
  <c r="AG49" i="714"/>
  <c r="L52" i="716"/>
  <c r="K58" i="716"/>
  <c r="P26" i="3"/>
  <c r="O38" i="3"/>
  <c r="AG38" i="3"/>
  <c r="AF40" i="3"/>
  <c r="J48" i="3"/>
  <c r="AF48" i="3"/>
  <c r="AG51" i="3"/>
  <c r="J58" i="3"/>
  <c r="P58" i="3" s="1"/>
  <c r="AF8" i="605"/>
  <c r="AG19" i="605"/>
  <c r="R52" i="605"/>
  <c r="Q52" i="605"/>
  <c r="AF62" i="605"/>
  <c r="AG62" i="605"/>
  <c r="O6" i="669"/>
  <c r="AE2" i="670"/>
  <c r="AF30" i="670"/>
  <c r="AG30" i="670"/>
  <c r="AG59" i="670"/>
  <c r="AF59" i="670"/>
  <c r="K15" i="672"/>
  <c r="L69" i="672"/>
  <c r="I13" i="671" s="1"/>
  <c r="J6" i="671" s="1"/>
  <c r="O7" i="674"/>
  <c r="R20" i="674"/>
  <c r="Q20" i="674"/>
  <c r="J48" i="674"/>
  <c r="P48" i="674" s="1"/>
  <c r="K69" i="674"/>
  <c r="O79" i="674"/>
  <c r="R70" i="674"/>
  <c r="N15" i="676"/>
  <c r="AF16" i="676"/>
  <c r="N26" i="676"/>
  <c r="AG16" i="676"/>
  <c r="AF17" i="676"/>
  <c r="AF38" i="676"/>
  <c r="P48" i="676"/>
  <c r="O49" i="676"/>
  <c r="J58" i="676"/>
  <c r="P58" i="676" s="1"/>
  <c r="K37" i="678"/>
  <c r="Q37" i="678" s="1"/>
  <c r="O38" i="678"/>
  <c r="J69" i="680"/>
  <c r="L70" i="680"/>
  <c r="J69" i="682"/>
  <c r="P69" i="682" s="1"/>
  <c r="P59" i="682"/>
  <c r="Q33" i="684"/>
  <c r="R33" i="684"/>
  <c r="O38" i="684"/>
  <c r="Q5" i="688"/>
  <c r="R5" i="688"/>
  <c r="R21" i="688"/>
  <c r="Q21" i="688"/>
  <c r="AF30" i="690"/>
  <c r="O30" i="690"/>
  <c r="AG30" i="690"/>
  <c r="P58" i="690"/>
  <c r="L51" i="692"/>
  <c r="K58" i="692"/>
  <c r="Q58" i="692" s="1"/>
  <c r="AG29" i="698"/>
  <c r="O59" i="704"/>
  <c r="AF59" i="704"/>
  <c r="N69" i="704"/>
  <c r="AG59" i="704"/>
  <c r="AG17" i="706"/>
  <c r="AF17" i="706"/>
  <c r="O17" i="706"/>
  <c r="R18" i="710"/>
  <c r="Q18" i="710"/>
  <c r="AG27" i="710"/>
  <c r="O27" i="710"/>
  <c r="N37" i="710"/>
  <c r="AF27" i="710"/>
  <c r="O29" i="714"/>
  <c r="AG29" i="714"/>
  <c r="O39" i="714"/>
  <c r="AF39" i="714"/>
  <c r="O49" i="714"/>
  <c r="AG61" i="674"/>
  <c r="AF61" i="674"/>
  <c r="O61" i="674"/>
  <c r="P69" i="680"/>
  <c r="I22" i="679"/>
  <c r="L16" i="3"/>
  <c r="L26" i="3" s="1"/>
  <c r="P48" i="3"/>
  <c r="O40" i="605"/>
  <c r="AF40" i="605"/>
  <c r="Q61" i="670"/>
  <c r="J37" i="672"/>
  <c r="P27" i="672"/>
  <c r="AG49" i="672"/>
  <c r="AF49" i="672"/>
  <c r="Q71" i="682"/>
  <c r="I1" i="3"/>
  <c r="O16" i="3"/>
  <c r="AG16" i="3"/>
  <c r="AF16" i="3"/>
  <c r="AG39" i="3"/>
  <c r="AF39" i="3"/>
  <c r="Q48" i="3"/>
  <c r="O51" i="3"/>
  <c r="AF70" i="3"/>
  <c r="AF61" i="670"/>
  <c r="R5" i="672"/>
  <c r="L27" i="672"/>
  <c r="L37" i="672" s="1"/>
  <c r="F13" i="671" s="1"/>
  <c r="AF31" i="672"/>
  <c r="AG16" i="674"/>
  <c r="L62" i="674"/>
  <c r="R62" i="674" s="1"/>
  <c r="P16" i="3"/>
  <c r="AF8" i="670"/>
  <c r="AG6" i="672"/>
  <c r="K26" i="672"/>
  <c r="AG18" i="674"/>
  <c r="O18" i="674"/>
  <c r="AF18" i="674"/>
  <c r="P37" i="674"/>
  <c r="O59" i="674"/>
  <c r="N69" i="674"/>
  <c r="AF59" i="674"/>
  <c r="AD2" i="678"/>
  <c r="D20" i="677"/>
  <c r="L60" i="682"/>
  <c r="AF28" i="708"/>
  <c r="AF7" i="3"/>
  <c r="P38" i="3"/>
  <c r="Q8" i="605"/>
  <c r="AD2" i="605"/>
  <c r="D20" i="604"/>
  <c r="R28" i="605"/>
  <c r="AG8" i="670"/>
  <c r="AD2" i="680"/>
  <c r="Q6" i="682"/>
  <c r="R6" i="682"/>
  <c r="R52" i="708"/>
  <c r="Q52" i="708"/>
  <c r="AG6" i="3"/>
  <c r="Z2" i="670"/>
  <c r="J15" i="670"/>
  <c r="AE2" i="672"/>
  <c r="P30" i="674"/>
  <c r="L62" i="676"/>
  <c r="R62" i="676" s="1"/>
  <c r="AG62" i="676"/>
  <c r="R17" i="678"/>
  <c r="Q17" i="678"/>
  <c r="AG41" i="680"/>
  <c r="L41" i="680"/>
  <c r="N26" i="3"/>
  <c r="Q29" i="3"/>
  <c r="AF59" i="3"/>
  <c r="AF61" i="3"/>
  <c r="Q28" i="605"/>
  <c r="P58" i="605"/>
  <c r="AG38" i="670"/>
  <c r="O38" i="670"/>
  <c r="Q74" i="670"/>
  <c r="O51" i="672"/>
  <c r="O5" i="674"/>
  <c r="AF5" i="674"/>
  <c r="AG50" i="674"/>
  <c r="J79" i="674"/>
  <c r="P79" i="674" s="1"/>
  <c r="Q20" i="676"/>
  <c r="R20" i="676"/>
  <c r="AG41" i="676"/>
  <c r="AF41" i="676"/>
  <c r="O41" i="676"/>
  <c r="G1" i="682"/>
  <c r="N37" i="605"/>
  <c r="P16" i="670"/>
  <c r="R59" i="670"/>
  <c r="L73" i="674"/>
  <c r="R73" i="674" s="1"/>
  <c r="AG8" i="605"/>
  <c r="AF28" i="605"/>
  <c r="P40" i="605"/>
  <c r="L40" i="605"/>
  <c r="R73" i="605"/>
  <c r="J22" i="604"/>
  <c r="P79" i="605"/>
  <c r="G1" i="670"/>
  <c r="AG6" i="670"/>
  <c r="AF6" i="670"/>
  <c r="O6" i="670"/>
  <c r="R19" i="670"/>
  <c r="Q19" i="670"/>
  <c r="R52" i="670"/>
  <c r="O6" i="672"/>
  <c r="G1" i="672"/>
  <c r="AD2" i="672"/>
  <c r="F22" i="671"/>
  <c r="P37" i="672"/>
  <c r="AF51" i="672"/>
  <c r="K79" i="672"/>
  <c r="AF79" i="672" s="1"/>
  <c r="R17" i="674"/>
  <c r="R28" i="674"/>
  <c r="AG40" i="674"/>
  <c r="O40" i="674"/>
  <c r="AF40" i="674"/>
  <c r="AG49" i="674"/>
  <c r="AF49" i="674"/>
  <c r="O49" i="674"/>
  <c r="N58" i="674"/>
  <c r="N79" i="674"/>
  <c r="R16" i="676"/>
  <c r="P19" i="676"/>
  <c r="L19" i="676"/>
  <c r="AF28" i="676"/>
  <c r="O28" i="676"/>
  <c r="AG59" i="676"/>
  <c r="Q16" i="678"/>
  <c r="R16" i="678"/>
  <c r="Q32" i="678"/>
  <c r="AG51" i="678"/>
  <c r="O51" i="678"/>
  <c r="AF51" i="678"/>
  <c r="N15" i="680"/>
  <c r="O5" i="680"/>
  <c r="AG5" i="680"/>
  <c r="AG8" i="680"/>
  <c r="AF8" i="680"/>
  <c r="O8" i="680"/>
  <c r="L21" i="680"/>
  <c r="Q21" i="680" s="1"/>
  <c r="N37" i="682"/>
  <c r="O27" i="682"/>
  <c r="AG27" i="682"/>
  <c r="L37" i="684"/>
  <c r="F13" i="683" s="1"/>
  <c r="G1" i="690"/>
  <c r="N69" i="690"/>
  <c r="O59" i="690"/>
  <c r="AG59" i="690"/>
  <c r="AF59" i="690"/>
  <c r="R32" i="696"/>
  <c r="Q32" i="696"/>
  <c r="AF39" i="698"/>
  <c r="AG39" i="698"/>
  <c r="O39" i="698"/>
  <c r="L53" i="698"/>
  <c r="Q53" i="698" s="1"/>
  <c r="K69" i="704"/>
  <c r="AG48" i="708"/>
  <c r="AH38" i="708" s="1"/>
  <c r="Q48" i="708"/>
  <c r="O16" i="710"/>
  <c r="N26" i="710"/>
  <c r="AG16" i="710"/>
  <c r="AF16" i="710"/>
  <c r="E22" i="713"/>
  <c r="P26" i="714"/>
  <c r="AF17" i="716"/>
  <c r="O17" i="716"/>
  <c r="AG17" i="716"/>
  <c r="R17" i="3"/>
  <c r="K69" i="605"/>
  <c r="N79" i="676"/>
  <c r="AG70" i="676"/>
  <c r="AF70" i="676"/>
  <c r="O70" i="676"/>
  <c r="AF18" i="678"/>
  <c r="AG18" i="678"/>
  <c r="AF40" i="680"/>
  <c r="AG40" i="680"/>
  <c r="O40" i="680"/>
  <c r="N37" i="684"/>
  <c r="AG27" i="684"/>
  <c r="O27" i="684"/>
  <c r="Q19" i="692"/>
  <c r="R19" i="692"/>
  <c r="L32" i="692"/>
  <c r="Q32" i="692" s="1"/>
  <c r="P32" i="692"/>
  <c r="J37" i="692"/>
  <c r="P37" i="692" s="1"/>
  <c r="N15" i="698"/>
  <c r="AG5" i="698"/>
  <c r="O5" i="698"/>
  <c r="AF5" i="698"/>
  <c r="R6" i="3"/>
  <c r="Q6" i="3"/>
  <c r="AG60" i="3"/>
  <c r="AF60" i="3"/>
  <c r="O60" i="605"/>
  <c r="AF60" i="605"/>
  <c r="AG60" i="605"/>
  <c r="N15" i="670"/>
  <c r="AG5" i="670"/>
  <c r="O5" i="670"/>
  <c r="L79" i="670"/>
  <c r="J13" i="669" s="1"/>
  <c r="R70" i="670"/>
  <c r="O16" i="672"/>
  <c r="AF16" i="672"/>
  <c r="AG16" i="672"/>
  <c r="Q72" i="674"/>
  <c r="R72" i="674"/>
  <c r="AF5" i="676"/>
  <c r="O18" i="678"/>
  <c r="O26" i="678" s="1"/>
  <c r="AG31" i="678"/>
  <c r="AF31" i="678"/>
  <c r="N6" i="681"/>
  <c r="O6" i="681"/>
  <c r="P26" i="682"/>
  <c r="AG61" i="682"/>
  <c r="AF61" i="682"/>
  <c r="AF27" i="684"/>
  <c r="AG5" i="690"/>
  <c r="O5" i="690"/>
  <c r="N15" i="690"/>
  <c r="AG5" i="3"/>
  <c r="AF5" i="3"/>
  <c r="O60" i="3"/>
  <c r="P19" i="605"/>
  <c r="L19" i="605"/>
  <c r="AG49" i="605"/>
  <c r="O49" i="605"/>
  <c r="N79" i="605"/>
  <c r="AF70" i="605"/>
  <c r="R60" i="670"/>
  <c r="O69" i="670"/>
  <c r="R28" i="672"/>
  <c r="Q28" i="672"/>
  <c r="AF50" i="672"/>
  <c r="L31" i="674"/>
  <c r="R31" i="674" s="1"/>
  <c r="L38" i="674"/>
  <c r="L48" i="674" s="1"/>
  <c r="G13" i="673" s="1"/>
  <c r="R63" i="674"/>
  <c r="Q63" i="674"/>
  <c r="Q51" i="676"/>
  <c r="R20" i="680"/>
  <c r="Q20" i="680"/>
  <c r="O69" i="680"/>
  <c r="R60" i="680"/>
  <c r="O61" i="682"/>
  <c r="I18" i="683"/>
  <c r="Z2" i="684"/>
  <c r="P26" i="692"/>
  <c r="E22" i="691"/>
  <c r="Q32" i="694"/>
  <c r="R32" i="694"/>
  <c r="AG53" i="694"/>
  <c r="AF53" i="694"/>
  <c r="L53" i="694"/>
  <c r="Q53" i="694" s="1"/>
  <c r="AG30" i="605"/>
  <c r="AF30" i="605"/>
  <c r="L39" i="605"/>
  <c r="AG40" i="605"/>
  <c r="AF61" i="605"/>
  <c r="AG61" i="605"/>
  <c r="R8" i="670"/>
  <c r="Q8" i="670"/>
  <c r="L38" i="670"/>
  <c r="M6" i="673"/>
  <c r="O48" i="674"/>
  <c r="R38" i="674"/>
  <c r="Q21" i="676"/>
  <c r="R21" i="676"/>
  <c r="O29" i="676"/>
  <c r="AF29" i="676"/>
  <c r="L20" i="682"/>
  <c r="AF40" i="682"/>
  <c r="R20" i="690"/>
  <c r="Q20" i="690"/>
  <c r="AG60" i="692"/>
  <c r="N69" i="692"/>
  <c r="AF60" i="692"/>
  <c r="O60" i="692"/>
  <c r="R40" i="694"/>
  <c r="AG70" i="3"/>
  <c r="J48" i="605"/>
  <c r="P38" i="605"/>
  <c r="P48" i="605"/>
  <c r="AG17" i="670"/>
  <c r="AF17" i="670"/>
  <c r="O17" i="670"/>
  <c r="AG18" i="670"/>
  <c r="O50" i="676"/>
  <c r="J15" i="678"/>
  <c r="P15" i="678" s="1"/>
  <c r="P5" i="678"/>
  <c r="L38" i="680"/>
  <c r="R38" i="680" s="1"/>
  <c r="O52" i="680"/>
  <c r="AG52" i="680"/>
  <c r="AF52" i="680"/>
  <c r="R20" i="682"/>
  <c r="Q20" i="682"/>
  <c r="L71" i="690"/>
  <c r="R71" i="690" s="1"/>
  <c r="O49" i="3"/>
  <c r="N58" i="3"/>
  <c r="O53" i="605"/>
  <c r="AG53" i="605"/>
  <c r="N48" i="670"/>
  <c r="Q75" i="670"/>
  <c r="AG18" i="672"/>
  <c r="AF18" i="672"/>
  <c r="O19" i="672"/>
  <c r="Q50" i="674"/>
  <c r="I1" i="676"/>
  <c r="R17" i="676"/>
  <c r="N26" i="680"/>
  <c r="AG16" i="680"/>
  <c r="O16" i="680"/>
  <c r="AF27" i="680"/>
  <c r="O39" i="684"/>
  <c r="AG39" i="684"/>
  <c r="AF39" i="684"/>
  <c r="AG60" i="688"/>
  <c r="L60" i="688"/>
  <c r="R60" i="688" s="1"/>
  <c r="K69" i="688"/>
  <c r="O62" i="688"/>
  <c r="AG62" i="688"/>
  <c r="AF62" i="688"/>
  <c r="AG9" i="694"/>
  <c r="AF9" i="694"/>
  <c r="O9" i="694"/>
  <c r="L18" i="698"/>
  <c r="K26" i="698"/>
  <c r="I22" i="707"/>
  <c r="M79" i="708"/>
  <c r="AG7" i="3"/>
  <c r="Q7" i="605"/>
  <c r="D21" i="604"/>
  <c r="AE2" i="605"/>
  <c r="O29" i="605"/>
  <c r="O48" i="605"/>
  <c r="L41" i="605"/>
  <c r="N69" i="605"/>
  <c r="AF59" i="605"/>
  <c r="AG59" i="605"/>
  <c r="O59" i="605"/>
  <c r="O7" i="670"/>
  <c r="AG7" i="670"/>
  <c r="L29" i="670"/>
  <c r="AF52" i="672"/>
  <c r="E22" i="673"/>
  <c r="AF50" i="674"/>
  <c r="AF8" i="676"/>
  <c r="AG8" i="676"/>
  <c r="O8" i="676"/>
  <c r="Q17" i="676"/>
  <c r="O18" i="676"/>
  <c r="O26" i="676" s="1"/>
  <c r="AF18" i="676"/>
  <c r="N48" i="676"/>
  <c r="O38" i="676"/>
  <c r="L19" i="678"/>
  <c r="Q19" i="678" s="1"/>
  <c r="L39" i="682"/>
  <c r="L48" i="682" s="1"/>
  <c r="G13" i="681" s="1"/>
  <c r="K48" i="682"/>
  <c r="AF39" i="682"/>
  <c r="O50" i="684"/>
  <c r="AG50" i="684"/>
  <c r="AF50" i="684"/>
  <c r="Q71" i="686"/>
  <c r="R71" i="686"/>
  <c r="K26" i="694"/>
  <c r="AG70" i="605"/>
  <c r="AA2" i="670"/>
  <c r="AG16" i="670"/>
  <c r="O16" i="670"/>
  <c r="N26" i="670"/>
  <c r="N58" i="670"/>
  <c r="O49" i="670"/>
  <c r="AF49" i="670"/>
  <c r="R62" i="672"/>
  <c r="P17" i="674"/>
  <c r="L17" i="674"/>
  <c r="Q17" i="674" s="1"/>
  <c r="J26" i="674"/>
  <c r="P26" i="674" s="1"/>
  <c r="AG31" i="674"/>
  <c r="P16" i="676"/>
  <c r="J26" i="676"/>
  <c r="P26" i="676" s="1"/>
  <c r="AG18" i="676"/>
  <c r="E22" i="679"/>
  <c r="I1" i="680"/>
  <c r="P38" i="680"/>
  <c r="L51" i="680"/>
  <c r="R51" i="680" s="1"/>
  <c r="AG50" i="682"/>
  <c r="AF50" i="682"/>
  <c r="O50" i="682"/>
  <c r="AG16" i="684"/>
  <c r="N26" i="684"/>
  <c r="AF16" i="684"/>
  <c r="AG53" i="696"/>
  <c r="AF19" i="605"/>
  <c r="AF49" i="605"/>
  <c r="I1" i="670"/>
  <c r="P15" i="670"/>
  <c r="AG49" i="670"/>
  <c r="Q53" i="670"/>
  <c r="AG29" i="672"/>
  <c r="K37" i="672"/>
  <c r="AF29" i="672"/>
  <c r="AG29" i="3"/>
  <c r="AF29" i="3"/>
  <c r="I22" i="2"/>
  <c r="G22" i="2"/>
  <c r="L17" i="3"/>
  <c r="AG17" i="3"/>
  <c r="N37" i="3"/>
  <c r="O27" i="3"/>
  <c r="AG28" i="3"/>
  <c r="O28" i="3"/>
  <c r="AG18" i="605"/>
  <c r="AF27" i="605"/>
  <c r="AG28" i="605"/>
  <c r="AF41" i="605"/>
  <c r="Q51" i="605"/>
  <c r="J69" i="605"/>
  <c r="P69" i="605" s="1"/>
  <c r="L28" i="670"/>
  <c r="L37" i="670" s="1"/>
  <c r="F13" i="669" s="1"/>
  <c r="K69" i="670"/>
  <c r="AG69" i="670" s="1"/>
  <c r="AH59" i="670" s="1"/>
  <c r="P16" i="672"/>
  <c r="J26" i="672"/>
  <c r="P26" i="672" s="1"/>
  <c r="N37" i="672"/>
  <c r="L6" i="673"/>
  <c r="E21" i="673"/>
  <c r="I1" i="674"/>
  <c r="P6" i="674"/>
  <c r="L6" i="674"/>
  <c r="Q6" i="674" s="1"/>
  <c r="AF17" i="674"/>
  <c r="AG19" i="674"/>
  <c r="O19" i="674"/>
  <c r="J58" i="674"/>
  <c r="AF6" i="676"/>
  <c r="L37" i="676"/>
  <c r="F13" i="675" s="1"/>
  <c r="R27" i="676"/>
  <c r="AG31" i="676"/>
  <c r="L40" i="676"/>
  <c r="P40" i="676"/>
  <c r="AG49" i="676"/>
  <c r="R61" i="676"/>
  <c r="Q61" i="676"/>
  <c r="L6" i="677"/>
  <c r="Q50" i="680"/>
  <c r="R50" i="680"/>
  <c r="R72" i="680"/>
  <c r="Q72" i="680"/>
  <c r="J14" i="683"/>
  <c r="AG7" i="686"/>
  <c r="AF7" i="686"/>
  <c r="O7" i="686"/>
  <c r="K15" i="690"/>
  <c r="L5" i="690"/>
  <c r="L15" i="690" s="1"/>
  <c r="D13" i="689" s="1"/>
  <c r="AF8" i="690"/>
  <c r="AG8" i="690"/>
  <c r="O8" i="690"/>
  <c r="O28" i="690"/>
  <c r="AG28" i="690"/>
  <c r="AF28" i="690"/>
  <c r="K79" i="690"/>
  <c r="O51" i="692"/>
  <c r="AG51" i="692"/>
  <c r="AF51" i="692"/>
  <c r="AG6" i="694"/>
  <c r="O6" i="694"/>
  <c r="AF6" i="694"/>
  <c r="O30" i="696"/>
  <c r="AF30" i="696"/>
  <c r="AG30" i="696"/>
  <c r="N37" i="696"/>
  <c r="N26" i="698"/>
  <c r="R7" i="702"/>
  <c r="Q7" i="702"/>
  <c r="R17" i="702"/>
  <c r="Q17" i="702"/>
  <c r="L37" i="702"/>
  <c r="F13" i="701" s="1"/>
  <c r="AF79" i="704"/>
  <c r="AG79" i="704"/>
  <c r="AH70" i="704" s="1"/>
  <c r="N26" i="714"/>
  <c r="Q30" i="674"/>
  <c r="L16" i="676"/>
  <c r="H22" i="675"/>
  <c r="L63" i="678"/>
  <c r="R63" i="678" s="1"/>
  <c r="N6" i="679"/>
  <c r="K37" i="680"/>
  <c r="L29" i="680"/>
  <c r="R29" i="680" s="1"/>
  <c r="AG70" i="680"/>
  <c r="AF70" i="680"/>
  <c r="O70" i="680"/>
  <c r="N79" i="680"/>
  <c r="AF7" i="682"/>
  <c r="AG7" i="682"/>
  <c r="O7" i="682"/>
  <c r="N15" i="682"/>
  <c r="AF29" i="682"/>
  <c r="O29" i="682"/>
  <c r="AG29" i="682"/>
  <c r="R39" i="686"/>
  <c r="Q39" i="686"/>
  <c r="L28" i="688"/>
  <c r="L37" i="688" s="1"/>
  <c r="F13" i="687" s="1"/>
  <c r="P28" i="688"/>
  <c r="AG26" i="692"/>
  <c r="AH16" i="692" s="1"/>
  <c r="AF26" i="692"/>
  <c r="AG60" i="694"/>
  <c r="AF60" i="694"/>
  <c r="AG51" i="698"/>
  <c r="AF51" i="698"/>
  <c r="O51" i="698"/>
  <c r="P51" i="700"/>
  <c r="J58" i="700"/>
  <c r="P58" i="700" s="1"/>
  <c r="AG18" i="702"/>
  <c r="O18" i="702"/>
  <c r="O28" i="702"/>
  <c r="AG28" i="702"/>
  <c r="L39" i="702"/>
  <c r="R39" i="702" s="1"/>
  <c r="K48" i="702"/>
  <c r="AG39" i="702"/>
  <c r="J48" i="706"/>
  <c r="L39" i="706"/>
  <c r="L48" i="706" s="1"/>
  <c r="G13" i="705" s="1"/>
  <c r="P39" i="706"/>
  <c r="L58" i="706"/>
  <c r="H13" i="705" s="1"/>
  <c r="R49" i="706"/>
  <c r="Q49" i="706"/>
  <c r="O18" i="716"/>
  <c r="AG18" i="716"/>
  <c r="AF18" i="716"/>
  <c r="R28" i="716"/>
  <c r="Q28" i="716"/>
  <c r="Q31" i="716"/>
  <c r="Q39" i="718"/>
  <c r="R39" i="718"/>
  <c r="R63" i="718"/>
  <c r="Q63" i="718"/>
  <c r="L29" i="3"/>
  <c r="Z2" i="605"/>
  <c r="K48" i="605"/>
  <c r="L38" i="605"/>
  <c r="L48" i="605" s="1"/>
  <c r="G13" i="604" s="1"/>
  <c r="K58" i="605"/>
  <c r="AF58" i="605" s="1"/>
  <c r="AG51" i="605"/>
  <c r="L5" i="670"/>
  <c r="L15" i="670" s="1"/>
  <c r="D13" i="669" s="1"/>
  <c r="L16" i="670"/>
  <c r="L21" i="670"/>
  <c r="Q21" i="670" s="1"/>
  <c r="L40" i="670"/>
  <c r="R40" i="670" s="1"/>
  <c r="AG50" i="670"/>
  <c r="O50" i="670"/>
  <c r="Q29" i="672"/>
  <c r="R29" i="672"/>
  <c r="AF53" i="672"/>
  <c r="O53" i="672"/>
  <c r="P50" i="674"/>
  <c r="L50" i="674"/>
  <c r="L58" i="674" s="1"/>
  <c r="H13" i="673" s="1"/>
  <c r="AG7" i="678"/>
  <c r="AF7" i="678"/>
  <c r="O8" i="678"/>
  <c r="AG8" i="678"/>
  <c r="AF8" i="678"/>
  <c r="AF7" i="680"/>
  <c r="O7" i="680"/>
  <c r="L26" i="680"/>
  <c r="E13" i="679" s="1"/>
  <c r="O17" i="682"/>
  <c r="AG17" i="682"/>
  <c r="AF17" i="682"/>
  <c r="O7" i="684"/>
  <c r="AG7" i="684"/>
  <c r="K69" i="684"/>
  <c r="L59" i="684"/>
  <c r="L69" i="684" s="1"/>
  <c r="I13" i="683" s="1"/>
  <c r="AG59" i="684"/>
  <c r="AG38" i="686"/>
  <c r="O38" i="686"/>
  <c r="R39" i="692"/>
  <c r="Q39" i="692"/>
  <c r="R59" i="692"/>
  <c r="N79" i="692"/>
  <c r="J37" i="696"/>
  <c r="P37" i="696" s="1"/>
  <c r="P27" i="696"/>
  <c r="L27" i="696"/>
  <c r="Q73" i="698"/>
  <c r="R50" i="700"/>
  <c r="Q50" i="700"/>
  <c r="Q71" i="700"/>
  <c r="AA2" i="704"/>
  <c r="D19" i="703"/>
  <c r="M6" i="703" s="1"/>
  <c r="Q26" i="704"/>
  <c r="E14" i="703"/>
  <c r="E15" i="703" s="1"/>
  <c r="I22" i="703"/>
  <c r="I1" i="704"/>
  <c r="AG31" i="708"/>
  <c r="AF31" i="708"/>
  <c r="Q29" i="710"/>
  <c r="R29" i="710"/>
  <c r="R21" i="712"/>
  <c r="Q21" i="712"/>
  <c r="K79" i="712"/>
  <c r="L70" i="712"/>
  <c r="L79" i="712" s="1"/>
  <c r="J13" i="711" s="1"/>
  <c r="I1" i="714"/>
  <c r="D22" i="713"/>
  <c r="P15" i="714"/>
  <c r="P49" i="720"/>
  <c r="J58" i="720"/>
  <c r="P58" i="720" s="1"/>
  <c r="Q58" i="720"/>
  <c r="AF58" i="720"/>
  <c r="AG58" i="720"/>
  <c r="AH49" i="720" s="1"/>
  <c r="P38" i="672"/>
  <c r="J48" i="672"/>
  <c r="P48" i="672" s="1"/>
  <c r="AG52" i="672"/>
  <c r="R60" i="672"/>
  <c r="L69" i="674"/>
  <c r="I13" i="673" s="1"/>
  <c r="K37" i="676"/>
  <c r="Q37" i="676" s="1"/>
  <c r="Q7" i="678"/>
  <c r="R7" i="678"/>
  <c r="K15" i="678"/>
  <c r="Q51" i="680"/>
  <c r="R8" i="682"/>
  <c r="Q8" i="682"/>
  <c r="P32" i="682"/>
  <c r="L32" i="682"/>
  <c r="Q32" i="682" s="1"/>
  <c r="R9" i="684"/>
  <c r="Q9" i="684"/>
  <c r="K26" i="684"/>
  <c r="P28" i="684"/>
  <c r="L28" i="684"/>
  <c r="Q28" i="684" s="1"/>
  <c r="R31" i="684"/>
  <c r="Q31" i="684"/>
  <c r="P27" i="688"/>
  <c r="J37" i="688"/>
  <c r="O27" i="690"/>
  <c r="AG27" i="690"/>
  <c r="N37" i="690"/>
  <c r="AF27" i="690"/>
  <c r="R72" i="690"/>
  <c r="Q72" i="690"/>
  <c r="AG31" i="692"/>
  <c r="AF31" i="692"/>
  <c r="O31" i="692"/>
  <c r="R49" i="692"/>
  <c r="O58" i="692"/>
  <c r="R71" i="692"/>
  <c r="Q71" i="692"/>
  <c r="O31" i="694"/>
  <c r="AG31" i="694"/>
  <c r="AF31" i="694"/>
  <c r="AG5" i="696"/>
  <c r="AF5" i="696"/>
  <c r="N15" i="696"/>
  <c r="K37" i="696"/>
  <c r="L62" i="698"/>
  <c r="R62" i="698" s="1"/>
  <c r="AF62" i="698"/>
  <c r="AG62" i="698"/>
  <c r="L39" i="700"/>
  <c r="K48" i="700"/>
  <c r="O51" i="702"/>
  <c r="AG51" i="702"/>
  <c r="AF51" i="702"/>
  <c r="O6" i="707"/>
  <c r="N6" i="707"/>
  <c r="O31" i="708"/>
  <c r="AG19" i="712"/>
  <c r="AF19" i="712"/>
  <c r="O19" i="712"/>
  <c r="AG70" i="712"/>
  <c r="N79" i="712"/>
  <c r="AF70" i="712"/>
  <c r="O70" i="712"/>
  <c r="R21" i="714"/>
  <c r="Q21" i="714"/>
  <c r="K79" i="3"/>
  <c r="L70" i="3"/>
  <c r="L79" i="3" s="1"/>
  <c r="L20" i="605"/>
  <c r="P37" i="605"/>
  <c r="F22" i="604"/>
  <c r="Q39" i="605"/>
  <c r="Q42" i="605"/>
  <c r="N48" i="605"/>
  <c r="AF27" i="670"/>
  <c r="N37" i="670"/>
  <c r="AG27" i="670"/>
  <c r="L53" i="670"/>
  <c r="R53" i="670" s="1"/>
  <c r="K48" i="672"/>
  <c r="L38" i="672"/>
  <c r="L48" i="672" s="1"/>
  <c r="G13" i="671" s="1"/>
  <c r="O52" i="672"/>
  <c r="J79" i="672"/>
  <c r="P70" i="672"/>
  <c r="R71" i="672"/>
  <c r="Q71" i="672"/>
  <c r="J15" i="674"/>
  <c r="P15" i="674" s="1"/>
  <c r="P5" i="674"/>
  <c r="R6" i="674"/>
  <c r="AF19" i="676"/>
  <c r="O19" i="676"/>
  <c r="K26" i="676"/>
  <c r="L28" i="676"/>
  <c r="R6" i="680"/>
  <c r="Q6" i="680"/>
  <c r="D22" i="683"/>
  <c r="I1" i="684"/>
  <c r="L19" i="684"/>
  <c r="AG30" i="688"/>
  <c r="AF30" i="688"/>
  <c r="O30" i="688"/>
  <c r="R32" i="688"/>
  <c r="Q32" i="688"/>
  <c r="P59" i="688"/>
  <c r="J69" i="688"/>
  <c r="P69" i="688" s="1"/>
  <c r="L26" i="694"/>
  <c r="E13" i="693" s="1"/>
  <c r="K48" i="694"/>
  <c r="L38" i="694"/>
  <c r="R5" i="696"/>
  <c r="Q5" i="696"/>
  <c r="R27" i="696"/>
  <c r="Q27" i="696"/>
  <c r="R59" i="696"/>
  <c r="Q59" i="696"/>
  <c r="AG62" i="696"/>
  <c r="O62" i="696"/>
  <c r="AF62" i="696"/>
  <c r="N79" i="696"/>
  <c r="AG70" i="696"/>
  <c r="O70" i="696"/>
  <c r="AF70" i="696"/>
  <c r="AG60" i="698"/>
  <c r="AF60" i="698"/>
  <c r="O60" i="698"/>
  <c r="R27" i="706"/>
  <c r="Q27" i="706"/>
  <c r="G1" i="710"/>
  <c r="AF15" i="712"/>
  <c r="AG15" i="712"/>
  <c r="AH5" i="712" s="1"/>
  <c r="AG17" i="720"/>
  <c r="AF17" i="720"/>
  <c r="O17" i="720"/>
  <c r="L5" i="682"/>
  <c r="L15" i="682" s="1"/>
  <c r="D13" i="681" s="1"/>
  <c r="AG5" i="682"/>
  <c r="K26" i="682"/>
  <c r="G1" i="686"/>
  <c r="O6" i="688"/>
  <c r="AG6" i="688"/>
  <c r="AA2" i="688"/>
  <c r="D19" i="687"/>
  <c r="M6" i="687" s="1"/>
  <c r="AF38" i="690"/>
  <c r="AG38" i="690"/>
  <c r="N48" i="690"/>
  <c r="I1" i="692"/>
  <c r="P15" i="692"/>
  <c r="D22" i="691"/>
  <c r="AF28" i="692"/>
  <c r="AG28" i="692"/>
  <c r="O28" i="700"/>
  <c r="AG28" i="700"/>
  <c r="O19" i="702"/>
  <c r="AG19" i="702"/>
  <c r="AF19" i="702"/>
  <c r="R73" i="702"/>
  <c r="Q73" i="702"/>
  <c r="O79" i="702"/>
  <c r="P33" i="704"/>
  <c r="L33" i="704"/>
  <c r="R33" i="704" s="1"/>
  <c r="AG61" i="704"/>
  <c r="AF61" i="704"/>
  <c r="O61" i="704"/>
  <c r="F21" i="705"/>
  <c r="AE2" i="706"/>
  <c r="F20" i="711"/>
  <c r="N6" i="711" s="1"/>
  <c r="AD2" i="712"/>
  <c r="O52" i="723"/>
  <c r="AG52" i="723"/>
  <c r="R70" i="723"/>
  <c r="O79" i="723"/>
  <c r="L50" i="670"/>
  <c r="Z2" i="672"/>
  <c r="R49" i="672"/>
  <c r="Q49" i="672"/>
  <c r="Q70" i="672"/>
  <c r="N6" i="675"/>
  <c r="E21" i="677"/>
  <c r="AE2" i="678"/>
  <c r="P49" i="678"/>
  <c r="J58" i="678"/>
  <c r="P58" i="678" s="1"/>
  <c r="P49" i="680"/>
  <c r="J58" i="680"/>
  <c r="Q5" i="682"/>
  <c r="L16" i="682"/>
  <c r="L26" i="682" s="1"/>
  <c r="E13" i="681" s="1"/>
  <c r="N69" i="682"/>
  <c r="AG59" i="682"/>
  <c r="AF59" i="682"/>
  <c r="O59" i="682"/>
  <c r="Q79" i="682"/>
  <c r="D19" i="683"/>
  <c r="M6" i="683" s="1"/>
  <c r="AA2" i="684"/>
  <c r="AG40" i="684"/>
  <c r="O40" i="684"/>
  <c r="R20" i="688"/>
  <c r="Q20" i="688"/>
  <c r="O38" i="690"/>
  <c r="O28" i="692"/>
  <c r="R20" i="694"/>
  <c r="Q20" i="694"/>
  <c r="P26" i="694"/>
  <c r="I1" i="694"/>
  <c r="L51" i="694"/>
  <c r="L58" i="694" s="1"/>
  <c r="H13" i="693" s="1"/>
  <c r="Q63" i="694"/>
  <c r="R63" i="694"/>
  <c r="AF17" i="696"/>
  <c r="O17" i="696"/>
  <c r="AG17" i="696"/>
  <c r="R39" i="696"/>
  <c r="Q39" i="696"/>
  <c r="Q48" i="696"/>
  <c r="AF48" i="696"/>
  <c r="AG48" i="696"/>
  <c r="AH38" i="696" s="1"/>
  <c r="AG49" i="696"/>
  <c r="N58" i="696"/>
  <c r="AF49" i="696"/>
  <c r="AF28" i="700"/>
  <c r="O27" i="704"/>
  <c r="N37" i="704"/>
  <c r="AG27" i="704"/>
  <c r="R74" i="706"/>
  <c r="Q74" i="706"/>
  <c r="N15" i="710"/>
  <c r="O5" i="710"/>
  <c r="AG5" i="710"/>
  <c r="AF5" i="710"/>
  <c r="AF70" i="714"/>
  <c r="AG70" i="714"/>
  <c r="O70" i="714"/>
  <c r="N79" i="714"/>
  <c r="R19" i="718"/>
  <c r="Q19" i="718"/>
  <c r="AF52" i="723"/>
  <c r="AE2" i="3"/>
  <c r="AG50" i="3"/>
  <c r="H22" i="2"/>
  <c r="K58" i="670"/>
  <c r="L49" i="670"/>
  <c r="AG51" i="670"/>
  <c r="J58" i="670"/>
  <c r="P58" i="670" s="1"/>
  <c r="AF30" i="672"/>
  <c r="R70" i="672"/>
  <c r="L5" i="676"/>
  <c r="L15" i="676" s="1"/>
  <c r="D13" i="675" s="1"/>
  <c r="R72" i="676"/>
  <c r="Q72" i="676"/>
  <c r="O29" i="678"/>
  <c r="L49" i="678"/>
  <c r="L58" i="678" s="1"/>
  <c r="H13" i="677" s="1"/>
  <c r="AG49" i="678"/>
  <c r="O28" i="680"/>
  <c r="AF28" i="680"/>
  <c r="R31" i="680"/>
  <c r="Q31" i="680"/>
  <c r="O15" i="682"/>
  <c r="O16" i="682"/>
  <c r="N26" i="682"/>
  <c r="AG16" i="682"/>
  <c r="AF16" i="682"/>
  <c r="L31" i="682"/>
  <c r="AF40" i="684"/>
  <c r="AG49" i="684"/>
  <c r="AF49" i="684"/>
  <c r="O49" i="684"/>
  <c r="N58" i="684"/>
  <c r="K79" i="684"/>
  <c r="AF79" i="684" s="1"/>
  <c r="AG70" i="684"/>
  <c r="AF70" i="684"/>
  <c r="L70" i="684"/>
  <c r="L7" i="686"/>
  <c r="K15" i="686"/>
  <c r="J26" i="686"/>
  <c r="Q32" i="686"/>
  <c r="R32" i="686"/>
  <c r="D21" i="687"/>
  <c r="AE2" i="688"/>
  <c r="R40" i="688"/>
  <c r="Q40" i="688"/>
  <c r="K37" i="690"/>
  <c r="I22" i="689"/>
  <c r="P69" i="690"/>
  <c r="AG16" i="692"/>
  <c r="O18" i="692"/>
  <c r="AG18" i="692"/>
  <c r="AF18" i="692"/>
  <c r="O62" i="694"/>
  <c r="AG62" i="694"/>
  <c r="AF62" i="694"/>
  <c r="P79" i="694"/>
  <c r="J22" i="693"/>
  <c r="O49" i="696"/>
  <c r="L79" i="698"/>
  <c r="J13" i="697" s="1"/>
  <c r="K79" i="698"/>
  <c r="O31" i="700"/>
  <c r="AG31" i="700"/>
  <c r="AF31" i="700"/>
  <c r="K58" i="702"/>
  <c r="L51" i="702"/>
  <c r="R71" i="702"/>
  <c r="R7" i="704"/>
  <c r="Q7" i="704"/>
  <c r="AF27" i="704"/>
  <c r="AG40" i="704"/>
  <c r="AF40" i="704"/>
  <c r="O40" i="704"/>
  <c r="Q34" i="706"/>
  <c r="M6" i="707"/>
  <c r="L62" i="710"/>
  <c r="Q62" i="710" s="1"/>
  <c r="AG62" i="710"/>
  <c r="AE2" i="716"/>
  <c r="J21" i="715"/>
  <c r="E22" i="717"/>
  <c r="P26" i="718"/>
  <c r="I1" i="718"/>
  <c r="L59" i="718"/>
  <c r="K69" i="718"/>
  <c r="R49" i="723"/>
  <c r="Q49" i="723"/>
  <c r="R60" i="723"/>
  <c r="Q60" i="723"/>
  <c r="Q70" i="723"/>
  <c r="AG61" i="676"/>
  <c r="AF61" i="676"/>
  <c r="AG6" i="678"/>
  <c r="O6" i="678"/>
  <c r="AG16" i="678"/>
  <c r="AF16" i="678"/>
  <c r="N26" i="678"/>
  <c r="G22" i="677"/>
  <c r="I1" i="678"/>
  <c r="R72" i="678"/>
  <c r="Q72" i="678"/>
  <c r="G1" i="680"/>
  <c r="I1" i="682"/>
  <c r="D22" i="681"/>
  <c r="L15" i="684"/>
  <c r="D13" i="683" s="1"/>
  <c r="AG9" i="684"/>
  <c r="AF9" i="684"/>
  <c r="R22" i="684"/>
  <c r="Q22" i="684"/>
  <c r="O59" i="688"/>
  <c r="N69" i="688"/>
  <c r="AG59" i="688"/>
  <c r="AF59" i="688"/>
  <c r="P39" i="694"/>
  <c r="J48" i="694"/>
  <c r="P48" i="694" s="1"/>
  <c r="N58" i="694"/>
  <c r="O49" i="694"/>
  <c r="AF49" i="694"/>
  <c r="AG49" i="694"/>
  <c r="L58" i="696"/>
  <c r="H13" i="695" s="1"/>
  <c r="K58" i="700"/>
  <c r="L49" i="700"/>
  <c r="L58" i="700" s="1"/>
  <c r="H13" i="699" s="1"/>
  <c r="P34" i="706"/>
  <c r="L34" i="706"/>
  <c r="R34" i="706" s="1"/>
  <c r="R29" i="718"/>
  <c r="Q29" i="718"/>
  <c r="L28" i="3"/>
  <c r="P37" i="670"/>
  <c r="Q51" i="674"/>
  <c r="R51" i="674"/>
  <c r="AF60" i="676"/>
  <c r="AG19" i="682"/>
  <c r="AF19" i="682"/>
  <c r="Q8" i="684"/>
  <c r="R8" i="684"/>
  <c r="L39" i="684"/>
  <c r="L48" i="684" s="1"/>
  <c r="G13" i="683" s="1"/>
  <c r="H22" i="683"/>
  <c r="AD2" i="686"/>
  <c r="L37" i="686"/>
  <c r="F13" i="685" s="1"/>
  <c r="G1" i="688"/>
  <c r="AF6" i="688"/>
  <c r="AD2" i="688"/>
  <c r="L17" i="605"/>
  <c r="L26" i="605" s="1"/>
  <c r="E13" i="604" s="1"/>
  <c r="L18" i="605"/>
  <c r="J58" i="605"/>
  <c r="O51" i="670"/>
  <c r="AF52" i="670"/>
  <c r="N79" i="670"/>
  <c r="O6" i="671"/>
  <c r="N6" i="671"/>
  <c r="AG30" i="672"/>
  <c r="N58" i="672"/>
  <c r="Z2" i="674"/>
  <c r="AF52" i="674"/>
  <c r="P58" i="674"/>
  <c r="J69" i="674"/>
  <c r="P69" i="674" s="1"/>
  <c r="L29" i="676"/>
  <c r="P38" i="676"/>
  <c r="J48" i="676"/>
  <c r="AG51" i="676"/>
  <c r="O15" i="678"/>
  <c r="J69" i="678"/>
  <c r="J79" i="678" s="1"/>
  <c r="P59" i="678"/>
  <c r="L71" i="678"/>
  <c r="R71" i="678" s="1"/>
  <c r="K26" i="680"/>
  <c r="AG28" i="680"/>
  <c r="O58" i="680"/>
  <c r="R49" i="680"/>
  <c r="R59" i="680"/>
  <c r="L71" i="680"/>
  <c r="R71" i="680" s="1"/>
  <c r="P15" i="682"/>
  <c r="R19" i="682"/>
  <c r="Z2" i="682"/>
  <c r="AF51" i="682"/>
  <c r="O51" i="682"/>
  <c r="L20" i="686"/>
  <c r="R20" i="686" s="1"/>
  <c r="K37" i="686"/>
  <c r="L29" i="686"/>
  <c r="J58" i="686"/>
  <c r="P58" i="686" s="1"/>
  <c r="P49" i="686"/>
  <c r="AG50" i="686"/>
  <c r="AF50" i="686"/>
  <c r="O50" i="686"/>
  <c r="L52" i="686"/>
  <c r="AG5" i="688"/>
  <c r="AF5" i="688"/>
  <c r="N15" i="688"/>
  <c r="AF40" i="688"/>
  <c r="O6" i="692"/>
  <c r="AG6" i="692"/>
  <c r="AF6" i="692"/>
  <c r="AF16" i="692"/>
  <c r="AF70" i="692"/>
  <c r="O70" i="692"/>
  <c r="AG70" i="692"/>
  <c r="L7" i="694"/>
  <c r="L15" i="694" s="1"/>
  <c r="D13" i="693" s="1"/>
  <c r="K15" i="694"/>
  <c r="O39" i="694"/>
  <c r="AG39" i="694"/>
  <c r="AF39" i="694"/>
  <c r="L72" i="694"/>
  <c r="R72" i="694" s="1"/>
  <c r="P51" i="696"/>
  <c r="L51" i="696"/>
  <c r="AG40" i="698"/>
  <c r="AF40" i="698"/>
  <c r="O40" i="698"/>
  <c r="P79" i="698"/>
  <c r="J22" i="697"/>
  <c r="Z2" i="700"/>
  <c r="D18" i="699"/>
  <c r="L6" i="699" s="1"/>
  <c r="Q20" i="700"/>
  <c r="R20" i="700"/>
  <c r="E18" i="701"/>
  <c r="L6" i="701" s="1"/>
  <c r="Z2" i="702"/>
  <c r="Z2" i="704"/>
  <c r="D18" i="703"/>
  <c r="L6" i="703" s="1"/>
  <c r="R19" i="704"/>
  <c r="Q19" i="704"/>
  <c r="P37" i="704"/>
  <c r="F22" i="703"/>
  <c r="K15" i="708"/>
  <c r="AF15" i="708" s="1"/>
  <c r="AG6" i="708"/>
  <c r="L6" i="708"/>
  <c r="Q6" i="708" s="1"/>
  <c r="AF6" i="708"/>
  <c r="L16" i="708"/>
  <c r="L26" i="708" s="1"/>
  <c r="E13" i="707" s="1"/>
  <c r="K26" i="708"/>
  <c r="R71" i="708"/>
  <c r="Q71" i="708"/>
  <c r="AG51" i="710"/>
  <c r="AF51" i="710"/>
  <c r="O51" i="710"/>
  <c r="J14" i="709"/>
  <c r="O30" i="714"/>
  <c r="AG30" i="714"/>
  <c r="AF30" i="714"/>
  <c r="AF50" i="714"/>
  <c r="AG50" i="714"/>
  <c r="O50" i="714"/>
  <c r="Q71" i="716"/>
  <c r="R71" i="716"/>
  <c r="L6" i="671"/>
  <c r="L29" i="674"/>
  <c r="Q27" i="676"/>
  <c r="O37" i="676"/>
  <c r="K79" i="676"/>
  <c r="N15" i="678"/>
  <c r="AG5" i="678"/>
  <c r="AF5" i="678"/>
  <c r="AF17" i="678"/>
  <c r="AG17" i="678"/>
  <c r="L21" i="678"/>
  <c r="R21" i="678" s="1"/>
  <c r="J48" i="678"/>
  <c r="P48" i="678" s="1"/>
  <c r="R60" i="678"/>
  <c r="AF39" i="680"/>
  <c r="AG39" i="680"/>
  <c r="P53" i="680"/>
  <c r="L53" i="680"/>
  <c r="R53" i="680" s="1"/>
  <c r="O61" i="680"/>
  <c r="AF61" i="680"/>
  <c r="AF8" i="682"/>
  <c r="AG8" i="682"/>
  <c r="P28" i="682"/>
  <c r="J37" i="682"/>
  <c r="P37" i="682" s="1"/>
  <c r="L28" i="682"/>
  <c r="L37" i="682" s="1"/>
  <c r="F13" i="681" s="1"/>
  <c r="N48" i="682"/>
  <c r="O39" i="682"/>
  <c r="K69" i="682"/>
  <c r="L59" i="682"/>
  <c r="L69" i="682" s="1"/>
  <c r="I13" i="681" s="1"/>
  <c r="AD2" i="684"/>
  <c r="D20" i="683"/>
  <c r="O19" i="684"/>
  <c r="AG19" i="684"/>
  <c r="AF19" i="684"/>
  <c r="L6" i="686"/>
  <c r="P26" i="686"/>
  <c r="E22" i="685"/>
  <c r="I1" i="686"/>
  <c r="AF29" i="686"/>
  <c r="O29" i="686"/>
  <c r="L6" i="687"/>
  <c r="AG51" i="688"/>
  <c r="AF51" i="688"/>
  <c r="AG38" i="692"/>
  <c r="N48" i="692"/>
  <c r="AF38" i="692"/>
  <c r="O38" i="692"/>
  <c r="AG53" i="692"/>
  <c r="AF53" i="692"/>
  <c r="O53" i="692"/>
  <c r="J37" i="694"/>
  <c r="AG61" i="694"/>
  <c r="AF61" i="694"/>
  <c r="K26" i="696"/>
  <c r="L16" i="696"/>
  <c r="L26" i="696" s="1"/>
  <c r="E13" i="695" s="1"/>
  <c r="O19" i="696"/>
  <c r="AF19" i="696"/>
  <c r="AG19" i="696"/>
  <c r="O27" i="698"/>
  <c r="N37" i="698"/>
  <c r="AG27" i="698"/>
  <c r="AF27" i="698"/>
  <c r="L48" i="698"/>
  <c r="G13" i="697" s="1"/>
  <c r="AG53" i="698"/>
  <c r="AF53" i="698"/>
  <c r="N48" i="700"/>
  <c r="AG38" i="700"/>
  <c r="O38" i="700"/>
  <c r="Q72" i="700"/>
  <c r="R72" i="700"/>
  <c r="P37" i="708"/>
  <c r="F22" i="707"/>
  <c r="M6" i="711"/>
  <c r="AE2" i="712"/>
  <c r="F21" i="711"/>
  <c r="R18" i="714"/>
  <c r="Q18" i="714"/>
  <c r="R7" i="716"/>
  <c r="Q7" i="716"/>
  <c r="D18" i="715"/>
  <c r="L6" i="715" s="1"/>
  <c r="Z2" i="716"/>
  <c r="N79" i="720"/>
  <c r="O70" i="720"/>
  <c r="AG70" i="720"/>
  <c r="AF70" i="720"/>
  <c r="R74" i="720"/>
  <c r="Q74" i="720"/>
  <c r="AF29" i="723"/>
  <c r="AG29" i="723"/>
  <c r="P7" i="684"/>
  <c r="J15" i="684"/>
  <c r="P15" i="684" s="1"/>
  <c r="R21" i="684"/>
  <c r="O52" i="684"/>
  <c r="AG52" i="684"/>
  <c r="AF52" i="684"/>
  <c r="N26" i="690"/>
  <c r="AG16" i="690"/>
  <c r="AF16" i="690"/>
  <c r="O16" i="690"/>
  <c r="AG29" i="690"/>
  <c r="AF29" i="690"/>
  <c r="O29" i="690"/>
  <c r="Q32" i="690"/>
  <c r="R32" i="690"/>
  <c r="P50" i="690"/>
  <c r="J58" i="690"/>
  <c r="L63" i="690"/>
  <c r="L69" i="690" s="1"/>
  <c r="I13" i="689" s="1"/>
  <c r="P63" i="690"/>
  <c r="J69" i="690"/>
  <c r="R17" i="692"/>
  <c r="Q17" i="692"/>
  <c r="AF27" i="692"/>
  <c r="N37" i="692"/>
  <c r="AG27" i="692"/>
  <c r="R61" i="692"/>
  <c r="G1" i="694"/>
  <c r="AG38" i="694"/>
  <c r="N48" i="694"/>
  <c r="AF38" i="694"/>
  <c r="O38" i="694"/>
  <c r="R61" i="694"/>
  <c r="Q61" i="694"/>
  <c r="AF16" i="696"/>
  <c r="N26" i="696"/>
  <c r="AG16" i="696"/>
  <c r="J58" i="696"/>
  <c r="P58" i="696" s="1"/>
  <c r="AF50" i="696"/>
  <c r="AG50" i="696"/>
  <c r="AG17" i="698"/>
  <c r="AF17" i="698"/>
  <c r="AF30" i="698"/>
  <c r="O30" i="698"/>
  <c r="R50" i="698"/>
  <c r="Q50" i="698"/>
  <c r="R53" i="698"/>
  <c r="G1" i="702"/>
  <c r="O6" i="702"/>
  <c r="AG6" i="702"/>
  <c r="AF6" i="702"/>
  <c r="O71" i="706"/>
  <c r="N79" i="706"/>
  <c r="R73" i="706"/>
  <c r="Q73" i="706"/>
  <c r="R6" i="708"/>
  <c r="L37" i="708"/>
  <c r="F13" i="707" s="1"/>
  <c r="O16" i="712"/>
  <c r="AG16" i="712"/>
  <c r="AF16" i="712"/>
  <c r="N26" i="712"/>
  <c r="G1" i="714"/>
  <c r="Q72" i="714"/>
  <c r="R74" i="714"/>
  <c r="Q74" i="714"/>
  <c r="AF28" i="716"/>
  <c r="N37" i="716"/>
  <c r="AG28" i="716"/>
  <c r="Q50" i="716"/>
  <c r="R50" i="716"/>
  <c r="O29" i="723"/>
  <c r="R27" i="678"/>
  <c r="Q27" i="678"/>
  <c r="Q28" i="678"/>
  <c r="Q41" i="678"/>
  <c r="AG60" i="678"/>
  <c r="E21" i="679"/>
  <c r="AE2" i="680"/>
  <c r="AG29" i="680"/>
  <c r="AF29" i="680"/>
  <c r="AG38" i="680"/>
  <c r="AF38" i="680"/>
  <c r="AG49" i="680"/>
  <c r="N58" i="680"/>
  <c r="AF49" i="680"/>
  <c r="Q53" i="680"/>
  <c r="P79" i="680"/>
  <c r="L18" i="682"/>
  <c r="AG28" i="682"/>
  <c r="AF28" i="682"/>
  <c r="O28" i="682"/>
  <c r="AG39" i="682"/>
  <c r="L51" i="682"/>
  <c r="P79" i="682"/>
  <c r="L6" i="683"/>
  <c r="D21" i="683"/>
  <c r="K15" i="684"/>
  <c r="L7" i="684"/>
  <c r="AF51" i="684"/>
  <c r="O51" i="684"/>
  <c r="G21" i="685"/>
  <c r="R19" i="686"/>
  <c r="Q19" i="686"/>
  <c r="P28" i="686"/>
  <c r="J37" i="686"/>
  <c r="P37" i="686" s="1"/>
  <c r="AG29" i="688"/>
  <c r="AG18" i="690"/>
  <c r="O18" i="690"/>
  <c r="R21" i="690"/>
  <c r="Q21" i="690"/>
  <c r="Z2" i="690"/>
  <c r="E18" i="689"/>
  <c r="L6" i="689" s="1"/>
  <c r="AF17" i="692"/>
  <c r="AG19" i="692"/>
  <c r="AF19" i="692"/>
  <c r="O27" i="692"/>
  <c r="AG40" i="692"/>
  <c r="AF40" i="692"/>
  <c r="J79" i="692"/>
  <c r="P79" i="692" s="1"/>
  <c r="P70" i="692"/>
  <c r="AA2" i="692"/>
  <c r="J18" i="691"/>
  <c r="L8" i="694"/>
  <c r="Q8" i="694" s="1"/>
  <c r="AF8" i="694"/>
  <c r="AG16" i="694"/>
  <c r="AF16" i="694"/>
  <c r="N26" i="694"/>
  <c r="O16" i="694"/>
  <c r="AF18" i="694"/>
  <c r="AG18" i="694"/>
  <c r="R21" i="694"/>
  <c r="Q21" i="694"/>
  <c r="L29" i="694"/>
  <c r="L37" i="694" s="1"/>
  <c r="F13" i="693" s="1"/>
  <c r="P52" i="694"/>
  <c r="J58" i="694"/>
  <c r="P58" i="694" s="1"/>
  <c r="J69" i="694"/>
  <c r="P69" i="694" s="1"/>
  <c r="P60" i="694"/>
  <c r="N79" i="694"/>
  <c r="O70" i="694"/>
  <c r="AG70" i="694"/>
  <c r="AF70" i="694"/>
  <c r="O16" i="696"/>
  <c r="E22" i="695"/>
  <c r="P26" i="696"/>
  <c r="O50" i="696"/>
  <c r="N6" i="697"/>
  <c r="O17" i="698"/>
  <c r="AG30" i="698"/>
  <c r="P32" i="698"/>
  <c r="P51" i="702"/>
  <c r="J58" i="702"/>
  <c r="P58" i="702" s="1"/>
  <c r="AF8" i="704"/>
  <c r="AG8" i="704"/>
  <c r="O8" i="704"/>
  <c r="O70" i="704"/>
  <c r="AG70" i="704"/>
  <c r="AG6" i="706"/>
  <c r="AF6" i="706"/>
  <c r="O6" i="706"/>
  <c r="R21" i="706"/>
  <c r="Q21" i="706"/>
  <c r="P69" i="712"/>
  <c r="I22" i="711"/>
  <c r="Q20" i="716"/>
  <c r="R20" i="716"/>
  <c r="AG28" i="674"/>
  <c r="L38" i="676"/>
  <c r="L48" i="676" s="1"/>
  <c r="G13" i="675" s="1"/>
  <c r="L59" i="676"/>
  <c r="AF62" i="676"/>
  <c r="L20" i="678"/>
  <c r="R20" i="678" s="1"/>
  <c r="L6" i="679"/>
  <c r="O17" i="680"/>
  <c r="AG17" i="680"/>
  <c r="AF17" i="680"/>
  <c r="L30" i="680"/>
  <c r="R30" i="680" s="1"/>
  <c r="AG6" i="682"/>
  <c r="AF6" i="682"/>
  <c r="R22" i="682"/>
  <c r="Q22" i="682"/>
  <c r="O60" i="682"/>
  <c r="AG60" i="682"/>
  <c r="AF60" i="682"/>
  <c r="J26" i="684"/>
  <c r="P26" i="684" s="1"/>
  <c r="R18" i="684"/>
  <c r="Q18" i="684"/>
  <c r="R20" i="684"/>
  <c r="R34" i="684"/>
  <c r="Q34" i="684"/>
  <c r="L71" i="684"/>
  <c r="R71" i="684" s="1"/>
  <c r="J15" i="686"/>
  <c r="P5" i="686"/>
  <c r="N15" i="686"/>
  <c r="O16" i="686"/>
  <c r="N26" i="686"/>
  <c r="K26" i="686"/>
  <c r="N37" i="686"/>
  <c r="O27" i="686"/>
  <c r="AG27" i="686"/>
  <c r="AF27" i="686"/>
  <c r="R30" i="686"/>
  <c r="Q30" i="686"/>
  <c r="AG70" i="686"/>
  <c r="O70" i="686"/>
  <c r="AF70" i="686"/>
  <c r="N79" i="686"/>
  <c r="P26" i="688"/>
  <c r="E22" i="687"/>
  <c r="AG52" i="688"/>
  <c r="AF52" i="688"/>
  <c r="L70" i="688"/>
  <c r="L79" i="688" s="1"/>
  <c r="J13" i="687" s="1"/>
  <c r="AF29" i="694"/>
  <c r="O29" i="694"/>
  <c r="AG29" i="694"/>
  <c r="F22" i="693"/>
  <c r="P37" i="694"/>
  <c r="K69" i="694"/>
  <c r="AF59" i="694"/>
  <c r="O28" i="698"/>
  <c r="AG28" i="698"/>
  <c r="AF28" i="698"/>
  <c r="L26" i="700"/>
  <c r="E13" i="699" s="1"/>
  <c r="K26" i="700"/>
  <c r="O60" i="700"/>
  <c r="AG60" i="700"/>
  <c r="AF60" i="700"/>
  <c r="N79" i="700"/>
  <c r="AG70" i="700"/>
  <c r="AF70" i="700"/>
  <c r="M6" i="701"/>
  <c r="O59" i="702"/>
  <c r="N69" i="702"/>
  <c r="AG59" i="702"/>
  <c r="AD2" i="704"/>
  <c r="E20" i="703"/>
  <c r="O15" i="706"/>
  <c r="E18" i="705"/>
  <c r="Z2" i="706"/>
  <c r="Q72" i="708"/>
  <c r="R72" i="708"/>
  <c r="Q79" i="710"/>
  <c r="AF79" i="710"/>
  <c r="AG79" i="710"/>
  <c r="AH70" i="710" s="1"/>
  <c r="R20" i="712"/>
  <c r="Q20" i="712"/>
  <c r="R52" i="712"/>
  <c r="Q52" i="712"/>
  <c r="H22" i="711"/>
  <c r="I1" i="712"/>
  <c r="L5" i="714"/>
  <c r="L15" i="714" s="1"/>
  <c r="D13" i="713" s="1"/>
  <c r="K15" i="714"/>
  <c r="AG5" i="714"/>
  <c r="D20" i="713"/>
  <c r="AD2" i="714"/>
  <c r="R28" i="714"/>
  <c r="Q28" i="714"/>
  <c r="K48" i="718"/>
  <c r="L38" i="718"/>
  <c r="L38" i="720"/>
  <c r="AG38" i="720"/>
  <c r="AG39" i="723"/>
  <c r="AF39" i="723"/>
  <c r="O39" i="723"/>
  <c r="N48" i="723"/>
  <c r="AG17" i="688"/>
  <c r="AF17" i="688"/>
  <c r="O17" i="688"/>
  <c r="N26" i="688"/>
  <c r="AF6" i="690"/>
  <c r="AG6" i="690"/>
  <c r="R31" i="690"/>
  <c r="Q31" i="690"/>
  <c r="O49" i="690"/>
  <c r="N58" i="690"/>
  <c r="P52" i="690"/>
  <c r="L52" i="690"/>
  <c r="R52" i="690" s="1"/>
  <c r="AG61" i="690"/>
  <c r="AF61" i="690"/>
  <c r="O61" i="690"/>
  <c r="D21" i="691"/>
  <c r="AE2" i="692"/>
  <c r="Q20" i="692"/>
  <c r="J58" i="692"/>
  <c r="P58" i="692" s="1"/>
  <c r="Q63" i="692"/>
  <c r="R63" i="692"/>
  <c r="AF17" i="694"/>
  <c r="AG17" i="694"/>
  <c r="O17" i="694"/>
  <c r="L69" i="694"/>
  <c r="I13" i="693" s="1"/>
  <c r="AF29" i="696"/>
  <c r="O29" i="696"/>
  <c r="O51" i="696"/>
  <c r="AG51" i="696"/>
  <c r="AF51" i="696"/>
  <c r="D19" i="697"/>
  <c r="M6" i="697" s="1"/>
  <c r="AA2" i="698"/>
  <c r="R72" i="698"/>
  <c r="Q72" i="698"/>
  <c r="N6" i="699"/>
  <c r="O6" i="699"/>
  <c r="AF16" i="700"/>
  <c r="N26" i="700"/>
  <c r="O18" i="700"/>
  <c r="AG18" i="700"/>
  <c r="AF18" i="700"/>
  <c r="E22" i="699"/>
  <c r="P26" i="700"/>
  <c r="AG52" i="700"/>
  <c r="AF52" i="700"/>
  <c r="R59" i="700"/>
  <c r="Q59" i="700"/>
  <c r="Q70" i="700"/>
  <c r="O79" i="700"/>
  <c r="R33" i="702"/>
  <c r="Q33" i="702"/>
  <c r="Q71" i="702"/>
  <c r="R21" i="704"/>
  <c r="Q21" i="704"/>
  <c r="P32" i="704"/>
  <c r="L32" i="704"/>
  <c r="R32" i="704" s="1"/>
  <c r="F21" i="703"/>
  <c r="AE2" i="704"/>
  <c r="Q51" i="704"/>
  <c r="R51" i="704"/>
  <c r="L28" i="706"/>
  <c r="J37" i="706"/>
  <c r="O63" i="706"/>
  <c r="N69" i="706"/>
  <c r="AG5" i="708"/>
  <c r="AF5" i="708"/>
  <c r="O5" i="708"/>
  <c r="R20" i="708"/>
  <c r="Q20" i="708"/>
  <c r="H21" i="709"/>
  <c r="AE2" i="710"/>
  <c r="Q72" i="710"/>
  <c r="R61" i="712"/>
  <c r="Q61" i="712"/>
  <c r="D21" i="713"/>
  <c r="AE2" i="714"/>
  <c r="P72" i="714"/>
  <c r="L72" i="714"/>
  <c r="R72" i="714" s="1"/>
  <c r="P79" i="714"/>
  <c r="J22" i="713"/>
  <c r="AG38" i="718"/>
  <c r="O38" i="718"/>
  <c r="AF38" i="718"/>
  <c r="N48" i="718"/>
  <c r="AG31" i="720"/>
  <c r="AF31" i="720"/>
  <c r="O31" i="720"/>
  <c r="N58" i="686"/>
  <c r="O49" i="686"/>
  <c r="AG52" i="686"/>
  <c r="AF52" i="686"/>
  <c r="O52" i="686"/>
  <c r="AF19" i="688"/>
  <c r="AG19" i="688"/>
  <c r="L51" i="688"/>
  <c r="R51" i="688" s="1"/>
  <c r="P51" i="688"/>
  <c r="I22" i="687"/>
  <c r="O6" i="690"/>
  <c r="L16" i="690"/>
  <c r="L26" i="690" s="1"/>
  <c r="E13" i="689" s="1"/>
  <c r="K26" i="690"/>
  <c r="AG17" i="690"/>
  <c r="AF17" i="690"/>
  <c r="O17" i="690"/>
  <c r="AG19" i="690"/>
  <c r="AF19" i="690"/>
  <c r="O19" i="690"/>
  <c r="AF49" i="690"/>
  <c r="K48" i="692"/>
  <c r="J48" i="692"/>
  <c r="P48" i="692" s="1"/>
  <c r="AG50" i="692"/>
  <c r="O50" i="692"/>
  <c r="AF52" i="692"/>
  <c r="AG52" i="692"/>
  <c r="AD2" i="694"/>
  <c r="D20" i="693"/>
  <c r="O69" i="694"/>
  <c r="R59" i="694"/>
  <c r="Q59" i="694"/>
  <c r="AA2" i="696"/>
  <c r="D19" i="695"/>
  <c r="M6" i="695" s="1"/>
  <c r="Q18" i="696"/>
  <c r="R18" i="696"/>
  <c r="AG29" i="696"/>
  <c r="L33" i="696"/>
  <c r="Q33" i="696" s="1"/>
  <c r="P33" i="696"/>
  <c r="L69" i="696"/>
  <c r="I13" i="695" s="1"/>
  <c r="J6" i="695" s="1"/>
  <c r="P39" i="698"/>
  <c r="L39" i="698"/>
  <c r="O49" i="698"/>
  <c r="N58" i="698"/>
  <c r="AG49" i="698"/>
  <c r="AG50" i="698"/>
  <c r="AF50" i="698"/>
  <c r="AF61" i="698"/>
  <c r="O61" i="698"/>
  <c r="G1" i="700"/>
  <c r="AG16" i="700"/>
  <c r="R21" i="700"/>
  <c r="Q21" i="700"/>
  <c r="O52" i="700"/>
  <c r="N58" i="700"/>
  <c r="J79" i="704"/>
  <c r="P79" i="704" s="1"/>
  <c r="P70" i="704"/>
  <c r="P28" i="706"/>
  <c r="L31" i="706"/>
  <c r="L33" i="706"/>
  <c r="R33" i="706" s="1"/>
  <c r="P62" i="706"/>
  <c r="J69" i="706"/>
  <c r="P69" i="706" s="1"/>
  <c r="J69" i="708"/>
  <c r="J79" i="708" s="1"/>
  <c r="P59" i="708"/>
  <c r="L59" i="708"/>
  <c r="M6" i="709"/>
  <c r="R40" i="710"/>
  <c r="Q40" i="710"/>
  <c r="R72" i="710"/>
  <c r="Q5" i="716"/>
  <c r="O15" i="716"/>
  <c r="R5" i="716"/>
  <c r="K48" i="720"/>
  <c r="O48" i="682"/>
  <c r="L72" i="682"/>
  <c r="Q72" i="682" s="1"/>
  <c r="AG6" i="684"/>
  <c r="O6" i="684"/>
  <c r="J79" i="684"/>
  <c r="P79" i="684" s="1"/>
  <c r="P70" i="684"/>
  <c r="O6" i="685"/>
  <c r="N6" i="685"/>
  <c r="D19" i="685"/>
  <c r="M6" i="685" s="1"/>
  <c r="AA2" i="686"/>
  <c r="AF49" i="686"/>
  <c r="O16" i="688"/>
  <c r="O19" i="688"/>
  <c r="Q52" i="688"/>
  <c r="D22" i="689"/>
  <c r="I1" i="690"/>
  <c r="L30" i="690"/>
  <c r="P30" i="690"/>
  <c r="AG49" i="690"/>
  <c r="O60" i="690"/>
  <c r="AG60" i="690"/>
  <c r="R20" i="692"/>
  <c r="L38" i="692"/>
  <c r="L48" i="692" s="1"/>
  <c r="G13" i="691" s="1"/>
  <c r="AF50" i="692"/>
  <c r="O52" i="692"/>
  <c r="AE2" i="694"/>
  <c r="D21" i="693"/>
  <c r="Q33" i="694"/>
  <c r="R33" i="694"/>
  <c r="L40" i="694"/>
  <c r="Q40" i="694" s="1"/>
  <c r="AG40" i="694"/>
  <c r="O41" i="694"/>
  <c r="AG41" i="694"/>
  <c r="O28" i="696"/>
  <c r="O40" i="696"/>
  <c r="O48" i="696" s="1"/>
  <c r="AF40" i="696"/>
  <c r="N69" i="696"/>
  <c r="AG59" i="696"/>
  <c r="O60" i="696"/>
  <c r="O69" i="696" s="1"/>
  <c r="AG60" i="696"/>
  <c r="AF60" i="696"/>
  <c r="AG7" i="702"/>
  <c r="AF7" i="702"/>
  <c r="O27" i="702"/>
  <c r="N37" i="702"/>
  <c r="AG27" i="702"/>
  <c r="AF7" i="704"/>
  <c r="AG7" i="704"/>
  <c r="N15" i="704"/>
  <c r="O26" i="706"/>
  <c r="R16" i="706"/>
  <c r="Q16" i="706"/>
  <c r="N48" i="706"/>
  <c r="AG38" i="706"/>
  <c r="AF38" i="706"/>
  <c r="O38" i="706"/>
  <c r="L59" i="706"/>
  <c r="L69" i="706" s="1"/>
  <c r="I13" i="705" s="1"/>
  <c r="J6" i="705" s="1"/>
  <c r="K69" i="706"/>
  <c r="Q74" i="708"/>
  <c r="R74" i="708"/>
  <c r="O58" i="712"/>
  <c r="Q49" i="712"/>
  <c r="R51" i="712"/>
  <c r="Q51" i="712"/>
  <c r="AG30" i="716"/>
  <c r="AF30" i="716"/>
  <c r="O30" i="716"/>
  <c r="R38" i="716"/>
  <c r="O48" i="716"/>
  <c r="Q38" i="716"/>
  <c r="R71" i="725"/>
  <c r="Q71" i="725"/>
  <c r="P58" i="723"/>
  <c r="H22" i="722"/>
  <c r="R30" i="682"/>
  <c r="J58" i="682"/>
  <c r="P58" i="682" s="1"/>
  <c r="O59" i="684"/>
  <c r="N69" i="684"/>
  <c r="I22" i="683"/>
  <c r="P69" i="684"/>
  <c r="Q71" i="684"/>
  <c r="L5" i="686"/>
  <c r="AG51" i="686"/>
  <c r="AF51" i="686"/>
  <c r="O61" i="688"/>
  <c r="AG61" i="688"/>
  <c r="L29" i="690"/>
  <c r="P29" i="690"/>
  <c r="L50" i="690"/>
  <c r="K58" i="690"/>
  <c r="N79" i="690"/>
  <c r="L6" i="693"/>
  <c r="AG51" i="694"/>
  <c r="AF52" i="694"/>
  <c r="O52" i="694"/>
  <c r="R33" i="696"/>
  <c r="Q53" i="696"/>
  <c r="AG31" i="698"/>
  <c r="O31" i="698"/>
  <c r="AF38" i="698"/>
  <c r="N48" i="698"/>
  <c r="AG38" i="698"/>
  <c r="O38" i="698"/>
  <c r="AF52" i="698"/>
  <c r="AG52" i="698"/>
  <c r="O52" i="698"/>
  <c r="P61" i="698"/>
  <c r="L61" i="698"/>
  <c r="N79" i="698"/>
  <c r="O5" i="702"/>
  <c r="AF5" i="702"/>
  <c r="N15" i="702"/>
  <c r="L26" i="702"/>
  <c r="E13" i="701" s="1"/>
  <c r="O38" i="704"/>
  <c r="N48" i="704"/>
  <c r="AF38" i="704"/>
  <c r="Q50" i="704"/>
  <c r="G1" i="708"/>
  <c r="N69" i="708"/>
  <c r="L52" i="710"/>
  <c r="P52" i="710"/>
  <c r="Q17" i="714"/>
  <c r="R17" i="714"/>
  <c r="Q19" i="716"/>
  <c r="R19" i="716"/>
  <c r="E22" i="715"/>
  <c r="P26" i="716"/>
  <c r="P73" i="716"/>
  <c r="L73" i="716"/>
  <c r="R73" i="716" s="1"/>
  <c r="R60" i="720"/>
  <c r="Q60" i="720"/>
  <c r="R61" i="720"/>
  <c r="Q61" i="720"/>
  <c r="AG28" i="723"/>
  <c r="O28" i="723"/>
  <c r="AF28" i="723"/>
  <c r="R30" i="725"/>
  <c r="L6" i="676"/>
  <c r="R6" i="676" s="1"/>
  <c r="K69" i="676"/>
  <c r="P37" i="678"/>
  <c r="K58" i="680"/>
  <c r="L49" i="680"/>
  <c r="AG50" i="680"/>
  <c r="AF50" i="680"/>
  <c r="AF51" i="680"/>
  <c r="AF30" i="682"/>
  <c r="L49" i="682"/>
  <c r="L50" i="682"/>
  <c r="K79" i="682"/>
  <c r="AG79" i="682" s="1"/>
  <c r="AH70" i="682" s="1"/>
  <c r="J37" i="684"/>
  <c r="AF59" i="684"/>
  <c r="AF60" i="684"/>
  <c r="L17" i="686"/>
  <c r="Q17" i="686" s="1"/>
  <c r="L31" i="686"/>
  <c r="G22" i="685"/>
  <c r="P48" i="686"/>
  <c r="O51" i="686"/>
  <c r="L59" i="686"/>
  <c r="L69" i="686" s="1"/>
  <c r="I13" i="685" s="1"/>
  <c r="J15" i="688"/>
  <c r="P15" i="688" s="1"/>
  <c r="P6" i="688"/>
  <c r="O27" i="688"/>
  <c r="AG27" i="688"/>
  <c r="N37" i="688"/>
  <c r="L49" i="688"/>
  <c r="AF61" i="688"/>
  <c r="N79" i="688"/>
  <c r="O70" i="688"/>
  <c r="Q52" i="690"/>
  <c r="L60" i="690"/>
  <c r="O70" i="690"/>
  <c r="AG7" i="692"/>
  <c r="O7" i="692"/>
  <c r="AF7" i="692"/>
  <c r="AG39" i="692"/>
  <c r="AF39" i="692"/>
  <c r="P7" i="694"/>
  <c r="J15" i="694"/>
  <c r="P15" i="694" s="1"/>
  <c r="L42" i="694"/>
  <c r="R42" i="694" s="1"/>
  <c r="O51" i="694"/>
  <c r="P70" i="694"/>
  <c r="L70" i="694"/>
  <c r="J79" i="694"/>
  <c r="L6" i="695"/>
  <c r="AG31" i="696"/>
  <c r="O31" i="696"/>
  <c r="L40" i="696"/>
  <c r="L48" i="696" s="1"/>
  <c r="G13" i="695" s="1"/>
  <c r="Z2" i="698"/>
  <c r="P26" i="698"/>
  <c r="I1" i="698"/>
  <c r="J69" i="698"/>
  <c r="P69" i="698" s="1"/>
  <c r="O71" i="698"/>
  <c r="AF27" i="700"/>
  <c r="AG27" i="700"/>
  <c r="O27" i="700"/>
  <c r="N37" i="700"/>
  <c r="R73" i="700"/>
  <c r="N26" i="702"/>
  <c r="AF16" i="702"/>
  <c r="O16" i="702"/>
  <c r="AE2" i="702"/>
  <c r="P50" i="702"/>
  <c r="L50" i="702"/>
  <c r="E22" i="703"/>
  <c r="P26" i="704"/>
  <c r="L28" i="704"/>
  <c r="R28" i="704" s="1"/>
  <c r="P28" i="704"/>
  <c r="O29" i="704"/>
  <c r="AF29" i="704"/>
  <c r="AF31" i="704"/>
  <c r="O31" i="704"/>
  <c r="AG31" i="704"/>
  <c r="AG38" i="704"/>
  <c r="AG52" i="704"/>
  <c r="AF52" i="704"/>
  <c r="O52" i="704"/>
  <c r="R71" i="704"/>
  <c r="Q71" i="704"/>
  <c r="O60" i="706"/>
  <c r="AG60" i="706"/>
  <c r="AF60" i="706"/>
  <c r="AG19" i="708"/>
  <c r="AF19" i="708"/>
  <c r="O19" i="708"/>
  <c r="AG59" i="712"/>
  <c r="AF59" i="712"/>
  <c r="O59" i="712"/>
  <c r="N69" i="714"/>
  <c r="O59" i="714"/>
  <c r="L48" i="716"/>
  <c r="G13" i="715" s="1"/>
  <c r="O52" i="718"/>
  <c r="AG52" i="718"/>
  <c r="AF52" i="718"/>
  <c r="R59" i="718"/>
  <c r="Q59" i="718"/>
  <c r="AG53" i="720"/>
  <c r="O53" i="720"/>
  <c r="AF53" i="720"/>
  <c r="Q69" i="725"/>
  <c r="AF69" i="725"/>
  <c r="L40" i="678"/>
  <c r="L48" i="678" s="1"/>
  <c r="G13" i="677" s="1"/>
  <c r="N58" i="678"/>
  <c r="O49" i="678"/>
  <c r="K69" i="678"/>
  <c r="K79" i="678" s="1"/>
  <c r="Q62" i="678"/>
  <c r="L27" i="680"/>
  <c r="L37" i="680" s="1"/>
  <c r="F13" i="679" s="1"/>
  <c r="P27" i="680"/>
  <c r="J37" i="680"/>
  <c r="P37" i="680" s="1"/>
  <c r="P58" i="680"/>
  <c r="L60" i="680"/>
  <c r="Q60" i="680" s="1"/>
  <c r="AG18" i="682"/>
  <c r="AF18" i="682"/>
  <c r="O18" i="682"/>
  <c r="AG70" i="682"/>
  <c r="AF70" i="682"/>
  <c r="L26" i="684"/>
  <c r="E13" i="683" s="1"/>
  <c r="K15" i="688"/>
  <c r="L5" i="692"/>
  <c r="K15" i="692"/>
  <c r="L49" i="692"/>
  <c r="L61" i="692"/>
  <c r="Q61" i="692" s="1"/>
  <c r="AG62" i="692"/>
  <c r="AF62" i="692"/>
  <c r="O30" i="694"/>
  <c r="AG30" i="694"/>
  <c r="AG59" i="694"/>
  <c r="N69" i="694"/>
  <c r="O6" i="696"/>
  <c r="O15" i="696" s="1"/>
  <c r="AF6" i="696"/>
  <c r="AG6" i="696"/>
  <c r="O7" i="696"/>
  <c r="AG7" i="696"/>
  <c r="AF7" i="696"/>
  <c r="AD2" i="696"/>
  <c r="D20" i="695"/>
  <c r="AF18" i="698"/>
  <c r="AG18" i="698"/>
  <c r="Q5" i="700"/>
  <c r="O15" i="700"/>
  <c r="AG39" i="700"/>
  <c r="O39" i="700"/>
  <c r="AF39" i="700"/>
  <c r="AG51" i="700"/>
  <c r="AF51" i="700"/>
  <c r="O51" i="700"/>
  <c r="N6" i="701"/>
  <c r="I1" i="702"/>
  <c r="P15" i="702"/>
  <c r="AG29" i="702"/>
  <c r="AF29" i="702"/>
  <c r="O48" i="702"/>
  <c r="Q38" i="702"/>
  <c r="L58" i="704"/>
  <c r="H13" i="703" s="1"/>
  <c r="K79" i="704"/>
  <c r="Q79" i="704" s="1"/>
  <c r="L70" i="704"/>
  <c r="L79" i="704" s="1"/>
  <c r="J13" i="703" s="1"/>
  <c r="L62" i="706"/>
  <c r="R62" i="706" s="1"/>
  <c r="J22" i="705"/>
  <c r="P79" i="706"/>
  <c r="K69" i="708"/>
  <c r="K79" i="708" s="1"/>
  <c r="R19" i="710"/>
  <c r="Q19" i="710"/>
  <c r="K58" i="710"/>
  <c r="AG49" i="710"/>
  <c r="AF49" i="710"/>
  <c r="L61" i="710"/>
  <c r="L69" i="710" s="1"/>
  <c r="I13" i="709" s="1"/>
  <c r="K69" i="710"/>
  <c r="AG61" i="710"/>
  <c r="R32" i="712"/>
  <c r="Q32" i="712"/>
  <c r="K58" i="712"/>
  <c r="L49" i="712"/>
  <c r="L58" i="712" s="1"/>
  <c r="H13" i="711" s="1"/>
  <c r="P51" i="712"/>
  <c r="J58" i="712"/>
  <c r="P58" i="712" s="1"/>
  <c r="AF69" i="712"/>
  <c r="Q69" i="712"/>
  <c r="AF38" i="714"/>
  <c r="N48" i="714"/>
  <c r="O38" i="714"/>
  <c r="AG38" i="714"/>
  <c r="N37" i="718"/>
  <c r="AG27" i="718"/>
  <c r="O27" i="718"/>
  <c r="AF27" i="718"/>
  <c r="AG40" i="718"/>
  <c r="AF40" i="718"/>
  <c r="AG50" i="718"/>
  <c r="AF50" i="718"/>
  <c r="AG5" i="720"/>
  <c r="K15" i="720"/>
  <c r="P70" i="720"/>
  <c r="L70" i="720"/>
  <c r="L38" i="723"/>
  <c r="L48" i="723" s="1"/>
  <c r="G13" i="722" s="1"/>
  <c r="AG38" i="723"/>
  <c r="K48" i="723"/>
  <c r="AG58" i="718"/>
  <c r="AH49" i="718" s="1"/>
  <c r="O73" i="718"/>
  <c r="O79" i="718" s="1"/>
  <c r="N79" i="718"/>
  <c r="O28" i="720"/>
  <c r="AF28" i="720"/>
  <c r="AA2" i="720"/>
  <c r="G19" i="719"/>
  <c r="M6" i="719" s="1"/>
  <c r="Q8" i="725"/>
  <c r="R8" i="725"/>
  <c r="L49" i="605"/>
  <c r="L58" i="605" s="1"/>
  <c r="H13" i="604" s="1"/>
  <c r="AF19" i="678"/>
  <c r="AF49" i="678"/>
  <c r="L59" i="678"/>
  <c r="AF62" i="678"/>
  <c r="O18" i="680"/>
  <c r="O19" i="680"/>
  <c r="AE2" i="682"/>
  <c r="P49" i="682"/>
  <c r="O52" i="682"/>
  <c r="O70" i="682"/>
  <c r="AF5" i="684"/>
  <c r="N15" i="684"/>
  <c r="AG5" i="684"/>
  <c r="D22" i="685"/>
  <c r="P15" i="686"/>
  <c r="L16" i="686"/>
  <c r="L26" i="686" s="1"/>
  <c r="E13" i="685" s="1"/>
  <c r="R17" i="686"/>
  <c r="L38" i="686"/>
  <c r="L48" i="686" s="1"/>
  <c r="G13" i="685" s="1"/>
  <c r="N69" i="686"/>
  <c r="O59" i="686"/>
  <c r="L5" i="688"/>
  <c r="L15" i="688" s="1"/>
  <c r="D13" i="687" s="1"/>
  <c r="Z2" i="688"/>
  <c r="O39" i="688"/>
  <c r="Q49" i="688"/>
  <c r="L40" i="690"/>
  <c r="L48" i="690" s="1"/>
  <c r="G13" i="689" s="1"/>
  <c r="AF70" i="690"/>
  <c r="Q5" i="692"/>
  <c r="AF61" i="692"/>
  <c r="AG61" i="692"/>
  <c r="O62" i="692"/>
  <c r="L70" i="692"/>
  <c r="L79" i="692" s="1"/>
  <c r="J13" i="691" s="1"/>
  <c r="O7" i="694"/>
  <c r="AG7" i="694"/>
  <c r="AF7" i="694"/>
  <c r="AG8" i="694"/>
  <c r="Q28" i="694"/>
  <c r="K58" i="694"/>
  <c r="G1" i="696"/>
  <c r="AF18" i="696"/>
  <c r="Q52" i="696"/>
  <c r="R70" i="698"/>
  <c r="Q29" i="700"/>
  <c r="R29" i="700"/>
  <c r="AG5" i="702"/>
  <c r="R32" i="702"/>
  <c r="P72" i="704"/>
  <c r="L72" i="704"/>
  <c r="R72" i="704" s="1"/>
  <c r="AE2" i="708"/>
  <c r="E21" i="707"/>
  <c r="AG39" i="708"/>
  <c r="O39" i="708"/>
  <c r="I1" i="708"/>
  <c r="G22" i="707"/>
  <c r="P49" i="708"/>
  <c r="J58" i="708"/>
  <c r="P58" i="708" s="1"/>
  <c r="L37" i="710"/>
  <c r="F13" i="709" s="1"/>
  <c r="L58" i="710"/>
  <c r="H13" i="709" s="1"/>
  <c r="J79" i="710"/>
  <c r="P79" i="710" s="1"/>
  <c r="P70" i="710"/>
  <c r="P74" i="712"/>
  <c r="L74" i="712"/>
  <c r="R74" i="712" s="1"/>
  <c r="M6" i="713"/>
  <c r="AG19" i="714"/>
  <c r="AF19" i="714"/>
  <c r="O19" i="714"/>
  <c r="AF27" i="714"/>
  <c r="AG27" i="714"/>
  <c r="O27" i="714"/>
  <c r="R40" i="714"/>
  <c r="Q40" i="714"/>
  <c r="L31" i="716"/>
  <c r="R31" i="716" s="1"/>
  <c r="P31" i="716"/>
  <c r="N79" i="716"/>
  <c r="AF70" i="716"/>
  <c r="O70" i="716"/>
  <c r="AG70" i="716"/>
  <c r="R16" i="718"/>
  <c r="Q16" i="718"/>
  <c r="AF29" i="718"/>
  <c r="AG29" i="718"/>
  <c r="Q40" i="718"/>
  <c r="R40" i="718"/>
  <c r="R50" i="718"/>
  <c r="Q50" i="718"/>
  <c r="R29" i="725"/>
  <c r="Q29" i="725"/>
  <c r="AF39" i="678"/>
  <c r="L50" i="678"/>
  <c r="R50" i="678" s="1"/>
  <c r="L62" i="680"/>
  <c r="Q62" i="680" s="1"/>
  <c r="K37" i="684"/>
  <c r="L30" i="684"/>
  <c r="L53" i="684"/>
  <c r="L58" i="684" s="1"/>
  <c r="H13" i="683" s="1"/>
  <c r="Q72" i="684"/>
  <c r="AG19" i="686"/>
  <c r="O18" i="688"/>
  <c r="AG18" i="688"/>
  <c r="AF18" i="688"/>
  <c r="Q60" i="688"/>
  <c r="L51" i="690"/>
  <c r="Q51" i="690" s="1"/>
  <c r="N15" i="694"/>
  <c r="AG5" i="694"/>
  <c r="Q32" i="698"/>
  <c r="K48" i="698"/>
  <c r="P73" i="698"/>
  <c r="L73" i="698"/>
  <c r="R73" i="698" s="1"/>
  <c r="P71" i="700"/>
  <c r="L71" i="700"/>
  <c r="R71" i="700" s="1"/>
  <c r="R21" i="702"/>
  <c r="Q21" i="702"/>
  <c r="J69" i="702"/>
  <c r="P69" i="702" s="1"/>
  <c r="P59" i="702"/>
  <c r="D22" i="703"/>
  <c r="P15" i="704"/>
  <c r="AG28" i="706"/>
  <c r="AF28" i="706"/>
  <c r="O28" i="706"/>
  <c r="L30" i="706"/>
  <c r="AG50" i="706"/>
  <c r="O50" i="706"/>
  <c r="I1" i="706"/>
  <c r="H22" i="705"/>
  <c r="O69" i="706"/>
  <c r="Q59" i="706"/>
  <c r="AG16" i="708"/>
  <c r="N26" i="708"/>
  <c r="AF16" i="708"/>
  <c r="O16" i="708"/>
  <c r="AG18" i="708"/>
  <c r="Q8" i="710"/>
  <c r="P48" i="710"/>
  <c r="J69" i="710"/>
  <c r="P69" i="710" s="1"/>
  <c r="G1" i="712"/>
  <c r="R6" i="712"/>
  <c r="Q6" i="712"/>
  <c r="K26" i="712"/>
  <c r="O28" i="712"/>
  <c r="AG28" i="712"/>
  <c r="R72" i="712"/>
  <c r="Q72" i="712"/>
  <c r="AF51" i="714"/>
  <c r="AG51" i="714"/>
  <c r="L71" i="714"/>
  <c r="Q71" i="714" s="1"/>
  <c r="P71" i="714"/>
  <c r="P51" i="716"/>
  <c r="L51" i="716"/>
  <c r="J58" i="716"/>
  <c r="P58" i="716" s="1"/>
  <c r="AG18" i="718"/>
  <c r="O18" i="718"/>
  <c r="O26" i="718" s="1"/>
  <c r="AF18" i="718"/>
  <c r="E19" i="717"/>
  <c r="AA2" i="718"/>
  <c r="G22" i="717"/>
  <c r="AG62" i="718"/>
  <c r="AF62" i="718"/>
  <c r="O62" i="718"/>
  <c r="O69" i="718" s="1"/>
  <c r="J79" i="718"/>
  <c r="P79" i="718" s="1"/>
  <c r="O40" i="725"/>
  <c r="AG40" i="725"/>
  <c r="AF40" i="725"/>
  <c r="O39" i="678"/>
  <c r="L6" i="680"/>
  <c r="L15" i="680" s="1"/>
  <c r="D13" i="679" s="1"/>
  <c r="AF41" i="680"/>
  <c r="J58" i="684"/>
  <c r="P58" i="684" s="1"/>
  <c r="AF19" i="686"/>
  <c r="K37" i="688"/>
  <c r="L30" i="688"/>
  <c r="P37" i="688"/>
  <c r="AF60" i="688"/>
  <c r="AF29" i="692"/>
  <c r="O5" i="694"/>
  <c r="L32" i="694"/>
  <c r="Q72" i="694"/>
  <c r="L28" i="696"/>
  <c r="J48" i="696"/>
  <c r="P48" i="696" s="1"/>
  <c r="P37" i="698"/>
  <c r="AG17" i="700"/>
  <c r="AF17" i="700"/>
  <c r="K69" i="702"/>
  <c r="L59" i="702"/>
  <c r="L69" i="702" s="1"/>
  <c r="I13" i="701" s="1"/>
  <c r="R72" i="702"/>
  <c r="Q72" i="702"/>
  <c r="G1" i="704"/>
  <c r="R20" i="704"/>
  <c r="Q20" i="704"/>
  <c r="P27" i="704"/>
  <c r="J37" i="704"/>
  <c r="L27" i="704"/>
  <c r="L37" i="704" s="1"/>
  <c r="F13" i="703" s="1"/>
  <c r="AG30" i="704"/>
  <c r="AF30" i="704"/>
  <c r="O30" i="704"/>
  <c r="Q34" i="704"/>
  <c r="Q39" i="704"/>
  <c r="R39" i="704"/>
  <c r="O52" i="706"/>
  <c r="AG52" i="706"/>
  <c r="AF52" i="706"/>
  <c r="N58" i="706"/>
  <c r="P61" i="706"/>
  <c r="L61" i="706"/>
  <c r="O7" i="708"/>
  <c r="AG7" i="708"/>
  <c r="Q18" i="708"/>
  <c r="R33" i="708"/>
  <c r="O17" i="710"/>
  <c r="L31" i="710"/>
  <c r="P31" i="710"/>
  <c r="Z2" i="710"/>
  <c r="L6" i="711"/>
  <c r="L26" i="712"/>
  <c r="E13" i="711" s="1"/>
  <c r="AG17" i="714"/>
  <c r="AF17" i="714"/>
  <c r="Q51" i="714"/>
  <c r="L61" i="714"/>
  <c r="R61" i="714" s="1"/>
  <c r="P61" i="714"/>
  <c r="J69" i="714"/>
  <c r="P69" i="714" s="1"/>
  <c r="L8" i="718"/>
  <c r="L15" i="718" s="1"/>
  <c r="D13" i="717" s="1"/>
  <c r="AG8" i="718"/>
  <c r="R53" i="718"/>
  <c r="Q53" i="718"/>
  <c r="N6" i="719"/>
  <c r="L29" i="720"/>
  <c r="AF29" i="720"/>
  <c r="K37" i="720"/>
  <c r="O50" i="720"/>
  <c r="AG50" i="720"/>
  <c r="AF50" i="720"/>
  <c r="P50" i="723"/>
  <c r="J58" i="723"/>
  <c r="J69" i="723"/>
  <c r="P69" i="723" s="1"/>
  <c r="L59" i="723"/>
  <c r="L69" i="723" s="1"/>
  <c r="I13" i="722" s="1"/>
  <c r="P59" i="723"/>
  <c r="P71" i="723"/>
  <c r="L71" i="723"/>
  <c r="Q72" i="723"/>
  <c r="R72" i="723"/>
  <c r="AF27" i="696"/>
  <c r="AG27" i="696"/>
  <c r="AF38" i="696"/>
  <c r="AG38" i="696"/>
  <c r="AF39" i="696"/>
  <c r="AA2" i="700"/>
  <c r="L70" i="700"/>
  <c r="K79" i="700"/>
  <c r="H22" i="701"/>
  <c r="K79" i="702"/>
  <c r="O15" i="704"/>
  <c r="J22" i="703"/>
  <c r="L6" i="705"/>
  <c r="P32" i="706"/>
  <c r="L32" i="706"/>
  <c r="R32" i="706" s="1"/>
  <c r="L51" i="706"/>
  <c r="R72" i="706"/>
  <c r="Q72" i="706"/>
  <c r="AG51" i="708"/>
  <c r="O51" i="708"/>
  <c r="AF51" i="708"/>
  <c r="R5" i="712"/>
  <c r="Q5" i="712"/>
  <c r="O15" i="712"/>
  <c r="O29" i="712"/>
  <c r="AF29" i="712"/>
  <c r="AG28" i="714"/>
  <c r="AF28" i="714"/>
  <c r="L58" i="714"/>
  <c r="H13" i="713" s="1"/>
  <c r="AG5" i="718"/>
  <c r="N15" i="718"/>
  <c r="O5" i="718"/>
  <c r="Q20" i="718"/>
  <c r="R20" i="718"/>
  <c r="R30" i="718"/>
  <c r="Q30" i="718"/>
  <c r="O27" i="720"/>
  <c r="AG27" i="720"/>
  <c r="AF27" i="720"/>
  <c r="N37" i="720"/>
  <c r="AG62" i="720"/>
  <c r="AF62" i="720"/>
  <c r="O62" i="720"/>
  <c r="N58" i="723"/>
  <c r="R5" i="725"/>
  <c r="Q5" i="725"/>
  <c r="L60" i="684"/>
  <c r="L49" i="686"/>
  <c r="P26" i="690"/>
  <c r="L37" i="690"/>
  <c r="F13" i="689" s="1"/>
  <c r="AF50" i="690"/>
  <c r="L30" i="692"/>
  <c r="AG70" i="698"/>
  <c r="AF70" i="698"/>
  <c r="P38" i="700"/>
  <c r="J48" i="700"/>
  <c r="P48" i="700" s="1"/>
  <c r="L62" i="700"/>
  <c r="L69" i="700" s="1"/>
  <c r="I13" i="699" s="1"/>
  <c r="K37" i="702"/>
  <c r="L29" i="702"/>
  <c r="Q29" i="702" s="1"/>
  <c r="L38" i="702"/>
  <c r="Q39" i="702"/>
  <c r="N79" i="702"/>
  <c r="AF70" i="702"/>
  <c r="AF6" i="704"/>
  <c r="AG6" i="704"/>
  <c r="K26" i="704"/>
  <c r="N58" i="704"/>
  <c r="AF49" i="704"/>
  <c r="O49" i="704"/>
  <c r="L5" i="706"/>
  <c r="L15" i="706" s="1"/>
  <c r="D13" i="705" s="1"/>
  <c r="K15" i="706"/>
  <c r="AG5" i="706"/>
  <c r="N37" i="706"/>
  <c r="AG27" i="706"/>
  <c r="K37" i="706"/>
  <c r="AG40" i="706"/>
  <c r="AF40" i="706"/>
  <c r="Q62" i="706"/>
  <c r="E22" i="707"/>
  <c r="P26" i="708"/>
  <c r="AG30" i="708"/>
  <c r="AF30" i="708"/>
  <c r="O30" i="708"/>
  <c r="AF40" i="708"/>
  <c r="AG40" i="708"/>
  <c r="AG52" i="708"/>
  <c r="AF52" i="708"/>
  <c r="AG59" i="708"/>
  <c r="AF59" i="708"/>
  <c r="O59" i="708"/>
  <c r="R75" i="708"/>
  <c r="Q75" i="708"/>
  <c r="AG50" i="710"/>
  <c r="O50" i="710"/>
  <c r="O6" i="711"/>
  <c r="AG39" i="712"/>
  <c r="AF39" i="712"/>
  <c r="O39" i="712"/>
  <c r="AF60" i="712"/>
  <c r="O60" i="712"/>
  <c r="AF38" i="716"/>
  <c r="N48" i="716"/>
  <c r="N58" i="716"/>
  <c r="AG49" i="716"/>
  <c r="AF49" i="716"/>
  <c r="O49" i="716"/>
  <c r="L59" i="716"/>
  <c r="AG59" i="716"/>
  <c r="Q32" i="720"/>
  <c r="R32" i="720"/>
  <c r="L71" i="720"/>
  <c r="R71" i="720" s="1"/>
  <c r="P71" i="720"/>
  <c r="R20" i="723"/>
  <c r="Q20" i="723"/>
  <c r="O51" i="723"/>
  <c r="AG51" i="723"/>
  <c r="AF51" i="723"/>
  <c r="L21" i="684"/>
  <c r="Q21" i="684" s="1"/>
  <c r="P48" i="684"/>
  <c r="L79" i="686"/>
  <c r="J13" i="685" s="1"/>
  <c r="D19" i="693"/>
  <c r="M6" i="693" s="1"/>
  <c r="AA2" i="694"/>
  <c r="K79" i="694"/>
  <c r="Z2" i="696"/>
  <c r="K69" i="698"/>
  <c r="Q62" i="698"/>
  <c r="AG19" i="700"/>
  <c r="AF19" i="700"/>
  <c r="L48" i="700"/>
  <c r="G13" i="699" s="1"/>
  <c r="O49" i="700"/>
  <c r="AG49" i="700"/>
  <c r="AF49" i="700"/>
  <c r="AF38" i="702"/>
  <c r="AG38" i="702"/>
  <c r="N48" i="702"/>
  <c r="Q60" i="702"/>
  <c r="R60" i="702"/>
  <c r="Q6" i="704"/>
  <c r="L26" i="704"/>
  <c r="E13" i="703" s="1"/>
  <c r="L48" i="704"/>
  <c r="G13" i="703" s="1"/>
  <c r="AF39" i="706"/>
  <c r="AG39" i="706"/>
  <c r="R40" i="706"/>
  <c r="AF70" i="706"/>
  <c r="AG29" i="708"/>
  <c r="O29" i="708"/>
  <c r="Q40" i="708"/>
  <c r="R40" i="708"/>
  <c r="O62" i="708"/>
  <c r="AG62" i="708"/>
  <c r="AG6" i="710"/>
  <c r="AF6" i="710"/>
  <c r="O6" i="710"/>
  <c r="AG31" i="710"/>
  <c r="AF31" i="710"/>
  <c r="O31" i="710"/>
  <c r="AF38" i="710"/>
  <c r="O38" i="710"/>
  <c r="O49" i="710"/>
  <c r="N58" i="710"/>
  <c r="R71" i="710"/>
  <c r="Q71" i="710"/>
  <c r="O26" i="714"/>
  <c r="R16" i="714"/>
  <c r="P28" i="714"/>
  <c r="J37" i="714"/>
  <c r="P37" i="714" s="1"/>
  <c r="D22" i="715"/>
  <c r="I1" i="716"/>
  <c r="P15" i="716"/>
  <c r="AG19" i="716"/>
  <c r="AF19" i="716"/>
  <c r="R72" i="716"/>
  <c r="Q72" i="716"/>
  <c r="K15" i="718"/>
  <c r="Z2" i="718"/>
  <c r="D18" i="717"/>
  <c r="L6" i="717" s="1"/>
  <c r="AG53" i="718"/>
  <c r="AF53" i="718"/>
  <c r="R73" i="720"/>
  <c r="R75" i="720"/>
  <c r="Q75" i="720"/>
  <c r="AG52" i="725"/>
  <c r="O52" i="725"/>
  <c r="AF19" i="698"/>
  <c r="L27" i="698"/>
  <c r="L37" i="698" s="1"/>
  <c r="F13" i="697" s="1"/>
  <c r="P27" i="698"/>
  <c r="N15" i="700"/>
  <c r="P28" i="700"/>
  <c r="L28" i="700"/>
  <c r="L37" i="700" s="1"/>
  <c r="F13" i="699" s="1"/>
  <c r="N69" i="700"/>
  <c r="O62" i="700"/>
  <c r="AG62" i="700"/>
  <c r="AG5" i="704"/>
  <c r="AF5" i="704"/>
  <c r="AF9" i="708"/>
  <c r="L9" i="708"/>
  <c r="AG9" i="708"/>
  <c r="L38" i="708"/>
  <c r="K48" i="708"/>
  <c r="AF48" i="708" s="1"/>
  <c r="AG38" i="708"/>
  <c r="AD2" i="710"/>
  <c r="D20" i="709"/>
  <c r="AG30" i="710"/>
  <c r="AF30" i="710"/>
  <c r="O30" i="710"/>
  <c r="N37" i="712"/>
  <c r="O27" i="712"/>
  <c r="AG27" i="712"/>
  <c r="AF27" i="712"/>
  <c r="O38" i="712"/>
  <c r="N48" i="712"/>
  <c r="AG40" i="712"/>
  <c r="AF40" i="712"/>
  <c r="O40" i="712"/>
  <c r="AG60" i="712"/>
  <c r="K26" i="718"/>
  <c r="R21" i="718"/>
  <c r="Q21" i="718"/>
  <c r="P31" i="718"/>
  <c r="J37" i="718"/>
  <c r="L31" i="718"/>
  <c r="R31" i="718" s="1"/>
  <c r="K26" i="720"/>
  <c r="L16" i="720"/>
  <c r="L26" i="720" s="1"/>
  <c r="E13" i="719" s="1"/>
  <c r="AE2" i="720"/>
  <c r="F21" i="719"/>
  <c r="L50" i="720"/>
  <c r="K58" i="720"/>
  <c r="M6" i="722"/>
  <c r="Z2" i="723"/>
  <c r="D18" i="722"/>
  <c r="L6" i="722" s="1"/>
  <c r="R30" i="723"/>
  <c r="Q30" i="723"/>
  <c r="O52" i="702"/>
  <c r="AG52" i="702"/>
  <c r="J79" i="702"/>
  <c r="P79" i="702" s="1"/>
  <c r="K15" i="704"/>
  <c r="N26" i="704"/>
  <c r="R18" i="704"/>
  <c r="P48" i="704"/>
  <c r="D19" i="705"/>
  <c r="M6" i="705" s="1"/>
  <c r="AA2" i="706"/>
  <c r="N26" i="706"/>
  <c r="J58" i="706"/>
  <c r="P58" i="706" s="1"/>
  <c r="L60" i="708"/>
  <c r="R60" i="708" s="1"/>
  <c r="AF59" i="710"/>
  <c r="AG59" i="710"/>
  <c r="N69" i="710"/>
  <c r="AG6" i="714"/>
  <c r="AF6" i="714"/>
  <c r="O6" i="714"/>
  <c r="G1" i="716"/>
  <c r="R61" i="716"/>
  <c r="L74" i="716"/>
  <c r="Q74" i="716" s="1"/>
  <c r="AF6" i="718"/>
  <c r="O6" i="718"/>
  <c r="R28" i="718"/>
  <c r="Q28" i="718"/>
  <c r="AG30" i="720"/>
  <c r="AF30" i="720"/>
  <c r="O30" i="720"/>
  <c r="O51" i="720"/>
  <c r="AF51" i="720"/>
  <c r="AG51" i="720"/>
  <c r="R72" i="720"/>
  <c r="Q72" i="720"/>
  <c r="AD2" i="723"/>
  <c r="D20" i="722"/>
  <c r="I19" i="722"/>
  <c r="AA2" i="723"/>
  <c r="Q19" i="725"/>
  <c r="R19" i="725"/>
  <c r="L39" i="725"/>
  <c r="AF39" i="725"/>
  <c r="AG39" i="725"/>
  <c r="K48" i="725"/>
  <c r="O61" i="725"/>
  <c r="AF61" i="725"/>
  <c r="AG61" i="725"/>
  <c r="J79" i="700"/>
  <c r="P79" i="700" s="1"/>
  <c r="P70" i="700"/>
  <c r="O31" i="702"/>
  <c r="AG31" i="702"/>
  <c r="AF31" i="702"/>
  <c r="AF39" i="702"/>
  <c r="L49" i="702"/>
  <c r="AF52" i="702"/>
  <c r="L70" i="702"/>
  <c r="R70" i="702" s="1"/>
  <c r="L5" i="704"/>
  <c r="R17" i="704"/>
  <c r="AG62" i="704"/>
  <c r="AF62" i="704"/>
  <c r="O62" i="704"/>
  <c r="AD2" i="706"/>
  <c r="AF16" i="706"/>
  <c r="G22" i="705"/>
  <c r="P48" i="706"/>
  <c r="R22" i="708"/>
  <c r="Q22" i="708"/>
  <c r="L15" i="710"/>
  <c r="D13" i="709" s="1"/>
  <c r="O39" i="710"/>
  <c r="J58" i="710"/>
  <c r="P58" i="710" s="1"/>
  <c r="O59" i="710"/>
  <c r="O60" i="710"/>
  <c r="P29" i="712"/>
  <c r="L29" i="712"/>
  <c r="K48" i="712"/>
  <c r="L38" i="712"/>
  <c r="AG49" i="712"/>
  <c r="AF49" i="712"/>
  <c r="N58" i="712"/>
  <c r="O50" i="712"/>
  <c r="AG50" i="712"/>
  <c r="AF50" i="712"/>
  <c r="L62" i="712"/>
  <c r="Q62" i="712" s="1"/>
  <c r="AF62" i="712"/>
  <c r="AG62" i="712"/>
  <c r="R71" i="712"/>
  <c r="Z2" i="714"/>
  <c r="Q73" i="714"/>
  <c r="O37" i="716"/>
  <c r="Q27" i="716"/>
  <c r="P38" i="716"/>
  <c r="J48" i="716"/>
  <c r="P48" i="716" s="1"/>
  <c r="O39" i="716"/>
  <c r="AF39" i="716"/>
  <c r="AF50" i="716"/>
  <c r="AG50" i="716"/>
  <c r="P71" i="716"/>
  <c r="J79" i="716"/>
  <c r="R74" i="716"/>
  <c r="M6" i="717"/>
  <c r="N26" i="718"/>
  <c r="AG16" i="718"/>
  <c r="AF16" i="718"/>
  <c r="AG39" i="720"/>
  <c r="AF39" i="720"/>
  <c r="L39" i="720"/>
  <c r="Q39" i="720" s="1"/>
  <c r="P69" i="720"/>
  <c r="I22" i="719"/>
  <c r="AG8" i="723"/>
  <c r="AF8" i="723"/>
  <c r="O8" i="723"/>
  <c r="O37" i="723"/>
  <c r="R27" i="723"/>
  <c r="Q27" i="723"/>
  <c r="L37" i="723"/>
  <c r="F13" i="722" s="1"/>
  <c r="Q32" i="723"/>
  <c r="R32" i="723"/>
  <c r="R39" i="725"/>
  <c r="Q39" i="725"/>
  <c r="AF50" i="725"/>
  <c r="AG50" i="725"/>
  <c r="O50" i="725"/>
  <c r="H28" i="723"/>
  <c r="G1" i="723" s="1"/>
  <c r="O9" i="725"/>
  <c r="AG9" i="725"/>
  <c r="AF9" i="725"/>
  <c r="I1" i="720"/>
  <c r="D22" i="719"/>
  <c r="P15" i="720"/>
  <c r="AG19" i="720"/>
  <c r="L19" i="720"/>
  <c r="I1" i="723"/>
  <c r="G22" i="722"/>
  <c r="N69" i="723"/>
  <c r="AG59" i="723"/>
  <c r="AF59" i="723"/>
  <c r="R27" i="725"/>
  <c r="Q27" i="725"/>
  <c r="O37" i="725"/>
  <c r="AG28" i="725"/>
  <c r="AF28" i="725"/>
  <c r="N37" i="725"/>
  <c r="O28" i="725"/>
  <c r="L30" i="725"/>
  <c r="L37" i="725" s="1"/>
  <c r="F13" i="724" s="1"/>
  <c r="AG30" i="725"/>
  <c r="K37" i="725"/>
  <c r="R60" i="725"/>
  <c r="Q60" i="725"/>
  <c r="AG29" i="710"/>
  <c r="AF29" i="710"/>
  <c r="L48" i="710"/>
  <c r="G13" i="709" s="1"/>
  <c r="O61" i="710"/>
  <c r="AF61" i="710"/>
  <c r="L72" i="710"/>
  <c r="R18" i="712"/>
  <c r="Q18" i="712"/>
  <c r="L39" i="712"/>
  <c r="AG51" i="712"/>
  <c r="AF51" i="712"/>
  <c r="K26" i="714"/>
  <c r="R71" i="714"/>
  <c r="O7" i="718"/>
  <c r="AF7" i="718"/>
  <c r="L39" i="718"/>
  <c r="AF39" i="718"/>
  <c r="L61" i="718"/>
  <c r="Q61" i="718" s="1"/>
  <c r="O5" i="720"/>
  <c r="AF5" i="720"/>
  <c r="N15" i="720"/>
  <c r="O16" i="720"/>
  <c r="AG16" i="720"/>
  <c r="AF16" i="720"/>
  <c r="N26" i="720"/>
  <c r="P28" i="720"/>
  <c r="L28" i="720"/>
  <c r="L37" i="720" s="1"/>
  <c r="F13" i="719" s="1"/>
  <c r="AF27" i="723"/>
  <c r="N37" i="723"/>
  <c r="AG27" i="723"/>
  <c r="O59" i="723"/>
  <c r="AF50" i="723"/>
  <c r="O50" i="723"/>
  <c r="L49" i="725"/>
  <c r="L58" i="725" s="1"/>
  <c r="H13" i="724" s="1"/>
  <c r="P49" i="725"/>
  <c r="J58" i="725"/>
  <c r="AF59" i="725"/>
  <c r="O59" i="725"/>
  <c r="AF52" i="716"/>
  <c r="AG52" i="716"/>
  <c r="O52" i="716"/>
  <c r="P38" i="718"/>
  <c r="J48" i="718"/>
  <c r="P48" i="718" s="1"/>
  <c r="Q51" i="718"/>
  <c r="J69" i="718"/>
  <c r="R60" i="718"/>
  <c r="Q60" i="718"/>
  <c r="R72" i="718"/>
  <c r="R8" i="720"/>
  <c r="Q8" i="720"/>
  <c r="K79" i="720"/>
  <c r="R6" i="723"/>
  <c r="Q6" i="723"/>
  <c r="AG50" i="723"/>
  <c r="L15" i="725"/>
  <c r="D13" i="724" s="1"/>
  <c r="K58" i="725"/>
  <c r="Q58" i="725" s="1"/>
  <c r="L52" i="725"/>
  <c r="R73" i="704"/>
  <c r="Q7" i="706"/>
  <c r="L37" i="706"/>
  <c r="F13" i="705" s="1"/>
  <c r="K58" i="706"/>
  <c r="AG51" i="706"/>
  <c r="AF51" i="706"/>
  <c r="O51" i="706"/>
  <c r="P15" i="708"/>
  <c r="D22" i="707"/>
  <c r="O27" i="708"/>
  <c r="AG27" i="708"/>
  <c r="N58" i="708"/>
  <c r="O49" i="708"/>
  <c r="AG49" i="708"/>
  <c r="O70" i="708"/>
  <c r="AF70" i="708"/>
  <c r="L26" i="710"/>
  <c r="E13" i="709" s="1"/>
  <c r="L50" i="710"/>
  <c r="Q30" i="712"/>
  <c r="J79" i="714"/>
  <c r="L70" i="714"/>
  <c r="L79" i="714" s="1"/>
  <c r="J13" i="713" s="1"/>
  <c r="L60" i="716"/>
  <c r="R60" i="716" s="1"/>
  <c r="AG28" i="718"/>
  <c r="AF28" i="718"/>
  <c r="P37" i="718"/>
  <c r="F22" i="717"/>
  <c r="L6" i="719"/>
  <c r="AG8" i="720"/>
  <c r="P38" i="720"/>
  <c r="J48" i="720"/>
  <c r="P48" i="720" s="1"/>
  <c r="O52" i="720"/>
  <c r="O58" i="720" s="1"/>
  <c r="AG52" i="720"/>
  <c r="AF52" i="720"/>
  <c r="AG61" i="720"/>
  <c r="AF61" i="720"/>
  <c r="J79" i="725"/>
  <c r="P79" i="725" s="1"/>
  <c r="P70" i="725"/>
  <c r="L69" i="720"/>
  <c r="I13" i="719" s="1"/>
  <c r="F21" i="722"/>
  <c r="AE2" i="723"/>
  <c r="AF61" i="723"/>
  <c r="AG61" i="723"/>
  <c r="O61" i="723"/>
  <c r="AG70" i="723"/>
  <c r="N79" i="723"/>
  <c r="AF70" i="723"/>
  <c r="K15" i="725"/>
  <c r="P58" i="725"/>
  <c r="AF70" i="725"/>
  <c r="N79" i="725"/>
  <c r="O70" i="725"/>
  <c r="L7" i="700"/>
  <c r="L15" i="700" s="1"/>
  <c r="D13" i="699" s="1"/>
  <c r="AG49" i="702"/>
  <c r="N58" i="702"/>
  <c r="L30" i="704"/>
  <c r="Q72" i="704"/>
  <c r="AG7" i="706"/>
  <c r="AF7" i="706"/>
  <c r="AF59" i="706"/>
  <c r="Z2" i="708"/>
  <c r="AD2" i="708"/>
  <c r="R38" i="708"/>
  <c r="P52" i="708"/>
  <c r="AG70" i="708"/>
  <c r="O28" i="710"/>
  <c r="AG28" i="710"/>
  <c r="AF62" i="710"/>
  <c r="J22" i="709"/>
  <c r="P5" i="712"/>
  <c r="P38" i="712"/>
  <c r="J48" i="712"/>
  <c r="P48" i="712" s="1"/>
  <c r="AG18" i="714"/>
  <c r="AF18" i="714"/>
  <c r="P70" i="714"/>
  <c r="AG60" i="716"/>
  <c r="AF60" i="716"/>
  <c r="P79" i="716"/>
  <c r="AD2" i="718"/>
  <c r="F20" i="717"/>
  <c r="N6" i="717" s="1"/>
  <c r="O18" i="720"/>
  <c r="AF18" i="720"/>
  <c r="P40" i="720"/>
  <c r="L73" i="720"/>
  <c r="Q73" i="720" s="1"/>
  <c r="P73" i="720"/>
  <c r="L15" i="723"/>
  <c r="D13" i="722" s="1"/>
  <c r="L50" i="723"/>
  <c r="L58" i="723" s="1"/>
  <c r="H13" i="722" s="1"/>
  <c r="AF5" i="725"/>
  <c r="AG5" i="725"/>
  <c r="P15" i="725"/>
  <c r="I1" i="725"/>
  <c r="AG16" i="725"/>
  <c r="K26" i="725"/>
  <c r="P38" i="725"/>
  <c r="L72" i="725"/>
  <c r="Q72" i="725" s="1"/>
  <c r="K37" i="698"/>
  <c r="K37" i="704"/>
  <c r="AF60" i="704"/>
  <c r="AG60" i="704"/>
  <c r="K26" i="706"/>
  <c r="L18" i="706"/>
  <c r="AF29" i="706"/>
  <c r="AG29" i="706"/>
  <c r="AF30" i="706"/>
  <c r="AF31" i="706"/>
  <c r="Q61" i="708"/>
  <c r="AF7" i="710"/>
  <c r="O7" i="710"/>
  <c r="L29" i="710"/>
  <c r="AF52" i="710"/>
  <c r="AG52" i="710"/>
  <c r="L70" i="710"/>
  <c r="Q70" i="710" s="1"/>
  <c r="L30" i="712"/>
  <c r="R30" i="712" s="1"/>
  <c r="Q74" i="712"/>
  <c r="N15" i="714"/>
  <c r="O5" i="714"/>
  <c r="Q52" i="714"/>
  <c r="K26" i="716"/>
  <c r="K79" i="716"/>
  <c r="AE2" i="718"/>
  <c r="R7" i="720"/>
  <c r="N48" i="720"/>
  <c r="O38" i="720"/>
  <c r="AF7" i="723"/>
  <c r="L51" i="704"/>
  <c r="O60" i="704"/>
  <c r="O29" i="706"/>
  <c r="O37" i="706" s="1"/>
  <c r="O30" i="706"/>
  <c r="O31" i="706"/>
  <c r="AF61" i="708"/>
  <c r="P37" i="710"/>
  <c r="O52" i="710"/>
  <c r="AF5" i="714"/>
  <c r="AF52" i="714"/>
  <c r="H22" i="713"/>
  <c r="P58" i="714"/>
  <c r="P59" i="714"/>
  <c r="L59" i="714"/>
  <c r="L16" i="716"/>
  <c r="L26" i="716" s="1"/>
  <c r="E13" i="715" s="1"/>
  <c r="O59" i="716"/>
  <c r="N69" i="716"/>
  <c r="P69" i="716"/>
  <c r="L70" i="716"/>
  <c r="AF8" i="718"/>
  <c r="AF59" i="718"/>
  <c r="N69" i="718"/>
  <c r="AG59" i="718"/>
  <c r="AG70" i="718"/>
  <c r="O6" i="719"/>
  <c r="AF38" i="720"/>
  <c r="O59" i="720"/>
  <c r="N69" i="720"/>
  <c r="AG59" i="720"/>
  <c r="O7" i="723"/>
  <c r="O19" i="723"/>
  <c r="AG19" i="723"/>
  <c r="AG19" i="725"/>
  <c r="AF19" i="725"/>
  <c r="P58" i="704"/>
  <c r="J69" i="704"/>
  <c r="P69" i="704" s="1"/>
  <c r="P37" i="706"/>
  <c r="F22" i="705"/>
  <c r="L60" i="714"/>
  <c r="K79" i="714"/>
  <c r="L30" i="720"/>
  <c r="P30" i="720"/>
  <c r="L49" i="720"/>
  <c r="L58" i="720" s="1"/>
  <c r="H13" i="719" s="1"/>
  <c r="P79" i="720"/>
  <c r="AF38" i="723"/>
  <c r="O38" i="723"/>
  <c r="AG6" i="725"/>
  <c r="AF6" i="725"/>
  <c r="P48" i="725"/>
  <c r="K48" i="704"/>
  <c r="N15" i="706"/>
  <c r="AF18" i="706"/>
  <c r="Z2" i="712"/>
  <c r="R17" i="718"/>
  <c r="Q17" i="718"/>
  <c r="G1" i="720"/>
  <c r="R6" i="720"/>
  <c r="R39" i="720"/>
  <c r="R5" i="723"/>
  <c r="Q5" i="723"/>
  <c r="G1" i="725"/>
  <c r="R6" i="725"/>
  <c r="AG29" i="725"/>
  <c r="AF29" i="725"/>
  <c r="R72" i="725"/>
  <c r="J37" i="716"/>
  <c r="P37" i="716" s="1"/>
  <c r="O6" i="717"/>
  <c r="K58" i="718"/>
  <c r="Q58" i="718" s="1"/>
  <c r="L49" i="718"/>
  <c r="P69" i="718"/>
  <c r="L70" i="718"/>
  <c r="Q31" i="723"/>
  <c r="R31" i="723"/>
  <c r="R40" i="723"/>
  <c r="O49" i="725"/>
  <c r="AG49" i="725"/>
  <c r="AF49" i="725"/>
  <c r="L7" i="716"/>
  <c r="L15" i="716" s="1"/>
  <c r="D13" i="715" s="1"/>
  <c r="L27" i="716"/>
  <c r="L49" i="716"/>
  <c r="L71" i="718"/>
  <c r="R71" i="718" s="1"/>
  <c r="AF19" i="720"/>
  <c r="AF40" i="720"/>
  <c r="E1" i="723"/>
  <c r="G3" i="722" s="1"/>
  <c r="N17" i="723"/>
  <c r="Q18" i="723"/>
  <c r="R18" i="723"/>
  <c r="AF31" i="723"/>
  <c r="Q40" i="723"/>
  <c r="L51" i="723"/>
  <c r="AF17" i="725"/>
  <c r="O17" i="725"/>
  <c r="AG17" i="725"/>
  <c r="AF38" i="725"/>
  <c r="O38" i="725"/>
  <c r="N48" i="725"/>
  <c r="AG38" i="725"/>
  <c r="K26" i="723"/>
  <c r="L17" i="723"/>
  <c r="L26" i="723" s="1"/>
  <c r="E13" i="722" s="1"/>
  <c r="AD2" i="725"/>
  <c r="L40" i="725"/>
  <c r="L48" i="725" s="1"/>
  <c r="G13" i="724" s="1"/>
  <c r="N26" i="723"/>
  <c r="O16" i="723"/>
  <c r="Z2" i="725"/>
  <c r="L69" i="725"/>
  <c r="I13" i="724" s="1"/>
  <c r="L30" i="723"/>
  <c r="AF40" i="723"/>
  <c r="O16" i="725"/>
  <c r="N26" i="725"/>
  <c r="AF16" i="725"/>
  <c r="AE2" i="725"/>
  <c r="J37" i="725"/>
  <c r="P37" i="725" s="1"/>
  <c r="J79" i="723"/>
  <c r="P79" i="723" s="1"/>
  <c r="AF58" i="729" l="1"/>
  <c r="AG58" i="729"/>
  <c r="AH49" i="729" s="1"/>
  <c r="O26" i="729"/>
  <c r="R16" i="729"/>
  <c r="Q16" i="729"/>
  <c r="R59" i="729"/>
  <c r="O69" i="729"/>
  <c r="R69" i="729" s="1"/>
  <c r="S59" i="729" s="1"/>
  <c r="Q59" i="729"/>
  <c r="R6" i="729"/>
  <c r="Q6" i="729"/>
  <c r="R52" i="729"/>
  <c r="Q52" i="729"/>
  <c r="R61" i="729"/>
  <c r="Q61" i="729"/>
  <c r="R31" i="729"/>
  <c r="Q31" i="729"/>
  <c r="Q70" i="729"/>
  <c r="O79" i="729"/>
  <c r="R79" i="729" s="1"/>
  <c r="S70" i="729" s="1"/>
  <c r="R70" i="729"/>
  <c r="R60" i="729"/>
  <c r="Q60" i="729"/>
  <c r="R30" i="729"/>
  <c r="Q30" i="729"/>
  <c r="Q50" i="729"/>
  <c r="R50" i="729"/>
  <c r="R48" i="729"/>
  <c r="S38" i="729" s="1"/>
  <c r="R29" i="729"/>
  <c r="Q29" i="729"/>
  <c r="R18" i="729"/>
  <c r="Q18" i="729"/>
  <c r="AG15" i="729"/>
  <c r="AH5" i="729" s="1"/>
  <c r="AF15" i="729"/>
  <c r="M6" i="728"/>
  <c r="R51" i="729"/>
  <c r="Q51" i="729"/>
  <c r="Q48" i="729"/>
  <c r="AG48" i="729"/>
  <c r="AH38" i="729" s="1"/>
  <c r="AF48" i="729"/>
  <c r="O58" i="729"/>
  <c r="R58" i="729" s="1"/>
  <c r="S49" i="729" s="1"/>
  <c r="R49" i="729"/>
  <c r="Q49" i="729"/>
  <c r="O37" i="729"/>
  <c r="R37" i="729" s="1"/>
  <c r="S27" i="729" s="1"/>
  <c r="R27" i="729"/>
  <c r="Q27" i="729"/>
  <c r="R39" i="729"/>
  <c r="Q39" i="729"/>
  <c r="R7" i="729"/>
  <c r="Q7" i="729"/>
  <c r="O15" i="729"/>
  <c r="R5" i="729"/>
  <c r="Q5" i="729"/>
  <c r="Q37" i="729"/>
  <c r="AG37" i="729"/>
  <c r="AH27" i="729" s="1"/>
  <c r="AF37" i="729"/>
  <c r="Q69" i="729"/>
  <c r="AG69" i="729"/>
  <c r="AH59" i="729" s="1"/>
  <c r="AF69" i="729"/>
  <c r="R28" i="729"/>
  <c r="Q28" i="729"/>
  <c r="AG79" i="729"/>
  <c r="AH70" i="729" s="1"/>
  <c r="AF79" i="729"/>
  <c r="Q79" i="729"/>
  <c r="Q71" i="729"/>
  <c r="R19" i="729"/>
  <c r="Q19" i="729"/>
  <c r="R32" i="729"/>
  <c r="AG26" i="729"/>
  <c r="AH16" i="729" s="1"/>
  <c r="AF26" i="729"/>
  <c r="F14" i="728"/>
  <c r="F15" i="728" s="1"/>
  <c r="H6" i="728"/>
  <c r="I13" i="728"/>
  <c r="J6" i="728" s="1"/>
  <c r="J3" i="728"/>
  <c r="AG26" i="727"/>
  <c r="AH16" i="727" s="1"/>
  <c r="AF26" i="727"/>
  <c r="R19" i="727"/>
  <c r="Q19" i="727"/>
  <c r="R39" i="727"/>
  <c r="Q39" i="727"/>
  <c r="R61" i="727"/>
  <c r="Q61" i="727"/>
  <c r="R50" i="727"/>
  <c r="Q50" i="727"/>
  <c r="R51" i="727"/>
  <c r="Q51" i="727"/>
  <c r="O26" i="727"/>
  <c r="R31" i="727"/>
  <c r="Q31" i="727"/>
  <c r="R30" i="727"/>
  <c r="Q30" i="727"/>
  <c r="R52" i="727"/>
  <c r="Q52" i="727"/>
  <c r="R18" i="727"/>
  <c r="Q18" i="727"/>
  <c r="Q48" i="727"/>
  <c r="AG48" i="727"/>
  <c r="AH38" i="727" s="1"/>
  <c r="AF48" i="727"/>
  <c r="O69" i="727"/>
  <c r="R69" i="727" s="1"/>
  <c r="S59" i="727" s="1"/>
  <c r="R59" i="727"/>
  <c r="Q59" i="727"/>
  <c r="O58" i="727"/>
  <c r="R58" i="727" s="1"/>
  <c r="S49" i="727" s="1"/>
  <c r="R49" i="727"/>
  <c r="Q49" i="727"/>
  <c r="AG79" i="727"/>
  <c r="AH70" i="727" s="1"/>
  <c r="AF79" i="727"/>
  <c r="Q79" i="727"/>
  <c r="O48" i="727"/>
  <c r="R48" i="727" s="1"/>
  <c r="S38" i="727" s="1"/>
  <c r="R38" i="727"/>
  <c r="Q38" i="727"/>
  <c r="R70" i="727"/>
  <c r="Q70" i="727"/>
  <c r="O79" i="727"/>
  <c r="R79" i="727" s="1"/>
  <c r="S70" i="727" s="1"/>
  <c r="R29" i="727"/>
  <c r="Q29" i="727"/>
  <c r="R6" i="727"/>
  <c r="Q6" i="727"/>
  <c r="R28" i="727"/>
  <c r="Q28" i="727"/>
  <c r="O37" i="727"/>
  <c r="R37" i="727" s="1"/>
  <c r="S27" i="727" s="1"/>
  <c r="R27" i="727"/>
  <c r="Q27" i="727"/>
  <c r="O15" i="727"/>
  <c r="R5" i="727"/>
  <c r="Q5" i="727"/>
  <c r="AG69" i="727"/>
  <c r="AH59" i="727" s="1"/>
  <c r="AF69" i="727"/>
  <c r="Q69" i="727"/>
  <c r="AG15" i="727"/>
  <c r="AH5" i="727" s="1"/>
  <c r="AF15" i="727"/>
  <c r="AF58" i="727"/>
  <c r="AG58" i="727"/>
  <c r="AH49" i="727" s="1"/>
  <c r="Q58" i="727"/>
  <c r="R8" i="727"/>
  <c r="Q8" i="727"/>
  <c r="AG37" i="727"/>
  <c r="AH27" i="727" s="1"/>
  <c r="AF37" i="727"/>
  <c r="Q37" i="727"/>
  <c r="R9" i="727"/>
  <c r="Q9" i="727"/>
  <c r="I13" i="726"/>
  <c r="J6" i="726" s="1"/>
  <c r="H6" i="726"/>
  <c r="J3" i="726"/>
  <c r="H6" i="679"/>
  <c r="E14" i="675"/>
  <c r="Q26" i="676"/>
  <c r="R26" i="676"/>
  <c r="S16" i="676" s="1"/>
  <c r="G14" i="695"/>
  <c r="G15" i="695" s="1"/>
  <c r="R48" i="696"/>
  <c r="S38" i="696" s="1"/>
  <c r="R26" i="718"/>
  <c r="S16" i="718" s="1"/>
  <c r="Q26" i="718"/>
  <c r="E14" i="717"/>
  <c r="E15" i="717" s="1"/>
  <c r="F14" i="705"/>
  <c r="F15" i="705" s="1"/>
  <c r="R37" i="706"/>
  <c r="S27" i="706" s="1"/>
  <c r="R58" i="720"/>
  <c r="S49" i="720" s="1"/>
  <c r="H14" i="719"/>
  <c r="H15" i="719" s="1"/>
  <c r="R15" i="696"/>
  <c r="S5" i="696" s="1"/>
  <c r="E2" i="696"/>
  <c r="Q15" i="696"/>
  <c r="D14" i="695"/>
  <c r="I14" i="717"/>
  <c r="J14" i="717"/>
  <c r="J3" i="722"/>
  <c r="G2" i="723"/>
  <c r="R69" i="696"/>
  <c r="S59" i="696" s="1"/>
  <c r="I14" i="695"/>
  <c r="H6" i="693"/>
  <c r="F6" i="693"/>
  <c r="E14" i="677"/>
  <c r="AF17" i="723"/>
  <c r="O17" i="723"/>
  <c r="AG17" i="723"/>
  <c r="R5" i="720"/>
  <c r="Q5" i="720"/>
  <c r="O15" i="720"/>
  <c r="R37" i="723"/>
  <c r="S27" i="723" s="1"/>
  <c r="F14" i="722"/>
  <c r="F15" i="722" s="1"/>
  <c r="AG58" i="712"/>
  <c r="AH49" i="712" s="1"/>
  <c r="AF58" i="712"/>
  <c r="Q58" i="712"/>
  <c r="L15" i="704"/>
  <c r="D13" i="703" s="1"/>
  <c r="R5" i="704"/>
  <c r="O58" i="704"/>
  <c r="R49" i="704"/>
  <c r="Q49" i="704"/>
  <c r="AG15" i="684"/>
  <c r="AH5" i="684" s="1"/>
  <c r="AF15" i="684"/>
  <c r="R48" i="716"/>
  <c r="S38" i="716" s="1"/>
  <c r="G14" i="715"/>
  <c r="G15" i="715" s="1"/>
  <c r="R48" i="682"/>
  <c r="S38" i="682" s="1"/>
  <c r="G14" i="681"/>
  <c r="G15" i="681" s="1"/>
  <c r="Q17" i="688"/>
  <c r="R17" i="688"/>
  <c r="D14" i="705"/>
  <c r="R15" i="706"/>
  <c r="S5" i="706" s="1"/>
  <c r="Q15" i="706"/>
  <c r="R16" i="712"/>
  <c r="Q16" i="712"/>
  <c r="O26" i="712"/>
  <c r="R17" i="696"/>
  <c r="Q17" i="696"/>
  <c r="O79" i="676"/>
  <c r="R70" i="676"/>
  <c r="Q70" i="676"/>
  <c r="Q51" i="678"/>
  <c r="R51" i="678"/>
  <c r="Q40" i="605"/>
  <c r="R40" i="605"/>
  <c r="Q61" i="678"/>
  <c r="R61" i="678"/>
  <c r="AF15" i="672"/>
  <c r="AG15" i="672"/>
  <c r="AH5" i="672" s="1"/>
  <c r="Q61" i="723"/>
  <c r="R61" i="723"/>
  <c r="R70" i="708"/>
  <c r="Q70" i="708"/>
  <c r="Q8" i="723"/>
  <c r="R8" i="723"/>
  <c r="Q58" i="716"/>
  <c r="AF58" i="716"/>
  <c r="AG58" i="716"/>
  <c r="AH49" i="716" s="1"/>
  <c r="Q71" i="698"/>
  <c r="R71" i="698"/>
  <c r="R70" i="688"/>
  <c r="O79" i="688"/>
  <c r="Q70" i="688"/>
  <c r="AF15" i="702"/>
  <c r="AG15" i="702"/>
  <c r="AH5" i="702" s="1"/>
  <c r="O69" i="684"/>
  <c r="R59" i="684"/>
  <c r="Q59" i="684"/>
  <c r="R28" i="696"/>
  <c r="Q28" i="696"/>
  <c r="AF58" i="698"/>
  <c r="AG58" i="698"/>
  <c r="AH49" i="698" s="1"/>
  <c r="Q58" i="698"/>
  <c r="R17" i="694"/>
  <c r="Q17" i="694"/>
  <c r="N6" i="703"/>
  <c r="O6" i="703"/>
  <c r="Q70" i="694"/>
  <c r="R70" i="694"/>
  <c r="O79" i="694"/>
  <c r="AF26" i="694"/>
  <c r="AG26" i="694"/>
  <c r="AH16" i="694" s="1"/>
  <c r="R29" i="690"/>
  <c r="Q29" i="690"/>
  <c r="Q79" i="720"/>
  <c r="AF79" i="720"/>
  <c r="AG79" i="720"/>
  <c r="AH70" i="720" s="1"/>
  <c r="O37" i="698"/>
  <c r="R27" i="698"/>
  <c r="Q27" i="698"/>
  <c r="Q38" i="692"/>
  <c r="O48" i="692"/>
  <c r="R38" i="692"/>
  <c r="Q50" i="686"/>
  <c r="R50" i="686"/>
  <c r="Q71" i="718"/>
  <c r="R27" i="704"/>
  <c r="O37" i="704"/>
  <c r="Q27" i="704"/>
  <c r="Q40" i="684"/>
  <c r="R40" i="684"/>
  <c r="R61" i="704"/>
  <c r="Q61" i="704"/>
  <c r="Q28" i="700"/>
  <c r="R28" i="700"/>
  <c r="R6" i="688"/>
  <c r="Q6" i="688"/>
  <c r="AG37" i="690"/>
  <c r="AH27" i="690" s="1"/>
  <c r="AF37" i="690"/>
  <c r="Q37" i="690"/>
  <c r="R51" i="698"/>
  <c r="Q51" i="698"/>
  <c r="AF26" i="714"/>
  <c r="AG26" i="714"/>
  <c r="AH16" i="714" s="1"/>
  <c r="R28" i="690"/>
  <c r="Q28" i="690"/>
  <c r="Q37" i="3"/>
  <c r="AG37" i="3"/>
  <c r="AH27" i="3" s="1"/>
  <c r="AF37" i="3"/>
  <c r="R29" i="605"/>
  <c r="Q29" i="605"/>
  <c r="AG26" i="680"/>
  <c r="AH16" i="680" s="1"/>
  <c r="AF26" i="680"/>
  <c r="Q53" i="605"/>
  <c r="R53" i="605"/>
  <c r="R60" i="692"/>
  <c r="Q60" i="692"/>
  <c r="R69" i="680"/>
  <c r="S59" i="680" s="1"/>
  <c r="I14" i="679"/>
  <c r="AF15" i="690"/>
  <c r="AG15" i="690"/>
  <c r="AH5" i="690" s="1"/>
  <c r="Q6" i="670"/>
  <c r="R6" i="670"/>
  <c r="R29" i="714"/>
  <c r="Q29" i="714"/>
  <c r="O15" i="688"/>
  <c r="L26" i="678"/>
  <c r="E13" i="677" s="1"/>
  <c r="R50" i="694"/>
  <c r="Q50" i="694"/>
  <c r="R29" i="674"/>
  <c r="Q29" i="674"/>
  <c r="H6" i="604"/>
  <c r="F6" i="604"/>
  <c r="AG15" i="692"/>
  <c r="AH5" i="692" s="1"/>
  <c r="AF15" i="692"/>
  <c r="R29" i="670"/>
  <c r="Q29" i="670"/>
  <c r="R70" i="678"/>
  <c r="Q70" i="678"/>
  <c r="AG58" i="725"/>
  <c r="AH49" i="725" s="1"/>
  <c r="AG58" i="682"/>
  <c r="AH49" i="682" s="1"/>
  <c r="AF58" i="682"/>
  <c r="Q58" i="682"/>
  <c r="O15" i="605"/>
  <c r="R5" i="605"/>
  <c r="Q5" i="605"/>
  <c r="R7" i="672"/>
  <c r="Q7" i="672"/>
  <c r="R38" i="725"/>
  <c r="O48" i="725"/>
  <c r="Q38" i="725"/>
  <c r="R49" i="718"/>
  <c r="L58" i="718"/>
  <c r="H13" i="717" s="1"/>
  <c r="Q49" i="718"/>
  <c r="G2" i="720"/>
  <c r="J3" i="719"/>
  <c r="F6" i="722"/>
  <c r="H6" i="722"/>
  <c r="H6" i="699"/>
  <c r="Q71" i="720"/>
  <c r="R50" i="725"/>
  <c r="Q50" i="725"/>
  <c r="F14" i="715"/>
  <c r="AF48" i="712"/>
  <c r="AG48" i="712"/>
  <c r="AH38" i="712" s="1"/>
  <c r="Q48" i="712"/>
  <c r="AG15" i="700"/>
  <c r="AH5" i="700" s="1"/>
  <c r="AF15" i="700"/>
  <c r="R6" i="710"/>
  <c r="Q6" i="710"/>
  <c r="AG48" i="716"/>
  <c r="AH38" i="716" s="1"/>
  <c r="Q48" i="716"/>
  <c r="AF48" i="716"/>
  <c r="Q59" i="708"/>
  <c r="O69" i="708"/>
  <c r="R59" i="708"/>
  <c r="AF58" i="704"/>
  <c r="Q58" i="704"/>
  <c r="AG58" i="704"/>
  <c r="AH49" i="704" s="1"/>
  <c r="Q58" i="723"/>
  <c r="AF58" i="723"/>
  <c r="AG58" i="723"/>
  <c r="AH49" i="723" s="1"/>
  <c r="R5" i="718"/>
  <c r="O15" i="718"/>
  <c r="Q5" i="718"/>
  <c r="R51" i="708"/>
  <c r="Q51" i="708"/>
  <c r="R69" i="706"/>
  <c r="S59" i="706" s="1"/>
  <c r="I14" i="705"/>
  <c r="AF15" i="694"/>
  <c r="AG15" i="694"/>
  <c r="AH5" i="694" s="1"/>
  <c r="R27" i="714"/>
  <c r="O37" i="714"/>
  <c r="Q27" i="714"/>
  <c r="O79" i="682"/>
  <c r="R70" i="682"/>
  <c r="Q70" i="682"/>
  <c r="G14" i="701"/>
  <c r="Q15" i="700"/>
  <c r="D14" i="699"/>
  <c r="R15" i="700"/>
  <c r="S5" i="700" s="1"/>
  <c r="Q69" i="694"/>
  <c r="AG69" i="694"/>
  <c r="AH59" i="694" s="1"/>
  <c r="AF69" i="694"/>
  <c r="R50" i="702"/>
  <c r="Q50" i="702"/>
  <c r="Q79" i="688"/>
  <c r="AG79" i="688"/>
  <c r="AH70" i="688" s="1"/>
  <c r="AF79" i="688"/>
  <c r="L58" i="680"/>
  <c r="H13" i="679" s="1"/>
  <c r="AF69" i="708"/>
  <c r="Q69" i="708"/>
  <c r="AG69" i="708"/>
  <c r="AH59" i="708" s="1"/>
  <c r="N79" i="708"/>
  <c r="R31" i="698"/>
  <c r="Q31" i="698"/>
  <c r="R30" i="716"/>
  <c r="Q30" i="716"/>
  <c r="O48" i="706"/>
  <c r="E2" i="706" s="1"/>
  <c r="R38" i="706"/>
  <c r="Q38" i="706"/>
  <c r="Q27" i="702"/>
  <c r="O37" i="702"/>
  <c r="R27" i="702"/>
  <c r="L79" i="690"/>
  <c r="J13" i="689" s="1"/>
  <c r="J6" i="689" s="1"/>
  <c r="AG58" i="700"/>
  <c r="AH49" i="700" s="1"/>
  <c r="Q58" i="700"/>
  <c r="AF58" i="700"/>
  <c r="O58" i="698"/>
  <c r="R49" i="698"/>
  <c r="Q49" i="698"/>
  <c r="O48" i="718"/>
  <c r="Q38" i="718"/>
  <c r="R38" i="718"/>
  <c r="AF79" i="694"/>
  <c r="AG79" i="694"/>
  <c r="AH70" i="694" s="1"/>
  <c r="Q79" i="694"/>
  <c r="R28" i="682"/>
  <c r="Q28" i="682"/>
  <c r="G2" i="702"/>
  <c r="J3" i="701"/>
  <c r="AG37" i="692"/>
  <c r="AH27" i="692" s="1"/>
  <c r="Q37" i="692"/>
  <c r="AF37" i="692"/>
  <c r="R50" i="714"/>
  <c r="Q50" i="714"/>
  <c r="Q40" i="698"/>
  <c r="R40" i="698"/>
  <c r="O79" i="692"/>
  <c r="R70" i="692"/>
  <c r="Q70" i="692"/>
  <c r="R31" i="700"/>
  <c r="Q31" i="700"/>
  <c r="Q18" i="692"/>
  <c r="R18" i="692"/>
  <c r="Q29" i="678"/>
  <c r="R29" i="678"/>
  <c r="R5" i="682"/>
  <c r="J3" i="685"/>
  <c r="G2" i="686"/>
  <c r="Q48" i="605"/>
  <c r="AG48" i="605"/>
  <c r="AH38" i="605" s="1"/>
  <c r="AF48" i="605"/>
  <c r="AG79" i="712"/>
  <c r="AH70" i="712" s="1"/>
  <c r="AF79" i="712"/>
  <c r="Q79" i="712"/>
  <c r="Q51" i="702"/>
  <c r="R51" i="702"/>
  <c r="R31" i="694"/>
  <c r="Q31" i="694"/>
  <c r="R26" i="704"/>
  <c r="S16" i="704" s="1"/>
  <c r="O69" i="692"/>
  <c r="Q17" i="682"/>
  <c r="R17" i="682"/>
  <c r="R8" i="678"/>
  <c r="Q8" i="678"/>
  <c r="R39" i="680"/>
  <c r="R30" i="696"/>
  <c r="Q30" i="696"/>
  <c r="R8" i="690"/>
  <c r="Q8" i="690"/>
  <c r="Q50" i="682"/>
  <c r="R50" i="682"/>
  <c r="Q38" i="676"/>
  <c r="O48" i="676"/>
  <c r="R38" i="676"/>
  <c r="Q58" i="3"/>
  <c r="AF58" i="3"/>
  <c r="AG58" i="3"/>
  <c r="AH49" i="3" s="1"/>
  <c r="R50" i="676"/>
  <c r="Q50" i="676"/>
  <c r="G14" i="673"/>
  <c r="G15" i="673" s="1"/>
  <c r="R48" i="674"/>
  <c r="S38" i="674" s="1"/>
  <c r="R69" i="670"/>
  <c r="S59" i="670" s="1"/>
  <c r="I14" i="669"/>
  <c r="R5" i="690"/>
  <c r="Q5" i="690"/>
  <c r="O15" i="690"/>
  <c r="R60" i="605"/>
  <c r="Q60" i="605"/>
  <c r="AG26" i="710"/>
  <c r="AH16" i="710" s="1"/>
  <c r="AF26" i="710"/>
  <c r="O37" i="682"/>
  <c r="R27" i="682"/>
  <c r="Q27" i="682"/>
  <c r="AG69" i="674"/>
  <c r="AH59" i="674" s="1"/>
  <c r="Q69" i="674"/>
  <c r="AF69" i="674"/>
  <c r="E13" i="2"/>
  <c r="Q59" i="704"/>
  <c r="O69" i="704"/>
  <c r="R59" i="704"/>
  <c r="Q71" i="678"/>
  <c r="Q62" i="676"/>
  <c r="Q8" i="692"/>
  <c r="R8" i="692"/>
  <c r="L58" i="676"/>
  <c r="H13" i="675" s="1"/>
  <c r="Q41" i="605"/>
  <c r="R41" i="605"/>
  <c r="R79" i="670"/>
  <c r="S70" i="670" s="1"/>
  <c r="J15" i="669" s="1"/>
  <c r="J14" i="669"/>
  <c r="R6" i="698"/>
  <c r="Q6" i="698"/>
  <c r="L69" i="692"/>
  <c r="I13" i="691" s="1"/>
  <c r="J6" i="691" s="1"/>
  <c r="Q59" i="692"/>
  <c r="Q31" i="670"/>
  <c r="R31" i="670"/>
  <c r="AF69" i="678"/>
  <c r="N79" i="678"/>
  <c r="Q69" i="678"/>
  <c r="AG69" i="678"/>
  <c r="AH59" i="678" s="1"/>
  <c r="R32" i="692"/>
  <c r="Q40" i="682"/>
  <c r="R40" i="682"/>
  <c r="Q31" i="672"/>
  <c r="R31" i="672"/>
  <c r="R50" i="672"/>
  <c r="Q50" i="672"/>
  <c r="L26" i="674"/>
  <c r="E13" i="673" s="1"/>
  <c r="F6" i="2"/>
  <c r="H6" i="2"/>
  <c r="Q15" i="3"/>
  <c r="D14" i="2"/>
  <c r="R15" i="3"/>
  <c r="S5" i="3" s="1"/>
  <c r="R19" i="723"/>
  <c r="Q19" i="723"/>
  <c r="L79" i="716"/>
  <c r="J13" i="715" s="1"/>
  <c r="R52" i="710"/>
  <c r="Q52" i="710"/>
  <c r="O15" i="714"/>
  <c r="R5" i="714"/>
  <c r="Q5" i="714"/>
  <c r="Q49" i="708"/>
  <c r="O58" i="708"/>
  <c r="R49" i="708"/>
  <c r="L48" i="712"/>
  <c r="G13" i="711" s="1"/>
  <c r="F6" i="711" s="1"/>
  <c r="L58" i="702"/>
  <c r="H13" i="701" s="1"/>
  <c r="Q38" i="712"/>
  <c r="R38" i="712"/>
  <c r="O48" i="712"/>
  <c r="L48" i="708"/>
  <c r="G13" i="707" s="1"/>
  <c r="Q38" i="708"/>
  <c r="Q33" i="706"/>
  <c r="O58" i="700"/>
  <c r="R49" i="700"/>
  <c r="Q49" i="700"/>
  <c r="Q62" i="720"/>
  <c r="R62" i="720"/>
  <c r="AF15" i="718"/>
  <c r="AG15" i="718"/>
  <c r="AH5" i="718" s="1"/>
  <c r="R50" i="720"/>
  <c r="Q50" i="720"/>
  <c r="R7" i="708"/>
  <c r="Q7" i="708"/>
  <c r="R59" i="706"/>
  <c r="R7" i="694"/>
  <c r="Q7" i="694"/>
  <c r="R52" i="682"/>
  <c r="Q52" i="682"/>
  <c r="AF58" i="718"/>
  <c r="O58" i="678"/>
  <c r="R49" i="678"/>
  <c r="Q49" i="678"/>
  <c r="Q60" i="708"/>
  <c r="G2" i="708"/>
  <c r="J3" i="707"/>
  <c r="Q5" i="702"/>
  <c r="O15" i="702"/>
  <c r="R5" i="702"/>
  <c r="R41" i="694"/>
  <c r="Q41" i="694"/>
  <c r="Q52" i="700"/>
  <c r="R52" i="700"/>
  <c r="I14" i="693"/>
  <c r="R69" i="694"/>
  <c r="S59" i="694" s="1"/>
  <c r="O37" i="686"/>
  <c r="R27" i="686"/>
  <c r="Q27" i="686"/>
  <c r="AG37" i="716"/>
  <c r="AH27" i="716" s="1"/>
  <c r="AF37" i="716"/>
  <c r="Q37" i="716"/>
  <c r="AG26" i="696"/>
  <c r="AH16" i="696" s="1"/>
  <c r="AF26" i="696"/>
  <c r="AG48" i="692"/>
  <c r="AH38" i="692" s="1"/>
  <c r="AF48" i="692"/>
  <c r="Q48" i="692"/>
  <c r="Q58" i="672"/>
  <c r="AF58" i="672"/>
  <c r="AG58" i="672"/>
  <c r="AH49" i="672" s="1"/>
  <c r="G2" i="688"/>
  <c r="J3" i="687"/>
  <c r="O58" i="694"/>
  <c r="R49" i="694"/>
  <c r="Q49" i="694"/>
  <c r="R6" i="678"/>
  <c r="Q6" i="678"/>
  <c r="L69" i="718"/>
  <c r="I13" i="717" s="1"/>
  <c r="Q40" i="704"/>
  <c r="R40" i="704"/>
  <c r="R60" i="698"/>
  <c r="Q60" i="698"/>
  <c r="O37" i="690"/>
  <c r="Q27" i="690"/>
  <c r="R27" i="690"/>
  <c r="R21" i="680"/>
  <c r="L26" i="670"/>
  <c r="E13" i="669" s="1"/>
  <c r="H6" i="669" s="1"/>
  <c r="R19" i="674"/>
  <c r="Q19" i="674"/>
  <c r="Q48" i="676"/>
  <c r="AG48" i="676"/>
  <c r="AH38" i="676" s="1"/>
  <c r="AF48" i="676"/>
  <c r="R62" i="688"/>
  <c r="Q62" i="688"/>
  <c r="R49" i="3"/>
  <c r="Q49" i="3"/>
  <c r="O58" i="3"/>
  <c r="AG69" i="692"/>
  <c r="AH59" i="692" s="1"/>
  <c r="AF69" i="692"/>
  <c r="Q69" i="692"/>
  <c r="AG79" i="676"/>
  <c r="AH70" i="676" s="1"/>
  <c r="Q79" i="676"/>
  <c r="AF79" i="676"/>
  <c r="Q16" i="710"/>
  <c r="R16" i="710"/>
  <c r="O26" i="710"/>
  <c r="AG37" i="682"/>
  <c r="AH27" i="682" s="1"/>
  <c r="Q37" i="682"/>
  <c r="AF37" i="682"/>
  <c r="Q21" i="678"/>
  <c r="AF79" i="674"/>
  <c r="Q79" i="674"/>
  <c r="AG79" i="674"/>
  <c r="AH70" i="674" s="1"/>
  <c r="O69" i="674"/>
  <c r="R59" i="674"/>
  <c r="Q59" i="674"/>
  <c r="R16" i="3"/>
  <c r="Q16" i="3"/>
  <c r="O26" i="3"/>
  <c r="Q37" i="710"/>
  <c r="AG37" i="710"/>
  <c r="AH27" i="710" s="1"/>
  <c r="AF37" i="710"/>
  <c r="O48" i="684"/>
  <c r="R38" i="684"/>
  <c r="Q38" i="684"/>
  <c r="R49" i="676"/>
  <c r="Q49" i="676"/>
  <c r="O58" i="676"/>
  <c r="O69" i="676"/>
  <c r="Q59" i="676"/>
  <c r="R59" i="676"/>
  <c r="F13" i="2"/>
  <c r="R31" i="712"/>
  <c r="Q31" i="712"/>
  <c r="Q59" i="678"/>
  <c r="O69" i="678"/>
  <c r="R59" i="678"/>
  <c r="Q30" i="672"/>
  <c r="R30" i="672"/>
  <c r="R39" i="690"/>
  <c r="Q39" i="690"/>
  <c r="F6" i="671"/>
  <c r="H6" i="671"/>
  <c r="R29" i="684"/>
  <c r="Q29" i="684"/>
  <c r="R17" i="605"/>
  <c r="Q17" i="605"/>
  <c r="AF69" i="670"/>
  <c r="H6" i="709"/>
  <c r="Q5" i="704"/>
  <c r="R39" i="700"/>
  <c r="Q39" i="700"/>
  <c r="Q48" i="698"/>
  <c r="AG48" i="698"/>
  <c r="AH38" i="698" s="1"/>
  <c r="AF48" i="698"/>
  <c r="R48" i="605"/>
  <c r="S38" i="605" s="1"/>
  <c r="G14" i="604"/>
  <c r="G15" i="604" s="1"/>
  <c r="Q69" i="704"/>
  <c r="AG69" i="704"/>
  <c r="AH59" i="704" s="1"/>
  <c r="AF69" i="704"/>
  <c r="R7" i="725"/>
  <c r="Q7" i="725"/>
  <c r="L15" i="678"/>
  <c r="D13" i="677" s="1"/>
  <c r="R5" i="678"/>
  <c r="Q16" i="698"/>
  <c r="O26" i="698"/>
  <c r="R16" i="698"/>
  <c r="AF26" i="718"/>
  <c r="AG26" i="718"/>
  <c r="AH16" i="718" s="1"/>
  <c r="R39" i="688"/>
  <c r="Q39" i="688"/>
  <c r="Q79" i="698"/>
  <c r="AG79" i="698"/>
  <c r="AH70" i="698" s="1"/>
  <c r="AF79" i="698"/>
  <c r="R60" i="690"/>
  <c r="Q60" i="690"/>
  <c r="R52" i="686"/>
  <c r="Q52" i="686"/>
  <c r="R16" i="690"/>
  <c r="Q16" i="690"/>
  <c r="O26" i="690"/>
  <c r="Q58" i="694"/>
  <c r="AG58" i="694"/>
  <c r="AH49" i="694" s="1"/>
  <c r="AF58" i="694"/>
  <c r="R79" i="723"/>
  <c r="S70" i="723" s="1"/>
  <c r="J15" i="722" s="1"/>
  <c r="J14" i="722"/>
  <c r="J3" i="669"/>
  <c r="G2" i="670"/>
  <c r="O6" i="604"/>
  <c r="N6" i="604"/>
  <c r="Q27" i="710"/>
  <c r="O37" i="710"/>
  <c r="R27" i="710"/>
  <c r="O48" i="3"/>
  <c r="R38" i="3"/>
  <c r="Q38" i="3"/>
  <c r="G2" i="692"/>
  <c r="J3" i="691"/>
  <c r="O37" i="694"/>
  <c r="R27" i="694"/>
  <c r="Q27" i="694"/>
  <c r="R7" i="718"/>
  <c r="Q7" i="718"/>
  <c r="R9" i="708"/>
  <c r="Q9" i="708"/>
  <c r="R30" i="692"/>
  <c r="Q30" i="692"/>
  <c r="Q19" i="708"/>
  <c r="R19" i="708"/>
  <c r="R17" i="698"/>
  <c r="Q17" i="698"/>
  <c r="D14" i="677"/>
  <c r="Q15" i="678"/>
  <c r="H6" i="675"/>
  <c r="H14" i="691"/>
  <c r="O48" i="686"/>
  <c r="R38" i="686"/>
  <c r="Q38" i="686"/>
  <c r="Q7" i="670"/>
  <c r="R7" i="670"/>
  <c r="R50" i="674"/>
  <c r="Q69" i="690"/>
  <c r="AG69" i="690"/>
  <c r="AH59" i="690" s="1"/>
  <c r="AF69" i="690"/>
  <c r="R61" i="674"/>
  <c r="Q61" i="674"/>
  <c r="R31" i="686"/>
  <c r="Q31" i="686"/>
  <c r="L37" i="674"/>
  <c r="F13" i="673" s="1"/>
  <c r="R27" i="674"/>
  <c r="Q27" i="674"/>
  <c r="AG48" i="678"/>
  <c r="AH38" i="678" s="1"/>
  <c r="AF48" i="678"/>
  <c r="Q48" i="678"/>
  <c r="R28" i="670"/>
  <c r="Q28" i="670"/>
  <c r="AG58" i="692"/>
  <c r="AH49" i="692" s="1"/>
  <c r="L37" i="716"/>
  <c r="F13" i="715" s="1"/>
  <c r="F6" i="715" s="1"/>
  <c r="R27" i="716"/>
  <c r="AG69" i="720"/>
  <c r="AH59" i="720" s="1"/>
  <c r="AF69" i="720"/>
  <c r="Q69" i="720"/>
  <c r="O69" i="716"/>
  <c r="Q59" i="716"/>
  <c r="R59" i="716"/>
  <c r="Q31" i="706"/>
  <c r="R31" i="706"/>
  <c r="L26" i="706"/>
  <c r="E13" i="705" s="1"/>
  <c r="R18" i="706"/>
  <c r="Q18" i="706"/>
  <c r="J6" i="719"/>
  <c r="Q27" i="708"/>
  <c r="O37" i="708"/>
  <c r="R27" i="708"/>
  <c r="R50" i="723"/>
  <c r="Q50" i="723"/>
  <c r="AF26" i="720"/>
  <c r="AG26" i="720"/>
  <c r="AH16" i="720" s="1"/>
  <c r="Q60" i="716"/>
  <c r="AF69" i="723"/>
  <c r="AG69" i="723"/>
  <c r="AH59" i="723" s="1"/>
  <c r="Q69" i="723"/>
  <c r="AG26" i="706"/>
  <c r="AH16" i="706" s="1"/>
  <c r="AF26" i="706"/>
  <c r="R27" i="712"/>
  <c r="O37" i="712"/>
  <c r="Q27" i="712"/>
  <c r="Q62" i="708"/>
  <c r="R62" i="708"/>
  <c r="R39" i="712"/>
  <c r="Q39" i="712"/>
  <c r="Q37" i="720"/>
  <c r="AG37" i="720"/>
  <c r="AH27" i="720" s="1"/>
  <c r="AF37" i="720"/>
  <c r="L79" i="700"/>
  <c r="J13" i="699" s="1"/>
  <c r="J6" i="699" s="1"/>
  <c r="Q71" i="723"/>
  <c r="R71" i="723"/>
  <c r="L79" i="723"/>
  <c r="J13" i="722" s="1"/>
  <c r="R29" i="720"/>
  <c r="Q29" i="720"/>
  <c r="AG58" i="706"/>
  <c r="AH49" i="706" s="1"/>
  <c r="AF58" i="706"/>
  <c r="Q58" i="706"/>
  <c r="O79" i="698"/>
  <c r="R19" i="680"/>
  <c r="Q19" i="680"/>
  <c r="Q27" i="718"/>
  <c r="R27" i="718"/>
  <c r="O37" i="718"/>
  <c r="O6" i="695"/>
  <c r="N6" i="695"/>
  <c r="R31" i="704"/>
  <c r="Q31" i="704"/>
  <c r="AF48" i="704"/>
  <c r="Q48" i="704"/>
  <c r="AG48" i="704"/>
  <c r="AH38" i="704" s="1"/>
  <c r="Q52" i="694"/>
  <c r="R52" i="694"/>
  <c r="Q49" i="690"/>
  <c r="O58" i="690"/>
  <c r="R49" i="690"/>
  <c r="R39" i="723"/>
  <c r="Q39" i="723"/>
  <c r="AG79" i="686"/>
  <c r="AH70" i="686" s="1"/>
  <c r="Q79" i="686"/>
  <c r="AF79" i="686"/>
  <c r="AG26" i="686"/>
  <c r="AH16" i="686" s="1"/>
  <c r="AF26" i="686"/>
  <c r="AG79" i="706"/>
  <c r="AH70" i="706" s="1"/>
  <c r="AF79" i="706"/>
  <c r="Q79" i="706"/>
  <c r="AG48" i="700"/>
  <c r="AH38" i="700" s="1"/>
  <c r="Q48" i="700"/>
  <c r="AF48" i="700"/>
  <c r="O6" i="683"/>
  <c r="N6" i="683"/>
  <c r="Q61" i="680"/>
  <c r="R61" i="680"/>
  <c r="AF15" i="678"/>
  <c r="AG15" i="678"/>
  <c r="AH5" i="678" s="1"/>
  <c r="L15" i="708"/>
  <c r="D13" i="707" s="1"/>
  <c r="Q5" i="678"/>
  <c r="O26" i="682"/>
  <c r="R16" i="682"/>
  <c r="Q16" i="682"/>
  <c r="O6" i="2"/>
  <c r="AG15" i="710"/>
  <c r="AH5" i="710" s="1"/>
  <c r="AF15" i="710"/>
  <c r="AF79" i="682"/>
  <c r="J14" i="701"/>
  <c r="R79" i="702"/>
  <c r="S70" i="702" s="1"/>
  <c r="J15" i="701" s="1"/>
  <c r="Q17" i="720"/>
  <c r="R17" i="720"/>
  <c r="O37" i="696"/>
  <c r="AF15" i="682"/>
  <c r="AG15" i="682"/>
  <c r="AH5" i="682" s="1"/>
  <c r="O69" i="605"/>
  <c r="R59" i="605"/>
  <c r="Q59" i="605"/>
  <c r="P79" i="708"/>
  <c r="J22" i="707"/>
  <c r="Q37" i="674"/>
  <c r="R49" i="605"/>
  <c r="Q49" i="605"/>
  <c r="O58" i="605"/>
  <c r="R16" i="672"/>
  <c r="Q16" i="672"/>
  <c r="O26" i="672"/>
  <c r="AF37" i="684"/>
  <c r="AG37" i="684"/>
  <c r="AH27" i="684" s="1"/>
  <c r="Q37" i="684"/>
  <c r="J3" i="689"/>
  <c r="G2" i="690"/>
  <c r="O37" i="605"/>
  <c r="AF26" i="3"/>
  <c r="AG26" i="3"/>
  <c r="AH16" i="3" s="1"/>
  <c r="R18" i="674"/>
  <c r="Q18" i="674"/>
  <c r="Q69" i="670"/>
  <c r="O26" i="692"/>
  <c r="AF48" i="684"/>
  <c r="AG48" i="684"/>
  <c r="AH38" i="684" s="1"/>
  <c r="Q48" i="684"/>
  <c r="Q58" i="676"/>
  <c r="AG58" i="676"/>
  <c r="AH49" i="676" s="1"/>
  <c r="AF58" i="676"/>
  <c r="AG69" i="698"/>
  <c r="AH59" i="698" s="1"/>
  <c r="AF69" i="698"/>
  <c r="Q69" i="698"/>
  <c r="R6" i="686"/>
  <c r="Q6" i="686"/>
  <c r="O15" i="686"/>
  <c r="Q17" i="708"/>
  <c r="R17" i="708"/>
  <c r="R51" i="716"/>
  <c r="Q51" i="716"/>
  <c r="AF37" i="694"/>
  <c r="Q37" i="694"/>
  <c r="AG37" i="694"/>
  <c r="AH27" i="694" s="1"/>
  <c r="R31" i="682"/>
  <c r="Q31" i="682"/>
  <c r="R50" i="605"/>
  <c r="Q50" i="605"/>
  <c r="AF58" i="692"/>
  <c r="Q58" i="605"/>
  <c r="P69" i="708"/>
  <c r="Q37" i="723"/>
  <c r="AG37" i="723"/>
  <c r="AH27" i="723" s="1"/>
  <c r="AF37" i="723"/>
  <c r="AG69" i="684"/>
  <c r="AH59" i="684" s="1"/>
  <c r="AF69" i="684"/>
  <c r="Q69" i="684"/>
  <c r="R40" i="696"/>
  <c r="Q40" i="696"/>
  <c r="Q16" i="688"/>
  <c r="O26" i="688"/>
  <c r="R16" i="688"/>
  <c r="R27" i="692"/>
  <c r="Q27" i="692"/>
  <c r="O37" i="692"/>
  <c r="O79" i="720"/>
  <c r="R70" i="720"/>
  <c r="Q70" i="720"/>
  <c r="Q37" i="670"/>
  <c r="AF37" i="670"/>
  <c r="AG37" i="670"/>
  <c r="AH27" i="670" s="1"/>
  <c r="Q70" i="712"/>
  <c r="O79" i="712"/>
  <c r="R70" i="712"/>
  <c r="R16" i="670"/>
  <c r="Q16" i="670"/>
  <c r="O26" i="670"/>
  <c r="O58" i="688"/>
  <c r="R50" i="688"/>
  <c r="Q50" i="688"/>
  <c r="Q39" i="672"/>
  <c r="R39" i="672"/>
  <c r="J3" i="604"/>
  <c r="G2" i="605"/>
  <c r="R15" i="704"/>
  <c r="S5" i="704" s="1"/>
  <c r="Q15" i="704"/>
  <c r="D14" i="703"/>
  <c r="R62" i="718"/>
  <c r="Q62" i="718"/>
  <c r="R53" i="720"/>
  <c r="Q53" i="720"/>
  <c r="Q51" i="694"/>
  <c r="R51" i="694"/>
  <c r="Q50" i="690"/>
  <c r="R50" i="690"/>
  <c r="AG37" i="702"/>
  <c r="AH27" i="702" s="1"/>
  <c r="Q37" i="702"/>
  <c r="AF37" i="702"/>
  <c r="R6" i="702"/>
  <c r="Q6" i="702"/>
  <c r="Q52" i="720"/>
  <c r="R52" i="720"/>
  <c r="L58" i="688"/>
  <c r="H13" i="687" s="1"/>
  <c r="F6" i="687" s="1"/>
  <c r="R49" i="688"/>
  <c r="O6" i="693"/>
  <c r="N6" i="693"/>
  <c r="R29" i="682"/>
  <c r="Q29" i="682"/>
  <c r="R6" i="694"/>
  <c r="Q6" i="694"/>
  <c r="R17" i="670"/>
  <c r="Q17" i="670"/>
  <c r="R27" i="684"/>
  <c r="O37" i="684"/>
  <c r="Q27" i="684"/>
  <c r="O69" i="690"/>
  <c r="Q59" i="690"/>
  <c r="R59" i="690"/>
  <c r="Q58" i="674"/>
  <c r="AG58" i="674"/>
  <c r="AH49" i="674" s="1"/>
  <c r="AF58" i="674"/>
  <c r="R52" i="676"/>
  <c r="Q52" i="676"/>
  <c r="L58" i="716"/>
  <c r="H13" i="715" s="1"/>
  <c r="Q73" i="716"/>
  <c r="R60" i="714"/>
  <c r="Q60" i="714"/>
  <c r="R62" i="710"/>
  <c r="R19" i="714"/>
  <c r="Q19" i="714"/>
  <c r="Q69" i="686"/>
  <c r="AG69" i="686"/>
  <c r="AH59" i="686" s="1"/>
  <c r="AF69" i="686"/>
  <c r="R30" i="694"/>
  <c r="Q30" i="694"/>
  <c r="R16" i="702"/>
  <c r="O26" i="702"/>
  <c r="Q16" i="702"/>
  <c r="AG37" i="688"/>
  <c r="AH27" i="688" s="1"/>
  <c r="AF37" i="688"/>
  <c r="Q37" i="688"/>
  <c r="AG48" i="706"/>
  <c r="AH38" i="706" s="1"/>
  <c r="AF48" i="706"/>
  <c r="Q48" i="706"/>
  <c r="R5" i="708"/>
  <c r="Q5" i="708"/>
  <c r="O15" i="708"/>
  <c r="AG58" i="690"/>
  <c r="AH49" i="690" s="1"/>
  <c r="AF58" i="690"/>
  <c r="Q58" i="690"/>
  <c r="L37" i="692"/>
  <c r="F13" i="691" s="1"/>
  <c r="AF69" i="3"/>
  <c r="AG69" i="3"/>
  <c r="AH59" i="3" s="1"/>
  <c r="Q69" i="3"/>
  <c r="R61" i="684"/>
  <c r="Q61" i="684"/>
  <c r="R70" i="710"/>
  <c r="L79" i="710"/>
  <c r="R18" i="720"/>
  <c r="Q18" i="720"/>
  <c r="Q52" i="716"/>
  <c r="R52" i="716"/>
  <c r="R31" i="702"/>
  <c r="Q31" i="702"/>
  <c r="AG79" i="702"/>
  <c r="AH70" i="702" s="1"/>
  <c r="AF79" i="702"/>
  <c r="Q79" i="702"/>
  <c r="R39" i="678"/>
  <c r="Q39" i="678"/>
  <c r="Q18" i="688"/>
  <c r="R18" i="688"/>
  <c r="R18" i="680"/>
  <c r="Q18" i="680"/>
  <c r="R31" i="696"/>
  <c r="Q31" i="696"/>
  <c r="O48" i="704"/>
  <c r="Q38" i="704"/>
  <c r="R38" i="704"/>
  <c r="Q50" i="696"/>
  <c r="R50" i="696"/>
  <c r="Q38" i="694"/>
  <c r="R38" i="694"/>
  <c r="O48" i="694"/>
  <c r="R53" i="672"/>
  <c r="Q53" i="672"/>
  <c r="Q7" i="682"/>
  <c r="R7" i="682"/>
  <c r="R19" i="672"/>
  <c r="Q19" i="672"/>
  <c r="Q40" i="680"/>
  <c r="R40" i="680"/>
  <c r="R28" i="688"/>
  <c r="Q27" i="605"/>
  <c r="Q7" i="700"/>
  <c r="Q16" i="692"/>
  <c r="R52" i="678"/>
  <c r="Q52" i="678"/>
  <c r="R28" i="686"/>
  <c r="Q28" i="686"/>
  <c r="R32" i="682"/>
  <c r="AG37" i="678"/>
  <c r="AH27" i="678" s="1"/>
  <c r="R29" i="706"/>
  <c r="Q29" i="706"/>
  <c r="Q61" i="710"/>
  <c r="R61" i="710"/>
  <c r="R60" i="710"/>
  <c r="Q60" i="710"/>
  <c r="J3" i="715"/>
  <c r="G2" i="716"/>
  <c r="Q30" i="710"/>
  <c r="R30" i="710"/>
  <c r="O58" i="710"/>
  <c r="Q49" i="710"/>
  <c r="R49" i="710"/>
  <c r="L15" i="686"/>
  <c r="D13" i="685" s="1"/>
  <c r="Q50" i="692"/>
  <c r="R50" i="692"/>
  <c r="Q69" i="706"/>
  <c r="AF69" i="706"/>
  <c r="AG69" i="706"/>
  <c r="AH59" i="706" s="1"/>
  <c r="AG15" i="686"/>
  <c r="AH5" i="686" s="1"/>
  <c r="AF15" i="686"/>
  <c r="Q18" i="690"/>
  <c r="R18" i="690"/>
  <c r="G2" i="714"/>
  <c r="J3" i="713"/>
  <c r="J6" i="681"/>
  <c r="H14" i="679"/>
  <c r="H15" i="679" s="1"/>
  <c r="R58" i="680"/>
  <c r="S49" i="680" s="1"/>
  <c r="Q58" i="684"/>
  <c r="AG58" i="684"/>
  <c r="AH49" i="684" s="1"/>
  <c r="AF58" i="684"/>
  <c r="Q50" i="678"/>
  <c r="Q28" i="702"/>
  <c r="R28" i="702"/>
  <c r="R51" i="692"/>
  <c r="Q51" i="692"/>
  <c r="Q19" i="605"/>
  <c r="R19" i="605"/>
  <c r="R5" i="698"/>
  <c r="Q5" i="698"/>
  <c r="O15" i="698"/>
  <c r="Q28" i="688"/>
  <c r="J3" i="671"/>
  <c r="G2" i="672"/>
  <c r="J3" i="681"/>
  <c r="G2" i="682"/>
  <c r="R51" i="672"/>
  <c r="Q51" i="672"/>
  <c r="H6" i="697"/>
  <c r="R17" i="706"/>
  <c r="Q17" i="706"/>
  <c r="Q30" i="690"/>
  <c r="R30" i="690"/>
  <c r="L79" i="680"/>
  <c r="J13" i="679" s="1"/>
  <c r="AF26" i="676"/>
  <c r="AG26" i="676"/>
  <c r="AH16" i="676" s="1"/>
  <c r="R7" i="700"/>
  <c r="R16" i="692"/>
  <c r="Q6" i="676"/>
  <c r="N6" i="2"/>
  <c r="R51" i="725"/>
  <c r="Q51" i="725"/>
  <c r="O37" i="670"/>
  <c r="R16" i="674"/>
  <c r="Q16" i="674"/>
  <c r="O26" i="674"/>
  <c r="L69" i="688"/>
  <c r="I13" i="687" s="1"/>
  <c r="J6" i="687" s="1"/>
  <c r="AF37" i="678"/>
  <c r="R29" i="704"/>
  <c r="Q29" i="704"/>
  <c r="Q37" i="700"/>
  <c r="AG37" i="700"/>
  <c r="AH27" i="700" s="1"/>
  <c r="AF37" i="700"/>
  <c r="L58" i="682"/>
  <c r="H13" i="681" s="1"/>
  <c r="H6" i="681" s="1"/>
  <c r="Q33" i="704"/>
  <c r="R8" i="694"/>
  <c r="R58" i="712"/>
  <c r="S49" i="712" s="1"/>
  <c r="H14" i="711"/>
  <c r="H15" i="711" s="1"/>
  <c r="AG15" i="704"/>
  <c r="AH5" i="704" s="1"/>
  <c r="AF15" i="704"/>
  <c r="R6" i="690"/>
  <c r="Q6" i="690"/>
  <c r="R31" i="720"/>
  <c r="Q31" i="720"/>
  <c r="R63" i="706"/>
  <c r="Q63" i="706"/>
  <c r="R51" i="696"/>
  <c r="Q51" i="696"/>
  <c r="AG79" i="700"/>
  <c r="AH70" i="700" s="1"/>
  <c r="AF79" i="700"/>
  <c r="Q79" i="700"/>
  <c r="R70" i="704"/>
  <c r="Q70" i="704"/>
  <c r="O79" i="704"/>
  <c r="AG58" i="680"/>
  <c r="AH49" i="680" s="1"/>
  <c r="AF58" i="680"/>
  <c r="Q58" i="680"/>
  <c r="O37" i="678"/>
  <c r="AG26" i="712"/>
  <c r="AH16" i="712" s="1"/>
  <c r="AF26" i="712"/>
  <c r="Q49" i="702"/>
  <c r="Q48" i="694"/>
  <c r="AG48" i="694"/>
  <c r="AH38" i="694" s="1"/>
  <c r="AF48" i="694"/>
  <c r="R29" i="686"/>
  <c r="Q29" i="686"/>
  <c r="AG15" i="688"/>
  <c r="AH5" i="688" s="1"/>
  <c r="AF15" i="688"/>
  <c r="Q5" i="686"/>
  <c r="Q49" i="680"/>
  <c r="Q51" i="670"/>
  <c r="R51" i="670"/>
  <c r="R62" i="712"/>
  <c r="Q53" i="684"/>
  <c r="Q39" i="706"/>
  <c r="Q28" i="692"/>
  <c r="R28" i="692"/>
  <c r="Q79" i="696"/>
  <c r="AF79" i="696"/>
  <c r="AG79" i="696"/>
  <c r="AH70" i="696" s="1"/>
  <c r="R28" i="684"/>
  <c r="AG15" i="708"/>
  <c r="AH5" i="708" s="1"/>
  <c r="AF15" i="696"/>
  <c r="AG15" i="696"/>
  <c r="AH5" i="696" s="1"/>
  <c r="R53" i="676"/>
  <c r="L37" i="696"/>
  <c r="F13" i="695" s="1"/>
  <c r="H6" i="695" s="1"/>
  <c r="Q40" i="678"/>
  <c r="Q18" i="716"/>
  <c r="R18" i="716"/>
  <c r="R18" i="702"/>
  <c r="Q18" i="702"/>
  <c r="Q40" i="690"/>
  <c r="Q16" i="676"/>
  <c r="L26" i="676"/>
  <c r="E13" i="675" s="1"/>
  <c r="O58" i="670"/>
  <c r="R49" i="670"/>
  <c r="Q49" i="670"/>
  <c r="R50" i="684"/>
  <c r="Q50" i="684"/>
  <c r="AF69" i="605"/>
  <c r="Q69" i="605"/>
  <c r="AG69" i="605"/>
  <c r="AH59" i="605" s="1"/>
  <c r="Q18" i="698"/>
  <c r="R18" i="698"/>
  <c r="Q39" i="684"/>
  <c r="R39" i="684"/>
  <c r="R5" i="670"/>
  <c r="Q5" i="670"/>
  <c r="O15" i="670"/>
  <c r="R39" i="698"/>
  <c r="Q39" i="698"/>
  <c r="AG79" i="684"/>
  <c r="AH70" i="684" s="1"/>
  <c r="Q5" i="680"/>
  <c r="O15" i="680"/>
  <c r="R5" i="680"/>
  <c r="Q28" i="676"/>
  <c r="R28" i="676"/>
  <c r="Q40" i="674"/>
  <c r="R40" i="674"/>
  <c r="O15" i="672"/>
  <c r="R6" i="672"/>
  <c r="Q6" i="672"/>
  <c r="Q71" i="680"/>
  <c r="Q51" i="3"/>
  <c r="R51" i="3"/>
  <c r="R49" i="714"/>
  <c r="Q49" i="714"/>
  <c r="O58" i="714"/>
  <c r="Q58" i="714"/>
  <c r="AG58" i="714"/>
  <c r="AH49" i="714" s="1"/>
  <c r="AF58" i="714"/>
  <c r="R31" i="688"/>
  <c r="Q31" i="688"/>
  <c r="R30" i="678"/>
  <c r="Q30" i="678"/>
  <c r="Q42" i="694"/>
  <c r="R27" i="672"/>
  <c r="Q27" i="672"/>
  <c r="O37" i="672"/>
  <c r="P69" i="678"/>
  <c r="R70" i="706"/>
  <c r="Q29" i="680"/>
  <c r="R30" i="676"/>
  <c r="Q30" i="676"/>
  <c r="J6" i="669"/>
  <c r="AF26" i="674"/>
  <c r="AG26" i="674"/>
  <c r="AH16" i="674" s="1"/>
  <c r="H6" i="719"/>
  <c r="Q28" i="704"/>
  <c r="R70" i="3"/>
  <c r="O79" i="3"/>
  <c r="Q70" i="3"/>
  <c r="Q48" i="672"/>
  <c r="AG48" i="672"/>
  <c r="AH38" i="672" s="1"/>
  <c r="AF48" i="672"/>
  <c r="Q21" i="605"/>
  <c r="R16" i="605"/>
  <c r="O26" i="605"/>
  <c r="Q16" i="605"/>
  <c r="Q69" i="672"/>
  <c r="AF69" i="672"/>
  <c r="AG69" i="672"/>
  <c r="AH59" i="672" s="1"/>
  <c r="Q69" i="718"/>
  <c r="AG69" i="718"/>
  <c r="AH59" i="718" s="1"/>
  <c r="AF69" i="718"/>
  <c r="Q58" i="702"/>
  <c r="AG58" i="702"/>
  <c r="AH49" i="702" s="1"/>
  <c r="AF58" i="702"/>
  <c r="R9" i="725"/>
  <c r="Q9" i="725"/>
  <c r="Q79" i="718"/>
  <c r="AG79" i="718"/>
  <c r="AH70" i="718" s="1"/>
  <c r="AF79" i="718"/>
  <c r="O69" i="712"/>
  <c r="Q59" i="712"/>
  <c r="R59" i="712"/>
  <c r="AF48" i="718"/>
  <c r="AG48" i="718"/>
  <c r="AH38" i="718" s="1"/>
  <c r="Q48" i="718"/>
  <c r="J6" i="693"/>
  <c r="O26" i="694"/>
  <c r="R16" i="694"/>
  <c r="Q16" i="694"/>
  <c r="AG37" i="698"/>
  <c r="AH27" i="698" s="1"/>
  <c r="Q37" i="698"/>
  <c r="AF37" i="698"/>
  <c r="Q51" i="682"/>
  <c r="R51" i="682"/>
  <c r="AG26" i="678"/>
  <c r="AH16" i="678" s="1"/>
  <c r="AF26" i="678"/>
  <c r="Q37" i="704"/>
  <c r="AG37" i="704"/>
  <c r="AH27" i="704" s="1"/>
  <c r="AF37" i="704"/>
  <c r="AF79" i="692"/>
  <c r="AG79" i="692"/>
  <c r="AH70" i="692" s="1"/>
  <c r="Q79" i="692"/>
  <c r="AG26" i="684"/>
  <c r="AH16" i="684" s="1"/>
  <c r="AF26" i="684"/>
  <c r="J14" i="673"/>
  <c r="R28" i="708"/>
  <c r="Q28" i="708"/>
  <c r="Q48" i="725"/>
  <c r="AG48" i="725"/>
  <c r="AH38" i="725" s="1"/>
  <c r="AF48" i="725"/>
  <c r="R28" i="710"/>
  <c r="Q28" i="710"/>
  <c r="Q59" i="725"/>
  <c r="R59" i="725"/>
  <c r="O69" i="725"/>
  <c r="R37" i="725"/>
  <c r="S27" i="725" s="1"/>
  <c r="F14" i="724"/>
  <c r="F15" i="724" s="1"/>
  <c r="L79" i="702"/>
  <c r="J13" i="701" s="1"/>
  <c r="J6" i="701" s="1"/>
  <c r="Q70" i="702"/>
  <c r="R51" i="723"/>
  <c r="Q51" i="723"/>
  <c r="O15" i="725"/>
  <c r="G2" i="712"/>
  <c r="J3" i="711"/>
  <c r="Q6" i="696"/>
  <c r="R6" i="696"/>
  <c r="R52" i="704"/>
  <c r="Q52" i="704"/>
  <c r="Q19" i="690"/>
  <c r="R19" i="690"/>
  <c r="O79" i="725"/>
  <c r="R70" i="725"/>
  <c r="Q70" i="725"/>
  <c r="Q58" i="708"/>
  <c r="AG58" i="708"/>
  <c r="AH49" i="708" s="1"/>
  <c r="AF58" i="708"/>
  <c r="N6" i="722"/>
  <c r="O6" i="722"/>
  <c r="Q6" i="718"/>
  <c r="R6" i="718"/>
  <c r="Q52" i="702"/>
  <c r="R52" i="702"/>
  <c r="E14" i="713"/>
  <c r="E15" i="713" s="1"/>
  <c r="R26" i="714"/>
  <c r="S16" i="714" s="1"/>
  <c r="Q26" i="714"/>
  <c r="R61" i="706"/>
  <c r="Q61" i="706"/>
  <c r="R59" i="686"/>
  <c r="Q59" i="686"/>
  <c r="O69" i="686"/>
  <c r="AF58" i="678"/>
  <c r="AG58" i="678"/>
  <c r="AH49" i="678" s="1"/>
  <c r="Q58" i="678"/>
  <c r="L69" i="708"/>
  <c r="O6" i="713"/>
  <c r="N6" i="713"/>
  <c r="AG37" i="686"/>
  <c r="AH27" i="686" s="1"/>
  <c r="AF37" i="686"/>
  <c r="Q37" i="686"/>
  <c r="H6" i="683"/>
  <c r="R19" i="712"/>
  <c r="Q19" i="712"/>
  <c r="AG37" i="605"/>
  <c r="AH27" i="605" s="1"/>
  <c r="AF37" i="605"/>
  <c r="Q37" i="605"/>
  <c r="R17" i="725"/>
  <c r="Q17" i="725"/>
  <c r="F6" i="724"/>
  <c r="H6" i="724"/>
  <c r="Q61" i="688"/>
  <c r="R61" i="688"/>
  <c r="Q48" i="723"/>
  <c r="AF48" i="723"/>
  <c r="AG48" i="723"/>
  <c r="AH38" i="723" s="1"/>
  <c r="R59" i="702"/>
  <c r="O69" i="702"/>
  <c r="Q59" i="702"/>
  <c r="R6" i="706"/>
  <c r="Q6" i="706"/>
  <c r="Q51" i="684"/>
  <c r="R51" i="684"/>
  <c r="R19" i="684"/>
  <c r="Q19" i="684"/>
  <c r="R49" i="696"/>
  <c r="Q49" i="696"/>
  <c r="O58" i="696"/>
  <c r="AG26" i="682"/>
  <c r="AH16" i="682" s="1"/>
  <c r="AF26" i="682"/>
  <c r="O15" i="710"/>
  <c r="R5" i="710"/>
  <c r="Q5" i="710"/>
  <c r="H6" i="689"/>
  <c r="O58" i="674"/>
  <c r="Q49" i="674"/>
  <c r="R49" i="674"/>
  <c r="R27" i="605"/>
  <c r="R62" i="690"/>
  <c r="Q62" i="690"/>
  <c r="R30" i="706"/>
  <c r="Q30" i="706"/>
  <c r="Q62" i="704"/>
  <c r="R62" i="704"/>
  <c r="Q50" i="706"/>
  <c r="R50" i="706"/>
  <c r="O58" i="706"/>
  <c r="Q70" i="716"/>
  <c r="R70" i="716"/>
  <c r="O79" i="716"/>
  <c r="AG26" i="702"/>
  <c r="AH16" i="702" s="1"/>
  <c r="AF26" i="702"/>
  <c r="R52" i="698"/>
  <c r="Q52" i="698"/>
  <c r="J3" i="699"/>
  <c r="G2" i="700"/>
  <c r="H6" i="713"/>
  <c r="Q71" i="706"/>
  <c r="R71" i="706"/>
  <c r="R30" i="698"/>
  <c r="Q30" i="698"/>
  <c r="AG26" i="690"/>
  <c r="AH16" i="690" s="1"/>
  <c r="AF26" i="690"/>
  <c r="R30" i="714"/>
  <c r="Q30" i="714"/>
  <c r="Q6" i="692"/>
  <c r="O15" i="692"/>
  <c r="R6" i="692"/>
  <c r="AF79" i="670"/>
  <c r="Q79" i="670"/>
  <c r="AG79" i="670"/>
  <c r="AH70" i="670" s="1"/>
  <c r="R15" i="682"/>
  <c r="S5" i="682" s="1"/>
  <c r="Q15" i="682"/>
  <c r="D14" i="681"/>
  <c r="Q52" i="723"/>
  <c r="R52" i="723"/>
  <c r="Q48" i="690"/>
  <c r="AF48" i="690"/>
  <c r="AG48" i="690"/>
  <c r="AH38" i="690" s="1"/>
  <c r="R52" i="672"/>
  <c r="Q52" i="672"/>
  <c r="R20" i="605"/>
  <c r="Q20" i="605"/>
  <c r="Q31" i="708"/>
  <c r="R31" i="708"/>
  <c r="R31" i="692"/>
  <c r="Q31" i="692"/>
  <c r="R8" i="676"/>
  <c r="Q8" i="676"/>
  <c r="Q17" i="716"/>
  <c r="R17" i="716"/>
  <c r="R5" i="674"/>
  <c r="Q5" i="674"/>
  <c r="O15" i="674"/>
  <c r="R41" i="680"/>
  <c r="Q41" i="680"/>
  <c r="R61" i="702"/>
  <c r="Q61" i="702"/>
  <c r="O69" i="3"/>
  <c r="Q59" i="3"/>
  <c r="R59" i="3"/>
  <c r="O26" i="684"/>
  <c r="R16" i="716"/>
  <c r="O26" i="716"/>
  <c r="Q16" i="716"/>
  <c r="N6" i="689"/>
  <c r="O6" i="689"/>
  <c r="AG26" i="725"/>
  <c r="AH16" i="725" s="1"/>
  <c r="AF26" i="725"/>
  <c r="O58" i="725"/>
  <c r="R49" i="725"/>
  <c r="Q49" i="725"/>
  <c r="AF15" i="706"/>
  <c r="AG15" i="706"/>
  <c r="AH5" i="706" s="1"/>
  <c r="R51" i="700"/>
  <c r="Q51" i="700"/>
  <c r="R52" i="718"/>
  <c r="Q52" i="718"/>
  <c r="R7" i="692"/>
  <c r="Q7" i="692"/>
  <c r="Q30" i="725"/>
  <c r="R49" i="712"/>
  <c r="R60" i="696"/>
  <c r="Q60" i="696"/>
  <c r="R6" i="684"/>
  <c r="Q6" i="684"/>
  <c r="O58" i="702"/>
  <c r="Q51" i="688"/>
  <c r="F14" i="675"/>
  <c r="F15" i="675" s="1"/>
  <c r="R37" i="676"/>
  <c r="S27" i="676" s="1"/>
  <c r="O26" i="725"/>
  <c r="R16" i="725"/>
  <c r="Q16" i="725"/>
  <c r="R60" i="704"/>
  <c r="Q60" i="704"/>
  <c r="Q61" i="714"/>
  <c r="R28" i="725"/>
  <c r="Q28" i="725"/>
  <c r="Q19" i="720"/>
  <c r="R19" i="720"/>
  <c r="O48" i="710"/>
  <c r="R38" i="710"/>
  <c r="Q38" i="710"/>
  <c r="L69" i="716"/>
  <c r="I13" i="715" s="1"/>
  <c r="J6" i="715" s="1"/>
  <c r="R30" i="708"/>
  <c r="Q30" i="708"/>
  <c r="L48" i="702"/>
  <c r="G13" i="701" s="1"/>
  <c r="F6" i="701" s="1"/>
  <c r="R38" i="702"/>
  <c r="L58" i="686"/>
  <c r="H13" i="685" s="1"/>
  <c r="R27" i="720"/>
  <c r="O37" i="720"/>
  <c r="Q27" i="720"/>
  <c r="R29" i="712"/>
  <c r="Q29" i="712"/>
  <c r="J6" i="722"/>
  <c r="R52" i="706"/>
  <c r="Q52" i="706"/>
  <c r="J3" i="703"/>
  <c r="G2" i="704"/>
  <c r="Q28" i="712"/>
  <c r="R28" i="712"/>
  <c r="O26" i="708"/>
  <c r="Q16" i="708"/>
  <c r="R16" i="708"/>
  <c r="AG79" i="716"/>
  <c r="AH70" i="716" s="1"/>
  <c r="AF79" i="716"/>
  <c r="Q79" i="716"/>
  <c r="Q38" i="723"/>
  <c r="R38" i="723"/>
  <c r="O48" i="723"/>
  <c r="Q31" i="718"/>
  <c r="R61" i="718"/>
  <c r="O69" i="723"/>
  <c r="Q59" i="723"/>
  <c r="R59" i="723"/>
  <c r="AF37" i="725"/>
  <c r="AG37" i="725"/>
  <c r="AH27" i="725" s="1"/>
  <c r="Q37" i="725"/>
  <c r="Q39" i="716"/>
  <c r="R39" i="716"/>
  <c r="Q32" i="704"/>
  <c r="R51" i="720"/>
  <c r="Q51" i="720"/>
  <c r="R6" i="714"/>
  <c r="Q6" i="714"/>
  <c r="Q62" i="700"/>
  <c r="R62" i="700"/>
  <c r="Q48" i="702"/>
  <c r="AG48" i="702"/>
  <c r="AH38" i="702" s="1"/>
  <c r="AF48" i="702"/>
  <c r="O58" i="716"/>
  <c r="R49" i="716"/>
  <c r="Q49" i="716"/>
  <c r="R50" i="710"/>
  <c r="Q50" i="710"/>
  <c r="R60" i="684"/>
  <c r="Q60" i="684"/>
  <c r="D14" i="711"/>
  <c r="R15" i="712"/>
  <c r="S5" i="712" s="1"/>
  <c r="Q15" i="712"/>
  <c r="Q28" i="706"/>
  <c r="R28" i="706"/>
  <c r="R51" i="690"/>
  <c r="L69" i="678"/>
  <c r="R38" i="714"/>
  <c r="Q38" i="714"/>
  <c r="O48" i="714"/>
  <c r="R7" i="696"/>
  <c r="Q7" i="696"/>
  <c r="Q59" i="714"/>
  <c r="O69" i="714"/>
  <c r="R59" i="714"/>
  <c r="Q60" i="706"/>
  <c r="R60" i="706"/>
  <c r="Q27" i="700"/>
  <c r="O37" i="700"/>
  <c r="R27" i="700"/>
  <c r="R70" i="690"/>
  <c r="Q70" i="690"/>
  <c r="O79" i="690"/>
  <c r="J6" i="685"/>
  <c r="R28" i="723"/>
  <c r="Q28" i="723"/>
  <c r="R29" i="702"/>
  <c r="R38" i="698"/>
  <c r="Q38" i="698"/>
  <c r="O48" i="698"/>
  <c r="AG69" i="696"/>
  <c r="AH59" i="696" s="1"/>
  <c r="Q69" i="696"/>
  <c r="AF69" i="696"/>
  <c r="R52" i="692"/>
  <c r="Q52" i="692"/>
  <c r="O15" i="684"/>
  <c r="E2" i="716"/>
  <c r="R15" i="716"/>
  <c r="S5" i="716" s="1"/>
  <c r="D14" i="715"/>
  <c r="Q15" i="716"/>
  <c r="Q18" i="700"/>
  <c r="R18" i="700"/>
  <c r="Q29" i="696"/>
  <c r="R29" i="696"/>
  <c r="Q71" i="690"/>
  <c r="L48" i="720"/>
  <c r="G13" i="719" s="1"/>
  <c r="F6" i="719" s="1"/>
  <c r="Q5" i="706"/>
  <c r="R8" i="704"/>
  <c r="Q8" i="704"/>
  <c r="Q16" i="696"/>
  <c r="O26" i="696"/>
  <c r="R16" i="696"/>
  <c r="R49" i="702"/>
  <c r="Q53" i="692"/>
  <c r="R53" i="692"/>
  <c r="R39" i="682"/>
  <c r="Q39" i="682"/>
  <c r="Q51" i="710"/>
  <c r="R51" i="710"/>
  <c r="Q32" i="706"/>
  <c r="R39" i="694"/>
  <c r="Q39" i="694"/>
  <c r="R5" i="686"/>
  <c r="Q30" i="680"/>
  <c r="Q69" i="688"/>
  <c r="AG69" i="688"/>
  <c r="AH59" i="688" s="1"/>
  <c r="AF69" i="688"/>
  <c r="O58" i="723"/>
  <c r="R49" i="684"/>
  <c r="O58" i="684"/>
  <c r="Q49" i="684"/>
  <c r="L58" i="670"/>
  <c r="H13" i="669" s="1"/>
  <c r="R39" i="706"/>
  <c r="R38" i="690"/>
  <c r="O48" i="690"/>
  <c r="Q38" i="690"/>
  <c r="L48" i="694"/>
  <c r="G13" i="693" s="1"/>
  <c r="L79" i="674"/>
  <c r="J13" i="673" s="1"/>
  <c r="J6" i="673" s="1"/>
  <c r="R40" i="678"/>
  <c r="R40" i="690"/>
  <c r="Q79" i="680"/>
  <c r="AG79" i="680"/>
  <c r="AH70" i="680" s="1"/>
  <c r="AF79" i="680"/>
  <c r="Q73" i="674"/>
  <c r="AG26" i="698"/>
  <c r="AH16" i="698" s="1"/>
  <c r="AF26" i="698"/>
  <c r="L58" i="690"/>
  <c r="H13" i="689" s="1"/>
  <c r="F6" i="689" s="1"/>
  <c r="Q28" i="3"/>
  <c r="R28" i="3"/>
  <c r="Q63" i="678"/>
  <c r="AF58" i="670"/>
  <c r="AG58" i="670"/>
  <c r="AH49" i="670" s="1"/>
  <c r="Q58" i="670"/>
  <c r="Q9" i="694"/>
  <c r="R9" i="694"/>
  <c r="R52" i="680"/>
  <c r="Q52" i="680"/>
  <c r="Q29" i="676"/>
  <c r="R29" i="676"/>
  <c r="L79" i="682"/>
  <c r="J13" i="681" s="1"/>
  <c r="R60" i="3"/>
  <c r="Q60" i="3"/>
  <c r="AF15" i="698"/>
  <c r="AG15" i="698"/>
  <c r="AH5" i="698" s="1"/>
  <c r="Q79" i="684"/>
  <c r="AG15" i="680"/>
  <c r="AH5" i="680" s="1"/>
  <c r="AF15" i="680"/>
  <c r="R62" i="680"/>
  <c r="AG15" i="676"/>
  <c r="AH5" i="676" s="1"/>
  <c r="AF15" i="676"/>
  <c r="R29" i="698"/>
  <c r="Q29" i="698"/>
  <c r="R17" i="672"/>
  <c r="Q17" i="672"/>
  <c r="J22" i="677"/>
  <c r="P79" i="678"/>
  <c r="Q40" i="3"/>
  <c r="R40" i="3"/>
  <c r="O79" i="706"/>
  <c r="AG26" i="716"/>
  <c r="AH16" i="716" s="1"/>
  <c r="AF26" i="716"/>
  <c r="R7" i="690"/>
  <c r="Q7" i="690"/>
  <c r="AG37" i="674"/>
  <c r="AH27" i="674" s="1"/>
  <c r="H13" i="2"/>
  <c r="R40" i="676"/>
  <c r="Q40" i="676"/>
  <c r="R39" i="674"/>
  <c r="Q39" i="674"/>
  <c r="R38" i="688"/>
  <c r="O48" i="688"/>
  <c r="Q38" i="688"/>
  <c r="O15" i="676"/>
  <c r="AF79" i="3"/>
  <c r="Q79" i="3"/>
  <c r="AG79" i="3"/>
  <c r="AH70" i="3" s="1"/>
  <c r="AG26" i="605"/>
  <c r="AH16" i="605" s="1"/>
  <c r="AF26" i="605"/>
  <c r="R38" i="605"/>
  <c r="Q59" i="672"/>
  <c r="O69" i="672"/>
  <c r="R59" i="672"/>
  <c r="J14" i="604"/>
  <c r="R79" i="605"/>
  <c r="S70" i="605" s="1"/>
  <c r="J15" i="604" s="1"/>
  <c r="AF26" i="723"/>
  <c r="AG26" i="723"/>
  <c r="AH16" i="723" s="1"/>
  <c r="L79" i="718"/>
  <c r="J13" i="717" s="1"/>
  <c r="Q70" i="718"/>
  <c r="AG26" i="704"/>
  <c r="AH16" i="704" s="1"/>
  <c r="AF26" i="704"/>
  <c r="J14" i="699"/>
  <c r="R61" i="690"/>
  <c r="Q61" i="690"/>
  <c r="Q60" i="700"/>
  <c r="R60" i="700"/>
  <c r="R70" i="714"/>
  <c r="Q70" i="714"/>
  <c r="O79" i="714"/>
  <c r="Q27" i="3"/>
  <c r="R27" i="3"/>
  <c r="O37" i="3"/>
  <c r="Q18" i="678"/>
  <c r="R18" i="678"/>
  <c r="AG37" i="680"/>
  <c r="AH27" i="680" s="1"/>
  <c r="AF37" i="680"/>
  <c r="Q37" i="680"/>
  <c r="R19" i="694"/>
  <c r="Q19" i="694"/>
  <c r="E14" i="699"/>
  <c r="E15" i="699" s="1"/>
  <c r="R26" i="700"/>
  <c r="S16" i="700" s="1"/>
  <c r="Q26" i="700"/>
  <c r="Q69" i="710"/>
  <c r="AF69" i="710"/>
  <c r="AG69" i="710"/>
  <c r="AH59" i="710" s="1"/>
  <c r="R30" i="704"/>
  <c r="Q30" i="704"/>
  <c r="Q73" i="718"/>
  <c r="R73" i="718"/>
  <c r="Q7" i="723"/>
  <c r="R7" i="723"/>
  <c r="AG15" i="714"/>
  <c r="AH5" i="714" s="1"/>
  <c r="AF15" i="714"/>
  <c r="Q60" i="712"/>
  <c r="R60" i="712"/>
  <c r="Q17" i="690"/>
  <c r="R17" i="690"/>
  <c r="AF69" i="702"/>
  <c r="AG69" i="702"/>
  <c r="AH59" i="702" s="1"/>
  <c r="Q69" i="702"/>
  <c r="R17" i="680"/>
  <c r="Q17" i="680"/>
  <c r="Q38" i="700"/>
  <c r="R38" i="700"/>
  <c r="O48" i="700"/>
  <c r="E2" i="700" s="1"/>
  <c r="R19" i="696"/>
  <c r="Q19" i="696"/>
  <c r="L79" i="684"/>
  <c r="R70" i="684"/>
  <c r="Q70" i="684"/>
  <c r="AG58" i="696"/>
  <c r="AH49" i="696" s="1"/>
  <c r="AF58" i="696"/>
  <c r="Q58" i="696"/>
  <c r="L48" i="670"/>
  <c r="G13" i="669" s="1"/>
  <c r="Q18" i="670"/>
  <c r="R18" i="670"/>
  <c r="AF15" i="605"/>
  <c r="AG15" i="605"/>
  <c r="AH5" i="605" s="1"/>
  <c r="AF69" i="716"/>
  <c r="AG69" i="716"/>
  <c r="AH59" i="716" s="1"/>
  <c r="Q69" i="716"/>
  <c r="Q79" i="725"/>
  <c r="AF79" i="725"/>
  <c r="AG79" i="725"/>
  <c r="AH70" i="725" s="1"/>
  <c r="R62" i="692"/>
  <c r="Q62" i="692"/>
  <c r="R18" i="682"/>
  <c r="Q18" i="682"/>
  <c r="O69" i="700"/>
  <c r="R49" i="720"/>
  <c r="Q28" i="698"/>
  <c r="R28" i="698"/>
  <c r="Q30" i="688"/>
  <c r="R30" i="688"/>
  <c r="Q7" i="680"/>
  <c r="R7" i="680"/>
  <c r="Q18" i="676"/>
  <c r="R18" i="676"/>
  <c r="Q79" i="605"/>
  <c r="AG79" i="605"/>
  <c r="AH70" i="605" s="1"/>
  <c r="AF79" i="605"/>
  <c r="Q8" i="680"/>
  <c r="R8" i="680"/>
  <c r="R7" i="674"/>
  <c r="Q7" i="674"/>
  <c r="AG69" i="676"/>
  <c r="AH59" i="676" s="1"/>
  <c r="AF69" i="676"/>
  <c r="Q69" i="676"/>
  <c r="Q59" i="720"/>
  <c r="O69" i="720"/>
  <c r="R59" i="720"/>
  <c r="Q61" i="725"/>
  <c r="R61" i="725"/>
  <c r="Q37" i="712"/>
  <c r="AF37" i="712"/>
  <c r="AG37" i="712"/>
  <c r="AH27" i="712" s="1"/>
  <c r="Q52" i="725"/>
  <c r="R52" i="725"/>
  <c r="AG58" i="710"/>
  <c r="AH49" i="710" s="1"/>
  <c r="AF58" i="710"/>
  <c r="Q58" i="710"/>
  <c r="R39" i="708"/>
  <c r="Q39" i="708"/>
  <c r="O48" i="708"/>
  <c r="O37" i="688"/>
  <c r="Q27" i="688"/>
  <c r="R27" i="688"/>
  <c r="Q49" i="720"/>
  <c r="O58" i="686"/>
  <c r="R49" i="686"/>
  <c r="Q49" i="686"/>
  <c r="R16" i="686"/>
  <c r="O26" i="686"/>
  <c r="Q16" i="686"/>
  <c r="G2" i="680"/>
  <c r="J3" i="679"/>
  <c r="R70" i="696"/>
  <c r="Q70" i="696"/>
  <c r="O79" i="696"/>
  <c r="R7" i="686"/>
  <c r="Q7" i="686"/>
  <c r="Q59" i="698"/>
  <c r="O69" i="698"/>
  <c r="R59" i="698"/>
  <c r="L79" i="725"/>
  <c r="J13" i="724" s="1"/>
  <c r="AF48" i="674"/>
  <c r="AG48" i="674"/>
  <c r="AH38" i="674" s="1"/>
  <c r="Q48" i="674"/>
  <c r="R61" i="672"/>
  <c r="Q61" i="672"/>
  <c r="G2" i="725"/>
  <c r="J3" i="724"/>
  <c r="L69" i="714"/>
  <c r="I13" i="713" s="1"/>
  <c r="J6" i="713" s="1"/>
  <c r="Q38" i="720"/>
  <c r="R38" i="720"/>
  <c r="O48" i="720"/>
  <c r="AG37" i="706"/>
  <c r="AH27" i="706" s="1"/>
  <c r="Q37" i="706"/>
  <c r="AF37" i="706"/>
  <c r="Q37" i="718"/>
  <c r="AF37" i="718"/>
  <c r="AG37" i="718"/>
  <c r="AH27" i="718" s="1"/>
  <c r="L69" i="680"/>
  <c r="I13" i="679" s="1"/>
  <c r="J6" i="679" s="1"/>
  <c r="E14" i="705"/>
  <c r="E15" i="705" s="1"/>
  <c r="R26" i="706"/>
  <c r="S16" i="706" s="1"/>
  <c r="Q61" i="698"/>
  <c r="R61" i="698"/>
  <c r="Q58" i="686"/>
  <c r="AG58" i="686"/>
  <c r="AH49" i="686" s="1"/>
  <c r="AF58" i="686"/>
  <c r="O79" i="686"/>
  <c r="R70" i="686"/>
  <c r="Q70" i="686"/>
  <c r="R60" i="682"/>
  <c r="Q60" i="682"/>
  <c r="L69" i="676"/>
  <c r="I13" i="675" s="1"/>
  <c r="J6" i="675" s="1"/>
  <c r="R63" i="690"/>
  <c r="Q63" i="690"/>
  <c r="L37" i="718"/>
  <c r="F13" i="717" s="1"/>
  <c r="H6" i="717" s="1"/>
  <c r="R59" i="682"/>
  <c r="Q59" i="682"/>
  <c r="O69" i="682"/>
  <c r="Q19" i="676"/>
  <c r="R19" i="676"/>
  <c r="J13" i="2"/>
  <c r="J6" i="724"/>
  <c r="AG48" i="720"/>
  <c r="AH38" i="720" s="1"/>
  <c r="Q48" i="720"/>
  <c r="AF48" i="720"/>
  <c r="R51" i="706"/>
  <c r="Q51" i="706"/>
  <c r="R16" i="720"/>
  <c r="O26" i="720"/>
  <c r="Q16" i="720"/>
  <c r="O69" i="710"/>
  <c r="Q59" i="710"/>
  <c r="R59" i="710"/>
  <c r="R29" i="708"/>
  <c r="Q29" i="708"/>
  <c r="R5" i="694"/>
  <c r="Q5" i="694"/>
  <c r="O15" i="694"/>
  <c r="Q18" i="718"/>
  <c r="R18" i="718"/>
  <c r="J3" i="695"/>
  <c r="G2" i="696"/>
  <c r="L79" i="720"/>
  <c r="J13" i="719" s="1"/>
  <c r="L58" i="692"/>
  <c r="H13" i="691" s="1"/>
  <c r="Q49" i="692"/>
  <c r="AF15" i="720"/>
  <c r="AG15" i="720"/>
  <c r="AH5" i="720" s="1"/>
  <c r="R70" i="718"/>
  <c r="O26" i="723"/>
  <c r="Q16" i="723"/>
  <c r="R16" i="723"/>
  <c r="O15" i="723"/>
  <c r="Q7" i="710"/>
  <c r="R7" i="710"/>
  <c r="AG79" i="723"/>
  <c r="AH70" i="723" s="1"/>
  <c r="AF79" i="723"/>
  <c r="Q79" i="723"/>
  <c r="O58" i="718"/>
  <c r="Q50" i="712"/>
  <c r="R50" i="712"/>
  <c r="R39" i="710"/>
  <c r="Q39" i="710"/>
  <c r="R30" i="720"/>
  <c r="Q30" i="720"/>
  <c r="R40" i="712"/>
  <c r="Q40" i="712"/>
  <c r="O6" i="709"/>
  <c r="N6" i="709"/>
  <c r="Q69" i="700"/>
  <c r="AG69" i="700"/>
  <c r="AH59" i="700" s="1"/>
  <c r="AF69" i="700"/>
  <c r="R31" i="710"/>
  <c r="Q31" i="710"/>
  <c r="R53" i="694"/>
  <c r="F6" i="705"/>
  <c r="H6" i="705"/>
  <c r="Q8" i="718"/>
  <c r="R8" i="718"/>
  <c r="R17" i="710"/>
  <c r="Q17" i="710"/>
  <c r="Q40" i="725"/>
  <c r="R40" i="725"/>
  <c r="AG26" i="708"/>
  <c r="AH16" i="708" s="1"/>
  <c r="AF26" i="708"/>
  <c r="R30" i="684"/>
  <c r="Q30" i="684"/>
  <c r="Q28" i="720"/>
  <c r="R28" i="720"/>
  <c r="Q48" i="714"/>
  <c r="AG48" i="714"/>
  <c r="AH38" i="714" s="1"/>
  <c r="AF48" i="714"/>
  <c r="R5" i="692"/>
  <c r="L15" i="692"/>
  <c r="D13" i="691" s="1"/>
  <c r="Q69" i="714"/>
  <c r="AF69" i="714"/>
  <c r="AG69" i="714"/>
  <c r="AH59" i="714" s="1"/>
  <c r="L79" i="694"/>
  <c r="J13" i="693" s="1"/>
  <c r="R51" i="686"/>
  <c r="Q51" i="686"/>
  <c r="Q79" i="690"/>
  <c r="AG79" i="690"/>
  <c r="AH70" i="690" s="1"/>
  <c r="AF79" i="690"/>
  <c r="R19" i="688"/>
  <c r="Q19" i="688"/>
  <c r="R70" i="700"/>
  <c r="AG26" i="700"/>
  <c r="AH16" i="700" s="1"/>
  <c r="AF26" i="700"/>
  <c r="AG26" i="688"/>
  <c r="AH16" i="688" s="1"/>
  <c r="AF26" i="688"/>
  <c r="L48" i="718"/>
  <c r="G13" i="717" s="1"/>
  <c r="F6" i="717" s="1"/>
  <c r="R5" i="706"/>
  <c r="R29" i="694"/>
  <c r="Q29" i="694"/>
  <c r="R29" i="723"/>
  <c r="Q29" i="723"/>
  <c r="J3" i="693"/>
  <c r="G2" i="694"/>
  <c r="R52" i="684"/>
  <c r="Q52" i="684"/>
  <c r="Q48" i="682"/>
  <c r="AG48" i="682"/>
  <c r="AH38" i="682" s="1"/>
  <c r="AF48" i="682"/>
  <c r="R72" i="682"/>
  <c r="Q59" i="688"/>
  <c r="O69" i="688"/>
  <c r="R59" i="688"/>
  <c r="Q62" i="694"/>
  <c r="R62" i="694"/>
  <c r="R28" i="680"/>
  <c r="Q28" i="680"/>
  <c r="AF79" i="714"/>
  <c r="Q79" i="714"/>
  <c r="AG79" i="714"/>
  <c r="AH70" i="714" s="1"/>
  <c r="AG69" i="682"/>
  <c r="AH59" i="682" s="1"/>
  <c r="AF69" i="682"/>
  <c r="Q69" i="682"/>
  <c r="O58" i="672"/>
  <c r="Q19" i="702"/>
  <c r="R19" i="702"/>
  <c r="G2" i="710"/>
  <c r="J3" i="709"/>
  <c r="R62" i="696"/>
  <c r="Q62" i="696"/>
  <c r="R7" i="684"/>
  <c r="Q7" i="684"/>
  <c r="Q50" i="670"/>
  <c r="R50" i="670"/>
  <c r="Q70" i="680"/>
  <c r="O79" i="680"/>
  <c r="R70" i="680"/>
  <c r="AG37" i="696"/>
  <c r="AH27" i="696" s="1"/>
  <c r="AF37" i="696"/>
  <c r="Q37" i="696"/>
  <c r="Q37" i="672"/>
  <c r="AF37" i="672"/>
  <c r="AG37" i="672"/>
  <c r="AH27" i="672" s="1"/>
  <c r="AG26" i="670"/>
  <c r="AH16" i="670" s="1"/>
  <c r="AF26" i="670"/>
  <c r="Q38" i="605"/>
  <c r="R16" i="680"/>
  <c r="Q16" i="680"/>
  <c r="O26" i="680"/>
  <c r="Q48" i="670"/>
  <c r="AF48" i="670"/>
  <c r="AG48" i="670"/>
  <c r="AH38" i="670" s="1"/>
  <c r="L48" i="680"/>
  <c r="G13" i="679" s="1"/>
  <c r="R61" i="682"/>
  <c r="Q61" i="682"/>
  <c r="AF15" i="670"/>
  <c r="AG15" i="670"/>
  <c r="AH5" i="670" s="1"/>
  <c r="O37" i="674"/>
  <c r="Q41" i="676"/>
  <c r="R41" i="676"/>
  <c r="O48" i="670"/>
  <c r="R38" i="670"/>
  <c r="Q38" i="670"/>
  <c r="N6" i="677"/>
  <c r="O6" i="677"/>
  <c r="R39" i="714"/>
  <c r="Q39" i="714"/>
  <c r="Q38" i="678"/>
  <c r="O48" i="678"/>
  <c r="R38" i="678"/>
  <c r="Q40" i="670"/>
  <c r="AG15" i="725"/>
  <c r="AH5" i="725" s="1"/>
  <c r="AF15" i="725"/>
  <c r="AG58" i="688"/>
  <c r="AH49" i="688" s="1"/>
  <c r="AF58" i="688"/>
  <c r="Q58" i="688"/>
  <c r="O48" i="680"/>
  <c r="L15" i="674"/>
  <c r="D13" i="673" s="1"/>
  <c r="Q70" i="706"/>
  <c r="Q27" i="680"/>
  <c r="R27" i="680"/>
  <c r="O37" i="680"/>
  <c r="R39" i="670"/>
  <c r="Q39" i="670"/>
  <c r="Q37" i="708"/>
  <c r="AF37" i="708"/>
  <c r="AG37" i="708"/>
  <c r="AH27" i="708" s="1"/>
  <c r="O58" i="682"/>
  <c r="E2" i="682" s="1"/>
  <c r="R49" i="682"/>
  <c r="Q49" i="682"/>
  <c r="AG48" i="688"/>
  <c r="AH38" i="688" s="1"/>
  <c r="Q48" i="688"/>
  <c r="AF48" i="688"/>
  <c r="Q5" i="676"/>
  <c r="R38" i="672"/>
  <c r="Q38" i="672"/>
  <c r="O48" i="672"/>
  <c r="R26" i="729" l="1"/>
  <c r="S16" i="729" s="1"/>
  <c r="Q26" i="729"/>
  <c r="Q15" i="729"/>
  <c r="R15" i="729"/>
  <c r="S5" i="729" s="1"/>
  <c r="E2" i="729"/>
  <c r="G14" i="728"/>
  <c r="G15" i="728" s="1"/>
  <c r="J14" i="728"/>
  <c r="J15" i="728"/>
  <c r="H14" i="728"/>
  <c r="H15" i="728" s="1"/>
  <c r="I14" i="728"/>
  <c r="F6" i="728"/>
  <c r="D14" i="728"/>
  <c r="E14" i="728"/>
  <c r="E15" i="728" s="1"/>
  <c r="R15" i="727"/>
  <c r="S5" i="727" s="1"/>
  <c r="Q15" i="727"/>
  <c r="E2" i="727"/>
  <c r="Q26" i="727"/>
  <c r="R26" i="727"/>
  <c r="S16" i="727" s="1"/>
  <c r="F14" i="726"/>
  <c r="F15" i="726" s="1"/>
  <c r="D14" i="726"/>
  <c r="I14" i="726"/>
  <c r="H14" i="726"/>
  <c r="H15" i="726" s="1"/>
  <c r="G14" i="726"/>
  <c r="G15" i="726" s="1"/>
  <c r="J14" i="726"/>
  <c r="J15" i="726"/>
  <c r="F6" i="726"/>
  <c r="E14" i="726"/>
  <c r="E15" i="726" s="1"/>
  <c r="G14" i="707"/>
  <c r="G15" i="707" s="1"/>
  <c r="R48" i="708"/>
  <c r="S38" i="708" s="1"/>
  <c r="G14" i="687"/>
  <c r="G15" i="687" s="1"/>
  <c r="R48" i="688"/>
  <c r="S38" i="688" s="1"/>
  <c r="Q26" i="684"/>
  <c r="E14" i="683"/>
  <c r="E15" i="683" s="1"/>
  <c r="R26" i="684"/>
  <c r="S16" i="684" s="1"/>
  <c r="J14" i="703"/>
  <c r="R79" i="704"/>
  <c r="S70" i="704" s="1"/>
  <c r="J15" i="703" s="1"/>
  <c r="R37" i="708"/>
  <c r="S27" i="708" s="1"/>
  <c r="F14" i="707"/>
  <c r="F15" i="707" s="1"/>
  <c r="R69" i="704"/>
  <c r="S59" i="704" s="1"/>
  <c r="I14" i="703"/>
  <c r="H14" i="697"/>
  <c r="H15" i="697" s="1"/>
  <c r="R58" i="698"/>
  <c r="S49" i="698" s="1"/>
  <c r="R48" i="702"/>
  <c r="S38" i="702" s="1"/>
  <c r="Q26" i="680"/>
  <c r="E14" i="679"/>
  <c r="E15" i="679" s="1"/>
  <c r="R26" i="680"/>
  <c r="S16" i="680" s="1"/>
  <c r="J14" i="705"/>
  <c r="J7" i="705" s="1"/>
  <c r="J8" i="705" s="1"/>
  <c r="R79" i="706"/>
  <c r="S70" i="706" s="1"/>
  <c r="J15" i="705" s="1"/>
  <c r="R58" i="678"/>
  <c r="S49" i="678" s="1"/>
  <c r="H14" i="677"/>
  <c r="H15" i="677" s="1"/>
  <c r="J14" i="679"/>
  <c r="J7" i="679" s="1"/>
  <c r="J8" i="679" s="1"/>
  <c r="R79" i="680"/>
  <c r="S70" i="680" s="1"/>
  <c r="J15" i="679" s="1"/>
  <c r="R26" i="686"/>
  <c r="S16" i="686" s="1"/>
  <c r="Q26" i="686"/>
  <c r="E14" i="685"/>
  <c r="E15" i="685" s="1"/>
  <c r="J14" i="719"/>
  <c r="R79" i="720"/>
  <c r="S70" i="720" s="1"/>
  <c r="J15" i="719" s="1"/>
  <c r="E2" i="720"/>
  <c r="R15" i="720"/>
  <c r="S5" i="720" s="1"/>
  <c r="D14" i="719"/>
  <c r="Q15" i="720"/>
  <c r="G14" i="719"/>
  <c r="G15" i="719" s="1"/>
  <c r="R48" i="720"/>
  <c r="S38" i="720" s="1"/>
  <c r="D15" i="681"/>
  <c r="D15" i="703"/>
  <c r="R15" i="678"/>
  <c r="S5" i="678" s="1"/>
  <c r="H14" i="2"/>
  <c r="H15" i="2" s="1"/>
  <c r="R58" i="3"/>
  <c r="S49" i="3" s="1"/>
  <c r="H14" i="693"/>
  <c r="H15" i="693" s="1"/>
  <c r="R58" i="694"/>
  <c r="S49" i="694" s="1"/>
  <c r="E2" i="718"/>
  <c r="D14" i="717"/>
  <c r="R15" i="718"/>
  <c r="S5" i="718" s="1"/>
  <c r="Q15" i="718"/>
  <c r="R37" i="3"/>
  <c r="S27" i="3" s="1"/>
  <c r="F14" i="2"/>
  <c r="F15" i="2" s="1"/>
  <c r="H14" i="722"/>
  <c r="H15" i="722" s="1"/>
  <c r="R58" i="723"/>
  <c r="S49" i="723" s="1"/>
  <c r="H14" i="695"/>
  <c r="H15" i="695" s="1"/>
  <c r="R58" i="696"/>
  <c r="S49" i="696" s="1"/>
  <c r="I14" i="701"/>
  <c r="R69" i="702"/>
  <c r="S59" i="702" s="1"/>
  <c r="R79" i="674"/>
  <c r="S70" i="674" s="1"/>
  <c r="J15" i="673" s="1"/>
  <c r="Q15" i="670"/>
  <c r="D14" i="669"/>
  <c r="E2" i="670"/>
  <c r="R15" i="670"/>
  <c r="S5" i="670" s="1"/>
  <c r="Q15" i="708"/>
  <c r="E2" i="708"/>
  <c r="R15" i="708"/>
  <c r="S5" i="708" s="1"/>
  <c r="D14" i="707"/>
  <c r="D15" i="677"/>
  <c r="G14" i="2"/>
  <c r="G15" i="2" s="1"/>
  <c r="R48" i="3"/>
  <c r="S38" i="3" s="1"/>
  <c r="R69" i="692"/>
  <c r="S59" i="692" s="1"/>
  <c r="I14" i="691"/>
  <c r="R37" i="714"/>
  <c r="S27" i="714" s="1"/>
  <c r="F14" i="713"/>
  <c r="F15" i="713" s="1"/>
  <c r="H6" i="701"/>
  <c r="E15" i="675"/>
  <c r="R48" i="678"/>
  <c r="S38" i="678" s="1"/>
  <c r="G14" i="677"/>
  <c r="G15" i="677" s="1"/>
  <c r="I14" i="681"/>
  <c r="R69" i="682"/>
  <c r="S59" i="682" s="1"/>
  <c r="H6" i="715"/>
  <c r="F14" i="699"/>
  <c r="F15" i="699" s="1"/>
  <c r="R37" i="700"/>
  <c r="S27" i="700" s="1"/>
  <c r="I13" i="677"/>
  <c r="F6" i="677" s="1"/>
  <c r="L79" i="678"/>
  <c r="J13" i="677" s="1"/>
  <c r="R48" i="710"/>
  <c r="S38" i="710" s="1"/>
  <c r="G14" i="709"/>
  <c r="G15" i="709" s="1"/>
  <c r="J14" i="715"/>
  <c r="R79" i="716"/>
  <c r="S70" i="716" s="1"/>
  <c r="J15" i="715" s="1"/>
  <c r="Q15" i="672"/>
  <c r="E2" i="672"/>
  <c r="D14" i="671"/>
  <c r="R15" i="672"/>
  <c r="S5" i="672" s="1"/>
  <c r="J13" i="709"/>
  <c r="R79" i="710"/>
  <c r="S70" i="710" s="1"/>
  <c r="J15" i="709" s="1"/>
  <c r="Q26" i="690"/>
  <c r="E14" i="689"/>
  <c r="E15" i="689" s="1"/>
  <c r="R26" i="690"/>
  <c r="S16" i="690" s="1"/>
  <c r="E14" i="2"/>
  <c r="E15" i="2" s="1"/>
  <c r="R26" i="3"/>
  <c r="S16" i="3" s="1"/>
  <c r="Q26" i="3"/>
  <c r="F14" i="689"/>
  <c r="F15" i="689" s="1"/>
  <c r="R37" i="690"/>
  <c r="S27" i="690" s="1"/>
  <c r="H6" i="687"/>
  <c r="J7" i="669"/>
  <c r="J8" i="669" s="1"/>
  <c r="I15" i="669"/>
  <c r="AF79" i="708"/>
  <c r="AG79" i="708"/>
  <c r="AH70" i="708" s="1"/>
  <c r="Q79" i="708"/>
  <c r="R37" i="704"/>
  <c r="S27" i="704" s="1"/>
  <c r="F14" i="703"/>
  <c r="F15" i="703" s="1"/>
  <c r="R15" i="725"/>
  <c r="S5" i="725" s="1"/>
  <c r="Q15" i="725"/>
  <c r="E2" i="725"/>
  <c r="D14" i="724"/>
  <c r="D15" i="2"/>
  <c r="H7" i="2"/>
  <c r="G14" i="691"/>
  <c r="G15" i="691" s="1"/>
  <c r="R48" i="692"/>
  <c r="S38" i="692" s="1"/>
  <c r="O79" i="708"/>
  <c r="I14" i="707"/>
  <c r="R69" i="708"/>
  <c r="S59" i="708" s="1"/>
  <c r="G14" i="693"/>
  <c r="G15" i="693" s="1"/>
  <c r="R48" i="694"/>
  <c r="S38" i="694" s="1"/>
  <c r="F14" i="683"/>
  <c r="F15" i="683" s="1"/>
  <c r="R37" i="684"/>
  <c r="S27" i="684" s="1"/>
  <c r="J14" i="697"/>
  <c r="R79" i="698"/>
  <c r="S70" i="698" s="1"/>
  <c r="J15" i="697" s="1"/>
  <c r="I15" i="695"/>
  <c r="H14" i="671"/>
  <c r="H15" i="671" s="1"/>
  <c r="R58" i="672"/>
  <c r="S49" i="672" s="1"/>
  <c r="R69" i="710"/>
  <c r="S59" i="710" s="1"/>
  <c r="I14" i="709"/>
  <c r="R15" i="690"/>
  <c r="S5" i="690" s="1"/>
  <c r="Q15" i="690"/>
  <c r="E2" i="690"/>
  <c r="D14" i="689"/>
  <c r="R79" i="682"/>
  <c r="S70" i="682" s="1"/>
  <c r="J15" i="681" s="1"/>
  <c r="J14" i="681"/>
  <c r="I14" i="683"/>
  <c r="R69" i="684"/>
  <c r="S59" i="684" s="1"/>
  <c r="R69" i="720"/>
  <c r="S59" i="720" s="1"/>
  <c r="I14" i="719"/>
  <c r="I13" i="707"/>
  <c r="L79" i="708"/>
  <c r="J13" i="707" s="1"/>
  <c r="E14" i="669"/>
  <c r="E15" i="669" s="1"/>
  <c r="R26" i="670"/>
  <c r="S16" i="670" s="1"/>
  <c r="Q26" i="670"/>
  <c r="F15" i="715"/>
  <c r="E2" i="688"/>
  <c r="R15" i="688"/>
  <c r="S5" i="688" s="1"/>
  <c r="D14" i="687"/>
  <c r="Q15" i="688"/>
  <c r="R37" i="680"/>
  <c r="S27" i="680" s="1"/>
  <c r="F14" i="679"/>
  <c r="F15" i="679" s="1"/>
  <c r="R69" i="698"/>
  <c r="S59" i="698" s="1"/>
  <c r="I14" i="697"/>
  <c r="R26" i="723"/>
  <c r="S16" i="723" s="1"/>
  <c r="Q26" i="723"/>
  <c r="E14" i="722"/>
  <c r="E15" i="722" s="1"/>
  <c r="H14" i="685"/>
  <c r="H15" i="685" s="1"/>
  <c r="R58" i="686"/>
  <c r="S49" i="686" s="1"/>
  <c r="R48" i="698"/>
  <c r="S38" i="698" s="1"/>
  <c r="G14" i="697"/>
  <c r="G15" i="697" s="1"/>
  <c r="I14" i="711"/>
  <c r="R69" i="712"/>
  <c r="S59" i="712" s="1"/>
  <c r="I14" i="604"/>
  <c r="R69" i="605"/>
  <c r="S59" i="605" s="1"/>
  <c r="R37" i="710"/>
  <c r="S27" i="710" s="1"/>
  <c r="F14" i="709"/>
  <c r="F15" i="709" s="1"/>
  <c r="R26" i="710"/>
  <c r="S16" i="710" s="1"/>
  <c r="Q26" i="710"/>
  <c r="E14" i="709"/>
  <c r="E15" i="709" s="1"/>
  <c r="H14" i="703"/>
  <c r="H15" i="703" s="1"/>
  <c r="R58" i="704"/>
  <c r="S49" i="704" s="1"/>
  <c r="Q17" i="723"/>
  <c r="R17" i="723"/>
  <c r="R58" i="716"/>
  <c r="S49" i="716" s="1"/>
  <c r="H14" i="715"/>
  <c r="H15" i="715" s="1"/>
  <c r="R37" i="720"/>
  <c r="S27" i="720" s="1"/>
  <c r="F14" i="719"/>
  <c r="F15" i="719" s="1"/>
  <c r="D14" i="673"/>
  <c r="Q15" i="674"/>
  <c r="R15" i="674"/>
  <c r="S5" i="674" s="1"/>
  <c r="E2" i="674"/>
  <c r="R15" i="686"/>
  <c r="S5" i="686" s="1"/>
  <c r="Q15" i="686"/>
  <c r="D14" i="685"/>
  <c r="E2" i="686"/>
  <c r="E14" i="671"/>
  <c r="E15" i="671" s="1"/>
  <c r="R26" i="672"/>
  <c r="S16" i="672" s="1"/>
  <c r="Q26" i="672"/>
  <c r="I14" i="675"/>
  <c r="R69" i="676"/>
  <c r="S59" i="676" s="1"/>
  <c r="Q15" i="605"/>
  <c r="D14" i="604"/>
  <c r="R15" i="605"/>
  <c r="S5" i="605" s="1"/>
  <c r="E2" i="605"/>
  <c r="F6" i="673"/>
  <c r="H6" i="673"/>
  <c r="R79" i="696"/>
  <c r="S70" i="696" s="1"/>
  <c r="J15" i="695" s="1"/>
  <c r="J14" i="695"/>
  <c r="J7" i="695" s="1"/>
  <c r="J8" i="695" s="1"/>
  <c r="R48" i="723"/>
  <c r="S38" i="723" s="1"/>
  <c r="G14" i="722"/>
  <c r="G15" i="722" s="1"/>
  <c r="R26" i="708"/>
  <c r="S16" i="708" s="1"/>
  <c r="E14" i="707"/>
  <c r="E15" i="707" s="1"/>
  <c r="Q26" i="708"/>
  <c r="H14" i="705"/>
  <c r="H15" i="705" s="1"/>
  <c r="R58" i="706"/>
  <c r="S49" i="706" s="1"/>
  <c r="R58" i="674"/>
  <c r="S49" i="674" s="1"/>
  <c r="H14" i="673"/>
  <c r="H15" i="673" s="1"/>
  <c r="R37" i="670"/>
  <c r="S27" i="670" s="1"/>
  <c r="F14" i="669"/>
  <c r="F15" i="669" s="1"/>
  <c r="E2" i="698"/>
  <c r="D14" i="697"/>
  <c r="R15" i="698"/>
  <c r="S5" i="698" s="1"/>
  <c r="Q15" i="698"/>
  <c r="R48" i="704"/>
  <c r="S38" i="704" s="1"/>
  <c r="G14" i="703"/>
  <c r="G15" i="703" s="1"/>
  <c r="F14" i="717"/>
  <c r="F15" i="717" s="1"/>
  <c r="R37" i="718"/>
  <c r="S27" i="718" s="1"/>
  <c r="R58" i="692"/>
  <c r="S49" i="692" s="1"/>
  <c r="R58" i="676"/>
  <c r="S49" i="676" s="1"/>
  <c r="H14" i="675"/>
  <c r="H15" i="675" s="1"/>
  <c r="R58" i="700"/>
  <c r="S49" i="700" s="1"/>
  <c r="H14" i="699"/>
  <c r="H15" i="699" s="1"/>
  <c r="R48" i="718"/>
  <c r="S38" i="718" s="1"/>
  <c r="G14" i="717"/>
  <c r="G15" i="717" s="1"/>
  <c r="R37" i="702"/>
  <c r="S27" i="702" s="1"/>
  <c r="F14" i="701"/>
  <c r="F15" i="701" s="1"/>
  <c r="H7" i="699"/>
  <c r="H8" i="699" s="1"/>
  <c r="D15" i="699"/>
  <c r="F7" i="699"/>
  <c r="F8" i="699" s="1"/>
  <c r="I15" i="705"/>
  <c r="H6" i="703"/>
  <c r="F6" i="703"/>
  <c r="E15" i="677"/>
  <c r="H6" i="711"/>
  <c r="Q15" i="692"/>
  <c r="E2" i="692"/>
  <c r="R15" i="692"/>
  <c r="S5" i="692" s="1"/>
  <c r="D14" i="691"/>
  <c r="Q26" i="694"/>
  <c r="R26" i="694"/>
  <c r="S16" i="694" s="1"/>
  <c r="E14" i="693"/>
  <c r="E15" i="693" s="1"/>
  <c r="D14" i="679"/>
  <c r="Q15" i="680"/>
  <c r="R15" i="680"/>
  <c r="S5" i="680" s="1"/>
  <c r="E2" i="680"/>
  <c r="I14" i="689"/>
  <c r="R69" i="690"/>
  <c r="S59" i="690" s="1"/>
  <c r="F6" i="675"/>
  <c r="D15" i="695"/>
  <c r="F6" i="685"/>
  <c r="H6" i="685"/>
  <c r="H6" i="707"/>
  <c r="F6" i="707"/>
  <c r="G14" i="705"/>
  <c r="G15" i="705" s="1"/>
  <c r="R48" i="706"/>
  <c r="S38" i="706" s="1"/>
  <c r="J14" i="689"/>
  <c r="R79" i="690"/>
  <c r="S70" i="690" s="1"/>
  <c r="J15" i="689" s="1"/>
  <c r="R15" i="710"/>
  <c r="S5" i="710" s="1"/>
  <c r="Q15" i="710"/>
  <c r="D14" i="709"/>
  <c r="E2" i="710"/>
  <c r="I14" i="687"/>
  <c r="R69" i="688"/>
  <c r="S59" i="688" s="1"/>
  <c r="R69" i="700"/>
  <c r="S59" i="700" s="1"/>
  <c r="I14" i="699"/>
  <c r="H14" i="683"/>
  <c r="H15" i="683" s="1"/>
  <c r="R58" i="684"/>
  <c r="S49" i="684" s="1"/>
  <c r="R48" i="714"/>
  <c r="S38" i="714" s="1"/>
  <c r="G14" i="713"/>
  <c r="G15" i="713" s="1"/>
  <c r="R69" i="3"/>
  <c r="S59" i="3" s="1"/>
  <c r="I14" i="2"/>
  <c r="R79" i="725"/>
  <c r="S70" i="725" s="1"/>
  <c r="J15" i="724" s="1"/>
  <c r="J14" i="724"/>
  <c r="E2" i="704"/>
  <c r="R37" i="716"/>
  <c r="S27" i="716" s="1"/>
  <c r="R15" i="723"/>
  <c r="S5" i="723" s="1"/>
  <c r="Q15" i="723"/>
  <c r="D14" i="722"/>
  <c r="E2" i="723"/>
  <c r="J13" i="683"/>
  <c r="R79" i="684"/>
  <c r="S70" i="684" s="1"/>
  <c r="J15" i="683" s="1"/>
  <c r="R26" i="725"/>
  <c r="S16" i="725" s="1"/>
  <c r="Q26" i="725"/>
  <c r="E14" i="724"/>
  <c r="E15" i="724" s="1"/>
  <c r="R58" i="725"/>
  <c r="S49" i="725" s="1"/>
  <c r="H14" i="724"/>
  <c r="H15" i="724" s="1"/>
  <c r="R26" i="605"/>
  <c r="S16" i="605" s="1"/>
  <c r="Q26" i="605"/>
  <c r="E14" i="604"/>
  <c r="E15" i="604" s="1"/>
  <c r="H14" i="709"/>
  <c r="H15" i="709" s="1"/>
  <c r="R58" i="710"/>
  <c r="S49" i="710" s="1"/>
  <c r="F14" i="691"/>
  <c r="F15" i="691" s="1"/>
  <c r="R37" i="692"/>
  <c r="S27" i="692" s="1"/>
  <c r="Q79" i="678"/>
  <c r="AG79" i="678"/>
  <c r="AH70" i="678" s="1"/>
  <c r="AF79" i="678"/>
  <c r="J14" i="691"/>
  <c r="R79" i="692"/>
  <c r="S70" i="692" s="1"/>
  <c r="J15" i="691" s="1"/>
  <c r="F14" i="673"/>
  <c r="F15" i="673" s="1"/>
  <c r="R37" i="674"/>
  <c r="S27" i="674" s="1"/>
  <c r="R79" i="686"/>
  <c r="S70" i="686" s="1"/>
  <c r="J15" i="685" s="1"/>
  <c r="J14" i="685"/>
  <c r="R48" i="700"/>
  <c r="S38" i="700" s="1"/>
  <c r="G14" i="699"/>
  <c r="G15" i="699" s="1"/>
  <c r="R69" i="725"/>
  <c r="S59" i="725" s="1"/>
  <c r="I14" i="724"/>
  <c r="H14" i="669"/>
  <c r="H15" i="669" s="1"/>
  <c r="R58" i="670"/>
  <c r="S49" i="670" s="1"/>
  <c r="F6" i="695"/>
  <c r="R48" i="686"/>
  <c r="S38" i="686" s="1"/>
  <c r="G14" i="685"/>
  <c r="G15" i="685" s="1"/>
  <c r="R58" i="708"/>
  <c r="S49" i="708" s="1"/>
  <c r="H14" i="707"/>
  <c r="H15" i="707" s="1"/>
  <c r="J14" i="687"/>
  <c r="R79" i="688"/>
  <c r="S70" i="688" s="1"/>
  <c r="J15" i="687" s="1"/>
  <c r="R79" i="714"/>
  <c r="S70" i="714" s="1"/>
  <c r="J15" i="713" s="1"/>
  <c r="J14" i="713"/>
  <c r="R69" i="686"/>
  <c r="S59" i="686" s="1"/>
  <c r="I14" i="685"/>
  <c r="R37" i="678"/>
  <c r="S27" i="678" s="1"/>
  <c r="F14" i="677"/>
  <c r="F15" i="677" s="1"/>
  <c r="R79" i="712"/>
  <c r="S70" i="712" s="1"/>
  <c r="J15" i="711" s="1"/>
  <c r="J14" i="711"/>
  <c r="R26" i="688"/>
  <c r="S16" i="688" s="1"/>
  <c r="Q26" i="688"/>
  <c r="E14" i="687"/>
  <c r="E15" i="687" s="1"/>
  <c r="E14" i="691"/>
  <c r="E15" i="691" s="1"/>
  <c r="R26" i="692"/>
  <c r="S16" i="692" s="1"/>
  <c r="Q26" i="692"/>
  <c r="H15" i="691"/>
  <c r="F14" i="685"/>
  <c r="F15" i="685" s="1"/>
  <c r="R37" i="686"/>
  <c r="S27" i="686" s="1"/>
  <c r="R79" i="718"/>
  <c r="S70" i="718" s="1"/>
  <c r="J15" i="717" s="1"/>
  <c r="F6" i="679"/>
  <c r="R48" i="680"/>
  <c r="S38" i="680" s="1"/>
  <c r="G14" i="679"/>
  <c r="G15" i="679" s="1"/>
  <c r="H14" i="717"/>
  <c r="H15" i="717" s="1"/>
  <c r="R58" i="718"/>
  <c r="S49" i="718" s="1"/>
  <c r="E2" i="676"/>
  <c r="D14" i="675"/>
  <c r="Q15" i="676"/>
  <c r="R15" i="676"/>
  <c r="S5" i="676" s="1"/>
  <c r="G14" i="689"/>
  <c r="G15" i="689" s="1"/>
  <c r="R48" i="690"/>
  <c r="S38" i="690" s="1"/>
  <c r="E14" i="695"/>
  <c r="E15" i="695" s="1"/>
  <c r="R26" i="696"/>
  <c r="S16" i="696" s="1"/>
  <c r="Q26" i="696"/>
  <c r="H7" i="715"/>
  <c r="H8" i="715" s="1"/>
  <c r="F7" i="715"/>
  <c r="F8" i="715" s="1"/>
  <c r="D15" i="715"/>
  <c r="E14" i="715"/>
  <c r="E15" i="715" s="1"/>
  <c r="Q26" i="716"/>
  <c r="R26" i="716"/>
  <c r="S16" i="716" s="1"/>
  <c r="F6" i="713"/>
  <c r="H14" i="713"/>
  <c r="H15" i="713" s="1"/>
  <c r="R58" i="714"/>
  <c r="S49" i="714" s="1"/>
  <c r="F6" i="669"/>
  <c r="F14" i="695"/>
  <c r="F15" i="695" s="1"/>
  <c r="R37" i="696"/>
  <c r="S27" i="696" s="1"/>
  <c r="R58" i="690"/>
  <c r="S49" i="690" s="1"/>
  <c r="H14" i="689"/>
  <c r="H15" i="689" s="1"/>
  <c r="F14" i="711"/>
  <c r="F15" i="711" s="1"/>
  <c r="R37" i="712"/>
  <c r="S27" i="712" s="1"/>
  <c r="I14" i="715"/>
  <c r="R69" i="716"/>
  <c r="S59" i="716" s="1"/>
  <c r="F6" i="681"/>
  <c r="I15" i="693"/>
  <c r="E2" i="3"/>
  <c r="F14" i="681"/>
  <c r="F15" i="681" s="1"/>
  <c r="R37" i="682"/>
  <c r="S27" i="682" s="1"/>
  <c r="F6" i="699"/>
  <c r="R79" i="676"/>
  <c r="S70" i="676" s="1"/>
  <c r="J15" i="675" s="1"/>
  <c r="J14" i="675"/>
  <c r="R26" i="678"/>
  <c r="S16" i="678" s="1"/>
  <c r="R69" i="718"/>
  <c r="S59" i="718" s="1"/>
  <c r="R37" i="694"/>
  <c r="S27" i="694" s="1"/>
  <c r="F14" i="693"/>
  <c r="F15" i="693" s="1"/>
  <c r="R26" i="698"/>
  <c r="S16" i="698" s="1"/>
  <c r="Q26" i="698"/>
  <c r="E14" i="697"/>
  <c r="E15" i="697" s="1"/>
  <c r="R15" i="684"/>
  <c r="S5" i="684" s="1"/>
  <c r="D14" i="683"/>
  <c r="Q15" i="684"/>
  <c r="E2" i="684"/>
  <c r="F7" i="711"/>
  <c r="F8" i="711" s="1"/>
  <c r="D15" i="711"/>
  <c r="G14" i="711"/>
  <c r="G15" i="711" s="1"/>
  <c r="R48" i="712"/>
  <c r="S38" i="712" s="1"/>
  <c r="J14" i="693"/>
  <c r="J7" i="693" s="1"/>
  <c r="J8" i="693" s="1"/>
  <c r="R79" i="694"/>
  <c r="S70" i="694" s="1"/>
  <c r="J15" i="693" s="1"/>
  <c r="R26" i="712"/>
  <c r="S16" i="712" s="1"/>
  <c r="Q26" i="712"/>
  <c r="E14" i="711"/>
  <c r="E15" i="711" s="1"/>
  <c r="G14" i="671"/>
  <c r="G15" i="671" s="1"/>
  <c r="R48" i="672"/>
  <c r="S38" i="672" s="1"/>
  <c r="R48" i="670"/>
  <c r="S38" i="670" s="1"/>
  <c r="G14" i="669"/>
  <c r="G15" i="669" s="1"/>
  <c r="R69" i="672"/>
  <c r="S59" i="672" s="1"/>
  <c r="I14" i="671"/>
  <c r="R37" i="605"/>
  <c r="S27" i="605" s="1"/>
  <c r="F14" i="604"/>
  <c r="F15" i="604" s="1"/>
  <c r="G14" i="683"/>
  <c r="G15" i="683" s="1"/>
  <c r="R48" i="684"/>
  <c r="S38" i="684" s="1"/>
  <c r="Q26" i="702"/>
  <c r="R26" i="702"/>
  <c r="S16" i="702" s="1"/>
  <c r="E14" i="701"/>
  <c r="E15" i="701" s="1"/>
  <c r="H14" i="687"/>
  <c r="H15" i="687" s="1"/>
  <c r="R58" i="688"/>
  <c r="S49" i="688" s="1"/>
  <c r="H6" i="677"/>
  <c r="R79" i="700"/>
  <c r="S70" i="700" s="1"/>
  <c r="J15" i="699" s="1"/>
  <c r="I14" i="722"/>
  <c r="R69" i="723"/>
  <c r="S59" i="723" s="1"/>
  <c r="Q26" i="674"/>
  <c r="R26" i="674"/>
  <c r="S16" i="674" s="1"/>
  <c r="E14" i="673"/>
  <c r="E15" i="673" s="1"/>
  <c r="R48" i="676"/>
  <c r="S38" i="676" s="1"/>
  <c r="G14" i="675"/>
  <c r="G15" i="675" s="1"/>
  <c r="F14" i="697"/>
  <c r="F15" i="697" s="1"/>
  <c r="R37" i="698"/>
  <c r="S27" i="698" s="1"/>
  <c r="R26" i="720"/>
  <c r="S16" i="720" s="1"/>
  <c r="E14" i="719"/>
  <c r="E15" i="719" s="1"/>
  <c r="Q26" i="720"/>
  <c r="E2" i="702"/>
  <c r="R15" i="702"/>
  <c r="S5" i="702" s="1"/>
  <c r="Q15" i="702"/>
  <c r="D14" i="701"/>
  <c r="H7" i="705"/>
  <c r="H8" i="705" s="1"/>
  <c r="F7" i="705"/>
  <c r="F8" i="705" s="1"/>
  <c r="D15" i="705"/>
  <c r="E2" i="694"/>
  <c r="D14" i="693"/>
  <c r="R15" i="694"/>
  <c r="S5" i="694" s="1"/>
  <c r="Q15" i="694"/>
  <c r="H14" i="701"/>
  <c r="H15" i="701" s="1"/>
  <c r="R58" i="702"/>
  <c r="S49" i="702" s="1"/>
  <c r="R58" i="682"/>
  <c r="S49" i="682" s="1"/>
  <c r="H14" i="681"/>
  <c r="H15" i="681" s="1"/>
  <c r="H6" i="691"/>
  <c r="F6" i="691"/>
  <c r="Q26" i="706"/>
  <c r="R37" i="688"/>
  <c r="S27" i="688" s="1"/>
  <c r="F14" i="687"/>
  <c r="F15" i="687" s="1"/>
  <c r="I14" i="713"/>
  <c r="R69" i="714"/>
  <c r="S59" i="714" s="1"/>
  <c r="E2" i="712"/>
  <c r="R79" i="3"/>
  <c r="S70" i="3" s="1"/>
  <c r="J14" i="2"/>
  <c r="F14" i="671"/>
  <c r="F15" i="671" s="1"/>
  <c r="R37" i="672"/>
  <c r="S27" i="672" s="1"/>
  <c r="H14" i="604"/>
  <c r="H15" i="604" s="1"/>
  <c r="R58" i="605"/>
  <c r="S49" i="605" s="1"/>
  <c r="R26" i="682"/>
  <c r="S16" i="682" s="1"/>
  <c r="Q26" i="682"/>
  <c r="E14" i="681"/>
  <c r="E15" i="681" s="1"/>
  <c r="O79" i="678"/>
  <c r="R69" i="678"/>
  <c r="S59" i="678" s="1"/>
  <c r="I14" i="677"/>
  <c r="R69" i="674"/>
  <c r="S59" i="674" s="1"/>
  <c r="I14" i="673"/>
  <c r="J6" i="717"/>
  <c r="Q15" i="714"/>
  <c r="D14" i="713"/>
  <c r="R15" i="714"/>
  <c r="S5" i="714" s="1"/>
  <c r="E2" i="714"/>
  <c r="G15" i="701"/>
  <c r="R48" i="725"/>
  <c r="S38" i="725" s="1"/>
  <c r="G14" i="724"/>
  <c r="G15" i="724" s="1"/>
  <c r="I15" i="679"/>
  <c r="Q26" i="678"/>
  <c r="J7" i="717"/>
  <c r="I15" i="717"/>
  <c r="J7" i="728" l="1"/>
  <c r="J8" i="728" s="1"/>
  <c r="I15" i="728"/>
  <c r="D15" i="728"/>
  <c r="F7" i="728"/>
  <c r="F8" i="728" s="1"/>
  <c r="H7" i="728"/>
  <c r="H8" i="728" s="1"/>
  <c r="I15" i="726"/>
  <c r="J7" i="726"/>
  <c r="J8" i="726" s="1"/>
  <c r="D15" i="726"/>
  <c r="F7" i="726"/>
  <c r="F8" i="726" s="1"/>
  <c r="H7" i="726"/>
  <c r="H8" i="726" s="1"/>
  <c r="D15" i="722"/>
  <c r="H7" i="722"/>
  <c r="H8" i="722" s="1"/>
  <c r="F7" i="722"/>
  <c r="F8" i="722" s="1"/>
  <c r="J8" i="717"/>
  <c r="D15" i="691"/>
  <c r="H7" i="691"/>
  <c r="H8" i="691" s="1"/>
  <c r="F7" i="691"/>
  <c r="F8" i="691" s="1"/>
  <c r="H8" i="2"/>
  <c r="F8" i="2"/>
  <c r="J7" i="691"/>
  <c r="J8" i="691" s="1"/>
  <c r="I15" i="691"/>
  <c r="F7" i="719"/>
  <c r="F8" i="719" s="1"/>
  <c r="D15" i="719"/>
  <c r="H7" i="719"/>
  <c r="H8" i="719" s="1"/>
  <c r="F7" i="2"/>
  <c r="D15" i="689"/>
  <c r="H7" i="689"/>
  <c r="H8" i="689" s="1"/>
  <c r="F7" i="689"/>
  <c r="F8" i="689" s="1"/>
  <c r="F6" i="709"/>
  <c r="J6" i="709"/>
  <c r="J7" i="722"/>
  <c r="J8" i="722" s="1"/>
  <c r="I15" i="722"/>
  <c r="J7" i="689"/>
  <c r="J8" i="689" s="1"/>
  <c r="I15" i="689"/>
  <c r="D15" i="604"/>
  <c r="H7" i="604"/>
  <c r="H8" i="604" s="1"/>
  <c r="F7" i="604"/>
  <c r="F8" i="604" s="1"/>
  <c r="J7" i="724"/>
  <c r="J8" i="724" s="1"/>
  <c r="I15" i="724"/>
  <c r="F7" i="673"/>
  <c r="F8" i="673" s="1"/>
  <c r="D15" i="673"/>
  <c r="H7" i="673"/>
  <c r="H8" i="673" s="1"/>
  <c r="I15" i="681"/>
  <c r="J7" i="681"/>
  <c r="J8" i="681" s="1"/>
  <c r="F7" i="695"/>
  <c r="F8" i="695" s="1"/>
  <c r="H7" i="683"/>
  <c r="H8" i="683" s="1"/>
  <c r="D15" i="683"/>
  <c r="F7" i="683"/>
  <c r="F8" i="683" s="1"/>
  <c r="J7" i="699"/>
  <c r="J8" i="699" s="1"/>
  <c r="I15" i="699"/>
  <c r="H7" i="703"/>
  <c r="H8" i="703" s="1"/>
  <c r="J7" i="687"/>
  <c r="J8" i="687" s="1"/>
  <c r="I15" i="687"/>
  <c r="I15" i="675"/>
  <c r="J7" i="675"/>
  <c r="J8" i="675" s="1"/>
  <c r="J7" i="697"/>
  <c r="J8" i="697" s="1"/>
  <c r="I15" i="697"/>
  <c r="J7" i="709"/>
  <c r="I15" i="709"/>
  <c r="D15" i="717"/>
  <c r="H7" i="717"/>
  <c r="H8" i="717" s="1"/>
  <c r="F7" i="717"/>
  <c r="F8" i="717" s="1"/>
  <c r="H7" i="681"/>
  <c r="H8" i="681" s="1"/>
  <c r="D15" i="707"/>
  <c r="H7" i="707"/>
  <c r="H8" i="707" s="1"/>
  <c r="F7" i="707"/>
  <c r="F8" i="707" s="1"/>
  <c r="J7" i="683"/>
  <c r="I15" i="683"/>
  <c r="I15" i="677"/>
  <c r="D15" i="701"/>
  <c r="H7" i="701"/>
  <c r="H8" i="701" s="1"/>
  <c r="F7" i="701"/>
  <c r="F8" i="701" s="1"/>
  <c r="J6" i="677"/>
  <c r="J14" i="677"/>
  <c r="F7" i="677" s="1"/>
  <c r="F8" i="677" s="1"/>
  <c r="R79" i="678"/>
  <c r="S70" i="678" s="1"/>
  <c r="J15" i="677" s="1"/>
  <c r="E2" i="678"/>
  <c r="D15" i="724"/>
  <c r="F7" i="724"/>
  <c r="F8" i="724" s="1"/>
  <c r="H7" i="724"/>
  <c r="H8" i="724" s="1"/>
  <c r="J7" i="713"/>
  <c r="J8" i="713" s="1"/>
  <c r="I15" i="713"/>
  <c r="I15" i="671"/>
  <c r="J7" i="671"/>
  <c r="J8" i="671" s="1"/>
  <c r="I15" i="685"/>
  <c r="J7" i="685"/>
  <c r="J8" i="685" s="1"/>
  <c r="H7" i="711"/>
  <c r="H8" i="711" s="1"/>
  <c r="J7" i="715"/>
  <c r="J8" i="715" s="1"/>
  <c r="I15" i="715"/>
  <c r="D15" i="675"/>
  <c r="H7" i="675"/>
  <c r="H8" i="675" s="1"/>
  <c r="F7" i="675"/>
  <c r="F8" i="675" s="1"/>
  <c r="I15" i="673"/>
  <c r="J7" i="673"/>
  <c r="J8" i="673" s="1"/>
  <c r="I15" i="711"/>
  <c r="J7" i="711"/>
  <c r="J8" i="711" s="1"/>
  <c r="J15" i="2"/>
  <c r="H7" i="709"/>
  <c r="H8" i="709" s="1"/>
  <c r="F7" i="709"/>
  <c r="D15" i="709"/>
  <c r="H7" i="695"/>
  <c r="H8" i="695" s="1"/>
  <c r="H7" i="685"/>
  <c r="H8" i="685" s="1"/>
  <c r="F7" i="685"/>
  <c r="F8" i="685" s="1"/>
  <c r="D15" i="685"/>
  <c r="F7" i="687"/>
  <c r="F8" i="687" s="1"/>
  <c r="D15" i="687"/>
  <c r="H7" i="687"/>
  <c r="H8" i="687" s="1"/>
  <c r="D15" i="669"/>
  <c r="H7" i="669"/>
  <c r="H8" i="669" s="1"/>
  <c r="F7" i="669"/>
  <c r="F8" i="669" s="1"/>
  <c r="F7" i="703"/>
  <c r="F8" i="703" s="1"/>
  <c r="D15" i="671"/>
  <c r="F7" i="671"/>
  <c r="F8" i="671" s="1"/>
  <c r="H7" i="671"/>
  <c r="H8" i="671" s="1"/>
  <c r="H7" i="713"/>
  <c r="H8" i="713" s="1"/>
  <c r="D15" i="713"/>
  <c r="F7" i="713"/>
  <c r="F8" i="713" s="1"/>
  <c r="H7" i="693"/>
  <c r="H8" i="693" s="1"/>
  <c r="F7" i="693"/>
  <c r="F8" i="693" s="1"/>
  <c r="D15" i="693"/>
  <c r="J6" i="683"/>
  <c r="F6" i="683"/>
  <c r="J7" i="2"/>
  <c r="I15" i="2"/>
  <c r="J8" i="2" s="1"/>
  <c r="D15" i="679"/>
  <c r="F7" i="679"/>
  <c r="F8" i="679" s="1"/>
  <c r="H7" i="679"/>
  <c r="H8" i="679" s="1"/>
  <c r="J6" i="707"/>
  <c r="J7" i="707"/>
  <c r="J8" i="707" s="1"/>
  <c r="I15" i="707"/>
  <c r="H7" i="677"/>
  <c r="H8" i="677" s="1"/>
  <c r="J7" i="701"/>
  <c r="J8" i="701" s="1"/>
  <c r="I15" i="701"/>
  <c r="D15" i="697"/>
  <c r="H7" i="697"/>
  <c r="H8" i="697" s="1"/>
  <c r="F7" i="697"/>
  <c r="F8" i="697" s="1"/>
  <c r="J7" i="604"/>
  <c r="J8" i="604" s="1"/>
  <c r="I15" i="604"/>
  <c r="J7" i="719"/>
  <c r="J8" i="719" s="1"/>
  <c r="I15" i="719"/>
  <c r="J14" i="707"/>
  <c r="R79" i="708"/>
  <c r="S70" i="708" s="1"/>
  <c r="J15" i="707" s="1"/>
  <c r="F7" i="681"/>
  <c r="F8" i="681" s="1"/>
  <c r="I15" i="703"/>
  <c r="J7" i="703"/>
  <c r="J8" i="703" s="1"/>
  <c r="J7" i="677" l="1"/>
  <c r="J8" i="677" s="1"/>
  <c r="J8" i="709"/>
  <c r="F8" i="709"/>
  <c r="J8" i="683"/>
</calcChain>
</file>

<file path=xl/sharedStrings.xml><?xml version="1.0" encoding="utf-8"?>
<sst xmlns="http://schemas.openxmlformats.org/spreadsheetml/2006/main" count="6848" uniqueCount="255">
  <si>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</si>
  <si>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</si>
  <si>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</si>
  <si>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</si>
  <si>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</si>
  <si>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</si>
  <si>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</si>
  <si>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</si>
  <si>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</si>
  <si>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</si>
  <si>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</si>
  <si>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</si>
  <si>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</si>
  <si>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</si>
  <si>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</si>
  <si>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</si>
  <si>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</si>
  <si>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</si>
  <si>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</si>
  <si>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</si>
  <si>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</si>
  <si>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</si>
  <si>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</si>
  <si>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</si>
  <si>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</si>
  <si>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</si>
  <si>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</si>
  <si>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</si>
  <si>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</si>
  <si>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</si>
  <si>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</si>
  <si>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</si>
  <si>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</si>
  <si>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</si>
  <si>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</si>
  <si>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</si>
  <si>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</si>
  <si>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</si>
  <si>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</si>
  <si>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</si>
  <si>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</si>
  <si>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</si>
  <si>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</si>
  <si>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</si>
  <si>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</si>
  <si>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</si>
  <si>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</si>
  <si>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</si>
  <si>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</si>
  <si>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</si>
  <si>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</si>
  <si>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</si>
  <si>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</si>
  <si>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</si>
  <si>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</si>
  <si>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</si>
  <si>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</si>
  <si>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</si>
  <si>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</si>
  <si>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</si>
  <si>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</si>
  <si>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</si>
  <si>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</si>
  <si>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</si>
  <si>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</si>
  <si>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</si>
  <si>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</si>
  <si>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</si>
  <si>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</si>
  <si>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</si>
  <si>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</si>
  <si>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</si>
  <si>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</si>
  <si>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</si>
  <si>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</si>
  <si>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</si>
  <si>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</si>
  <si>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</si>
  <si>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</si>
  <si>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</si>
  <si>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</si>
  <si>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</si>
  <si>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</si>
  <si>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</si>
  <si>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</si>
  <si>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</si>
  <si>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</si>
  <si>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</si>
  <si>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</si>
  <si>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</si>
  <si>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</si>
  <si>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</si>
  <si>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</si>
  <si>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</si>
  <si>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</si>
  <si>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</si>
  <si>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</si>
  <si>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</si>
  <si>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</si>
  <si>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</si>
  <si>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</si>
  <si>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</si>
  <si>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</si>
  <si>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</si>
  <si>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</si>
  <si>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</si>
  <si>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</si>
  <si>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</si>
  <si>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</si>
  <si>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</si>
  <si>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</si>
  <si>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</si>
  <si>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07月01日  星期三</t>
  </si>
  <si>
    <t>白酒清炒鮮蛤義大利麵</t>
  </si>
  <si>
    <t>7:00-7:16更換熱轉印印字頭</t>
  </si>
  <si>
    <t>香煎魚排佐檸檬奶油義大利麵</t>
  </si>
  <si>
    <t>9:22-9:26玉取機停麵</t>
  </si>
  <si>
    <t>奶油培根義大利麵</t>
  </si>
  <si>
    <t>青醬蛤蜊義大利麵</t>
  </si>
  <si>
    <t>蒜香奶油蝦蝦義大利麵</t>
  </si>
  <si>
    <t>義式辣味嫩烤雞腿排義大利麵</t>
  </si>
  <si>
    <t>義式蕃茄起司義大利麵</t>
  </si>
  <si>
    <t>14:42-14:51封口機異常(加工膠帶脫落)</t>
  </si>
  <si>
    <t>義式蛋蛋青醬鮪魚冷義大利麵</t>
  </si>
  <si>
    <t>奶油鮮蝦明太子細扁麵</t>
  </si>
  <si>
    <t>焦糖拿鐵烤雞細扁麵</t>
  </si>
  <si>
    <t/>
  </si>
  <si>
    <t>焗烤起司肉醬筆尖麵</t>
  </si>
  <si>
    <t>熱乾麵</t>
  </si>
  <si>
    <t>青花椒麻雞肉拌麵</t>
  </si>
  <si>
    <t>加兩名新人熟悉作業</t>
  </si>
  <si>
    <t>府城鹽水意麵</t>
  </si>
  <si>
    <t>加一名新人熟悉作業</t>
  </si>
  <si>
    <t>沙茶豬肉炒麵</t>
  </si>
  <si>
    <t>焗烤起司雙饗筆尖麵</t>
  </si>
  <si>
    <t>黑松露野菇義大利麵</t>
  </si>
  <si>
    <t>小吃、微波</t>
  </si>
  <si>
    <t>小滷青蔬</t>
  </si>
  <si>
    <t>起司馬鈴薯</t>
  </si>
  <si>
    <t>韓式炒冬粉</t>
  </si>
  <si>
    <t>麻辣雞心</t>
  </si>
  <si>
    <t>蕃茄莎莎海鮮冷義大利麵</t>
  </si>
  <si>
    <t>07月02日  星期四</t>
  </si>
  <si>
    <t>生產數量少</t>
  </si>
  <si>
    <t>07月03 日  星期五</t>
  </si>
  <si>
    <t>7:30-7:43L型封口機異常</t>
  </si>
  <si>
    <t>07月04日  星期六</t>
  </si>
  <si>
    <t>07月05日  星期日</t>
  </si>
  <si>
    <t>07月06日  星期一</t>
  </si>
  <si>
    <t>12:45-13:00 機台溫度不足、13:25-13:45 L型封膜機換膜</t>
  </si>
  <si>
    <t>14:15-14:55試產</t>
  </si>
  <si>
    <t>8:40-9:00  支援製作醬杯</t>
  </si>
  <si>
    <t>07月07日  星期二</t>
  </si>
  <si>
    <t>羅馬黑胡椒起司義大利麵</t>
  </si>
  <si>
    <t>07:00-07:10注醬機調整</t>
  </si>
  <si>
    <t>09:58-10:14、14:33-14:50注醬機清洗組裝</t>
  </si>
  <si>
    <t>10:05-10:40熱轉印異常</t>
  </si>
  <si>
    <t>8:33-9:06待半成品冷卻</t>
  </si>
  <si>
    <t>人數不足降速生產</t>
  </si>
  <si>
    <t>07月08日  星期三</t>
  </si>
  <si>
    <t>10:00-10:17清洗注醬機</t>
  </si>
  <si>
    <t>14:05-14:20清洗注醬機</t>
  </si>
  <si>
    <t>2位新人教育訓練</t>
  </si>
  <si>
    <t>07月09日  星期四</t>
  </si>
  <si>
    <t>8:00-9:50人員輪替體檢</t>
  </si>
  <si>
    <t>移至手工線製作</t>
  </si>
  <si>
    <t>補料</t>
  </si>
  <si>
    <t>8:00-11:00人員輪替體檢</t>
  </si>
  <si>
    <t>輪流體檢單排生產</t>
  </si>
  <si>
    <t>07月10日  星期五</t>
  </si>
  <si>
    <t>7:36-7:46熱轉印異常</t>
  </si>
  <si>
    <t>各多一人培訓幹部</t>
  </si>
  <si>
    <t>單排生產</t>
  </si>
  <si>
    <t>07月11日  星期六</t>
  </si>
  <si>
    <t>07月12日  星期日</t>
  </si>
  <si>
    <t>9:42-9:58清洗抹醬機</t>
  </si>
  <si>
    <t>7:37-7:50包裝機異常</t>
  </si>
  <si>
    <t>07月13日  星期一</t>
  </si>
  <si>
    <t>10:43-11:02熱轉印異常、全檢</t>
  </si>
  <si>
    <t>07月14日  星期二</t>
  </si>
  <si>
    <t>支援製作冷麵、生產是量少、14:02-14:34試產</t>
  </si>
  <si>
    <t>鱈魚粉紅青醬筆尖麵</t>
  </si>
  <si>
    <t>8:04-8:45封膜頻繁異常(未統計次數)</t>
  </si>
  <si>
    <t>07月15日  星期三</t>
  </si>
  <si>
    <t>休息10分鐘</t>
  </si>
  <si>
    <t>07月16日  星期四</t>
  </si>
  <si>
    <t>7月17日  星期五</t>
  </si>
  <si>
    <t>08:58-9:14清洗注醬機</t>
  </si>
  <si>
    <t>07月18日  星期六</t>
  </si>
  <si>
    <t>07月19日  星期日</t>
  </si>
  <si>
    <t>玉取機出麵不穩，多1人補麵</t>
  </si>
  <si>
    <t>07月20日  星期一</t>
  </si>
  <si>
    <t>發現起司發霉 全數報廢</t>
  </si>
  <si>
    <t>9:41-9:47封膜異常</t>
  </si>
  <si>
    <t>10:24-10:26封膜異常</t>
  </si>
  <si>
    <t>07月21日  星期二</t>
  </si>
  <si>
    <t>金沙豆腐義大利麵</t>
  </si>
  <si>
    <t>初次生產多加1人、9:54-10:07清洗抹醬機</t>
  </si>
  <si>
    <t>初次生產多加1人</t>
  </si>
  <si>
    <t>輸送帶異常停麵共計24分鐘</t>
  </si>
  <si>
    <t>9:18發現乾酪絲異常</t>
  </si>
  <si>
    <t>9:41-9:47熱轉印異常(斷針)</t>
  </si>
  <si>
    <t>10:39-10:43包裝機異常</t>
  </si>
  <si>
    <t>7月22日  星期三</t>
  </si>
  <si>
    <t>7:12-7:15、7:18-7:30注餡機卡住(原料-金莎醬，蛋黃蛋白大於0.5公分)、7:30後改為手挖醬</t>
  </si>
  <si>
    <t>輸送帶異常停麵共計10分鐘</t>
  </si>
  <si>
    <t>10:10-11:30封膜不緊拆模重封400盒</t>
  </si>
  <si>
    <t>單排生產、生產數量低</t>
  </si>
  <si>
    <t>07月23日  星期四</t>
  </si>
  <si>
    <t>手挖醬</t>
  </si>
  <si>
    <t xml:space="preserve">          </t>
  </si>
  <si>
    <t>9:44-9:45熱轉印異常</t>
  </si>
  <si>
    <t>11:25-11:45熱轉印異常</t>
  </si>
  <si>
    <t>13:13-13:40補封膜</t>
  </si>
  <si>
    <t>07月24日  星期五</t>
  </si>
  <si>
    <t>07月25日  星期六</t>
  </si>
  <si>
    <t>07月26日  星期b4</t>
  </si>
  <si>
    <t>9:30-9:46物料確認</t>
  </si>
  <si>
    <t>7月27日  星期一</t>
  </si>
  <si>
    <t>8:46-8:51 8:53-8:57 8:59-9:05色帶斷帶</t>
  </si>
  <si>
    <t>check</t>
  </si>
  <si>
    <t>類別</t>
  </si>
  <si>
    <t>4度C</t>
  </si>
  <si>
    <t>焗烤明太子筆尖麵</t>
  </si>
  <si>
    <t>鮮奶油白醬醬杯</t>
  </si>
  <si>
    <t>冷麵醬杯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</si>
  <si>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</si>
  <si>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</si>
  <si>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</si>
  <si>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</si>
  <si>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</si>
  <si>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</si>
  <si>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</si>
  <si>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</si>
  <si>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</si>
  <si>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r>
      <t>7月28日  星期</t>
    </r>
    <r>
      <rPr>
        <sz val="14"/>
        <rFont val="Microsoft JhengHei UI"/>
        <family val="2"/>
        <charset val="136"/>
      </rPr>
      <t>二</t>
    </r>
  </si>
  <si>
    <t>8:16-8:36清洗注醬機</t>
  </si>
  <si>
    <t>07月29日  星期三</t>
  </si>
  <si>
    <t>7:58-8:13清洗注醬機</t>
  </si>
  <si>
    <t>10:05-10:07封膜異常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</si>
  <si>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</si>
  <si>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</si>
  <si>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</si>
  <si>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</si>
  <si>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</si>
  <si>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</si>
  <si>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</si>
  <si>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目前使用雙排</t>
  </si>
  <si>
    <t>整條德式香腸義大利麵</t>
  </si>
  <si>
    <t>調理包</t>
  </si>
  <si>
    <t>夏季+1人補料</t>
  </si>
  <si>
    <t>更新日期07/03</t>
  </si>
  <si>
    <t>07月30日  星期四</t>
    <phoneticPr fontId="32" type="noConversion"/>
  </si>
  <si>
    <t>9點更換封膜，封口異常重新確認封口溫度</t>
    <phoneticPr fontId="6" type="noConversion"/>
  </si>
  <si>
    <t>07月31日  星期五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</si>
</sst>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4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05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5" fontId="6" fillId="0" borderId="0" xfId="1" applyNumberFormat="1" applyFont="1">
      <alignment vertical="center"/>
    </xf>
    <xf numFmtId="0" fontId="6" fillId="0" borderId="0" xfId="1" quotePrefix="1" applyFont="1">
      <alignment vertical="center"/>
    </xf>
    <xf numFmtId="0" fontId="17" fillId="0" borderId="102" xfId="11" applyFont="1" applyBorder="1" applyAlignment="1"/>
    <xf numFmtId="0" fontId="17" fillId="3" borderId="87" xfId="12" applyFont="1" applyFill="1" applyBorder="1" applyAlignment="1">
      <alignment horizontal="center" vertical="center"/>
    </xf>
    <xf numFmtId="43" fontId="17" fillId="0" borderId="90" xfId="14" applyFont="1" applyBorder="1" applyAlignment="1">
      <alignment horizontal="center" vertical="center"/>
    </xf>
    <xf numFmtId="20" fontId="17" fillId="0" borderId="44" xfId="12" applyNumberFormat="1" applyFont="1" applyBorder="1" applyAlignment="1">
      <alignment horizontal="center" vertical="center"/>
    </xf>
    <xf numFmtId="0" fontId="17" fillId="0" borderId="109" xfId="11" applyFont="1" applyBorder="1" applyAlignment="1"/>
    <xf numFmtId="43" fontId="17" fillId="0" borderId="61" xfId="14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/>
    </xf>
    <xf numFmtId="43" fontId="17" fillId="0" borderId="87" xfId="14" applyFont="1" applyBorder="1" applyAlignment="1">
      <alignment horizontal="center" vertical="center"/>
    </xf>
    <xf numFmtId="43" fontId="17" fillId="0" borderId="54" xfId="14" applyFont="1" applyBorder="1" applyAlignment="1">
      <alignment horizontal="center" vertical="center"/>
    </xf>
    <xf numFmtId="0" fontId="17" fillId="0" borderId="52" xfId="12" applyFont="1" applyBorder="1" applyAlignment="1">
      <alignment horizontal="center" vertical="center"/>
    </xf>
    <xf numFmtId="0" fontId="17" fillId="0" borderId="85" xfId="12" applyFont="1" applyBorder="1" applyAlignment="1">
      <alignment horizontal="center" vertical="center"/>
    </xf>
    <xf numFmtId="0" fontId="17" fillId="0" borderId="67" xfId="11" applyFont="1" applyBorder="1" applyAlignment="1"/>
    <xf numFmtId="184" fontId="17" fillId="0" borderId="1" xfId="1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17" fillId="11" borderId="44" xfId="12" applyFont="1" applyFill="1" applyBorder="1" applyAlignment="1"/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6" fillId="8" borderId="13" xfId="12" applyFont="1" applyFill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0" borderId="1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39" xfId="20" applyNumberFormat="1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14" fontId="17" fillId="0" borderId="13" xfId="12" applyNumberFormat="1" applyFont="1" applyBorder="1" applyAlignment="1">
      <alignment horizontal="center" vertical="center"/>
    </xf>
    <xf numFmtId="0" fontId="17" fillId="11" borderId="123" xfId="12" applyFont="1" applyFill="1" applyBorder="1" applyAlignment="1"/>
    <xf numFmtId="0" fontId="17" fillId="11" borderId="43" xfId="12" applyFont="1" applyFill="1" applyBorder="1" applyAlignment="1"/>
    <xf numFmtId="0" fontId="17" fillId="0" borderId="99" xfId="12" applyFont="1" applyBorder="1" applyAlignment="1">
      <alignment horizontal="center" vertical="center"/>
    </xf>
    <xf numFmtId="0" fontId="17" fillId="0" borderId="122" xfId="12" applyFont="1" applyBorder="1" applyAlignment="1">
      <alignment horizontal="center" vertical="center"/>
    </xf>
    <xf numFmtId="0" fontId="17" fillId="13" borderId="63" xfId="12" applyFont="1" applyFill="1" applyBorder="1" applyAlignment="1">
      <alignment horizontal="center" vertical="center" wrapText="1"/>
    </xf>
    <xf numFmtId="0" fontId="17" fillId="13" borderId="69" xfId="12" applyFont="1" applyFill="1" applyBorder="1" applyAlignment="1">
      <alignment horizontal="center" vertical="center" wrapText="1"/>
    </xf>
    <xf numFmtId="0" fontId="17" fillId="13" borderId="75" xfId="12" applyFont="1" applyFill="1" applyBorder="1" applyAlignment="1">
      <alignment horizontal="center" vertical="center" wrapText="1"/>
    </xf>
    <xf numFmtId="180" fontId="17" fillId="0" borderId="46" xfId="20" applyNumberFormat="1" applyFont="1" applyBorder="1" applyAlignment="1">
      <alignment horizontal="center" vertical="center"/>
    </xf>
    <xf numFmtId="180" fontId="17" fillId="0" borderId="72" xfId="20" applyNumberFormat="1" applyFont="1" applyBorder="1" applyAlignment="1">
      <alignment horizontal="center" vertical="center"/>
    </xf>
    <xf numFmtId="180" fontId="17" fillId="0" borderId="77" xfId="20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180" fontId="6" fillId="0" borderId="128" xfId="19" applyNumberFormat="1" applyFont="1" applyBorder="1" applyAlignment="1">
      <alignment horizontal="center" vertical="center"/>
    </xf>
    <xf numFmtId="180" fontId="6" fillId="0" borderId="129" xfId="19" applyNumberFormat="1" applyFont="1" applyBorder="1" applyAlignment="1">
      <alignment horizontal="center" vertical="center"/>
    </xf>
    <xf numFmtId="180" fontId="6" fillId="0" borderId="130" xfId="19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80" fontId="17" fillId="0" borderId="125" xfId="20" applyNumberFormat="1" applyFont="1" applyBorder="1" applyAlignment="1">
      <alignment horizontal="center" vertical="center"/>
    </xf>
    <xf numFmtId="180" fontId="17" fillId="0" borderId="126" xfId="20" applyNumberFormat="1" applyFont="1" applyBorder="1" applyAlignment="1">
      <alignment horizontal="center" vertical="center"/>
    </xf>
    <xf numFmtId="180" fontId="17" fillId="0" borderId="127" xfId="20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17" fillId="10" borderId="63" xfId="12" applyFont="1" applyFill="1" applyBorder="1" applyAlignment="1">
      <alignment horizontal="center" vertical="center" wrapText="1"/>
    </xf>
    <xf numFmtId="0" fontId="17" fillId="10" borderId="69" xfId="12" applyFont="1" applyFill="1" applyBorder="1" applyAlignment="1">
      <alignment horizontal="center" vertical="center" wrapText="1"/>
    </xf>
    <xf numFmtId="0" fontId="17" fillId="10" borderId="75" xfId="12" applyFont="1" applyFill="1" applyBorder="1" applyAlignment="1">
      <alignment horizontal="center" vertical="center" wrapText="1"/>
    </xf>
    <xf numFmtId="180" fontId="17" fillId="0" borderId="54" xfId="20" applyNumberFormat="1" applyFont="1" applyBorder="1" applyAlignment="1">
      <alignment horizontal="center" vertical="center"/>
    </xf>
    <xf numFmtId="180" fontId="17" fillId="0" borderId="15" xfId="20" applyNumberFormat="1" applyFont="1" applyBorder="1" applyAlignment="1">
      <alignment horizontal="center" vertical="center"/>
    </xf>
    <xf numFmtId="180" fontId="17" fillId="0" borderId="78" xfId="20" applyNumberFormat="1" applyFont="1" applyBorder="1" applyAlignment="1">
      <alignment horizontal="center" vertical="center"/>
    </xf>
    <xf numFmtId="0" fontId="17" fillId="4" borderId="63" xfId="12" applyFont="1" applyFill="1" applyBorder="1" applyAlignment="1">
      <alignment horizontal="center" vertical="center" wrapText="1"/>
    </xf>
    <xf numFmtId="0" fontId="17" fillId="4" borderId="69" xfId="12" applyFont="1" applyFill="1" applyBorder="1" applyAlignment="1">
      <alignment horizontal="center" vertical="center" wrapText="1"/>
    </xf>
    <xf numFmtId="0" fontId="17" fillId="4" borderId="75" xfId="12" applyFont="1" applyFill="1" applyBorder="1" applyAlignment="1">
      <alignment horizontal="center" vertical="center" wrapText="1"/>
    </xf>
    <xf numFmtId="180" fontId="17" fillId="0" borderId="65" xfId="20" applyNumberFormat="1" applyFont="1" applyBorder="1" applyAlignment="1">
      <alignment horizontal="center" vertical="center"/>
    </xf>
    <xf numFmtId="180" fontId="17" fillId="0" borderId="131" xfId="20" applyNumberFormat="1" applyFont="1" applyBorder="1" applyAlignment="1">
      <alignment horizontal="center" vertical="center"/>
    </xf>
    <xf numFmtId="180" fontId="17" fillId="0" borderId="132" xfId="20" applyNumberFormat="1" applyFont="1" applyBorder="1" applyAlignment="1">
      <alignment horizontal="center" vertical="center"/>
    </xf>
    <xf numFmtId="180" fontId="17" fillId="0" borderId="114" xfId="20" applyNumberFormat="1" applyFont="1" applyBorder="1" applyAlignment="1">
      <alignment horizontal="center" vertical="center"/>
    </xf>
    <xf numFmtId="180" fontId="17" fillId="0" borderId="115" xfId="20" applyNumberFormat="1" applyFont="1" applyBorder="1" applyAlignment="1">
      <alignment horizontal="center" vertical="center"/>
    </xf>
    <xf numFmtId="180" fontId="17" fillId="0" borderId="116" xfId="20" applyNumberFormat="1" applyFont="1" applyBorder="1" applyAlignment="1">
      <alignment horizontal="center" vertical="center"/>
    </xf>
    <xf numFmtId="180" fontId="17" fillId="0" borderId="22" xfId="20" applyNumberFormat="1" applyFont="1" applyBorder="1" applyAlignment="1">
      <alignment horizontal="center" vertical="center"/>
    </xf>
    <xf numFmtId="180" fontId="17" fillId="0" borderId="0" xfId="20" applyNumberFormat="1" applyFont="1" applyBorder="1" applyAlignment="1">
      <alignment horizontal="center" vertical="center"/>
    </xf>
    <xf numFmtId="180" fontId="17" fillId="0" borderId="117" xfId="20" applyNumberFormat="1" applyFont="1" applyBorder="1" applyAlignment="1">
      <alignment horizontal="center" vertical="center"/>
    </xf>
    <xf numFmtId="0" fontId="6" fillId="0" borderId="67" xfId="8" applyFont="1" applyBorder="1" applyAlignment="1">
      <alignment horizontal="center" vertical="center"/>
    </xf>
    <xf numFmtId="0" fontId="6" fillId="0" borderId="102" xfId="8" applyFont="1" applyBorder="1" applyAlignment="1">
      <alignment horizontal="center" vertical="center"/>
    </xf>
    <xf numFmtId="0" fontId="17" fillId="11" borderId="124" xfId="12" applyFont="1" applyFill="1" applyBorder="1" applyAlignment="1"/>
    <xf numFmtId="0" fontId="17" fillId="4" borderId="118" xfId="12" applyFont="1" applyFill="1" applyBorder="1" applyAlignment="1">
      <alignment horizontal="center" vertical="center" wrapText="1"/>
    </xf>
    <xf numFmtId="0" fontId="17" fillId="4" borderId="119" xfId="12" applyFont="1" applyFill="1" applyBorder="1" applyAlignment="1">
      <alignment horizontal="center" vertical="center" wrapText="1"/>
    </xf>
    <xf numFmtId="0" fontId="17" fillId="4" borderId="120" xfId="12" applyFont="1" applyFill="1" applyBorder="1" applyAlignment="1">
      <alignment horizontal="center" vertical="center" wrapText="1"/>
    </xf>
    <xf numFmtId="180" fontId="17" fillId="0" borderId="66" xfId="20" applyNumberFormat="1" applyFont="1" applyBorder="1" applyAlignment="1">
      <alignment horizontal="center" vertical="center"/>
    </xf>
    <xf numFmtId="180" fontId="17" fillId="0" borderId="10" xfId="20" applyNumberFormat="1" applyFont="1" applyBorder="1" applyAlignment="1">
      <alignment horizontal="center" vertical="center"/>
    </xf>
    <xf numFmtId="180" fontId="17" fillId="0" borderId="83" xfId="20" applyNumberFormat="1" applyFont="1" applyBorder="1" applyAlignment="1">
      <alignment horizontal="center" vertical="center"/>
    </xf>
    <xf numFmtId="0" fontId="17" fillId="11" borderId="99" xfId="12" applyFont="1" applyFill="1" applyBorder="1" applyAlignment="1"/>
    <xf numFmtId="0" fontId="17" fillId="11" borderId="122" xfId="12" applyFont="1" applyFill="1" applyBorder="1" applyAlignment="1"/>
    <xf numFmtId="9" fontId="17" fillId="0" borderId="99" xfId="17" applyFont="1" applyBorder="1" applyAlignment="1">
      <alignment horizontal="center" vertical="center"/>
    </xf>
    <xf numFmtId="9" fontId="17" fillId="0" borderId="122" xfId="17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 wrapText="1"/>
    </xf>
    <xf numFmtId="0" fontId="17" fillId="0" borderId="3" xfId="12" applyFont="1" applyBorder="1" applyAlignment="1">
      <alignment horizontal="center" vertical="center" wrapText="1"/>
    </xf>
    <xf numFmtId="14" fontId="19" fillId="0" borderId="27" xfId="12" applyNumberFormat="1" applyFont="1" applyBorder="1" applyAlignment="1">
      <alignment horizontal="left" vertical="center"/>
    </xf>
    <xf numFmtId="14" fontId="19" fillId="0" borderId="30" xfId="12" applyNumberFormat="1" applyFont="1" applyBorder="1" applyAlignment="1">
      <alignment horizontal="left" vertical="center"/>
    </xf>
    <xf numFmtId="0" fontId="17" fillId="0" borderId="78" xfId="12" applyFont="1" applyBorder="1" applyAlignment="1">
      <alignment horizontal="center" vertical="center"/>
    </xf>
    <xf numFmtId="0" fontId="17" fillId="0" borderId="41" xfId="12" applyFont="1" applyBorder="1" applyAlignment="1">
      <alignment horizontal="center" vertical="center"/>
    </xf>
    <xf numFmtId="0" fontId="17" fillId="0" borderId="39" xfId="12" applyFont="1" applyBorder="1" applyAlignment="1">
      <alignment horizontal="center" vertical="center"/>
    </xf>
    <xf numFmtId="0" fontId="17" fillId="0" borderId="101" xfId="12" applyFont="1" applyBorder="1" applyAlignment="1">
      <alignment horizontal="center" vertical="center"/>
    </xf>
    <xf numFmtId="0" fontId="17" fillId="0" borderId="77" xfId="12" applyFont="1" applyBorder="1" applyAlignment="1">
      <alignment horizontal="center" vertical="center"/>
    </xf>
    <xf numFmtId="0" fontId="6" fillId="0" borderId="78" xfId="12" applyFont="1" applyBorder="1" applyAlignment="1">
      <alignment horizontal="center" vertical="center"/>
    </xf>
    <xf numFmtId="0" fontId="17" fillId="3" borderId="118" xfId="12" applyFont="1" applyFill="1" applyBorder="1" applyAlignment="1">
      <alignment horizontal="center" vertical="center" wrapText="1"/>
    </xf>
    <xf numFmtId="0" fontId="17" fillId="3" borderId="119" xfId="12" applyFont="1" applyFill="1" applyBorder="1" applyAlignment="1">
      <alignment horizontal="center" vertical="center" wrapText="1"/>
    </xf>
    <xf numFmtId="0" fontId="17" fillId="3" borderId="120" xfId="12" applyFont="1" applyFill="1" applyBorder="1" applyAlignment="1">
      <alignment horizontal="center" vertical="center" wrapText="1"/>
    </xf>
    <xf numFmtId="20" fontId="17" fillId="0" borderId="67" xfId="12" applyNumberFormat="1" applyFont="1" applyBorder="1" applyAlignment="1">
      <alignment horizontal="center" vertical="center"/>
    </xf>
    <xf numFmtId="20" fontId="17" fillId="0" borderId="102" xfId="12" applyNumberFormat="1" applyFont="1" applyBorder="1" applyAlignment="1">
      <alignment horizontal="center" vertical="center"/>
    </xf>
    <xf numFmtId="0" fontId="17" fillId="11" borderId="76" xfId="12" applyFont="1" applyFill="1" applyBorder="1" applyAlignment="1"/>
    <xf numFmtId="0" fontId="21" fillId="0" borderId="41" xfId="12" applyFont="1" applyBorder="1" applyAlignment="1">
      <alignment horizontal="center" vertical="center"/>
    </xf>
    <xf numFmtId="0" fontId="21" fillId="0" borderId="39" xfId="12" applyFont="1" applyBorder="1" applyAlignment="1">
      <alignment horizontal="center" vertical="center"/>
    </xf>
    <xf numFmtId="0" fontId="21" fillId="0" borderId="110" xfId="12" applyFont="1" applyBorder="1" applyAlignment="1">
      <alignment horizontal="center" vertical="center"/>
    </xf>
    <xf numFmtId="0" fontId="21" fillId="0" borderId="104" xfId="12" applyFont="1" applyBorder="1" applyAlignment="1">
      <alignment horizontal="center" vertical="center"/>
    </xf>
    <xf numFmtId="0" fontId="6" fillId="8" borderId="78" xfId="12" applyFont="1" applyFill="1" applyBorder="1" applyAlignment="1">
      <alignment horizontal="center" vertical="center"/>
    </xf>
    <xf numFmtId="0" fontId="21" fillId="0" borderId="40" xfId="12" applyFont="1" applyBorder="1" applyAlignment="1">
      <alignment horizontal="center" vertical="center"/>
    </xf>
    <xf numFmtId="0" fontId="21" fillId="0" borderId="58" xfId="12" applyFont="1" applyBorder="1" applyAlignment="1">
      <alignment horizontal="center" vertical="center"/>
    </xf>
    <xf numFmtId="0" fontId="21" fillId="0" borderId="96" xfId="12" applyFont="1" applyBorder="1" applyAlignment="1">
      <alignment horizontal="center" vertical="center"/>
    </xf>
    <xf numFmtId="0" fontId="21" fillId="0" borderId="60" xfId="12" applyFont="1" applyBorder="1" applyAlignment="1">
      <alignment horizontal="center" vertical="center"/>
    </xf>
    <xf numFmtId="0" fontId="6" fillId="0" borderId="78" xfId="12" applyFont="1" applyBorder="1" applyAlignment="1">
      <alignment horizontal="center" vertical="center" wrapText="1"/>
    </xf>
    <xf numFmtId="0" fontId="6" fillId="3" borderId="78" xfId="12" applyFont="1" applyFill="1" applyBorder="1" applyAlignment="1">
      <alignment horizontal="center" vertical="center"/>
    </xf>
    <xf numFmtId="0" fontId="6" fillId="9" borderId="78" xfId="12" applyFont="1" applyFill="1" applyBorder="1" applyAlignment="1">
      <alignment horizontal="center" vertical="center"/>
    </xf>
    <xf numFmtId="0" fontId="6" fillId="4" borderId="78" xfId="12" applyFont="1" applyFill="1" applyBorder="1" applyAlignment="1">
      <alignment horizontal="center" vertical="center"/>
    </xf>
    <xf numFmtId="0" fontId="28" fillId="8" borderId="2" xfId="6" applyFont="1" applyFill="1" applyBorder="1" applyAlignment="1">
      <alignment horizontal="center" vertical="center" wrapText="1"/>
    </xf>
    <xf numFmtId="0" fontId="28" fillId="8" borderId="3" xfId="6" applyFont="1" applyFill="1" applyBorder="1" applyAlignment="1">
      <alignment horizontal="center" vertical="center" wrapText="1"/>
    </xf>
    <xf numFmtId="0" fontId="17" fillId="9" borderId="74" xfId="12" applyFont="1" applyFill="1" applyBorder="1" applyAlignment="1">
      <alignment horizontal="center" vertical="center"/>
    </xf>
    <xf numFmtId="0" fontId="17" fillId="9" borderId="121" xfId="12" applyFont="1" applyFill="1" applyBorder="1" applyAlignment="1">
      <alignment horizontal="center" vertical="center"/>
    </xf>
    <xf numFmtId="0" fontId="17" fillId="5" borderId="78" xfId="12" applyFont="1" applyFill="1" applyBorder="1" applyAlignment="1">
      <alignment horizontal="center" vertical="center"/>
    </xf>
    <xf numFmtId="0" fontId="20" fillId="0" borderId="5" xfId="12" applyFont="1" applyBorder="1" applyAlignment="1">
      <alignment horizontal="center" vertical="center" wrapText="1"/>
    </xf>
    <xf numFmtId="0" fontId="20" fillId="0" borderId="6" xfId="12" applyFont="1" applyBorder="1" applyAlignment="1">
      <alignment horizontal="center" vertical="center" wrapText="1"/>
    </xf>
    <xf numFmtId="0" fontId="20" fillId="0" borderId="111" xfId="12" applyFont="1" applyBorder="1" applyAlignment="1">
      <alignment horizontal="center" vertical="center" wrapText="1"/>
    </xf>
    <xf numFmtId="0" fontId="20" fillId="0" borderId="112" xfId="12" applyFont="1" applyBorder="1" applyAlignment="1">
      <alignment horizontal="center" vertical="center" wrapText="1"/>
    </xf>
    <xf numFmtId="0" fontId="6" fillId="5" borderId="78" xfId="12" applyFont="1" applyFill="1" applyBorder="1" applyAlignment="1">
      <alignment horizontal="center" vertical="center"/>
    </xf>
    <xf numFmtId="0" fontId="6" fillId="8" borderId="30" xfId="12" applyFont="1" applyFill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 wrapText="1"/>
    </xf>
    <xf numFmtId="0" fontId="6" fillId="8" borderId="78" xfId="12" applyFont="1" applyFill="1" applyBorder="1" applyAlignment="1">
      <alignment horizontal="center" vertical="center" wrapText="1"/>
    </xf>
    <xf numFmtId="0" fontId="17" fillId="10" borderId="78" xfId="12" applyFont="1" applyFill="1" applyBorder="1" applyAlignment="1">
      <alignment horizontal="center" vertical="center" wrapText="1"/>
    </xf>
    <xf numFmtId="0" fontId="6" fillId="8" borderId="113" xfId="12" applyFont="1" applyFill="1" applyBorder="1" applyAlignment="1">
      <alignment horizontal="center" vertical="center"/>
    </xf>
    <xf numFmtId="0" fontId="6" fillId="10" borderId="78" xfId="12" applyFont="1" applyFill="1" applyBorder="1" applyAlignment="1">
      <alignment horizontal="center" vertical="center" wrapText="1"/>
    </xf>
    <xf numFmtId="20" fontId="17" fillId="0" borderId="17" xfId="12" applyNumberFormat="1" applyFont="1" applyBorder="1" applyAlignment="1">
      <alignment horizontal="center" vertical="center"/>
    </xf>
  </cellXfs>
  <cellStyles count="21">
    <cellStyle name="一般" xfId="0" builtinId="0"/>
    <cellStyle name="一般 2" xfId="1"/>
    <cellStyle name="一般 2 17 2" xfId="2"/>
    <cellStyle name="一般 2 17 2 2" xfId="3"/>
    <cellStyle name="一般 2 18" xfId="4"/>
    <cellStyle name="一般 2 18 2" xfId="5"/>
    <cellStyle name="一般 2 2 2 2" xfId="6"/>
    <cellStyle name="一般 2 2 2 2 2" xfId="7"/>
    <cellStyle name="一般 2 2 4" xfId="8"/>
    <cellStyle name="一般 2 2 4 2" xfId="9"/>
    <cellStyle name="一般 2 2 4 3" xfId="10"/>
    <cellStyle name="一般 2 4 2" xfId="11"/>
    <cellStyle name="一般 2 8" xfId="12"/>
    <cellStyle name="一般 2 8 2" xfId="13"/>
    <cellStyle name="千分位 2 8" xfId="14"/>
    <cellStyle name="千分位 2 8 2" xfId="15"/>
    <cellStyle name="千分位 9 5" xfId="16"/>
    <cellStyle name="百分比 2 2 2 2" xfId="17"/>
    <cellStyle name="百分比 2 2 2 2 2" xfId="18"/>
    <cellStyle name="百分比 2 5" xfId="19"/>
    <cellStyle name="百分比 7" xfId="20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表格1" displayName="表格1" ref="A1:E55" totalsRowShown="0">
  <autoFilter ref="A1:E55"/>
  <tableColumns count="5">
    <tableColumn id="1" name="check" dataDxfId="320"/>
    <tableColumn id="2" name="溫層"/>
    <tableColumn id="4" name="品名"/>
    <tableColumn id="3" name="類別"/>
    <tableColumn id="5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G55"/>
  <sheetViews>
    <sheetView workbookViewId="0">
      <selection activeCell="E14" sqref="E14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42" width="10.28515625" style="347" customWidth="1"/>
    <col min="143" max="16384" width="10.28515625" style="347"/>
  </cols>
  <sheetData>
    <row r="1" spans="1:7">
      <c r="A1" s="351" t="s">
        <v>220</v>
      </c>
      <c r="B1" s="352" t="s">
        <v>89</v>
      </c>
      <c r="C1" s="352" t="s">
        <v>19</v>
      </c>
      <c r="D1" s="352" t="s">
        <v>221</v>
      </c>
      <c r="E1" s="352" t="s">
        <v>20</v>
      </c>
    </row>
    <row r="2" spans="1:7">
      <c r="A2" s="353"/>
      <c r="B2" s="354" t="s">
        <v>222</v>
      </c>
      <c r="C2" s="75" t="s">
        <v>124</v>
      </c>
      <c r="D2" s="354" t="s">
        <v>81</v>
      </c>
      <c r="E2" s="75">
        <v>57.21</v>
      </c>
    </row>
    <row r="3" spans="1:7">
      <c r="A3" s="353"/>
      <c r="B3" s="354" t="s">
        <v>222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222</v>
      </c>
      <c r="C4" s="75" t="s">
        <v>121</v>
      </c>
      <c r="D4" s="354" t="s">
        <v>81</v>
      </c>
      <c r="E4" s="75">
        <v>50.39</v>
      </c>
    </row>
    <row r="5" spans="1:7">
      <c r="A5" s="353"/>
      <c r="B5" s="354" t="s">
        <v>222</v>
      </c>
      <c r="C5" s="75" t="s">
        <v>134</v>
      </c>
      <c r="D5" s="354" t="s">
        <v>81</v>
      </c>
      <c r="E5" s="75">
        <v>49.97</v>
      </c>
    </row>
    <row r="6" spans="1:7">
      <c r="A6" s="353"/>
      <c r="B6" s="354" t="s">
        <v>222</v>
      </c>
      <c r="C6" s="75" t="s">
        <v>117</v>
      </c>
      <c r="D6" s="354" t="s">
        <v>81</v>
      </c>
      <c r="E6" s="75">
        <v>49.14</v>
      </c>
    </row>
    <row r="7" spans="1:7">
      <c r="A7" s="353"/>
      <c r="B7" s="354" t="s">
        <v>222</v>
      </c>
      <c r="C7" s="354" t="s">
        <v>125</v>
      </c>
      <c r="D7" s="354" t="s">
        <v>81</v>
      </c>
      <c r="E7" s="75">
        <v>57.21</v>
      </c>
    </row>
    <row r="8" spans="1:7">
      <c r="A8" s="353"/>
      <c r="B8" s="354" t="s">
        <v>222</v>
      </c>
      <c r="C8" s="350" t="s">
        <v>120</v>
      </c>
      <c r="D8" s="354" t="s">
        <v>81</v>
      </c>
      <c r="E8" s="75">
        <v>56.61</v>
      </c>
    </row>
    <row r="9" spans="1:7">
      <c r="A9" s="353"/>
      <c r="B9" s="354" t="s">
        <v>222</v>
      </c>
      <c r="C9" s="350" t="s">
        <v>196</v>
      </c>
      <c r="D9" s="354" t="s">
        <v>81</v>
      </c>
      <c r="E9" s="75">
        <v>49.91</v>
      </c>
    </row>
    <row r="10" spans="1:7">
      <c r="A10" s="353"/>
      <c r="B10" s="354" t="s">
        <v>222</v>
      </c>
      <c r="C10" s="350"/>
      <c r="D10" s="354" t="s">
        <v>81</v>
      </c>
      <c r="E10" s="75"/>
    </row>
    <row r="11" spans="1:7">
      <c r="A11" s="353"/>
      <c r="B11" s="354" t="s">
        <v>222</v>
      </c>
      <c r="C11" s="75" t="s">
        <v>119</v>
      </c>
      <c r="D11" s="354" t="s">
        <v>81</v>
      </c>
      <c r="E11" s="75">
        <v>57.21</v>
      </c>
    </row>
    <row r="12" spans="1:7">
      <c r="A12" s="353"/>
      <c r="B12" s="354" t="s">
        <v>222</v>
      </c>
      <c r="C12" s="350" t="s">
        <v>181</v>
      </c>
      <c r="D12" s="354" t="s">
        <v>81</v>
      </c>
      <c r="E12" s="75">
        <v>43.89</v>
      </c>
    </row>
    <row r="13" spans="1:7">
      <c r="A13" s="353"/>
      <c r="B13" s="354" t="s">
        <v>222</v>
      </c>
      <c r="C13" s="345" t="s">
        <v>115</v>
      </c>
      <c r="D13" s="354" t="s">
        <v>81</v>
      </c>
      <c r="E13" s="75">
        <v>58.17</v>
      </c>
      <c r="G13" s="349"/>
    </row>
    <row r="14" spans="1:7">
      <c r="A14" s="353"/>
      <c r="B14" s="354" t="s">
        <v>222</v>
      </c>
      <c r="C14" s="75" t="s">
        <v>118</v>
      </c>
      <c r="D14" s="354" t="s">
        <v>81</v>
      </c>
      <c r="E14" s="75">
        <v>50.67</v>
      </c>
    </row>
    <row r="15" spans="1:7">
      <c r="A15" s="353"/>
      <c r="B15" s="354" t="s">
        <v>222</v>
      </c>
      <c r="C15" s="75" t="s">
        <v>223</v>
      </c>
      <c r="D15" s="354" t="s">
        <v>81</v>
      </c>
      <c r="E15" s="75">
        <v>57.3</v>
      </c>
    </row>
    <row r="16" spans="1:7">
      <c r="A16" s="353"/>
      <c r="B16" s="354" t="s">
        <v>222</v>
      </c>
      <c r="C16" s="75" t="s">
        <v>153</v>
      </c>
      <c r="D16" s="354" t="s">
        <v>81</v>
      </c>
      <c r="E16" s="75">
        <v>50.67</v>
      </c>
    </row>
    <row r="17" spans="1:5">
      <c r="A17" s="353"/>
      <c r="B17" s="354" t="s">
        <v>222</v>
      </c>
      <c r="C17" s="75" t="s">
        <v>123</v>
      </c>
      <c r="D17" s="354" t="s">
        <v>81</v>
      </c>
      <c r="E17" s="75">
        <v>45.66</v>
      </c>
    </row>
    <row r="18" spans="1:5">
      <c r="A18" s="353"/>
      <c r="B18" s="354" t="s">
        <v>222</v>
      </c>
      <c r="C18" s="75" t="s">
        <v>135</v>
      </c>
      <c r="D18" s="354" t="s">
        <v>81</v>
      </c>
      <c r="E18" s="75">
        <v>50.289000000000001</v>
      </c>
    </row>
    <row r="19" spans="1:5">
      <c r="A19" s="353"/>
      <c r="B19" s="354" t="s">
        <v>222</v>
      </c>
      <c r="C19" s="75" t="s">
        <v>129</v>
      </c>
      <c r="D19" s="354" t="s">
        <v>128</v>
      </c>
      <c r="E19" s="75">
        <v>49.91</v>
      </c>
    </row>
    <row r="20" spans="1:5">
      <c r="A20" s="353"/>
      <c r="B20" s="354" t="s">
        <v>222</v>
      </c>
      <c r="C20" s="75" t="s">
        <v>131</v>
      </c>
      <c r="D20" s="354" t="s">
        <v>128</v>
      </c>
      <c r="E20" s="75">
        <v>44.3</v>
      </c>
    </row>
    <row r="21" spans="1:5">
      <c r="A21" s="353"/>
      <c r="B21" s="354" t="s">
        <v>222</v>
      </c>
      <c r="C21" s="75" t="s">
        <v>133</v>
      </c>
      <c r="D21" s="354" t="s">
        <v>128</v>
      </c>
      <c r="E21" s="75">
        <v>49.52</v>
      </c>
    </row>
    <row r="22" spans="1:5">
      <c r="A22" s="353"/>
      <c r="B22" s="354" t="s">
        <v>222</v>
      </c>
      <c r="C22" s="75" t="s">
        <v>141</v>
      </c>
      <c r="D22" s="354" t="s">
        <v>81</v>
      </c>
      <c r="E22" s="75">
        <v>46.34</v>
      </c>
    </row>
    <row r="23" spans="1:5">
      <c r="A23" s="353"/>
      <c r="B23" s="354" t="s">
        <v>222</v>
      </c>
      <c r="C23" s="75" t="s">
        <v>139</v>
      </c>
      <c r="D23" s="354" t="s">
        <v>136</v>
      </c>
      <c r="E23" s="75">
        <v>28.26</v>
      </c>
    </row>
    <row r="24" spans="1:5">
      <c r="A24" s="353"/>
      <c r="B24" s="354" t="s">
        <v>222</v>
      </c>
      <c r="C24" s="75" t="s">
        <v>137</v>
      </c>
      <c r="D24" s="354" t="s">
        <v>136</v>
      </c>
      <c r="E24" s="75">
        <v>26.99</v>
      </c>
    </row>
    <row r="25" spans="1:5">
      <c r="A25" s="353"/>
      <c r="B25" s="354" t="s">
        <v>222</v>
      </c>
      <c r="C25" s="75" t="s">
        <v>138</v>
      </c>
      <c r="D25" s="354" t="s">
        <v>136</v>
      </c>
      <c r="E25" s="75">
        <v>28.26</v>
      </c>
    </row>
    <row r="26" spans="1:5">
      <c r="A26" s="353"/>
      <c r="B26" s="354" t="s">
        <v>222</v>
      </c>
      <c r="C26" s="75" t="s">
        <v>140</v>
      </c>
      <c r="D26" s="354" t="s">
        <v>136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 t="s">
        <v>222</v>
      </c>
      <c r="C28" s="75" t="s">
        <v>224</v>
      </c>
      <c r="D28" s="354" t="s">
        <v>225</v>
      </c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226</v>
      </c>
      <c r="C46" s="75" t="s">
        <v>118</v>
      </c>
      <c r="D46" s="354" t="s">
        <v>227</v>
      </c>
      <c r="E46" s="75">
        <v>29.38</v>
      </c>
    </row>
    <row r="47" spans="1:5">
      <c r="A47" s="351"/>
      <c r="B47" s="354" t="s">
        <v>226</v>
      </c>
      <c r="C47" s="75" t="s">
        <v>228</v>
      </c>
      <c r="D47" s="354" t="s">
        <v>227</v>
      </c>
      <c r="E47" s="75">
        <v>29.38</v>
      </c>
    </row>
    <row r="48" spans="1:5">
      <c r="A48" s="351"/>
      <c r="B48" s="354" t="s">
        <v>226</v>
      </c>
      <c r="C48" s="75" t="s">
        <v>229</v>
      </c>
      <c r="D48" s="354" t="s">
        <v>227</v>
      </c>
      <c r="E48" s="75">
        <v>29.38</v>
      </c>
    </row>
    <row r="49" spans="1:5">
      <c r="A49" s="351"/>
      <c r="B49" s="354" t="s">
        <v>226</v>
      </c>
      <c r="C49" s="75" t="s">
        <v>230</v>
      </c>
      <c r="D49" s="354" t="s">
        <v>227</v>
      </c>
      <c r="E49" s="75">
        <v>29.38</v>
      </c>
    </row>
    <row r="50" spans="1:5">
      <c r="A50" s="351"/>
      <c r="B50" s="354" t="s">
        <v>226</v>
      </c>
      <c r="C50" s="75" t="s">
        <v>231</v>
      </c>
      <c r="D50" s="354" t="s">
        <v>227</v>
      </c>
      <c r="E50" s="75">
        <v>29.38</v>
      </c>
    </row>
    <row r="51" spans="1:5">
      <c r="A51" s="351"/>
      <c r="B51" s="354" t="s">
        <v>226</v>
      </c>
      <c r="C51" s="75" t="s">
        <v>232</v>
      </c>
      <c r="D51" s="354" t="s">
        <v>227</v>
      </c>
      <c r="E51" s="75">
        <v>29.38</v>
      </c>
    </row>
    <row r="52" spans="1:5">
      <c r="A52" s="351"/>
      <c r="B52" s="354" t="s">
        <v>226</v>
      </c>
      <c r="C52" s="75"/>
      <c r="D52" s="354" t="s">
        <v>227</v>
      </c>
      <c r="E52" s="75"/>
    </row>
    <row r="53" spans="1:5">
      <c r="A53" s="351"/>
      <c r="B53" s="354" t="s">
        <v>226</v>
      </c>
      <c r="C53" s="354" t="s">
        <v>233</v>
      </c>
      <c r="D53" s="354" t="s">
        <v>227</v>
      </c>
      <c r="E53" s="75">
        <v>29.38</v>
      </c>
    </row>
    <row r="54" spans="1:5">
      <c r="A54" s="351"/>
      <c r="B54" s="354" t="s">
        <v>226</v>
      </c>
      <c r="C54" s="354"/>
      <c r="D54" s="354" t="s">
        <v>227</v>
      </c>
      <c r="E54" s="354"/>
    </row>
    <row r="55" spans="1:5">
      <c r="A55" s="351"/>
      <c r="B55" s="354" t="s">
        <v>226</v>
      </c>
      <c r="C55" s="354" t="s">
        <v>234</v>
      </c>
      <c r="D55" s="354" t="s">
        <v>227</v>
      </c>
      <c r="E55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N34"/>
  <sheetViews>
    <sheetView topLeftCell="A6" zoomScale="115" zoomScaleNormal="115" workbookViewId="0">
      <selection activeCell="A18" sqref="A18:C18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42" width="10.28515625" style="347" customWidth="1"/>
    <col min="143" max="16384" width="10.28515625" style="347"/>
  </cols>
  <sheetData>
    <row r="1" spans="1:14">
      <c r="A1" s="345" t="s">
        <v>240</v>
      </c>
      <c r="B1" s="345" t="s">
        <v>24</v>
      </c>
      <c r="C1" s="345" t="s">
        <v>241</v>
      </c>
      <c r="D1" s="346"/>
      <c r="E1" s="347" t="s">
        <v>242</v>
      </c>
      <c r="F1" s="360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61"/>
    </row>
    <row r="4" spans="1:14">
      <c r="A4" s="345" t="s">
        <v>243</v>
      </c>
      <c r="B4" s="345">
        <v>15</v>
      </c>
      <c r="C4" s="345">
        <v>1716</v>
      </c>
      <c r="D4" s="348" t="s">
        <v>107</v>
      </c>
      <c r="E4" s="347">
        <f t="shared" ref="E4:E25" si="0">C4/B4</f>
        <v>114.4</v>
      </c>
    </row>
    <row r="5" spans="1:14">
      <c r="A5" s="345" t="s">
        <v>118</v>
      </c>
      <c r="B5" s="345">
        <v>14</v>
      </c>
      <c r="C5" s="345">
        <v>2250</v>
      </c>
      <c r="D5" s="346"/>
      <c r="E5" s="347">
        <f t="shared" si="0"/>
        <v>160.71428571428572</v>
      </c>
      <c r="F5" s="361"/>
    </row>
    <row r="6" spans="1:14">
      <c r="A6" s="345" t="s">
        <v>244</v>
      </c>
      <c r="B6" s="345">
        <v>16</v>
      </c>
      <c r="C6" s="345">
        <v>1714</v>
      </c>
      <c r="D6" s="346"/>
      <c r="E6" s="347">
        <f t="shared" si="0"/>
        <v>107.125</v>
      </c>
      <c r="F6" s="361"/>
    </row>
    <row r="7" spans="1:14">
      <c r="A7" s="345" t="s">
        <v>121</v>
      </c>
      <c r="B7" s="345">
        <v>13</v>
      </c>
      <c r="C7" s="345">
        <v>2250</v>
      </c>
      <c r="D7" s="346"/>
      <c r="E7" s="347">
        <f t="shared" si="0"/>
        <v>173.07692307692307</v>
      </c>
      <c r="F7" s="361"/>
    </row>
    <row r="8" spans="1:14">
      <c r="A8" s="345" t="s">
        <v>117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119</v>
      </c>
      <c r="B9" s="345">
        <v>17</v>
      </c>
      <c r="C9" s="345">
        <v>2250</v>
      </c>
      <c r="D9" s="346"/>
      <c r="E9" s="347">
        <f t="shared" si="0"/>
        <v>132.35294117647058</v>
      </c>
      <c r="F9" s="361"/>
    </row>
    <row r="10" spans="1:14">
      <c r="A10" s="345" t="s">
        <v>245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181</v>
      </c>
      <c r="B11" s="345">
        <v>17</v>
      </c>
      <c r="C11" s="345">
        <v>1636</v>
      </c>
      <c r="D11" s="346"/>
      <c r="E11" s="347">
        <f t="shared" si="0"/>
        <v>96.235294117647058</v>
      </c>
    </row>
    <row r="12" spans="1:14">
      <c r="A12" s="345" t="s">
        <v>115</v>
      </c>
      <c r="B12" s="345">
        <v>15</v>
      </c>
      <c r="C12" s="345">
        <v>2250</v>
      </c>
      <c r="D12" s="346"/>
      <c r="E12" s="347">
        <f t="shared" si="0"/>
        <v>150</v>
      </c>
    </row>
    <row r="13" spans="1:14">
      <c r="A13" s="345" t="s">
        <v>135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135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129</v>
      </c>
      <c r="B14" s="345">
        <v>15</v>
      </c>
      <c r="C14" s="345">
        <v>1714</v>
      </c>
      <c r="D14" s="346"/>
      <c r="E14" s="347">
        <f t="shared" si="0"/>
        <v>114.26666666666667</v>
      </c>
      <c r="F14" s="361"/>
      <c r="J14" s="345" t="s">
        <v>129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134</v>
      </c>
      <c r="B15" s="345">
        <v>16</v>
      </c>
      <c r="C15" s="345">
        <v>1800</v>
      </c>
      <c r="D15" s="346"/>
      <c r="E15" s="347">
        <f t="shared" si="0"/>
        <v>112.5</v>
      </c>
      <c r="F15" s="361"/>
      <c r="G15" s="347" t="s">
        <v>246</v>
      </c>
      <c r="J15" s="345" t="s">
        <v>134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133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133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131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131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120</v>
      </c>
      <c r="B18" s="345">
        <v>15</v>
      </c>
      <c r="C18" s="345">
        <v>2250</v>
      </c>
      <c r="D18" s="346"/>
      <c r="E18" s="347">
        <f t="shared" si="0"/>
        <v>150</v>
      </c>
      <c r="J18" s="350" t="s">
        <v>127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127</v>
      </c>
      <c r="B19" s="345">
        <v>13</v>
      </c>
      <c r="C19" s="345">
        <v>1440</v>
      </c>
      <c r="D19" s="346"/>
      <c r="E19" s="347">
        <f t="shared" si="0"/>
        <v>110.76923076923077</v>
      </c>
      <c r="G19" s="347" t="s">
        <v>247</v>
      </c>
      <c r="J19" s="350" t="s">
        <v>248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153</v>
      </c>
      <c r="B20" s="345">
        <v>16</v>
      </c>
      <c r="C20" s="345">
        <v>2250</v>
      </c>
      <c r="D20" s="346"/>
      <c r="E20" s="347">
        <f t="shared" si="0"/>
        <v>140.625</v>
      </c>
    </row>
    <row r="21" spans="1:14">
      <c r="A21" s="345" t="s">
        <v>124</v>
      </c>
      <c r="B21" s="345">
        <v>18</v>
      </c>
      <c r="C21" s="345">
        <v>1636</v>
      </c>
      <c r="D21" s="346"/>
      <c r="E21" s="347">
        <f t="shared" si="0"/>
        <v>90.888888888888886</v>
      </c>
    </row>
    <row r="22" spans="1:14">
      <c r="A22" s="345" t="s">
        <v>125</v>
      </c>
      <c r="B22" s="345">
        <v>18</v>
      </c>
      <c r="C22" s="345">
        <v>1565</v>
      </c>
      <c r="D22" s="346"/>
      <c r="E22" s="347">
        <f t="shared" si="0"/>
        <v>86.944444444444443</v>
      </c>
    </row>
    <row r="23" spans="1:14">
      <c r="A23" s="350" t="s">
        <v>123</v>
      </c>
      <c r="B23" s="345">
        <v>17</v>
      </c>
      <c r="C23" s="345">
        <v>1500</v>
      </c>
      <c r="D23" s="346"/>
      <c r="E23" s="347">
        <f t="shared" si="0"/>
        <v>88.235294117647058</v>
      </c>
    </row>
    <row r="24" spans="1:14">
      <c r="A24" s="350" t="s">
        <v>141</v>
      </c>
      <c r="B24" s="345">
        <v>16</v>
      </c>
      <c r="C24" s="345">
        <v>1500</v>
      </c>
      <c r="D24" s="346"/>
      <c r="E24" s="347">
        <f t="shared" si="0"/>
        <v>93.75</v>
      </c>
    </row>
    <row r="25" spans="1:14">
      <c r="A25" s="350" t="s">
        <v>196</v>
      </c>
      <c r="B25" s="345">
        <v>16</v>
      </c>
      <c r="C25" s="345">
        <v>2250</v>
      </c>
      <c r="D25" s="346"/>
      <c r="E25" s="347">
        <f t="shared" si="0"/>
        <v>140.625</v>
      </c>
    </row>
    <row r="26" spans="1:14">
      <c r="A26" s="345" t="s">
        <v>249</v>
      </c>
      <c r="B26" s="345"/>
      <c r="C26" s="345"/>
      <c r="D26" s="346"/>
    </row>
    <row r="27" spans="1:14">
      <c r="A27" s="345" t="s">
        <v>137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250</v>
      </c>
    </row>
    <row r="28" spans="1:14">
      <c r="A28" s="345" t="s">
        <v>138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140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139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251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46015</v>
      </c>
      <c r="E3" s="379"/>
      <c r="F3" s="3" t="s">
        <v>72</v>
      </c>
      <c r="G3" s="380">
        <f>範本!E1</f>
        <v>43309</v>
      </c>
      <c r="H3" s="380"/>
      <c r="I3" s="3" t="s">
        <v>2</v>
      </c>
      <c r="J3" s="381" t="e">
        <f>範本!G1</f>
        <v>#N/A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 t="e">
        <f>AVERAGE(D13:J13)</f>
        <v>#N/A</v>
      </c>
      <c r="G6" s="386"/>
      <c r="H6" s="387" t="e">
        <f>AVERAGE(D13:H13)</f>
        <v>#N/A</v>
      </c>
      <c r="I6" s="387"/>
      <c r="J6" s="387" t="e">
        <f>AVERAGE(I13:J13)</f>
        <v>#N/A</v>
      </c>
      <c r="K6" s="387"/>
      <c r="L6" s="389">
        <f>範本!Z2</f>
        <v>0</v>
      </c>
      <c r="M6" s="390">
        <f>範本!AA2</f>
        <v>0</v>
      </c>
      <c r="N6" s="391">
        <f>範本!AD2</f>
        <v>0</v>
      </c>
      <c r="O6" s="390">
        <f>範本!AE2</f>
        <v>0</v>
      </c>
    </row>
    <row r="7" spans="2:15" s="6" customFormat="1" ht="39.6" customHeight="1">
      <c r="B7" s="375"/>
      <c r="C7" s="375"/>
      <c r="D7" s="382" t="s">
        <v>87</v>
      </c>
      <c r="E7" s="382"/>
      <c r="F7" s="410">
        <f>AVERAGE(D14:J14)</f>
        <v>116.11474837607263</v>
      </c>
      <c r="G7" s="410"/>
      <c r="H7" s="411">
        <f>AVERAGE(D14:H14)</f>
        <v>117.36074805627914</v>
      </c>
      <c r="I7" s="411"/>
      <c r="J7" s="411">
        <f>AVERAGE(I14:J14)</f>
        <v>112.99974917555633</v>
      </c>
      <c r="K7" s="411"/>
      <c r="L7" s="389"/>
      <c r="M7" s="390"/>
      <c r="N7" s="391"/>
      <c r="O7" s="390"/>
    </row>
    <row r="8" spans="2:15" s="6" customFormat="1" ht="39.6" customHeight="1">
      <c r="B8" s="375"/>
      <c r="C8" s="375"/>
      <c r="D8" s="382" t="s">
        <v>27</v>
      </c>
      <c r="E8" s="382"/>
      <c r="F8" s="383" t="e">
        <f>AVERAGE(D15:J15)</f>
        <v>#N/A</v>
      </c>
      <c r="G8" s="383"/>
      <c r="H8" s="383" t="e">
        <f>AVERAGE(D15:H15)</f>
        <v>#N/A</v>
      </c>
      <c r="I8" s="383"/>
      <c r="J8" s="383" t="e">
        <f>AVERAGE(I15:J15)</f>
        <v>#N/A</v>
      </c>
      <c r="K8" s="383"/>
      <c r="L8" s="389"/>
      <c r="M8" s="390"/>
      <c r="N8" s="391"/>
      <c r="O8" s="39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04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05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06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07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08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09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08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09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92" t="s">
        <v>104</v>
      </c>
      <c r="C22" s="393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66" width="8.7109375" style="34" customWidth="1"/>
    <col min="16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13</v>
      </c>
      <c r="B2" s="418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2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4"/>
      <c r="AC5" s="464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57" t="e">
        <f>AG15</f>
        <v>#N/A</v>
      </c>
    </row>
    <row r="6" spans="1:34" ht="15" customHeight="1">
      <c r="A6" s="424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3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1"/>
      <c r="AC6" s="461"/>
      <c r="AD6" s="149"/>
      <c r="AE6" s="149"/>
      <c r="AF6" s="307" t="e">
        <f t="shared" si="1"/>
        <v>#N/A</v>
      </c>
      <c r="AG6" s="72" t="e">
        <f t="shared" si="2"/>
        <v>#N/A</v>
      </c>
      <c r="AH6" s="458"/>
    </row>
    <row r="7" spans="1:34" ht="15" customHeight="1">
      <c r="A7" s="424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3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2"/>
      <c r="AC7" s="462"/>
      <c r="AD7" s="92"/>
      <c r="AE7" s="92"/>
      <c r="AF7" s="307" t="e">
        <f t="shared" si="1"/>
        <v>#N/A</v>
      </c>
      <c r="AG7" s="72" t="e">
        <f t="shared" si="2"/>
        <v>#N/A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0"/>
    </row>
    <row r="16" spans="1:34" ht="15" customHeight="1">
      <c r="A16" s="474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68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4"/>
      <c r="AC16" s="464"/>
      <c r="AD16" s="135"/>
      <c r="AE16" s="135"/>
      <c r="AF16" s="229" t="e">
        <f>N16-K16</f>
        <v>#N/A</v>
      </c>
      <c r="AG16" s="52" t="e">
        <f>N16/K16</f>
        <v>#N/A</v>
      </c>
      <c r="AH16" s="457" t="e">
        <f>AG26</f>
        <v>#N/A</v>
      </c>
    </row>
    <row r="17" spans="1:34" ht="15" customHeight="1">
      <c r="A17" s="475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69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2"/>
      <c r="AC17" s="462"/>
      <c r="AD17" s="92"/>
      <c r="AE17" s="92"/>
      <c r="AF17" s="307" t="e">
        <f>N17-K17</f>
        <v>#N/A</v>
      </c>
      <c r="AG17" s="72" t="e">
        <f>N17/K17</f>
        <v>#N/A</v>
      </c>
      <c r="AH17" s="458"/>
    </row>
    <row r="18" spans="1:34" ht="15" customHeight="1">
      <c r="A18" s="475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69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2"/>
      <c r="AC18" s="462"/>
      <c r="AD18" s="92"/>
      <c r="AE18" s="92"/>
      <c r="AF18" s="307" t="e">
        <f>N18-K18</f>
        <v>#N/A</v>
      </c>
      <c r="AG18" s="72" t="e">
        <f>N18/K18</f>
        <v>#N/A</v>
      </c>
      <c r="AH18" s="458"/>
    </row>
    <row r="19" spans="1:34" ht="15" customHeight="1">
      <c r="A19" s="475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69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0</v>
      </c>
      <c r="AG19" s="72" t="e">
        <f>N19/K19</f>
        <v>#DIV/0!</v>
      </c>
      <c r="AH19" s="459"/>
    </row>
    <row r="20" spans="1:34" ht="15" customHeight="1">
      <c r="A20" s="475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69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0"/>
    </row>
    <row r="27" spans="1:34" ht="15" customHeight="1">
      <c r="A27" s="465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68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 t="e">
        <f t="shared" si="6"/>
        <v>#N/A</v>
      </c>
      <c r="AG27" s="172" t="e">
        <f t="shared" si="7"/>
        <v>#N/A</v>
      </c>
      <c r="AH27" s="457" t="e">
        <f>AG37</f>
        <v>#N/A</v>
      </c>
    </row>
    <row r="28" spans="1:34" ht="15" customHeight="1">
      <c r="A28" s="466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69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2"/>
      <c r="AC28" s="462"/>
      <c r="AD28" s="92"/>
      <c r="AE28" s="92"/>
      <c r="AF28" s="311" t="e">
        <f t="shared" si="6"/>
        <v>#N/A</v>
      </c>
      <c r="AG28" s="99" t="e">
        <f t="shared" si="7"/>
        <v>#N/A</v>
      </c>
      <c r="AH28" s="478"/>
    </row>
    <row r="29" spans="1:34" ht="15" customHeight="1">
      <c r="A29" s="466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69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2"/>
      <c r="AC29" s="462"/>
      <c r="AD29" s="92"/>
      <c r="AE29" s="92"/>
      <c r="AF29" s="312" t="e">
        <f t="shared" si="6"/>
        <v>#N/A</v>
      </c>
      <c r="AG29" s="99" t="e">
        <f t="shared" si="7"/>
        <v>#N/A</v>
      </c>
      <c r="AH29" s="478"/>
    </row>
    <row r="30" spans="1:34" ht="15" customHeight="1">
      <c r="A30" s="466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69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6"/>
        <v>0</v>
      </c>
      <c r="AG30" s="99" t="e">
        <f t="shared" si="7"/>
        <v>#DIV/0!</v>
      </c>
      <c r="AH30" s="479"/>
    </row>
    <row r="31" spans="1:34" ht="15" customHeight="1">
      <c r="A31" s="466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69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6"/>
        <v>0</v>
      </c>
      <c r="AG31" s="99" t="e">
        <f t="shared" si="7"/>
        <v>#DIV/0!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0"/>
    </row>
    <row r="38" spans="1:34" s="196" customFormat="1" ht="15" customHeight="1">
      <c r="A38" s="487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0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2"/>
      <c r="AC38" s="492"/>
      <c r="AD38" s="192"/>
      <c r="AE38" s="192"/>
      <c r="AF38" s="313" t="e">
        <f>N38-K38</f>
        <v>#N/A</v>
      </c>
      <c r="AG38" s="195" t="e">
        <f>N38/K38</f>
        <v>#N/A</v>
      </c>
      <c r="AH38" s="480" t="e">
        <f>AG48</f>
        <v>#N/A</v>
      </c>
    </row>
    <row r="39" spans="1:34" s="196" customFormat="1" ht="15" customHeight="1">
      <c r="A39" s="488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1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3"/>
      <c r="AC39" s="483"/>
      <c r="AD39" s="200"/>
      <c r="AE39" s="200"/>
      <c r="AF39" s="314" t="e">
        <f>N39-K39</f>
        <v>#N/A</v>
      </c>
      <c r="AG39" s="206" t="e">
        <f>N39/K39</f>
        <v>#N/A</v>
      </c>
      <c r="AH39" s="481"/>
    </row>
    <row r="40" spans="1:34" s="196" customFormat="1" ht="15" customHeight="1">
      <c r="A40" s="488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3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2"/>
      <c r="AC40" s="462"/>
      <c r="AD40" s="92"/>
      <c r="AE40" s="92"/>
      <c r="AF40" s="314" t="e">
        <f>N40-K40</f>
        <v>#N/A</v>
      </c>
      <c r="AG40" s="206" t="e">
        <f>N40/K40</f>
        <v>#N/A</v>
      </c>
      <c r="AH40" s="481"/>
    </row>
    <row r="41" spans="1:34" s="196" customFormat="1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s="196" customFormat="1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s="196" customFormat="1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s="196" customFormat="1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s="196" customFormat="1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s="196" customFormat="1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s="196" customFormat="1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2"/>
    </row>
    <row r="49" spans="1:34" ht="15" customHeight="1">
      <c r="A49" s="484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2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4"/>
      <c r="AC49" s="464"/>
      <c r="AD49" s="135"/>
      <c r="AE49" s="135"/>
      <c r="AF49" s="229" t="e">
        <f t="shared" si="11"/>
        <v>#N/A</v>
      </c>
      <c r="AG49" s="52" t="e">
        <f t="shared" si="12"/>
        <v>#N/A</v>
      </c>
      <c r="AH49" s="457" t="e">
        <f>AG58</f>
        <v>#N/A</v>
      </c>
    </row>
    <row r="50" spans="1:34" ht="15" customHeight="1">
      <c r="A50" s="485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3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2"/>
      <c r="AC50" s="462"/>
      <c r="AD50" s="92"/>
      <c r="AE50" s="92"/>
      <c r="AF50" s="307" t="e">
        <f t="shared" si="11"/>
        <v>#N/A</v>
      </c>
      <c r="AG50" s="72" t="e">
        <f t="shared" si="12"/>
        <v>#N/A</v>
      </c>
      <c r="AH50" s="458"/>
    </row>
    <row r="51" spans="1:34" ht="15" customHeight="1">
      <c r="A51" s="485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3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2"/>
      <c r="AC51" s="462"/>
      <c r="AD51" s="92"/>
      <c r="AE51" s="92"/>
      <c r="AF51" s="307" t="e">
        <f t="shared" si="11"/>
        <v>#N/A</v>
      </c>
      <c r="AG51" s="72" t="e">
        <f t="shared" si="12"/>
        <v>#N/A</v>
      </c>
      <c r="AH51" s="458"/>
    </row>
    <row r="52" spans="1:34" ht="15" customHeight="1">
      <c r="A52" s="48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3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11"/>
        <v>0</v>
      </c>
      <c r="AG52" s="72" t="e">
        <f t="shared" si="12"/>
        <v>#DIV/0!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11"/>
        <v>0</v>
      </c>
      <c r="AG53" s="72" t="e">
        <f t="shared" si="12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0"/>
    </row>
    <row r="59" spans="1:34" ht="15" customHeight="1">
      <c r="A59" s="498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2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4"/>
      <c r="AC59" s="464"/>
      <c r="AD59" s="135"/>
      <c r="AE59" s="135"/>
      <c r="AF59" s="310" t="e">
        <f>N59-K59</f>
        <v>#N/A</v>
      </c>
      <c r="AG59" s="246" t="e">
        <f>N59/K59</f>
        <v>#N/A</v>
      </c>
      <c r="AH59" s="457" t="e">
        <f>AG69</f>
        <v>#N/A</v>
      </c>
    </row>
    <row r="60" spans="1:34" ht="15" customHeight="1">
      <c r="A60" s="499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2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2"/>
      <c r="AC60" s="462"/>
      <c r="AD60" s="92"/>
      <c r="AE60" s="92"/>
      <c r="AF60" s="316" t="e">
        <f>N60-K60</f>
        <v>#N/A</v>
      </c>
      <c r="AG60" s="249" t="e">
        <f>N60/K60</f>
        <v>#N/A</v>
      </c>
      <c r="AH60" s="493"/>
    </row>
    <row r="61" spans="1:34" ht="15" customHeight="1">
      <c r="A61" s="500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3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2"/>
      <c r="AC61" s="462"/>
      <c r="AD61" s="92"/>
      <c r="AE61" s="92"/>
      <c r="AF61" s="317" t="e">
        <f>N61-K61</f>
        <v>#N/A</v>
      </c>
      <c r="AG61" s="247" t="e">
        <f>N61/K61</f>
        <v>#N/A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0"/>
    </row>
    <row r="70" spans="1:36" ht="15" customHeight="1">
      <c r="A70" s="494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2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4"/>
      <c r="AC70" s="464"/>
      <c r="AD70" s="135"/>
      <c r="AE70" s="135"/>
      <c r="AF70" s="310" t="e">
        <f>N70-K70</f>
        <v>#N/A</v>
      </c>
      <c r="AG70" s="246" t="e">
        <f>N70/K70</f>
        <v>#N/A</v>
      </c>
      <c r="AH70" s="457" t="e">
        <f>AG79</f>
        <v>#N/A</v>
      </c>
    </row>
    <row r="71" spans="1:36" ht="15" customHeight="1">
      <c r="A71" s="495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F8" sqref="F8:G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46204</v>
      </c>
      <c r="E3" s="379"/>
      <c r="F3" s="3" t="s">
        <v>72</v>
      </c>
      <c r="G3" s="380">
        <f>'0701'!E1</f>
        <v>64738</v>
      </c>
      <c r="H3" s="380"/>
      <c r="I3" s="3" t="s">
        <v>2</v>
      </c>
      <c r="J3" s="381">
        <f>'0701'!G1</f>
        <v>3010182.4150000005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121.72737659865811</v>
      </c>
      <c r="G6" s="386"/>
      <c r="H6" s="387">
        <f>AVERAGE(D13:H13)</f>
        <v>121.15703935933345</v>
      </c>
      <c r="I6" s="387"/>
      <c r="J6" s="387">
        <f>AVERAGE(I13:J13)</f>
        <v>123.1532196969697</v>
      </c>
      <c r="K6" s="387"/>
      <c r="L6" s="503">
        <f>SUM(D18:J18)</f>
        <v>1</v>
      </c>
      <c r="M6" s="390">
        <f>SUM(D19:J19)</f>
        <v>9</v>
      </c>
      <c r="N6" s="504">
        <f>SUM(D20:J20)</f>
        <v>1</v>
      </c>
      <c r="O6" s="390">
        <f>SUM(D20:J20)</f>
        <v>1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108.40728460210231</v>
      </c>
      <c r="G7" s="410"/>
      <c r="H7" s="411">
        <f>AVERAGE(D14:H14)</f>
        <v>106.54982365270298</v>
      </c>
      <c r="I7" s="411"/>
      <c r="J7" s="411">
        <f>AVERAGE(I14:J14)</f>
        <v>113.05093697560062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0.89057439362656365</v>
      </c>
      <c r="G8" s="383"/>
      <c r="H8" s="383">
        <f>H7/H6</f>
        <v>0.87943568294610042</v>
      </c>
      <c r="I8" s="383"/>
      <c r="J8" s="383">
        <f>J7/J6</f>
        <v>0.91796980423064278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VALUE('0701'!L15)</f>
        <v>150</v>
      </c>
      <c r="E13" s="13">
        <f>VALUE('0701'!L26)</f>
        <v>158.32255979314803</v>
      </c>
      <c r="F13" s="13">
        <f>VALUE('0701'!L37)</f>
        <v>88.575980392156865</v>
      </c>
      <c r="G13" s="13">
        <f>VALUE('0701'!L48)</f>
        <v>104.21606837606836</v>
      </c>
      <c r="H13" s="13">
        <f>VALUE('0701'!L58)</f>
        <v>104.67058823529412</v>
      </c>
      <c r="I13" s="13">
        <f>VALUE('0701'!L69)</f>
        <v>138.81212121212121</v>
      </c>
      <c r="J13" s="13">
        <f>'0701'!L79</f>
        <v>107.49431818181819</v>
      </c>
    </row>
    <row r="14" spans="2:15" ht="39.950000000000003" customHeight="1">
      <c r="B14" s="404"/>
      <c r="C14" s="12" t="s">
        <v>100</v>
      </c>
      <c r="D14" s="13">
        <f>VALUE('0701'!O15)</f>
        <v>132.90075921991337</v>
      </c>
      <c r="E14" s="13">
        <f>VALUE('0701'!O26)</f>
        <v>133.82140175417442</v>
      </c>
      <c r="F14" s="13">
        <f>VALUE('0701'!O37)</f>
        <v>84.392772289181224</v>
      </c>
      <c r="G14" s="13">
        <f>VALUE('0701'!O48)</f>
        <v>85.224943065190317</v>
      </c>
      <c r="H14" s="13">
        <f>VALUE('0701'!O58)</f>
        <v>96.409241935055547</v>
      </c>
      <c r="I14" s="13">
        <f>VALUE('0701'!O69)</f>
        <v>133.72963643499284</v>
      </c>
      <c r="J14" s="13">
        <f>'0701'!O79</f>
        <v>92.372237516208386</v>
      </c>
    </row>
    <row r="15" spans="2:15" ht="39.950000000000003" customHeight="1">
      <c r="B15" s="405"/>
      <c r="C15" s="10" t="s">
        <v>26</v>
      </c>
      <c r="D15" s="14">
        <f t="shared" ref="D15:I15" si="1">D14/D13</f>
        <v>0.88600506146608915</v>
      </c>
      <c r="E15" s="14">
        <f t="shared" si="1"/>
        <v>0.84524531392756075</v>
      </c>
      <c r="F15" s="14">
        <f t="shared" si="1"/>
        <v>0.95277265818052348</v>
      </c>
      <c r="G15" s="14">
        <f t="shared" si="1"/>
        <v>0.8177716199929197</v>
      </c>
      <c r="H15" s="14">
        <f t="shared" si="1"/>
        <v>0.92107289698546946</v>
      </c>
      <c r="I15" s="14">
        <f t="shared" si="1"/>
        <v>0.96338587197755055</v>
      </c>
      <c r="J15" s="15">
        <f>'0701'!S70</f>
        <v>0.85932204677058377</v>
      </c>
    </row>
    <row r="16" spans="2:15" ht="17.25" customHeight="1">
      <c r="B16" s="406" t="s">
        <v>101</v>
      </c>
      <c r="C16" s="10" t="s">
        <v>34</v>
      </c>
      <c r="D16" s="16">
        <f>'0701'!T5</f>
        <v>0.30486111111111103</v>
      </c>
      <c r="E16" s="16">
        <f>'0701'!T16</f>
        <v>0.29166666666666702</v>
      </c>
      <c r="F16" s="16">
        <f>'0701'!T27</f>
        <v>0.29166666666666702</v>
      </c>
      <c r="G16" s="16">
        <f>'0701'!T38</f>
        <v>0.33333333333333298</v>
      </c>
      <c r="H16" s="16">
        <f>'0701'!T49</f>
        <v>0.29097222222222202</v>
      </c>
      <c r="I16" s="16">
        <f>'0701'!T59</f>
        <v>0.29166666666666702</v>
      </c>
      <c r="J16" s="16">
        <f>'0701'!T70</f>
        <v>0.22430555555555601</v>
      </c>
    </row>
    <row r="17" spans="2:10" ht="17.25" customHeight="1">
      <c r="B17" s="407"/>
      <c r="C17" s="10" t="s">
        <v>35</v>
      </c>
      <c r="D17" s="16">
        <v>0.61111111111111105</v>
      </c>
      <c r="E17" s="19">
        <v>0.61875000000000002</v>
      </c>
      <c r="F17" s="19">
        <v>0.59375</v>
      </c>
      <c r="G17" s="210">
        <v>0.67916666666666703</v>
      </c>
      <c r="H17" s="21">
        <v>0.63055555555555598</v>
      </c>
      <c r="I17" s="22">
        <v>0.60416666666666696</v>
      </c>
      <c r="J17" s="110">
        <v>0.67708333333333304</v>
      </c>
    </row>
    <row r="18" spans="2:10" ht="17.25" customHeight="1">
      <c r="B18" s="408" t="s">
        <v>102</v>
      </c>
      <c r="C18" s="330" t="s">
        <v>36</v>
      </c>
      <c r="D18" s="357">
        <f>'0701'!Z15</f>
        <v>0</v>
      </c>
      <c r="E18" s="358">
        <f>'0701'!Z26</f>
        <v>1</v>
      </c>
      <c r="F18" s="358">
        <f>'0701'!Z37</f>
        <v>0</v>
      </c>
      <c r="G18" s="359">
        <f>'0701'!Z48</f>
        <v>0</v>
      </c>
      <c r="H18" s="359">
        <f>'0701'!Z58</f>
        <v>0</v>
      </c>
      <c r="I18" s="358">
        <f>'0701'!Z69</f>
        <v>0</v>
      </c>
      <c r="J18" s="358">
        <f>'0701'!AA79</f>
        <v>0</v>
      </c>
    </row>
    <row r="19" spans="2:10" ht="17.25" customHeight="1">
      <c r="B19" s="409"/>
      <c r="C19" s="330" t="s">
        <v>37</v>
      </c>
      <c r="D19" s="357">
        <f>'0701'!AA15</f>
        <v>0</v>
      </c>
      <c r="E19" s="358">
        <f>'0701'!AA26</f>
        <v>9</v>
      </c>
      <c r="F19" s="358">
        <f>'0701'!AA37</f>
        <v>0</v>
      </c>
      <c r="G19" s="359">
        <f>'0701'!AA48</f>
        <v>0</v>
      </c>
      <c r="H19" s="359">
        <f>'0701'!AA58</f>
        <v>0</v>
      </c>
      <c r="I19" s="358">
        <f>'0701'!AA69</f>
        <v>0</v>
      </c>
      <c r="J19" s="358">
        <f>'0701'!AB79</f>
        <v>0</v>
      </c>
    </row>
    <row r="20" spans="2:10" ht="17.25" customHeight="1">
      <c r="B20" s="408" t="s">
        <v>103</v>
      </c>
      <c r="C20" s="330" t="s">
        <v>36</v>
      </c>
      <c r="D20" s="357">
        <f>'0701'!AD15</f>
        <v>1</v>
      </c>
      <c r="E20" s="358">
        <f>'0701'!AD26</f>
        <v>0</v>
      </c>
      <c r="F20" s="358">
        <f>'0701'!AD37</f>
        <v>0</v>
      </c>
      <c r="G20" s="359">
        <f>'0701'!AD48</f>
        <v>0</v>
      </c>
      <c r="H20" s="359">
        <f>'0701'!AD58</f>
        <v>0</v>
      </c>
      <c r="I20" s="358">
        <f>'0701'!AD69</f>
        <v>0</v>
      </c>
      <c r="J20" s="358">
        <f>'0701'!AD79</f>
        <v>0</v>
      </c>
    </row>
    <row r="21" spans="2:10" ht="17.25" customHeight="1">
      <c r="B21" s="409"/>
      <c r="C21" s="330" t="s">
        <v>85</v>
      </c>
      <c r="D21" s="357">
        <f>'0701'!AE15</f>
        <v>1</v>
      </c>
      <c r="E21" s="358">
        <f>'0701'!AE26</f>
        <v>0</v>
      </c>
      <c r="F21" s="358">
        <f>'0701'!AE37</f>
        <v>0</v>
      </c>
      <c r="G21" s="359">
        <f>'0701'!AE48</f>
        <v>0</v>
      </c>
      <c r="H21" s="359">
        <f>'0701'!AE58</f>
        <v>0</v>
      </c>
      <c r="I21" s="358">
        <f>'0701'!AE69</f>
        <v>0</v>
      </c>
      <c r="J21" s="358">
        <f>'0701'!AE79</f>
        <v>0</v>
      </c>
    </row>
    <row r="22" spans="2:10" ht="17.25" customHeight="1">
      <c r="B22" s="392" t="s">
        <v>104</v>
      </c>
      <c r="C22" s="393"/>
      <c r="D22" s="23">
        <f>VALUE('0701'!M15)</f>
        <v>15</v>
      </c>
      <c r="E22" s="23">
        <f>VALUE('0701'!M26)</f>
        <v>14.333333333333334</v>
      </c>
      <c r="F22" s="23">
        <f>VALUE('0701'!M37)</f>
        <v>17</v>
      </c>
      <c r="G22" s="23">
        <f>VALUE('0701'!M48)</f>
        <v>16.600000000000001</v>
      </c>
      <c r="H22" s="23">
        <f>VALUE('0701'!M58)</f>
        <v>16.600000000000001</v>
      </c>
      <c r="I22" s="23">
        <f>VALUE('0701'!M69)</f>
        <v>11.75</v>
      </c>
      <c r="J22" s="23">
        <f>'0701'!M79</f>
        <v>14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3" sqref="A3:A4"/>
      <selection pane="topRight" activeCell="A3" sqref="A3:A4"/>
      <selection pane="bottomLeft" activeCell="A3" sqref="A3:A4"/>
      <selection pane="bottomRight" activeCell="E47" sqref="E4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64738</v>
      </c>
      <c r="F1" s="30" t="s">
        <v>2</v>
      </c>
      <c r="G1" s="31">
        <f>SUM(H5:H79)</f>
        <v>3010182.4150000005</v>
      </c>
      <c r="H1" s="32" t="s">
        <v>3</v>
      </c>
      <c r="I1" s="33">
        <f>M15+M26+M48+M58+M69+M79+M37</f>
        <v>105.28333333333333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112</v>
      </c>
      <c r="B2" s="418"/>
      <c r="C2" s="28"/>
      <c r="D2" s="28" t="s">
        <v>14</v>
      </c>
      <c r="E2" s="35">
        <f>AVERAGE(O15,O26,O37,O48,O58,O69,O79)</f>
        <v>108.40728460210231</v>
      </c>
      <c r="F2" s="36" t="s">
        <v>15</v>
      </c>
      <c r="G2" s="37">
        <f>G1/E1</f>
        <v>46.497921081899356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</v>
      </c>
      <c r="AA2" s="339">
        <f>AA15+AA26+AA37+AA48+AA58+AA69+AA79</f>
        <v>9</v>
      </c>
      <c r="AB2" s="456"/>
      <c r="AC2" s="456"/>
      <c r="AD2" s="340">
        <f>AD15+AD26+AD37+AD48+AD58+AD69+AD79</f>
        <v>1</v>
      </c>
      <c r="AE2" s="340">
        <f>AE15+AE26+AE37+AE48+AE58+AE69+AE79</f>
        <v>1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505">
        <v>46204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2856</v>
      </c>
      <c r="H5" s="43">
        <f>F5*G5</f>
        <v>162420.72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2089.7560975609563</v>
      </c>
      <c r="O5" s="47">
        <f>N5/M5</f>
        <v>139.31707317073042</v>
      </c>
      <c r="P5" s="49">
        <f>M5-J5</f>
        <v>0</v>
      </c>
      <c r="Q5" s="50">
        <f>O5-L5</f>
        <v>-10.682926829269576</v>
      </c>
      <c r="R5" s="51">
        <f>O5/L5</f>
        <v>0.92878048780486955</v>
      </c>
      <c r="S5" s="412">
        <f>R15</f>
        <v>0.88600506146608915</v>
      </c>
      <c r="T5" s="319">
        <v>0.30486111111111103</v>
      </c>
      <c r="U5" s="320">
        <v>0.36180555555555599</v>
      </c>
      <c r="V5" s="53"/>
      <c r="W5" s="54">
        <f t="shared" ref="W5:W14" si="0">(U5-T5)*24*60</f>
        <v>82.000000000000753</v>
      </c>
      <c r="X5" s="55"/>
      <c r="Y5" s="290"/>
      <c r="Z5" s="169"/>
      <c r="AA5" s="169"/>
      <c r="AB5" s="464" t="s">
        <v>114</v>
      </c>
      <c r="AC5" s="464"/>
      <c r="AD5" s="135"/>
      <c r="AE5" s="135"/>
      <c r="AF5" s="229">
        <f t="shared" ref="AF5:AF11" si="1">N5-K5</f>
        <v>-160.24390243904372</v>
      </c>
      <c r="AG5" s="52">
        <f t="shared" ref="AG5:AG11" si="2">N5/K5</f>
        <v>0.92878048780486944</v>
      </c>
      <c r="AH5" s="457">
        <f>AG15</f>
        <v>0.88600506146608904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2363</v>
      </c>
      <c r="H6" s="63">
        <f>F6*G6</f>
        <v>137455.71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1794.6835443038021</v>
      </c>
      <c r="O6" s="67">
        <f>N6/M6</f>
        <v>119.64556962025348</v>
      </c>
      <c r="P6" s="69">
        <f>M6-J6</f>
        <v>0</v>
      </c>
      <c r="Q6" s="70">
        <f>O6-L6</f>
        <v>-30.354430379746518</v>
      </c>
      <c r="R6" s="71">
        <f>O6/L6</f>
        <v>0.79763713080168985</v>
      </c>
      <c r="S6" s="413"/>
      <c r="T6" s="16">
        <v>0.36875000000000002</v>
      </c>
      <c r="U6" s="16">
        <v>0.42361111111111099</v>
      </c>
      <c r="V6" s="30">
        <f>(T6-U5)*24*60</f>
        <v>9.9999999999994049</v>
      </c>
      <c r="W6" s="73">
        <f t="shared" si="0"/>
        <v>78.999999999999801</v>
      </c>
      <c r="X6" s="22"/>
      <c r="Y6" s="84"/>
      <c r="Z6" s="90"/>
      <c r="AA6" s="90"/>
      <c r="AB6" s="461" t="s">
        <v>116</v>
      </c>
      <c r="AC6" s="461"/>
      <c r="AD6" s="149">
        <v>1</v>
      </c>
      <c r="AE6" s="149">
        <v>1</v>
      </c>
      <c r="AF6" s="307">
        <f t="shared" si="1"/>
        <v>-455.31645569619786</v>
      </c>
      <c r="AG6" s="72">
        <f t="shared" si="2"/>
        <v>0.79763713080168985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2355</v>
      </c>
      <c r="H7" s="78">
        <f>F7*G7</f>
        <v>115724.7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2018.5714285714334</v>
      </c>
      <c r="O7" s="81">
        <f>N7/M7</f>
        <v>134.5714285714289</v>
      </c>
      <c r="P7" s="74">
        <f>M7-J7</f>
        <v>0</v>
      </c>
      <c r="Q7" s="83">
        <f>O7-L7</f>
        <v>-15.428571428571104</v>
      </c>
      <c r="R7" s="72">
        <f>O7/L7</f>
        <v>0.89714285714285935</v>
      </c>
      <c r="S7" s="413"/>
      <c r="T7" s="18">
        <v>0.43055555555555602</v>
      </c>
      <c r="U7" s="18">
        <v>0.47916666666666702</v>
      </c>
      <c r="V7" s="30">
        <f>(T7-U6)*24*60</f>
        <v>10.000000000000844</v>
      </c>
      <c r="W7" s="73">
        <f t="shared" si="0"/>
        <v>69.999999999999829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-231.42857142856656</v>
      </c>
      <c r="AG7" s="72">
        <f t="shared" si="2"/>
        <v>0.89714285714285935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3003</v>
      </c>
      <c r="H8" s="78">
        <f>F8*G8</f>
        <v>147567.42000000001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2071.0344827586091</v>
      </c>
      <c r="O8" s="81">
        <f>N8/M8</f>
        <v>138.0689655172406</v>
      </c>
      <c r="P8" s="74">
        <f>M8-J8</f>
        <v>0</v>
      </c>
      <c r="Q8" s="83">
        <f>O8-L8</f>
        <v>-11.931034482759401</v>
      </c>
      <c r="R8" s="72">
        <f>O8/L8</f>
        <v>0.92045977011493729</v>
      </c>
      <c r="S8" s="413"/>
      <c r="T8" s="16">
        <v>0.55069444444444404</v>
      </c>
      <c r="U8" s="16">
        <v>0.61111111111111105</v>
      </c>
      <c r="V8" s="30">
        <f>(T8-U7)*24*60</f>
        <v>102.99999999999892</v>
      </c>
      <c r="W8" s="73">
        <f t="shared" si="0"/>
        <v>87.000000000000483</v>
      </c>
      <c r="X8" s="22">
        <v>0.48611111111111099</v>
      </c>
      <c r="Y8" s="84">
        <v>0.52777777777777801</v>
      </c>
      <c r="Z8" s="90"/>
      <c r="AA8" s="90"/>
      <c r="AB8" s="461"/>
      <c r="AC8" s="461"/>
      <c r="AD8" s="149"/>
      <c r="AE8" s="149"/>
      <c r="AF8" s="307">
        <f t="shared" si="1"/>
        <v>-178.9655172413909</v>
      </c>
      <c r="AG8" s="72">
        <f t="shared" si="2"/>
        <v>0.9204597701149374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1993.5113882987002</v>
      </c>
      <c r="O15" s="117">
        <f t="shared" si="3"/>
        <v>132.90075921991337</v>
      </c>
      <c r="P15" s="121">
        <f>M15-J15</f>
        <v>0</v>
      </c>
      <c r="Q15" s="122">
        <f>O15-L15</f>
        <v>-17.099240780086632</v>
      </c>
      <c r="R15" s="123">
        <f>O15/L15</f>
        <v>0.88600506146608915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1</v>
      </c>
      <c r="AE15" s="323">
        <f>SUM(AE5:AE14)</f>
        <v>1</v>
      </c>
      <c r="AF15" s="309">
        <f>N15-K15</f>
        <v>-256.48861170129976</v>
      </c>
      <c r="AG15" s="124">
        <f>N15/K15</f>
        <v>0.88600506146608904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2146</v>
      </c>
      <c r="H16" s="134">
        <f>F16*G16</f>
        <v>108737.82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2043.8095238095259</v>
      </c>
      <c r="O16" s="141">
        <f>N16/M16</f>
        <v>145.98639455782327</v>
      </c>
      <c r="P16" s="142">
        <f>M16-J16</f>
        <v>0</v>
      </c>
      <c r="Q16" s="143">
        <f>O16-L16</f>
        <v>-14.727891156462448</v>
      </c>
      <c r="R16" s="144">
        <f>O16/L16</f>
        <v>0.90835978835978926</v>
      </c>
      <c r="S16" s="468">
        <f>R26</f>
        <v>0.84524531392756075</v>
      </c>
      <c r="T16" s="145">
        <v>0.29166666666666702</v>
      </c>
      <c r="U16" s="145">
        <v>0.33541666666666697</v>
      </c>
      <c r="V16" s="135"/>
      <c r="W16" s="146">
        <f t="shared" ref="W16:W78" si="4">(U16-T16)*24*60</f>
        <v>62.999999999999936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-206.1904761904741</v>
      </c>
      <c r="AG16" s="52">
        <f>N16/K16</f>
        <v>0.90835978835978926</v>
      </c>
      <c r="AH16" s="457">
        <f>AG26</f>
        <v>0.84267829193319077</v>
      </c>
    </row>
    <row r="17" spans="1:34" ht="15" customHeight="1">
      <c r="A17" s="475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1666</v>
      </c>
      <c r="H17" s="78">
        <f>F17*G17</f>
        <v>95311.86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1922.3076923076992</v>
      </c>
      <c r="O17" s="96">
        <f>N17/M17</f>
        <v>113.07692307692348</v>
      </c>
      <c r="P17" s="97">
        <f>M17-J17</f>
        <v>0</v>
      </c>
      <c r="Q17" s="98">
        <f>O17-L17</f>
        <v>-19.276018099547102</v>
      </c>
      <c r="R17" s="99">
        <f>O17/L17</f>
        <v>0.85435897435897745</v>
      </c>
      <c r="S17" s="469"/>
      <c r="T17" s="19">
        <v>0.34375</v>
      </c>
      <c r="U17" s="19">
        <v>0.37986111111111098</v>
      </c>
      <c r="V17" s="30">
        <f>(T17-U16)*24*60</f>
        <v>11.999999999999558</v>
      </c>
      <c r="W17" s="149">
        <f t="shared" si="4"/>
        <v>51.999999999999815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-327.6923076923008</v>
      </c>
      <c r="AG17" s="72">
        <f>N17/K17</f>
        <v>0.85435897435897745</v>
      </c>
      <c r="AH17" s="458"/>
    </row>
    <row r="18" spans="1:34" ht="15" customHeight="1">
      <c r="A18" s="475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948</v>
      </c>
      <c r="H18" s="78">
        <f>F18*G18</f>
        <v>53666.28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1672.9411764705274</v>
      </c>
      <c r="O18" s="96">
        <f>N18/M18</f>
        <v>111.52941176470182</v>
      </c>
      <c r="P18" s="97">
        <f>M18-J18</f>
        <v>0</v>
      </c>
      <c r="Q18" s="98">
        <f>O18-L18</f>
        <v>-38.47058823529818</v>
      </c>
      <c r="R18" s="99">
        <f>O18/L18</f>
        <v>0.74352941176467879</v>
      </c>
      <c r="S18" s="469"/>
      <c r="T18" s="19">
        <v>0.38819444444444401</v>
      </c>
      <c r="U18" s="19">
        <v>0.41180555555555598</v>
      </c>
      <c r="V18" s="30">
        <f>(T18-U17)*24*60</f>
        <v>11.999999999999558</v>
      </c>
      <c r="W18" s="149">
        <f t="shared" si="4"/>
        <v>34.000000000001236</v>
      </c>
      <c r="X18" s="22">
        <v>0.48611111111111099</v>
      </c>
      <c r="Y18" s="84">
        <v>0.52777777777777801</v>
      </c>
      <c r="Z18" s="90"/>
      <c r="AA18" s="90"/>
      <c r="AB18" s="461" t="s">
        <v>116</v>
      </c>
      <c r="AC18" s="461"/>
      <c r="AD18" s="92"/>
      <c r="AE18" s="92"/>
      <c r="AF18" s="307">
        <f>N18-K18</f>
        <v>-577.05882352947265</v>
      </c>
      <c r="AG18" s="72">
        <f>N18/K18</f>
        <v>0.74352941176467879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2988</v>
      </c>
      <c r="H19" s="78">
        <f t="shared" ref="H19:H21" si="5">F19*G19</f>
        <v>150565.32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2109.1764705882269</v>
      </c>
      <c r="O19" s="96">
        <f t="shared" ref="O19:O21" si="8">N19/M19</f>
        <v>162.24434389140208</v>
      </c>
      <c r="P19" s="97">
        <f t="shared" ref="P19:P21" si="9">M19-J19</f>
        <v>0</v>
      </c>
      <c r="Q19" s="98">
        <f t="shared" ref="Q19:Q21" si="10">O19-L19</f>
        <v>-10.832579185520984</v>
      </c>
      <c r="R19" s="99">
        <f t="shared" ref="R19:R21" si="11">O19/L19</f>
        <v>0.93741176470587873</v>
      </c>
      <c r="S19" s="469"/>
      <c r="T19" s="19">
        <v>0.42013888888888901</v>
      </c>
      <c r="U19" s="19">
        <v>0.47916666666666702</v>
      </c>
      <c r="V19" s="30">
        <f>(T19-U18)*24*60</f>
        <v>11.999999999999558</v>
      </c>
      <c r="W19" s="149">
        <f t="shared" si="4"/>
        <v>85.000000000000341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-140.82352941177305</v>
      </c>
      <c r="AG19" s="72">
        <f>N19/K19</f>
        <v>0.93741176470587861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1462</v>
      </c>
      <c r="H20" s="78">
        <f t="shared" si="5"/>
        <v>73670.180000000008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1993.6363636363999</v>
      </c>
      <c r="O20" s="96">
        <f t="shared" si="8"/>
        <v>153.35664335664615</v>
      </c>
      <c r="P20" s="97">
        <f t="shared" si="9"/>
        <v>0</v>
      </c>
      <c r="Q20" s="98">
        <f t="shared" si="10"/>
        <v>-19.72027972027692</v>
      </c>
      <c r="R20" s="99">
        <f t="shared" si="11"/>
        <v>0.8860606060606222</v>
      </c>
      <c r="S20" s="469"/>
      <c r="T20" s="19">
        <v>0.54930555555555605</v>
      </c>
      <c r="U20" s="19">
        <v>0.57986111111111105</v>
      </c>
      <c r="V20" s="30">
        <f t="shared" ref="V20:V21" si="12">(T20-U19)*24*60</f>
        <v>101.0000000000002</v>
      </c>
      <c r="W20" s="149">
        <f t="shared" si="4"/>
        <v>43.999999999999204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1144</v>
      </c>
      <c r="H21" s="78">
        <f t="shared" si="5"/>
        <v>57966.48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1634.2857142856953</v>
      </c>
      <c r="O21" s="96">
        <f t="shared" si="8"/>
        <v>116.73469387754967</v>
      </c>
      <c r="P21" s="97">
        <f t="shared" si="9"/>
        <v>0</v>
      </c>
      <c r="Q21" s="98">
        <f t="shared" si="10"/>
        <v>-43.979591836736049</v>
      </c>
      <c r="R21" s="99">
        <f t="shared" si="11"/>
        <v>0.72634920634919797</v>
      </c>
      <c r="S21" s="469"/>
      <c r="T21" s="19">
        <v>0.58958333333333302</v>
      </c>
      <c r="U21" s="19">
        <v>0.61875000000000002</v>
      </c>
      <c r="V21" s="30">
        <f t="shared" si="12"/>
        <v>13.999999999999631</v>
      </c>
      <c r="W21" s="149">
        <f t="shared" si="4"/>
        <v>42.00000000000049</v>
      </c>
      <c r="X21" s="92"/>
      <c r="Y21" s="298"/>
      <c r="Z21" s="90">
        <v>1</v>
      </c>
      <c r="AA21" s="90">
        <v>9</v>
      </c>
      <c r="AB21" s="462" t="s">
        <v>122</v>
      </c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3">AVERAGE(J16:J25)</f>
        <v>14.333333333333334</v>
      </c>
      <c r="K26" s="155">
        <f t="shared" si="13"/>
        <v>2250</v>
      </c>
      <c r="L26" s="158">
        <f t="shared" si="13"/>
        <v>158.32255979314803</v>
      </c>
      <c r="M26" s="155">
        <f t="shared" si="13"/>
        <v>14.333333333333334</v>
      </c>
      <c r="N26" s="155">
        <f t="shared" si="13"/>
        <v>1896.0261568496792</v>
      </c>
      <c r="O26" s="158">
        <f t="shared" si="13"/>
        <v>133.82140175417442</v>
      </c>
      <c r="P26" s="159">
        <f>M26-J26</f>
        <v>0</v>
      </c>
      <c r="Q26" s="160">
        <f>O26-L26</f>
        <v>-24.501158038973614</v>
      </c>
      <c r="R26" s="161">
        <f>O26/L26</f>
        <v>0.84524531392756075</v>
      </c>
      <c r="S26" s="470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9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4">N26-K26</f>
        <v>-353.97384315032082</v>
      </c>
      <c r="AG26" s="124">
        <f t="shared" ref="AG26:AG31" si="15">N26/K26</f>
        <v>0.84267829193319077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1800</v>
      </c>
      <c r="H27" s="134">
        <f>F27*G27</f>
        <v>82188</v>
      </c>
      <c r="I27" s="135"/>
      <c r="J27" s="136">
        <f>VLOOKUP(D27,產線配置圖!$A$3:$C$40,2,0)</f>
        <v>17</v>
      </c>
      <c r="K27" s="137">
        <f>VLOOKUP(D27,產線配置圖!$A$3:$C$40,3,0)</f>
        <v>1500</v>
      </c>
      <c r="L27" s="138">
        <f>K27/J27</f>
        <v>88.235294117647058</v>
      </c>
      <c r="M27" s="170">
        <v>17</v>
      </c>
      <c r="N27" s="140">
        <f>G27/W27*60</f>
        <v>1440.0000000000098</v>
      </c>
      <c r="O27" s="141">
        <f>N27/M27</f>
        <v>84.705882352941757</v>
      </c>
      <c r="P27" s="142">
        <f>M27-J27</f>
        <v>0</v>
      </c>
      <c r="Q27" s="143">
        <f>O27-L27</f>
        <v>-3.5294117647053014</v>
      </c>
      <c r="R27" s="144">
        <f>O27/L27</f>
        <v>0.96000000000000663</v>
      </c>
      <c r="S27" s="468">
        <f>R37</f>
        <v>0.95277265818052348</v>
      </c>
      <c r="T27" s="171">
        <v>0.29166666666666702</v>
      </c>
      <c r="U27" s="171">
        <v>0.34375</v>
      </c>
      <c r="V27" s="135"/>
      <c r="W27" s="146">
        <f t="shared" si="4"/>
        <v>74.999999999999488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4"/>
        <v>-59.999999999990223</v>
      </c>
      <c r="AG27" s="172">
        <f t="shared" si="15"/>
        <v>0.96000000000000651</v>
      </c>
      <c r="AH27" s="457">
        <f>AG37</f>
        <v>0.92544888173912632</v>
      </c>
    </row>
    <row r="28" spans="1:34" ht="15" customHeight="1">
      <c r="A28" s="466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2304</v>
      </c>
      <c r="H28" s="91">
        <f>F28*G28</f>
        <v>131811.84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1486.4516129032106</v>
      </c>
      <c r="O28" s="96">
        <f>N28/M28</f>
        <v>87.438330170777093</v>
      </c>
      <c r="P28" s="97">
        <f>M28-J28</f>
        <v>-1</v>
      </c>
      <c r="Q28" s="98">
        <f>O28-L28</f>
        <v>-3.4505587181117932</v>
      </c>
      <c r="R28" s="99">
        <f>O28/L28</f>
        <v>0.96203541752688737</v>
      </c>
      <c r="S28" s="469"/>
      <c r="T28" s="19">
        <v>0.35208333333333303</v>
      </c>
      <c r="U28" s="19">
        <v>0.41666666666666702</v>
      </c>
      <c r="V28" s="92">
        <f>(T28-U27)*24*60</f>
        <v>11.999999999999558</v>
      </c>
      <c r="W28" s="149">
        <f t="shared" si="4"/>
        <v>93.000000000000952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4"/>
        <v>-149.54838709678938</v>
      </c>
      <c r="AG28" s="99">
        <f t="shared" si="15"/>
        <v>0.90858900544206023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1592</v>
      </c>
      <c r="H29" s="91">
        <f>F29*G29</f>
        <v>91078.32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1404.7058823529478</v>
      </c>
      <c r="O29" s="96">
        <f>N29/M29</f>
        <v>82.629757785467518</v>
      </c>
      <c r="P29" s="97">
        <f>M29-J29</f>
        <v>-1</v>
      </c>
      <c r="Q29" s="98">
        <f>O29-L29</f>
        <v>-4.3146866589769246</v>
      </c>
      <c r="R29" s="99">
        <f>O29/L29</f>
        <v>0.95037421095106411</v>
      </c>
      <c r="S29" s="469"/>
      <c r="T29" s="19">
        <v>0.421527777777778</v>
      </c>
      <c r="U29" s="19">
        <v>0.46875</v>
      </c>
      <c r="V29" s="92">
        <f>(T29-U28)*24*60</f>
        <v>6.9999999999998153</v>
      </c>
      <c r="W29" s="149">
        <f t="shared" si="4"/>
        <v>67.999999999999673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4"/>
        <v>-160.29411764705219</v>
      </c>
      <c r="AG29" s="99">
        <f t="shared" si="15"/>
        <v>0.89757564367600495</v>
      </c>
      <c r="AH29" s="478"/>
    </row>
    <row r="30" spans="1:34" ht="15" customHeight="1">
      <c r="A30" s="466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2299</v>
      </c>
      <c r="H30" s="91">
        <f>F30*G30</f>
        <v>104972.34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>K30/J30</f>
        <v>88.235294117647058</v>
      </c>
      <c r="M30" s="94">
        <v>17</v>
      </c>
      <c r="N30" s="95">
        <f>G30/W30*60</f>
        <v>1407.5510204081545</v>
      </c>
      <c r="O30" s="96">
        <f>N30/M30</f>
        <v>82.797118847538499</v>
      </c>
      <c r="P30" s="97">
        <f>M30-J30</f>
        <v>0</v>
      </c>
      <c r="Q30" s="98">
        <f>O30-L30</f>
        <v>-5.4381752701085588</v>
      </c>
      <c r="R30" s="99">
        <f>O30/L30</f>
        <v>0.93836734693876966</v>
      </c>
      <c r="S30" s="469"/>
      <c r="T30" s="19">
        <v>0.52569444444444402</v>
      </c>
      <c r="U30" s="19">
        <v>0.59375</v>
      </c>
      <c r="V30" s="92">
        <f>(T30-U29)*24*60</f>
        <v>81.999999999999389</v>
      </c>
      <c r="W30" s="149">
        <f t="shared" si="4"/>
        <v>98.000000000000611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14"/>
        <v>-92.4489795918455</v>
      </c>
      <c r="AG30" s="99">
        <f t="shared" si="15"/>
        <v>0.93836734693876966</v>
      </c>
      <c r="AH30" s="479"/>
    </row>
    <row r="31" spans="1:34" ht="15" customHeight="1">
      <c r="A31" s="466"/>
      <c r="B31" s="75" t="s">
        <v>126</v>
      </c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69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4"/>
        <v>0</v>
      </c>
      <c r="AG31" s="99" t="e">
        <f t="shared" si="15"/>
        <v>#DIV/0!</v>
      </c>
      <c r="AH31" s="459"/>
    </row>
    <row r="32" spans="1:34" ht="15" customHeight="1">
      <c r="A32" s="466"/>
      <c r="B32" s="75" t="s">
        <v>126</v>
      </c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16">AVERAGE(J27:J36)</f>
        <v>17.5</v>
      </c>
      <c r="K37" s="155">
        <f t="shared" si="16"/>
        <v>1550.25</v>
      </c>
      <c r="L37" s="158">
        <f t="shared" si="16"/>
        <v>88.575980392156865</v>
      </c>
      <c r="M37" s="155">
        <f t="shared" si="16"/>
        <v>17</v>
      </c>
      <c r="N37" s="155">
        <f t="shared" si="16"/>
        <v>1434.6771289160806</v>
      </c>
      <c r="O37" s="158">
        <f t="shared" si="16"/>
        <v>84.392772289181224</v>
      </c>
      <c r="P37" s="159">
        <f>M37-J37</f>
        <v>-0.5</v>
      </c>
      <c r="Q37" s="160">
        <f>N37-K37</f>
        <v>-115.57287108391938</v>
      </c>
      <c r="R37" s="161">
        <f>O37/L37</f>
        <v>0.95277265818052348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-115.57287108391938</v>
      </c>
      <c r="AG37" s="124">
        <f>N37/K37</f>
        <v>0.92544888173912632</v>
      </c>
      <c r="AH37" s="460"/>
    </row>
    <row r="38" spans="1:34" ht="15" customHeight="1">
      <c r="A38" s="487" t="s">
        <v>48</v>
      </c>
      <c r="B38" s="167" t="s">
        <v>81</v>
      </c>
      <c r="C38" s="129"/>
      <c r="D38" s="184" t="s">
        <v>127</v>
      </c>
      <c r="E38" s="185"/>
      <c r="F38" s="39">
        <v>50.67</v>
      </c>
      <c r="G38" s="186">
        <v>1160</v>
      </c>
      <c r="H38" s="134">
        <f>F38*G38</f>
        <v>58777.200000000004</v>
      </c>
      <c r="I38" s="135"/>
      <c r="J38" s="187">
        <f>VLOOKUP(D38,產線配置圖!$A$3:$C$40,2,0)</f>
        <v>13</v>
      </c>
      <c r="K38" s="188">
        <f>VLOOKUP(D38,產線配置圖!$A$3:$C$40,3,0)</f>
        <v>1440</v>
      </c>
      <c r="L38" s="189">
        <f>K38/J38</f>
        <v>110.76923076923077</v>
      </c>
      <c r="M38" s="190">
        <v>13</v>
      </c>
      <c r="N38" s="140">
        <f>G38/W38*60</f>
        <v>1159.9999999999905</v>
      </c>
      <c r="O38" s="141">
        <f>N38/M38</f>
        <v>89.230769230768502</v>
      </c>
      <c r="P38" s="142">
        <f>M38-J38</f>
        <v>0</v>
      </c>
      <c r="Q38" s="143">
        <f>O38-L38</f>
        <v>-21.538461538462272</v>
      </c>
      <c r="R38" s="144">
        <f>O38/L38</f>
        <v>0.80555555555554892</v>
      </c>
      <c r="S38" s="490">
        <f>R48</f>
        <v>0.8177716199929197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-280.00000000000955</v>
      </c>
      <c r="AG38" s="195">
        <f>N38/K38</f>
        <v>0.80555555555554892</v>
      </c>
      <c r="AH38" s="480">
        <f>AG48</f>
        <v>0.86567535658444383</v>
      </c>
    </row>
    <row r="39" spans="1:34" ht="15" customHeight="1">
      <c r="A39" s="48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1975</v>
      </c>
      <c r="H39" s="91">
        <f>F39*G39</f>
        <v>98572.25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17</v>
      </c>
      <c r="N39" s="202">
        <f>G39/W39*60</f>
        <v>1538.9610389610443</v>
      </c>
      <c r="O39" s="203">
        <f>N39/M39</f>
        <v>90.527119938884965</v>
      </c>
      <c r="P39" s="97">
        <f>M39-J39</f>
        <v>2</v>
      </c>
      <c r="Q39" s="98">
        <f>O39-L39</f>
        <v>-23.7395467277817</v>
      </c>
      <c r="R39" s="99">
        <f>O39/L39</f>
        <v>0.79224434018860823</v>
      </c>
      <c r="S39" s="491"/>
      <c r="T39" s="20">
        <v>0.38055555555555598</v>
      </c>
      <c r="U39" s="20">
        <v>0.43402777777777801</v>
      </c>
      <c r="V39" s="92">
        <f>(T39-U38)*24*60</f>
        <v>8.0000000000006111</v>
      </c>
      <c r="W39" s="205">
        <f t="shared" si="4"/>
        <v>76.99999999999973</v>
      </c>
      <c r="X39" s="22"/>
      <c r="Y39" s="84"/>
      <c r="Z39" s="90"/>
      <c r="AA39" s="90"/>
      <c r="AB39" s="483" t="s">
        <v>130</v>
      </c>
      <c r="AC39" s="483"/>
      <c r="AD39" s="200"/>
      <c r="AE39" s="200"/>
      <c r="AF39" s="314">
        <f>N39-K39</f>
        <v>-175.03896103895568</v>
      </c>
      <c r="AG39" s="206">
        <f>N39/K39</f>
        <v>0.89787691888042265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2286</v>
      </c>
      <c r="H40" s="91">
        <f>F40*G40</f>
        <v>101269.79999999999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19</v>
      </c>
      <c r="N40" s="202">
        <f>G40/W40*60</f>
        <v>1524</v>
      </c>
      <c r="O40" s="203">
        <f>N40/M40</f>
        <v>80.21052631578948</v>
      </c>
      <c r="P40" s="97">
        <f>M40-J40</f>
        <v>1</v>
      </c>
      <c r="Q40" s="98">
        <f>O40-L40</f>
        <v>-10.678362573099406</v>
      </c>
      <c r="R40" s="99">
        <f>O40/L40</f>
        <v>0.88251190322995765</v>
      </c>
      <c r="S40" s="413"/>
      <c r="T40" s="20">
        <v>0.44097222222222199</v>
      </c>
      <c r="U40" s="20">
        <v>0.50347222222222199</v>
      </c>
      <c r="V40" s="92">
        <f>(T40-U39)*24*60</f>
        <v>9.999999999999325</v>
      </c>
      <c r="W40" s="205">
        <f t="shared" si="4"/>
        <v>90</v>
      </c>
      <c r="X40" s="208"/>
      <c r="Y40" s="209"/>
      <c r="Z40" s="337"/>
      <c r="AA40" s="337"/>
      <c r="AB40" s="483" t="s">
        <v>132</v>
      </c>
      <c r="AC40" s="483"/>
      <c r="AD40" s="92"/>
      <c r="AE40" s="92"/>
      <c r="AF40" s="314">
        <f>N40-K40</f>
        <v>-112</v>
      </c>
      <c r="AG40" s="206">
        <f>N40/K40</f>
        <v>0.93154034229828853</v>
      </c>
      <c r="AH40" s="481"/>
    </row>
    <row r="41" spans="1:34" ht="15" customHeight="1">
      <c r="A41" s="48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2885</v>
      </c>
      <c r="H41" s="91">
        <f t="shared" ref="H41:H42" si="17">F41*G41</f>
        <v>127805.49999999999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 t="shared" ref="L41:L42" si="18">K41/J41</f>
        <v>90.888888888888886</v>
      </c>
      <c r="M41" s="201">
        <v>19</v>
      </c>
      <c r="N41" s="202">
        <f t="shared" ref="N41:N42" si="19">G41/W41*60</f>
        <v>1573.6363636363624</v>
      </c>
      <c r="O41" s="203">
        <f t="shared" ref="O41:O42" si="20">N41/M41</f>
        <v>82.822966507176972</v>
      </c>
      <c r="P41" s="97">
        <f t="shared" ref="P41:P42" si="21">M41-J41</f>
        <v>1</v>
      </c>
      <c r="Q41" s="98">
        <f t="shared" ref="Q41:Q42" si="22">O41-L41</f>
        <v>-8.0659223817119141</v>
      </c>
      <c r="R41" s="99">
        <f t="shared" ref="R41:R42" si="23">O41/L41</f>
        <v>0.91125513271955105</v>
      </c>
      <c r="S41" s="413"/>
      <c r="T41" s="20">
        <v>0.55902777777777801</v>
      </c>
      <c r="U41" s="210">
        <v>0.63541666666666696</v>
      </c>
      <c r="V41" s="92">
        <f t="shared" ref="V41:V42" si="24">(T41-U40)*24*60</f>
        <v>80.000000000000682</v>
      </c>
      <c r="W41" s="205">
        <f t="shared" si="4"/>
        <v>110.00000000000009</v>
      </c>
      <c r="X41" s="208"/>
      <c r="Y41" s="209"/>
      <c r="Z41" s="337"/>
      <c r="AA41" s="337"/>
      <c r="AB41" s="483" t="s">
        <v>132</v>
      </c>
      <c r="AC41" s="483"/>
      <c r="AD41" s="92"/>
      <c r="AE41" s="92"/>
      <c r="AF41" s="314">
        <f>N41-K41</f>
        <v>-62.363636363637625</v>
      </c>
      <c r="AG41" s="206">
        <f>N41/K41</f>
        <v>0.96188041787063716</v>
      </c>
      <c r="AH41" s="481"/>
    </row>
    <row r="42" spans="1:34" ht="15" customHeight="1">
      <c r="A42" s="488"/>
      <c r="B42" s="75" t="s">
        <v>128</v>
      </c>
      <c r="C42" s="86"/>
      <c r="D42" s="198" t="s">
        <v>129</v>
      </c>
      <c r="E42" s="87"/>
      <c r="F42" s="75">
        <f>VLOOKUP(D42,廠價表!$C$1:$E$43,3,0)</f>
        <v>49.91</v>
      </c>
      <c r="G42" s="199">
        <v>1000</v>
      </c>
      <c r="H42" s="91">
        <f t="shared" si="17"/>
        <v>49910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8"/>
        <v>114.26666666666667</v>
      </c>
      <c r="M42" s="201">
        <v>15</v>
      </c>
      <c r="N42" s="202">
        <f t="shared" si="19"/>
        <v>1249.9999999999752</v>
      </c>
      <c r="O42" s="203">
        <f t="shared" si="20"/>
        <v>83.33333333333168</v>
      </c>
      <c r="P42" s="97">
        <f t="shared" si="21"/>
        <v>0</v>
      </c>
      <c r="Q42" s="98">
        <f t="shared" si="22"/>
        <v>-30.933333333334986</v>
      </c>
      <c r="R42" s="99">
        <f t="shared" si="23"/>
        <v>0.72928821470243599</v>
      </c>
      <c r="S42" s="413"/>
      <c r="T42" s="210">
        <v>0.64583333333333304</v>
      </c>
      <c r="U42" s="210">
        <v>0.67916666666666703</v>
      </c>
      <c r="V42" s="92">
        <f t="shared" si="24"/>
        <v>14.999999999999147</v>
      </c>
      <c r="W42" s="205">
        <f t="shared" si="4"/>
        <v>48.000000000000952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5">AVERAGE(J38:J47)</f>
        <v>15.8</v>
      </c>
      <c r="K48" s="155">
        <f t="shared" si="25"/>
        <v>1628</v>
      </c>
      <c r="L48" s="158">
        <f t="shared" si="25"/>
        <v>104.21606837606836</v>
      </c>
      <c r="M48" s="155">
        <f t="shared" si="25"/>
        <v>16.600000000000001</v>
      </c>
      <c r="N48" s="155">
        <f t="shared" si="25"/>
        <v>1409.3194805194746</v>
      </c>
      <c r="O48" s="158">
        <f t="shared" si="25"/>
        <v>85.224943065190317</v>
      </c>
      <c r="P48" s="221">
        <f>M48-J48</f>
        <v>0.80000000000000071</v>
      </c>
      <c r="Q48" s="222">
        <f>N48-K48</f>
        <v>-218.68051948052539</v>
      </c>
      <c r="R48" s="223">
        <f>O48/L48</f>
        <v>0.8177716199929197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6">N48-K48</f>
        <v>-218.68051948052539</v>
      </c>
      <c r="AG48" s="162">
        <f t="shared" ref="AG48:AG53" si="27">N48/K48</f>
        <v>0.86567535658444383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1892</v>
      </c>
      <c r="H49" s="134">
        <f>F49*G49</f>
        <v>93691.840000000011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1598.8732394366054</v>
      </c>
      <c r="O49" s="141">
        <f>N49/M49</f>
        <v>94.05136702568268</v>
      </c>
      <c r="P49" s="229">
        <f>M49-J49</f>
        <v>0</v>
      </c>
      <c r="Q49" s="230">
        <f>O49-L49</f>
        <v>-11.830985915493784</v>
      </c>
      <c r="R49" s="52">
        <f>O49/L49</f>
        <v>0.88826291079811426</v>
      </c>
      <c r="S49" s="412">
        <f>R58</f>
        <v>0.92107289698546946</v>
      </c>
      <c r="T49" s="191">
        <v>0.29097222222222202</v>
      </c>
      <c r="U49" s="191">
        <v>0.34027777777777801</v>
      </c>
      <c r="V49" s="55"/>
      <c r="W49" s="193">
        <f t="shared" si="4"/>
        <v>71.000000000000625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6"/>
        <v>-201.12676056339455</v>
      </c>
      <c r="AG49" s="52">
        <f t="shared" si="27"/>
        <v>0.88826291079811415</v>
      </c>
      <c r="AH49" s="457">
        <f>AG58</f>
        <v>0.92144307048711926</v>
      </c>
    </row>
    <row r="50" spans="1:34" ht="15" customHeight="1">
      <c r="A50" s="485"/>
      <c r="B50" s="75" t="s">
        <v>81</v>
      </c>
      <c r="C50" s="76"/>
      <c r="D50" s="59" t="s">
        <v>134</v>
      </c>
      <c r="E50" s="77"/>
      <c r="F50" s="75">
        <f>VLOOKUP(D50,廠價表!$C$1:$E$43,3,0)</f>
        <v>49.97</v>
      </c>
      <c r="G50" s="202">
        <v>3117</v>
      </c>
      <c r="H50" s="231">
        <f>F50*G50</f>
        <v>155756.49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1532.9508196721347</v>
      </c>
      <c r="O50" s="235">
        <f>N50/M50</f>
        <v>95.809426229508418</v>
      </c>
      <c r="P50" s="74">
        <f>M50-J50</f>
        <v>0</v>
      </c>
      <c r="Q50" s="83">
        <f>O50-L50</f>
        <v>-16.690573770491582</v>
      </c>
      <c r="R50" s="72">
        <f>O50/L50</f>
        <v>0.85163934426229704</v>
      </c>
      <c r="S50" s="413"/>
      <c r="T50" s="21">
        <v>0.34722222222222199</v>
      </c>
      <c r="U50" s="21">
        <v>0.43194444444444402</v>
      </c>
      <c r="V50" s="30">
        <f>(T50-U49)*24*60</f>
        <v>9.999999999999325</v>
      </c>
      <c r="W50" s="236">
        <f t="shared" si="4"/>
        <v>121.99999999999973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6"/>
        <v>-267.04918032786532</v>
      </c>
      <c r="AG50" s="72">
        <f t="shared" si="27"/>
        <v>0.85163934426229704</v>
      </c>
      <c r="AH50" s="458"/>
    </row>
    <row r="51" spans="1:34" ht="15" customHeight="1">
      <c r="A51" s="485"/>
      <c r="B51" s="75" t="s">
        <v>81</v>
      </c>
      <c r="C51" s="76"/>
      <c r="D51" s="59" t="s">
        <v>135</v>
      </c>
      <c r="E51" s="77"/>
      <c r="F51" s="75">
        <f>VLOOKUP(D51,廠價表!$C$1:$E$43,3,0)</f>
        <v>50.289000000000001</v>
      </c>
      <c r="G51" s="202">
        <v>925</v>
      </c>
      <c r="H51" s="231">
        <f>F51*G51</f>
        <v>46517.325000000004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1585.7142857142551</v>
      </c>
      <c r="O51" s="235">
        <f>N51/M51</f>
        <v>93.277310924367953</v>
      </c>
      <c r="P51" s="74">
        <f>M51-J51</f>
        <v>0</v>
      </c>
      <c r="Q51" s="83">
        <f>O51-L51</f>
        <v>-2.9579831932791052</v>
      </c>
      <c r="R51" s="72">
        <f>O51/L51</f>
        <v>0.96926301082778432</v>
      </c>
      <c r="S51" s="413"/>
      <c r="T51" s="21">
        <v>0.4375</v>
      </c>
      <c r="U51" s="19">
        <v>0.46180555555555602</v>
      </c>
      <c r="V51" s="30">
        <f>(T51-U50)*24*60</f>
        <v>8.0000000000006111</v>
      </c>
      <c r="W51" s="236">
        <f t="shared" si="4"/>
        <v>35.000000000000675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6"/>
        <v>-50.285714285744916</v>
      </c>
      <c r="AG51" s="72">
        <f t="shared" si="27"/>
        <v>0.96926301082778432</v>
      </c>
      <c r="AH51" s="458"/>
    </row>
    <row r="52" spans="1:34" ht="15" customHeight="1">
      <c r="A52" s="485"/>
      <c r="B52" s="75" t="s">
        <v>81</v>
      </c>
      <c r="C52" s="86"/>
      <c r="D52" s="59" t="s">
        <v>135</v>
      </c>
      <c r="E52" s="87"/>
      <c r="F52" s="75">
        <f>VLOOKUP(D52,廠價表!$C$1:$E$43,3,0)</f>
        <v>50.289000000000001</v>
      </c>
      <c r="G52" s="202">
        <v>1850</v>
      </c>
      <c r="H52" s="231">
        <f t="shared" ref="H52:H53" si="28">F52*G52</f>
        <v>93034.650000000009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 t="shared" ref="L52:L53" si="29">K52/J52</f>
        <v>96.235294117647058</v>
      </c>
      <c r="M52" s="233">
        <v>17</v>
      </c>
      <c r="N52" s="234">
        <f t="shared" ref="N52:N53" si="30">G52/W52*60</f>
        <v>1541.6666666666688</v>
      </c>
      <c r="O52" s="235">
        <f t="shared" ref="O52:O53" si="31">N52/M52</f>
        <v>90.686274509804051</v>
      </c>
      <c r="P52" s="74">
        <f t="shared" ref="P52:P53" si="32">M52-J52</f>
        <v>0</v>
      </c>
      <c r="Q52" s="83">
        <f t="shared" ref="Q52:Q53" si="33">O52-L52</f>
        <v>-5.5490196078430074</v>
      </c>
      <c r="R52" s="72">
        <f t="shared" ref="R52:R53" si="34">O52/L52</f>
        <v>0.94233903830480981</v>
      </c>
      <c r="S52" s="413"/>
      <c r="T52" s="21">
        <v>0.52430555555555602</v>
      </c>
      <c r="U52" s="21">
        <v>0.57430555555555596</v>
      </c>
      <c r="V52" s="30">
        <f>(T52-U51)*24*60</f>
        <v>90</v>
      </c>
      <c r="W52" s="236">
        <f t="shared" si="4"/>
        <v>71.999999999999901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6"/>
        <v>-94.333333333331211</v>
      </c>
      <c r="AG52" s="72">
        <f t="shared" si="27"/>
        <v>0.94233903830480981</v>
      </c>
      <c r="AH52" s="458"/>
    </row>
    <row r="53" spans="1:34" ht="15" customHeight="1">
      <c r="A53" s="485"/>
      <c r="B53" s="101" t="s">
        <v>81</v>
      </c>
      <c r="C53" s="102"/>
      <c r="D53" s="103" t="s">
        <v>134</v>
      </c>
      <c r="E53" s="104"/>
      <c r="F53" s="75">
        <f>VLOOKUP(D53,廠價表!$C$1:$E$43,3,0)</f>
        <v>49.97</v>
      </c>
      <c r="G53" s="202">
        <v>2049</v>
      </c>
      <c r="H53" s="231">
        <f t="shared" si="28"/>
        <v>102388.53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9"/>
        <v>112.5</v>
      </c>
      <c r="M53" s="108">
        <v>16</v>
      </c>
      <c r="N53" s="234">
        <f t="shared" si="30"/>
        <v>1731.5492957746346</v>
      </c>
      <c r="O53" s="235">
        <f t="shared" si="31"/>
        <v>108.22183098591466</v>
      </c>
      <c r="P53" s="74">
        <f t="shared" si="32"/>
        <v>0</v>
      </c>
      <c r="Q53" s="83">
        <f t="shared" si="33"/>
        <v>-4.2781690140853357</v>
      </c>
      <c r="R53" s="72">
        <f t="shared" si="34"/>
        <v>0.96197183098590811</v>
      </c>
      <c r="S53" s="413"/>
      <c r="T53" s="21">
        <v>0.58125000000000004</v>
      </c>
      <c r="U53" s="21">
        <v>0.63055555555555598</v>
      </c>
      <c r="V53" s="30">
        <f>(T53-U52)*24*60</f>
        <v>9.9999999999994849</v>
      </c>
      <c r="W53" s="236">
        <f t="shared" si="4"/>
        <v>71.00000000000054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6"/>
        <v>-68.450704225365371</v>
      </c>
      <c r="AG53" s="72">
        <f t="shared" si="27"/>
        <v>0.96197183098590811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5">AVERAGE(J49:J57)</f>
        <v>16.600000000000001</v>
      </c>
      <c r="K58" s="120">
        <f t="shared" si="35"/>
        <v>1734.4</v>
      </c>
      <c r="L58" s="117">
        <f t="shared" si="35"/>
        <v>104.67058823529412</v>
      </c>
      <c r="M58" s="120">
        <f t="shared" si="35"/>
        <v>16.600000000000001</v>
      </c>
      <c r="N58" s="120">
        <f t="shared" si="35"/>
        <v>1598.1508614528598</v>
      </c>
      <c r="O58" s="117">
        <f t="shared" si="35"/>
        <v>96.409241935055547</v>
      </c>
      <c r="P58" s="121">
        <f>M58-J58</f>
        <v>0</v>
      </c>
      <c r="Q58" s="122">
        <f>N58-K58</f>
        <v>-136.24913854714032</v>
      </c>
      <c r="R58" s="123">
        <f>O58/L58</f>
        <v>0.92107289698546946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-136.24913854714032</v>
      </c>
      <c r="AG58" s="124">
        <f>N58/K58</f>
        <v>0.92144307048711926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3470</v>
      </c>
      <c r="H59" s="243">
        <f>F59*G59</f>
        <v>93655.299999999988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1487.1428571428607</v>
      </c>
      <c r="O59" s="138">
        <f>N59/M59</f>
        <v>106.22448979591863</v>
      </c>
      <c r="P59" s="56">
        <f>M59-J59</f>
        <v>-1</v>
      </c>
      <c r="Q59" s="230">
        <f>O59-L59</f>
        <v>-2.8421768707480339</v>
      </c>
      <c r="R59" s="52">
        <f>O59/L59</f>
        <v>0.97394092111172337</v>
      </c>
      <c r="S59" s="412">
        <f>R69</f>
        <v>0.96338587197755055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-148.85714285713925</v>
      </c>
      <c r="AG59" s="246">
        <f>N59/K59</f>
        <v>0.90901152637094174</v>
      </c>
      <c r="AH59" s="457">
        <f>AG69</f>
        <v>0.94785719323463324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1643</v>
      </c>
      <c r="H60" s="78">
        <f>F60*G60</f>
        <v>46431.18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1589.9999999999829</v>
      </c>
      <c r="O60" s="81">
        <f>N60/M60</f>
        <v>144.545454545453</v>
      </c>
      <c r="P60" s="74">
        <f>M60-J60</f>
        <v>0</v>
      </c>
      <c r="Q60" s="83">
        <f>O60-L60</f>
        <v>-4.1818181818197218</v>
      </c>
      <c r="R60" s="72">
        <f>O60/L60</f>
        <v>0.97188264058678675</v>
      </c>
      <c r="S60" s="502"/>
      <c r="T60" s="22">
        <v>0.39583333333333298</v>
      </c>
      <c r="U60" s="22">
        <v>0.43888888888888899</v>
      </c>
      <c r="V60" s="30">
        <f>(T60-U59)*24*60</f>
        <v>9.999999999999325</v>
      </c>
      <c r="W60" s="248">
        <f t="shared" si="4"/>
        <v>62.000000000000661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-46.000000000017053</v>
      </c>
      <c r="AG60" s="249">
        <f>N60/K60</f>
        <v>0.97188264058678664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2087</v>
      </c>
      <c r="H61" s="254">
        <f>F61*G61</f>
        <v>58978.62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1605.3846153846064</v>
      </c>
      <c r="O61" s="238">
        <f>N61/M61</f>
        <v>145.94405594405512</v>
      </c>
      <c r="P61" s="111">
        <f>M61-J61</f>
        <v>0</v>
      </c>
      <c r="Q61" s="255">
        <f>O61-L61</f>
        <v>-2.7832167832175969</v>
      </c>
      <c r="R61" s="85">
        <f>O61/L61</f>
        <v>0.98128643972164209</v>
      </c>
      <c r="S61" s="413"/>
      <c r="T61" s="22">
        <v>0.44583333333333303</v>
      </c>
      <c r="U61" s="22">
        <v>0.5</v>
      </c>
      <c r="V61" s="30">
        <f>(T61-U60)*24*60</f>
        <v>9.9999999999994049</v>
      </c>
      <c r="W61" s="256">
        <f t="shared" si="4"/>
        <v>78.000000000000441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-30.615384615393623</v>
      </c>
      <c r="AG61" s="247">
        <f>N61/K61</f>
        <v>0.98128643972164209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2027</v>
      </c>
      <c r="H62" s="78">
        <f>F62*G62</f>
        <v>57283.020000000004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1520.2499999999902</v>
      </c>
      <c r="O62" s="238">
        <f>N62/M62</f>
        <v>138.20454545454456</v>
      </c>
      <c r="P62" s="111">
        <f>M62-J62</f>
        <v>0</v>
      </c>
      <c r="Q62" s="255">
        <f>O62-L62</f>
        <v>-10.522727272728162</v>
      </c>
      <c r="R62" s="85">
        <f>O62/L62</f>
        <v>0.92924816625916273</v>
      </c>
      <c r="S62" s="413"/>
      <c r="T62" s="22">
        <v>0.54861111111111105</v>
      </c>
      <c r="U62" s="22">
        <v>0.60416666666666696</v>
      </c>
      <c r="V62" s="30">
        <f>(T62-U61)*24*60</f>
        <v>69.999999999999915</v>
      </c>
      <c r="W62" s="248">
        <f t="shared" si="4"/>
        <v>80.000000000000512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-115.75000000000978</v>
      </c>
      <c r="AG62" s="247">
        <f>N62/K62</f>
        <v>0.92924816625916273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36">AVERAGE(J59:J68)</f>
        <v>12</v>
      </c>
      <c r="K69" s="240">
        <f t="shared" si="36"/>
        <v>1636</v>
      </c>
      <c r="L69" s="268">
        <f t="shared" si="36"/>
        <v>138.81212121212121</v>
      </c>
      <c r="M69" s="240">
        <f t="shared" si="36"/>
        <v>11.75</v>
      </c>
      <c r="N69" s="240">
        <f t="shared" si="36"/>
        <v>1550.6943681318601</v>
      </c>
      <c r="O69" s="268">
        <f t="shared" si="36"/>
        <v>133.72963643499284</v>
      </c>
      <c r="P69" s="269">
        <f>M69-J69</f>
        <v>-0.25</v>
      </c>
      <c r="Q69" s="222">
        <f>N69-K69</f>
        <v>-85.305631868139926</v>
      </c>
      <c r="R69" s="123">
        <f>O69/L69</f>
        <v>0.96338587197755055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-85.305631868139926</v>
      </c>
      <c r="AG69" s="124">
        <f>N69/K69</f>
        <v>0.94785719323463324</v>
      </c>
      <c r="AH69" s="460"/>
    </row>
    <row r="70" spans="1:36" ht="15" customHeight="1">
      <c r="A70" s="494" t="s">
        <v>55</v>
      </c>
      <c r="B70" s="75" t="s">
        <v>136</v>
      </c>
      <c r="C70" s="76"/>
      <c r="D70" s="59" t="s">
        <v>140</v>
      </c>
      <c r="E70" s="132"/>
      <c r="F70" s="129">
        <f>VLOOKUP(D70,廠價表!$C$1:$E$43,3,0)</f>
        <v>28.26</v>
      </c>
      <c r="G70" s="202">
        <v>1774</v>
      </c>
      <c r="H70" s="243">
        <f>F70*G70</f>
        <v>50133.240000000005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82">
        <v>11</v>
      </c>
      <c r="N70" s="137">
        <f>G70/W70*60</f>
        <v>1458.0821917808344</v>
      </c>
      <c r="O70" s="138">
        <f>N70/M70</f>
        <v>132.55292652553041</v>
      </c>
      <c r="P70" s="56">
        <f>M70-J70</f>
        <v>0</v>
      </c>
      <c r="Q70" s="230">
        <f>O70-L70</f>
        <v>-16.17434620174231</v>
      </c>
      <c r="R70" s="52">
        <f>O70/L70</f>
        <v>0.89124828348461771</v>
      </c>
      <c r="S70" s="412">
        <f>R79</f>
        <v>0.85932204677058377</v>
      </c>
      <c r="T70" s="245">
        <v>0.22430555555555601</v>
      </c>
      <c r="U70" s="245">
        <v>0.27500000000000002</v>
      </c>
      <c r="V70" s="55"/>
      <c r="W70" s="54">
        <f t="shared" si="4"/>
        <v>72.999999999999375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-177.91780821916564</v>
      </c>
      <c r="AG70" s="246">
        <f>N70/K70</f>
        <v>0.8912482834846176</v>
      </c>
      <c r="AH70" s="457">
        <f>AG79</f>
        <v>0.8168387459045604</v>
      </c>
    </row>
    <row r="71" spans="1:36" ht="15" customHeight="1">
      <c r="A71" s="495"/>
      <c r="B71" s="30" t="s">
        <v>81</v>
      </c>
      <c r="C71" s="151"/>
      <c r="D71" s="59" t="s">
        <v>141</v>
      </c>
      <c r="E71" s="87"/>
      <c r="F71" s="75">
        <f>VLOOKUP(D71,廠價表!$C$1:$E$43,3,0)</f>
        <v>46.34</v>
      </c>
      <c r="G71" s="30">
        <v>2509</v>
      </c>
      <c r="H71" s="78">
        <f>F71*G71</f>
        <v>116267.06000000001</v>
      </c>
      <c r="I71" s="30"/>
      <c r="J71" s="79">
        <f>VLOOKUP(D71,產線配置圖!$A$3:$C$40,2,0)</f>
        <v>16</v>
      </c>
      <c r="K71" s="80">
        <f>VLOOKUP(D71,產線配置圖!$A$3:$C$40,3,0)</f>
        <v>1500</v>
      </c>
      <c r="L71" s="81">
        <f>K71/J71</f>
        <v>93.75</v>
      </c>
      <c r="M71" s="108">
        <v>15</v>
      </c>
      <c r="N71" s="80">
        <f>G71/W71*60</f>
        <v>1157.999999999997</v>
      </c>
      <c r="O71" s="81">
        <f>N71/M71</f>
        <v>77.199999999999804</v>
      </c>
      <c r="P71" s="74">
        <f>M71-J71</f>
        <v>-1</v>
      </c>
      <c r="Q71" s="83">
        <f>O71-L71</f>
        <v>-16.550000000000196</v>
      </c>
      <c r="R71" s="72">
        <f>O71/L71</f>
        <v>0.82346666666666457</v>
      </c>
      <c r="S71" s="413"/>
      <c r="T71" s="22">
        <v>0.38888888888888901</v>
      </c>
      <c r="U71" s="22">
        <v>0.47916666666666702</v>
      </c>
      <c r="V71" s="30">
        <f>(T71-U70)*24*60</f>
        <v>164.00000000000014</v>
      </c>
      <c r="W71" s="73">
        <f t="shared" si="4"/>
        <v>130.00000000000034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101" t="s">
        <v>81</v>
      </c>
      <c r="C72" s="102"/>
      <c r="D72" s="103" t="s">
        <v>141</v>
      </c>
      <c r="E72" s="104"/>
      <c r="F72" s="250">
        <f>VLOOKUP(D72,廠價表!$C$1:$E$43,3,0)</f>
        <v>46.34</v>
      </c>
      <c r="G72" s="30">
        <v>2360</v>
      </c>
      <c r="H72" s="254">
        <f>F72*G72</f>
        <v>109362.40000000001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108">
        <v>15</v>
      </c>
      <c r="N72" s="107">
        <f>G72/W72*60</f>
        <v>1160.6557377049207</v>
      </c>
      <c r="O72" s="238">
        <f>N72/M72</f>
        <v>77.377049180328044</v>
      </c>
      <c r="P72" s="111">
        <f>M72-J72</f>
        <v>-1</v>
      </c>
      <c r="Q72" s="255">
        <f>O72-L72</f>
        <v>-16.372950819671956</v>
      </c>
      <c r="R72" s="85">
        <f>O72/L72</f>
        <v>0.82535519125683243</v>
      </c>
      <c r="S72" s="413"/>
      <c r="T72" s="22">
        <v>0.54513888888888895</v>
      </c>
      <c r="U72" s="22">
        <v>0.62986111111111098</v>
      </c>
      <c r="V72" s="30">
        <f>(T72-U71)*24*60</f>
        <v>94.999999999999588</v>
      </c>
      <c r="W72" s="73">
        <f t="shared" si="4"/>
        <v>121.99999999999973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 t="s">
        <v>81</v>
      </c>
      <c r="C73" s="102"/>
      <c r="D73" s="103" t="s">
        <v>141</v>
      </c>
      <c r="E73" s="104"/>
      <c r="F73" s="250">
        <f>VLOOKUP(D73,廠價表!$C$1:$E$43,3,0)</f>
        <v>46.34</v>
      </c>
      <c r="G73" s="30">
        <v>803</v>
      </c>
      <c r="H73" s="78">
        <f>F73*G73</f>
        <v>37211.020000000004</v>
      </c>
      <c r="I73" s="30"/>
      <c r="J73" s="79">
        <f>VLOOKUP(D73,產線配置圖!$A$3:$C$40,2,0)</f>
        <v>16</v>
      </c>
      <c r="K73" s="80">
        <f>VLOOKUP(D73,產線配置圖!$A$3:$C$40,3,0)</f>
        <v>1500</v>
      </c>
      <c r="L73" s="81">
        <f>K73/J73</f>
        <v>93.75</v>
      </c>
      <c r="M73" s="94">
        <v>15</v>
      </c>
      <c r="N73" s="107">
        <f>G73/W73*60</f>
        <v>1235.3846153846298</v>
      </c>
      <c r="O73" s="238">
        <f>N73/M73</f>
        <v>82.358974358975317</v>
      </c>
      <c r="P73" s="111">
        <f>M73-J73</f>
        <v>-1</v>
      </c>
      <c r="Q73" s="255">
        <f>O73-L73</f>
        <v>-11.391025641024683</v>
      </c>
      <c r="R73" s="85">
        <f>O73/L73</f>
        <v>0.87849572649573671</v>
      </c>
      <c r="S73" s="413"/>
      <c r="T73" s="110">
        <v>0.65</v>
      </c>
      <c r="U73" s="110">
        <v>0.67708333333333304</v>
      </c>
      <c r="V73" s="30">
        <f>(T73-U72)*24*60</f>
        <v>29.000000000000217</v>
      </c>
      <c r="W73" s="73">
        <f t="shared" si="4"/>
        <v>38.999999999999545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7">AVERAGE(J70:J78)</f>
        <v>14.75</v>
      </c>
      <c r="K79" s="240">
        <f t="shared" si="37"/>
        <v>1534</v>
      </c>
      <c r="L79" s="268">
        <f t="shared" si="37"/>
        <v>107.49431818181819</v>
      </c>
      <c r="M79" s="240">
        <f t="shared" si="37"/>
        <v>14</v>
      </c>
      <c r="N79" s="240">
        <f t="shared" si="37"/>
        <v>1253.0306362175957</v>
      </c>
      <c r="O79" s="268">
        <f t="shared" si="37"/>
        <v>92.372237516208386</v>
      </c>
      <c r="P79" s="269">
        <f>M79-J79</f>
        <v>-0.75</v>
      </c>
      <c r="Q79" s="222">
        <f>N79-K79</f>
        <v>-280.96936378240434</v>
      </c>
      <c r="R79" s="223">
        <f>O79/L79</f>
        <v>0.85932204677058377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-280.96936378240434</v>
      </c>
      <c r="AG79" s="124">
        <f>N79/K79</f>
        <v>0.8168387459045604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N3:N4"/>
    <mergeCell ref="J3:J4"/>
    <mergeCell ref="K3:K4"/>
    <mergeCell ref="L3:L4"/>
    <mergeCell ref="M3:M4"/>
    <mergeCell ref="AF1:AH2"/>
    <mergeCell ref="AB8:AC8"/>
    <mergeCell ref="AG3:AG4"/>
    <mergeCell ref="AH3:AH4"/>
    <mergeCell ref="AB5:AC5"/>
    <mergeCell ref="AH5:AH15"/>
    <mergeCell ref="AB6:AC6"/>
    <mergeCell ref="AB7:AC7"/>
    <mergeCell ref="AB3:AC4"/>
    <mergeCell ref="AB9:AC9"/>
    <mergeCell ref="AB10:AC10"/>
    <mergeCell ref="AB14:AC14"/>
    <mergeCell ref="AD3:AE3"/>
    <mergeCell ref="AB1:AC2"/>
    <mergeCell ref="A2:B2"/>
    <mergeCell ref="A3:A4"/>
    <mergeCell ref="B3:B4"/>
    <mergeCell ref="D3:E4"/>
    <mergeCell ref="F3:F4"/>
    <mergeCell ref="D15:E15"/>
    <mergeCell ref="Z3:AA3"/>
    <mergeCell ref="A5:A15"/>
    <mergeCell ref="S5:S15"/>
    <mergeCell ref="P1:S2"/>
    <mergeCell ref="T1:Y2"/>
    <mergeCell ref="S3:S4"/>
    <mergeCell ref="P3:P4"/>
    <mergeCell ref="Q3:Q4"/>
    <mergeCell ref="V3:V4"/>
    <mergeCell ref="W3:W4"/>
    <mergeCell ref="X3:Y3"/>
    <mergeCell ref="R3:R4"/>
    <mergeCell ref="T3:U3"/>
    <mergeCell ref="M1:O2"/>
    <mergeCell ref="O3:O4"/>
    <mergeCell ref="G3:G4"/>
    <mergeCell ref="H3:H4"/>
    <mergeCell ref="I3:I4"/>
    <mergeCell ref="AF3:AF4"/>
    <mergeCell ref="AB15:AC15"/>
    <mergeCell ref="AB11:AC11"/>
    <mergeCell ref="AB12:AC12"/>
    <mergeCell ref="AB13:AC13"/>
    <mergeCell ref="AB26:AC26"/>
    <mergeCell ref="AB21:AC21"/>
    <mergeCell ref="AB22:AC22"/>
    <mergeCell ref="AB23:AC23"/>
    <mergeCell ref="AB24:AC24"/>
    <mergeCell ref="AB25:AC25"/>
    <mergeCell ref="AB16:AC16"/>
    <mergeCell ref="AB17:AC17"/>
    <mergeCell ref="AB18:AC18"/>
    <mergeCell ref="A38:A48"/>
    <mergeCell ref="S38:S48"/>
    <mergeCell ref="AB38:AC38"/>
    <mergeCell ref="D48:E48"/>
    <mergeCell ref="AB44:AC44"/>
    <mergeCell ref="AB45:AC45"/>
    <mergeCell ref="AB46:AC46"/>
    <mergeCell ref="AB47:AC47"/>
    <mergeCell ref="AB48:AC48"/>
    <mergeCell ref="A27:A37"/>
    <mergeCell ref="S27:S37"/>
    <mergeCell ref="D37:E37"/>
    <mergeCell ref="AB30:AC30"/>
    <mergeCell ref="AB31:AC31"/>
    <mergeCell ref="D26:E26"/>
    <mergeCell ref="A16:A26"/>
    <mergeCell ref="S16:S26"/>
    <mergeCell ref="AH27:AH37"/>
    <mergeCell ref="AB28:AC28"/>
    <mergeCell ref="AB29:AC29"/>
    <mergeCell ref="AH16:AH26"/>
    <mergeCell ref="AB19:AC19"/>
    <mergeCell ref="AB20:AC20"/>
    <mergeCell ref="AH38:AH48"/>
    <mergeCell ref="AB40:AC40"/>
    <mergeCell ref="AB41:AC41"/>
    <mergeCell ref="AB42:AC42"/>
    <mergeCell ref="AB43:AC43"/>
    <mergeCell ref="AB39:AC39"/>
    <mergeCell ref="AB32:AC32"/>
    <mergeCell ref="AB33:AC33"/>
    <mergeCell ref="AB27:AC27"/>
    <mergeCell ref="AB34:AC34"/>
    <mergeCell ref="AB35:AC35"/>
    <mergeCell ref="AB36:AC36"/>
    <mergeCell ref="AB37:AC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46205</v>
      </c>
      <c r="E3" s="379"/>
      <c r="F3" s="3" t="s">
        <v>72</v>
      </c>
      <c r="G3" s="380">
        <f>'0702'!E1</f>
        <v>62631</v>
      </c>
      <c r="H3" s="380"/>
      <c r="I3" s="3" t="s">
        <v>2</v>
      </c>
      <c r="J3" s="381">
        <f>'0702'!G1</f>
        <v>2923029.5170000005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121.15875264635767</v>
      </c>
      <c r="G6" s="386"/>
      <c r="H6" s="387">
        <f>AVERAGE(D13:H13)</f>
        <v>120.14263832028537</v>
      </c>
      <c r="I6" s="387"/>
      <c r="J6" s="387">
        <f>AVERAGE(I13:J13)</f>
        <v>123.69903846153846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108.68308806832304</v>
      </c>
      <c r="G7" s="410"/>
      <c r="H7" s="411">
        <f>AVERAGE(D14:H14)</f>
        <v>109.917310423011</v>
      </c>
      <c r="I7" s="411"/>
      <c r="J7" s="411">
        <f>AVERAGE(I14:J14)</f>
        <v>105.59753218160313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0.8970304306908059</v>
      </c>
      <c r="G8" s="383"/>
      <c r="H8" s="383">
        <f>H7/H6</f>
        <v>0.91489010029882223</v>
      </c>
      <c r="I8" s="383"/>
      <c r="J8" s="383">
        <f>J7/J6</f>
        <v>0.85366493947676392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VALUE('0702'!L15)</f>
        <v>150</v>
      </c>
      <c r="E13" s="13">
        <f>VALUE('0702'!L26)</f>
        <v>158.32255979314803</v>
      </c>
      <c r="F13" s="13">
        <f>VALUE('0702'!L37)</f>
        <v>89.038562091503266</v>
      </c>
      <c r="G13" s="13">
        <f>VALUE('0702'!L48)</f>
        <v>98.681481481481498</v>
      </c>
      <c r="H13" s="13">
        <f>VALUE('0702'!L58)</f>
        <v>104.67058823529412</v>
      </c>
      <c r="I13" s="13">
        <f>VALUE('0702'!L69)</f>
        <v>138.81212121212121</v>
      </c>
      <c r="J13" s="13">
        <f>'0702'!L79</f>
        <v>108.5859557109557</v>
      </c>
    </row>
    <row r="14" spans="2:15" ht="39.950000000000003" customHeight="1">
      <c r="B14" s="404"/>
      <c r="C14" s="12" t="s">
        <v>100</v>
      </c>
      <c r="D14" s="13">
        <f>VALUE('0702'!O15)</f>
        <v>136.05149350133416</v>
      </c>
      <c r="E14" s="13">
        <f>VALUE('0702'!O26)</f>
        <v>139.69092421778467</v>
      </c>
      <c r="F14" s="13">
        <f>VALUE('0702'!O37)</f>
        <v>82.417618272605054</v>
      </c>
      <c r="G14" s="13">
        <f>VALUE('0702'!O48)</f>
        <v>93.809625668449016</v>
      </c>
      <c r="H14" s="13">
        <f>VALUE('0702'!O58)</f>
        <v>97.616890454882039</v>
      </c>
      <c r="I14" s="13">
        <f>VALUE('0702'!O69)</f>
        <v>128.53030303030269</v>
      </c>
      <c r="J14" s="13">
        <f>'0702'!O79</f>
        <v>82.664761332903581</v>
      </c>
    </row>
    <row r="15" spans="2:15" ht="39.950000000000003" customHeight="1">
      <c r="B15" s="405"/>
      <c r="C15" s="10" t="s">
        <v>26</v>
      </c>
      <c r="D15" s="14">
        <f t="shared" ref="D15:I15" si="1">D14/D13</f>
        <v>0.90700995667556106</v>
      </c>
      <c r="E15" s="14">
        <f t="shared" si="1"/>
        <v>0.88231850470516637</v>
      </c>
      <c r="F15" s="14">
        <f t="shared" si="1"/>
        <v>0.92563959184230771</v>
      </c>
      <c r="G15" s="14">
        <f t="shared" si="1"/>
        <v>0.95063049581448844</v>
      </c>
      <c r="H15" s="14">
        <f t="shared" si="1"/>
        <v>0.93261050788636324</v>
      </c>
      <c r="I15" s="14">
        <f t="shared" si="1"/>
        <v>0.92592996856444043</v>
      </c>
      <c r="J15" s="15">
        <f>'0702'!S70</f>
        <v>0.76128409785284212</v>
      </c>
    </row>
    <row r="16" spans="2:15" ht="17.25" customHeight="1">
      <c r="B16" s="406" t="s">
        <v>101</v>
      </c>
      <c r="C16" s="10" t="s">
        <v>34</v>
      </c>
      <c r="D16" s="16">
        <f>'0702'!T5</f>
        <v>0.29375000000000001</v>
      </c>
      <c r="E16" s="16">
        <f>'0702'!T16</f>
        <v>0.29027777777777802</v>
      </c>
      <c r="F16" s="16">
        <f>'0702'!T27</f>
        <v>0.28819444444444398</v>
      </c>
      <c r="G16" s="16">
        <f>'0702'!T38</f>
        <v>0.33333333333333298</v>
      </c>
      <c r="H16" s="16">
        <f>'0702'!T49</f>
        <v>0.29027777777777802</v>
      </c>
      <c r="I16" s="16">
        <f>'0702'!T59</f>
        <v>0.28819444444444398</v>
      </c>
      <c r="J16" s="16">
        <f>'0702'!T70</f>
        <v>0.29166666666666702</v>
      </c>
    </row>
    <row r="17" spans="2:10" ht="17.25" customHeight="1">
      <c r="B17" s="407"/>
      <c r="C17" s="10" t="s">
        <v>35</v>
      </c>
      <c r="D17" s="16">
        <v>0.59166666666666701</v>
      </c>
      <c r="E17" s="19">
        <v>0.60624999999999996</v>
      </c>
      <c r="F17" s="19">
        <v>0.64583333333333304</v>
      </c>
      <c r="G17" s="210">
        <v>0.58333333333333304</v>
      </c>
      <c r="H17" s="21">
        <v>0.61111111111111105</v>
      </c>
      <c r="I17" s="22">
        <v>0.59375</v>
      </c>
      <c r="J17" s="22">
        <v>0.71875</v>
      </c>
    </row>
    <row r="18" spans="2:10" ht="17.25" customHeight="1">
      <c r="B18" s="408" t="s">
        <v>102</v>
      </c>
      <c r="C18" s="330" t="s">
        <v>36</v>
      </c>
      <c r="D18" s="357">
        <f>'0702'!Z15</f>
        <v>0</v>
      </c>
      <c r="E18" s="358">
        <f>'0702'!Z26</f>
        <v>0</v>
      </c>
      <c r="F18" s="358">
        <f>'0702'!Z37</f>
        <v>0</v>
      </c>
      <c r="G18" s="359">
        <f>'0702'!Z48</f>
        <v>0</v>
      </c>
      <c r="H18" s="359">
        <f>'0702'!Z58</f>
        <v>0</v>
      </c>
      <c r="I18" s="358">
        <f>'0702'!Z69</f>
        <v>0</v>
      </c>
      <c r="J18" s="358">
        <f>'0702'!AA79</f>
        <v>0</v>
      </c>
    </row>
    <row r="19" spans="2:10" ht="17.25" customHeight="1">
      <c r="B19" s="409"/>
      <c r="C19" s="330" t="s">
        <v>37</v>
      </c>
      <c r="D19" s="357">
        <f>'0702'!AA15</f>
        <v>0</v>
      </c>
      <c r="E19" s="358">
        <f>'0702'!AA26</f>
        <v>0</v>
      </c>
      <c r="F19" s="358">
        <f>'0702'!AA37</f>
        <v>0</v>
      </c>
      <c r="G19" s="359">
        <f>'0702'!AA48</f>
        <v>0</v>
      </c>
      <c r="H19" s="359">
        <f>'0702'!AA58</f>
        <v>0</v>
      </c>
      <c r="I19" s="358">
        <f>'0702'!AA69</f>
        <v>0</v>
      </c>
      <c r="J19" s="358">
        <f>'0702'!AB79</f>
        <v>0</v>
      </c>
    </row>
    <row r="20" spans="2:10" ht="17.25" customHeight="1">
      <c r="B20" s="408" t="s">
        <v>103</v>
      </c>
      <c r="C20" s="330" t="s">
        <v>36</v>
      </c>
      <c r="D20" s="357">
        <f>'0702'!AD15</f>
        <v>0</v>
      </c>
      <c r="E20" s="358">
        <f>'0702'!AD26</f>
        <v>0</v>
      </c>
      <c r="F20" s="358">
        <f>'0702'!AD37</f>
        <v>0</v>
      </c>
      <c r="G20" s="359">
        <f>'0702'!AD48</f>
        <v>0</v>
      </c>
      <c r="H20" s="359">
        <f>'0702'!AD58</f>
        <v>0</v>
      </c>
      <c r="I20" s="358">
        <f>'0702'!AD69</f>
        <v>0</v>
      </c>
      <c r="J20" s="358">
        <f>'0702'!AD79</f>
        <v>0</v>
      </c>
    </row>
    <row r="21" spans="2:10" ht="17.25" customHeight="1">
      <c r="B21" s="409"/>
      <c r="C21" s="330" t="s">
        <v>85</v>
      </c>
      <c r="D21" s="357">
        <f>'0702'!AE15</f>
        <v>0</v>
      </c>
      <c r="E21" s="358">
        <f>'0702'!AE26</f>
        <v>0</v>
      </c>
      <c r="F21" s="358">
        <f>'0702'!AE37</f>
        <v>0</v>
      </c>
      <c r="G21" s="359">
        <f>'0702'!AE48</f>
        <v>0</v>
      </c>
      <c r="H21" s="359">
        <f>'0702'!AE58</f>
        <v>0</v>
      </c>
      <c r="I21" s="358">
        <f>'0702'!AE69</f>
        <v>0</v>
      </c>
      <c r="J21" s="358">
        <f>'0702'!AE79</f>
        <v>0</v>
      </c>
    </row>
    <row r="22" spans="2:10" ht="17.25" customHeight="1">
      <c r="B22" s="392" t="s">
        <v>104</v>
      </c>
      <c r="C22" s="393"/>
      <c r="D22" s="23">
        <f>VALUE('0702'!M15)</f>
        <v>15</v>
      </c>
      <c r="E22" s="23">
        <f>VALUE('0702'!M26)</f>
        <v>14.333333333333334</v>
      </c>
      <c r="F22" s="23">
        <f>VALUE('0702'!M37)</f>
        <v>17.2</v>
      </c>
      <c r="G22" s="23">
        <f>VALUE('0702'!M48)</f>
        <v>16.333333333333332</v>
      </c>
      <c r="H22" s="23">
        <f>VALUE('0702'!M58)</f>
        <v>16.600000000000001</v>
      </c>
      <c r="I22" s="23">
        <f>VALUE('0702'!M69)</f>
        <v>12</v>
      </c>
      <c r="J22" s="23">
        <f>'0702'!M79</f>
        <v>13.166666666666666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A3" sqref="A3:A4"/>
      <selection pane="topRight" activeCell="A3" sqref="A3:A4"/>
      <selection pane="bottomLeft" activeCell="A3" sqref="A3:A4"/>
      <selection pane="bottomRight" activeCell="G79" sqref="G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62631</v>
      </c>
      <c r="F1" s="30" t="s">
        <v>2</v>
      </c>
      <c r="G1" s="31">
        <f>SUM(H5:H79)</f>
        <v>2923029.5170000005</v>
      </c>
      <c r="H1" s="32" t="s">
        <v>3</v>
      </c>
      <c r="I1" s="33">
        <f>M15+M26+M48+M58+M69+M79+M37</f>
        <v>104.63333333333335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142</v>
      </c>
      <c r="B2" s="418"/>
      <c r="C2" s="28"/>
      <c r="D2" s="28" t="s">
        <v>14</v>
      </c>
      <c r="E2" s="35">
        <f>AVERAGE(O15,O26,O37,O48,O58,O69,O79)</f>
        <v>108.68308806832304</v>
      </c>
      <c r="F2" s="36" t="s">
        <v>15</v>
      </c>
      <c r="G2" s="37">
        <f>G1/E1</f>
        <v>46.67065058836679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2765</v>
      </c>
      <c r="H5" s="43">
        <f>F5*G5</f>
        <v>157245.54999999999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2048.1481481481492</v>
      </c>
      <c r="O5" s="47">
        <f>N5/M5</f>
        <v>136.54320987654327</v>
      </c>
      <c r="P5" s="49">
        <f>M5-J5</f>
        <v>0</v>
      </c>
      <c r="Q5" s="50">
        <f>O5-L5</f>
        <v>-13.456790123456727</v>
      </c>
      <c r="R5" s="51">
        <f>O5/L5</f>
        <v>0.91028806584362176</v>
      </c>
      <c r="S5" s="412">
        <f>R15</f>
        <v>0.90700995667556106</v>
      </c>
      <c r="T5" s="319">
        <v>0.29375000000000001</v>
      </c>
      <c r="U5" s="320">
        <v>0.35</v>
      </c>
      <c r="V5" s="53"/>
      <c r="W5" s="54">
        <f t="shared" ref="W5:W14" si="0">(U5-T5)*24*60</f>
        <v>80.999999999999957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-201.85185185185082</v>
      </c>
      <c r="AG5" s="52">
        <f t="shared" ref="AG5:AG11" si="2">N5/K5</f>
        <v>0.91028806584362187</v>
      </c>
      <c r="AH5" s="457">
        <f>AG15</f>
        <v>0.90700995667556117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2330</v>
      </c>
      <c r="H6" s="63">
        <f>F6*G6</f>
        <v>135536.1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2086.5671641790941</v>
      </c>
      <c r="O6" s="67">
        <f>N6/M6</f>
        <v>139.10447761193961</v>
      </c>
      <c r="P6" s="69">
        <f>M6-J6</f>
        <v>0</v>
      </c>
      <c r="Q6" s="70">
        <f>O6-L6</f>
        <v>-10.895522388060385</v>
      </c>
      <c r="R6" s="71">
        <f>O6/L6</f>
        <v>0.92736318407959739</v>
      </c>
      <c r="S6" s="413"/>
      <c r="T6" s="16">
        <v>0.36111111111111099</v>
      </c>
      <c r="U6" s="16">
        <v>0.40763888888888899</v>
      </c>
      <c r="V6" s="30">
        <f>(T6-U5)*24*60</f>
        <v>15.999999999999863</v>
      </c>
      <c r="W6" s="73">
        <f t="shared" si="0"/>
        <v>67.000000000000327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-163.43283582090589</v>
      </c>
      <c r="AG6" s="72">
        <f t="shared" si="2"/>
        <v>0.92736318407959739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3190</v>
      </c>
      <c r="H7" s="78">
        <f>F7*G7</f>
        <v>156756.6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2150.5617977528282</v>
      </c>
      <c r="O7" s="81">
        <f>N7/M7</f>
        <v>143.37078651685522</v>
      </c>
      <c r="P7" s="74">
        <f>M7-J7</f>
        <v>0</v>
      </c>
      <c r="Q7" s="83">
        <f>O7-L7</f>
        <v>-6.6292134831447811</v>
      </c>
      <c r="R7" s="72">
        <f>O7/L7</f>
        <v>0.9558052434457015</v>
      </c>
      <c r="S7" s="413"/>
      <c r="T7" s="18">
        <v>0.41666666666666702</v>
      </c>
      <c r="U7" s="18">
        <v>0.47847222222222202</v>
      </c>
      <c r="V7" s="30">
        <f>(T7-U6)*24*60</f>
        <v>13.000000000000353</v>
      </c>
      <c r="W7" s="73">
        <f t="shared" si="0"/>
        <v>88.999999999999204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-99.43820224717183</v>
      </c>
      <c r="AG7" s="72">
        <f t="shared" si="2"/>
        <v>0.95580524344570139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2003</v>
      </c>
      <c r="H8" s="78">
        <f>F8*G8</f>
        <v>98427.42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1877.8124999999782</v>
      </c>
      <c r="O8" s="81">
        <f>N8/M8</f>
        <v>125.18749999999855</v>
      </c>
      <c r="P8" s="74">
        <f>M8-J8</f>
        <v>0</v>
      </c>
      <c r="Q8" s="83">
        <f>O8-L8</f>
        <v>-24.81250000000145</v>
      </c>
      <c r="R8" s="72">
        <f>O8/L8</f>
        <v>0.83458333333332368</v>
      </c>
      <c r="S8" s="413"/>
      <c r="T8" s="16">
        <v>0.54722222222222205</v>
      </c>
      <c r="U8" s="16">
        <v>0.59166666666666701</v>
      </c>
      <c r="V8" s="30">
        <f>(T8-U7)*24*60</f>
        <v>99.000000000000043</v>
      </c>
      <c r="W8" s="73">
        <f t="shared" si="0"/>
        <v>64.000000000000739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-372.18750000002183</v>
      </c>
      <c r="AG8" s="72">
        <f t="shared" si="2"/>
        <v>0.83458333333332368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2040.7724025200125</v>
      </c>
      <c r="O15" s="117">
        <f t="shared" si="3"/>
        <v>136.05149350133416</v>
      </c>
      <c r="P15" s="121">
        <f>M15-J15</f>
        <v>0</v>
      </c>
      <c r="Q15" s="122">
        <f>O15-L15</f>
        <v>-13.948506498665836</v>
      </c>
      <c r="R15" s="123">
        <f>O15/L15</f>
        <v>0.90700995667556106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-209.22759747998748</v>
      </c>
      <c r="AG15" s="124">
        <f>N15/K15</f>
        <v>0.90700995667556117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2109</v>
      </c>
      <c r="H16" s="134">
        <f>F16*G16</f>
        <v>106863.03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2040.9677419355121</v>
      </c>
      <c r="O16" s="141">
        <f>N16/M16</f>
        <v>145.78341013825087</v>
      </c>
      <c r="P16" s="142">
        <f>M16-J16</f>
        <v>0</v>
      </c>
      <c r="Q16" s="143">
        <f>O16-L16</f>
        <v>-14.93087557603485</v>
      </c>
      <c r="R16" s="144">
        <f>O16/L16</f>
        <v>0.90709677419356094</v>
      </c>
      <c r="S16" s="468">
        <f>R26</f>
        <v>0.88231850470516637</v>
      </c>
      <c r="T16" s="145">
        <v>0.29027777777777802</v>
      </c>
      <c r="U16" s="145">
        <v>0.33333333333333298</v>
      </c>
      <c r="V16" s="135"/>
      <c r="W16" s="146">
        <f t="shared" ref="W16:W78" si="4">(U16-T16)*24*60</f>
        <v>61.99999999999914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-209.03225806448791</v>
      </c>
      <c r="AG16" s="52">
        <f>N16/K16</f>
        <v>0.90709677419356094</v>
      </c>
      <c r="AH16" s="457">
        <f>AG26</f>
        <v>0.87905375979431277</v>
      </c>
    </row>
    <row r="17" spans="1:34" ht="15" customHeight="1">
      <c r="A17" s="475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1656</v>
      </c>
      <c r="H17" s="78">
        <f>F17*G17</f>
        <v>94739.76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1874.7169811321046</v>
      </c>
      <c r="O17" s="96">
        <f>N17/M17</f>
        <v>110.27746947835909</v>
      </c>
      <c r="P17" s="97">
        <f>M17-J17</f>
        <v>0</v>
      </c>
      <c r="Q17" s="98">
        <f>O17-L17</f>
        <v>-22.075471698111485</v>
      </c>
      <c r="R17" s="99">
        <f>O17/L17</f>
        <v>0.83320754716982437</v>
      </c>
      <c r="S17" s="469"/>
      <c r="T17" s="19">
        <v>0.34166666666666701</v>
      </c>
      <c r="U17" s="19">
        <v>0.37847222222222199</v>
      </c>
      <c r="V17" s="30">
        <f>(T17-U16)*24*60</f>
        <v>12.000000000000997</v>
      </c>
      <c r="W17" s="149">
        <f t="shared" si="4"/>
        <v>52.999999999999176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-375.28301886789541</v>
      </c>
      <c r="AG17" s="72">
        <f>N17/K17</f>
        <v>0.83320754716982426</v>
      </c>
      <c r="AH17" s="458"/>
    </row>
    <row r="18" spans="1:34" ht="15" customHeight="1">
      <c r="A18" s="475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937</v>
      </c>
      <c r="H18" s="78">
        <f>F18*G18</f>
        <v>53043.57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1813.5483870967571</v>
      </c>
      <c r="O18" s="96">
        <f>N18/M18</f>
        <v>120.90322580645048</v>
      </c>
      <c r="P18" s="97">
        <f>M18-J18</f>
        <v>0</v>
      </c>
      <c r="Q18" s="98">
        <f>O18-L18</f>
        <v>-29.096774193549521</v>
      </c>
      <c r="R18" s="99">
        <f>O18/L18</f>
        <v>0.80602150537633654</v>
      </c>
      <c r="S18" s="469"/>
      <c r="T18" s="19">
        <v>0.390277777777778</v>
      </c>
      <c r="U18" s="19">
        <v>0.41180555555555598</v>
      </c>
      <c r="V18" s="30">
        <f>(T18-U17)*24*60</f>
        <v>17.000000000000661</v>
      </c>
      <c r="W18" s="149">
        <f t="shared" si="4"/>
        <v>31.000000000000291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-436.4516129032429</v>
      </c>
      <c r="AG18" s="72">
        <f>N18/K18</f>
        <v>0.80602150537633643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3097</v>
      </c>
      <c r="H19" s="78">
        <f t="shared" ref="H19:H21" si="5">F19*G19</f>
        <v>156057.83000000002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2186.1176470588148</v>
      </c>
      <c r="O19" s="96">
        <f t="shared" ref="O19:O21" si="8">N19/M19</f>
        <v>168.16289592760114</v>
      </c>
      <c r="P19" s="97">
        <f t="shared" ref="P19:P21" si="9">M19-J19</f>
        <v>0</v>
      </c>
      <c r="Q19" s="98">
        <f t="shared" ref="Q19:Q21" si="10">O19-L19</f>
        <v>-4.9140271493219245</v>
      </c>
      <c r="R19" s="99">
        <f t="shared" ref="R19:R21" si="11">O19/L19</f>
        <v>0.97160784313725113</v>
      </c>
      <c r="S19" s="469"/>
      <c r="T19" s="19">
        <v>0.41875000000000001</v>
      </c>
      <c r="U19" s="19">
        <v>0.47777777777777802</v>
      </c>
      <c r="V19" s="30">
        <f>(T19-U18)*24*60</f>
        <v>9.9999999999994049</v>
      </c>
      <c r="W19" s="149">
        <f t="shared" si="4"/>
        <v>85.000000000000341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-63.882352941185218</v>
      </c>
      <c r="AG19" s="72">
        <f>N19/K19</f>
        <v>0.97160784313725101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1173</v>
      </c>
      <c r="H20" s="78">
        <f t="shared" si="5"/>
        <v>59107.47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1955.000000000007</v>
      </c>
      <c r="O20" s="96">
        <f t="shared" si="8"/>
        <v>150.38461538461593</v>
      </c>
      <c r="P20" s="97">
        <f t="shared" si="9"/>
        <v>0</v>
      </c>
      <c r="Q20" s="98">
        <f t="shared" si="10"/>
        <v>-22.692307692307139</v>
      </c>
      <c r="R20" s="99">
        <f t="shared" si="11"/>
        <v>0.86888888888889204</v>
      </c>
      <c r="S20" s="469"/>
      <c r="T20" s="19">
        <v>0.55208333333333304</v>
      </c>
      <c r="U20" s="19">
        <v>0.57708333333333295</v>
      </c>
      <c r="V20" s="30">
        <f>(T20-U19)*24*60</f>
        <v>106.99999999999922</v>
      </c>
      <c r="W20" s="149">
        <f t="shared" si="4"/>
        <v>35.999999999999872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1065</v>
      </c>
      <c r="H21" s="78">
        <f t="shared" si="5"/>
        <v>53963.55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1996.8750000000268</v>
      </c>
      <c r="O21" s="96">
        <f t="shared" si="8"/>
        <v>142.63392857143049</v>
      </c>
      <c r="P21" s="97">
        <f t="shared" si="9"/>
        <v>0</v>
      </c>
      <c r="Q21" s="98">
        <f t="shared" si="10"/>
        <v>-18.080357142855235</v>
      </c>
      <c r="R21" s="99">
        <f t="shared" si="11"/>
        <v>0.88750000000001183</v>
      </c>
      <c r="S21" s="469"/>
      <c r="T21" s="19">
        <v>0.58402777777777803</v>
      </c>
      <c r="U21" s="19">
        <v>0.60624999999999996</v>
      </c>
      <c r="V21" s="30">
        <f>(T21-U20)*24*60</f>
        <v>10.000000000000924</v>
      </c>
      <c r="W21" s="149">
        <f t="shared" si="4"/>
        <v>31.999999999999567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1977.8709595372038</v>
      </c>
      <c r="O26" s="158">
        <f t="shared" si="12"/>
        <v>139.69092421778467</v>
      </c>
      <c r="P26" s="159">
        <f>M26-J26</f>
        <v>0</v>
      </c>
      <c r="Q26" s="160">
        <f>O26-L26</f>
        <v>-18.631635575363362</v>
      </c>
      <c r="R26" s="161">
        <f>O26/L26</f>
        <v>0.88231850470516637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-272.12904046279618</v>
      </c>
      <c r="AG26" s="124">
        <f t="shared" ref="AG26:AG31" si="14">N26/K26</f>
        <v>0.87905375979431277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1773</v>
      </c>
      <c r="H27" s="134">
        <f>F27*G27</f>
        <v>80955.179999999993</v>
      </c>
      <c r="I27" s="135"/>
      <c r="J27" s="136">
        <f>VLOOKUP(D27,產線配置圖!$A$3:$C$40,2,0)</f>
        <v>17</v>
      </c>
      <c r="K27" s="137">
        <f>VLOOKUP(D27,產線配置圖!$A$3:$C$40,3,0)</f>
        <v>1500</v>
      </c>
      <c r="L27" s="138">
        <f>K27/J27</f>
        <v>88.235294117647058</v>
      </c>
      <c r="M27" s="170">
        <v>17</v>
      </c>
      <c r="N27" s="140">
        <f>G27/W27*60</f>
        <v>1477.4999999999989</v>
      </c>
      <c r="O27" s="141">
        <f>N27/M27</f>
        <v>86.911764705882291</v>
      </c>
      <c r="P27" s="142">
        <f>M27-J27</f>
        <v>0</v>
      </c>
      <c r="Q27" s="143">
        <f>O27-L27</f>
        <v>-1.3235294117647669</v>
      </c>
      <c r="R27" s="144">
        <f>O27/L27</f>
        <v>0.98499999999999932</v>
      </c>
      <c r="S27" s="468">
        <f>R37</f>
        <v>0.92563959184230771</v>
      </c>
      <c r="T27" s="171">
        <v>0.28819444444444398</v>
      </c>
      <c r="U27" s="171">
        <v>0.33819444444444402</v>
      </c>
      <c r="V27" s="135"/>
      <c r="W27" s="146">
        <f t="shared" si="4"/>
        <v>72.000000000000057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-22.500000000001137</v>
      </c>
      <c r="AG27" s="172">
        <f t="shared" si="14"/>
        <v>0.98499999999999921</v>
      </c>
      <c r="AH27" s="457">
        <f>AG37</f>
        <v>0.90411447903777553</v>
      </c>
    </row>
    <row r="28" spans="1:34" ht="15" customHeight="1">
      <c r="A28" s="466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2270</v>
      </c>
      <c r="H28" s="91">
        <f>F28*G28</f>
        <v>129866.7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1480.4347826086932</v>
      </c>
      <c r="O28" s="96">
        <f>N28/M28</f>
        <v>87.084398976981959</v>
      </c>
      <c r="P28" s="97">
        <f>M28-J28</f>
        <v>-1</v>
      </c>
      <c r="Q28" s="98">
        <f>O28-L28</f>
        <v>-3.8044899119069271</v>
      </c>
      <c r="R28" s="99">
        <f>O28/L28</f>
        <v>0.9581413090376989</v>
      </c>
      <c r="S28" s="469"/>
      <c r="T28" s="19">
        <v>0.34375</v>
      </c>
      <c r="U28" s="19">
        <v>0.40763888888888899</v>
      </c>
      <c r="V28" s="92">
        <f>(T28-U27)*24*60</f>
        <v>8.0000000000006111</v>
      </c>
      <c r="W28" s="149">
        <f t="shared" si="4"/>
        <v>92.000000000000156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-155.56521739130676</v>
      </c>
      <c r="AG28" s="99">
        <f t="shared" si="14"/>
        <v>0.90491123631338222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1681</v>
      </c>
      <c r="H29" s="91">
        <f>F29*G29</f>
        <v>96170.01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1440.8571428571149</v>
      </c>
      <c r="O29" s="96">
        <f>N29/M29</f>
        <v>80.047619047617502</v>
      </c>
      <c r="P29" s="97">
        <f>M29-J29</f>
        <v>0</v>
      </c>
      <c r="Q29" s="98">
        <f>O29-L29</f>
        <v>-6.8968253968269408</v>
      </c>
      <c r="R29" s="99">
        <f>O29/L29</f>
        <v>0.92067549064352405</v>
      </c>
      <c r="S29" s="469"/>
      <c r="T29" s="19">
        <v>0.41319444444444398</v>
      </c>
      <c r="U29" s="19">
        <v>0.46180555555555602</v>
      </c>
      <c r="V29" s="92">
        <f>(T29-U28)*24*60</f>
        <v>7.9999999999991722</v>
      </c>
      <c r="W29" s="149">
        <f t="shared" si="4"/>
        <v>70.00000000000135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-124.14285714288508</v>
      </c>
      <c r="AG29" s="99">
        <f t="shared" si="14"/>
        <v>0.92067549064352394</v>
      </c>
      <c r="AH29" s="478"/>
    </row>
    <row r="30" spans="1:34" ht="15" customHeight="1">
      <c r="A30" s="466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2400</v>
      </c>
      <c r="H30" s="91">
        <f t="shared" ref="H30:H31" si="15">F30*G30</f>
        <v>109583.99999999999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 t="shared" ref="L30:L31" si="16">K30/J30</f>
        <v>88.235294117647058</v>
      </c>
      <c r="M30" s="94">
        <v>17</v>
      </c>
      <c r="N30" s="95">
        <f t="shared" ref="N30:N31" si="17">G30/W30*60</f>
        <v>1439.9999999999889</v>
      </c>
      <c r="O30" s="96">
        <f t="shared" ref="O30:O31" si="18">N30/M30</f>
        <v>84.70588235294052</v>
      </c>
      <c r="P30" s="97">
        <f t="shared" ref="P30:P31" si="19">M30-J30</f>
        <v>0</v>
      </c>
      <c r="Q30" s="98">
        <f t="shared" ref="Q30:Q31" si="20">O30-L30</f>
        <v>-3.5294117647065377</v>
      </c>
      <c r="R30" s="99">
        <f t="shared" ref="R30:R31" si="21">O30/L30</f>
        <v>0.95999999999999253</v>
      </c>
      <c r="S30" s="469"/>
      <c r="T30" s="19">
        <v>0.51736111111111105</v>
      </c>
      <c r="U30" s="19">
        <v>0.58680555555555602</v>
      </c>
      <c r="V30" s="92">
        <f>(T30-U29)*24*60</f>
        <v>79.999999999999233</v>
      </c>
      <c r="W30" s="149">
        <f t="shared" si="4"/>
        <v>100.00000000000077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-60.000000000011141</v>
      </c>
      <c r="AG30" s="99">
        <f t="shared" si="14"/>
        <v>0.95999999999999253</v>
      </c>
      <c r="AH30" s="479"/>
    </row>
    <row r="31" spans="1:34" ht="15" customHeight="1">
      <c r="A31" s="466"/>
      <c r="B31" s="75" t="s">
        <v>128</v>
      </c>
      <c r="C31" s="88"/>
      <c r="D31" s="59" t="s">
        <v>131</v>
      </c>
      <c r="E31" s="89"/>
      <c r="F31" s="75">
        <f>VLOOKUP(D31,廠價表!$C$1:$E$43,3,0)</f>
        <v>44.3</v>
      </c>
      <c r="G31" s="90">
        <v>1600</v>
      </c>
      <c r="H31" s="91">
        <f t="shared" si="15"/>
        <v>70880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17</v>
      </c>
      <c r="N31" s="95">
        <f t="shared" si="17"/>
        <v>1246.7532467532512</v>
      </c>
      <c r="O31" s="96">
        <f t="shared" si="18"/>
        <v>73.338426279603013</v>
      </c>
      <c r="P31" s="97">
        <f t="shared" si="19"/>
        <v>-1</v>
      </c>
      <c r="Q31" s="98">
        <f t="shared" si="20"/>
        <v>-17.550462609285873</v>
      </c>
      <c r="R31" s="99">
        <f t="shared" si="21"/>
        <v>0.806902000631329</v>
      </c>
      <c r="S31" s="469"/>
      <c r="T31" s="19">
        <v>0.59236111111111101</v>
      </c>
      <c r="U31" s="19">
        <v>0.64583333333333304</v>
      </c>
      <c r="V31" s="92">
        <f>(T31-U30)*24*60</f>
        <v>7.9999999999991722</v>
      </c>
      <c r="W31" s="149">
        <f t="shared" si="4"/>
        <v>76.99999999999973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-389.24675324674877</v>
      </c>
      <c r="AG31" s="99">
        <f t="shared" si="14"/>
        <v>0.76207411170736628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2">AVERAGE(J27:J36)</f>
        <v>17.600000000000001</v>
      </c>
      <c r="K37" s="155">
        <f t="shared" si="22"/>
        <v>1567.4</v>
      </c>
      <c r="L37" s="158">
        <f t="shared" si="22"/>
        <v>89.038562091503266</v>
      </c>
      <c r="M37" s="155">
        <f t="shared" si="22"/>
        <v>17.2</v>
      </c>
      <c r="N37" s="155">
        <f t="shared" si="22"/>
        <v>1417.1090344438094</v>
      </c>
      <c r="O37" s="158">
        <f t="shared" si="22"/>
        <v>82.417618272605054</v>
      </c>
      <c r="P37" s="159">
        <f>M37-J37</f>
        <v>-0.40000000000000213</v>
      </c>
      <c r="Q37" s="160">
        <f>N37-K37</f>
        <v>-150.29096555619071</v>
      </c>
      <c r="R37" s="161">
        <f>O37/L37</f>
        <v>0.92563959184230771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-150.29096555619071</v>
      </c>
      <c r="AG37" s="124">
        <f>N37/K37</f>
        <v>0.90411447903777553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362"/>
      <c r="F38" s="39">
        <f>VLOOKUP(D38,廠價表!$C$1:$E$43,3,0)</f>
        <v>49.91</v>
      </c>
      <c r="G38" s="186">
        <v>2842</v>
      </c>
      <c r="H38" s="134">
        <f>F38*G38</f>
        <v>141844.22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1623.999999999992</v>
      </c>
      <c r="O38" s="141">
        <f>N38/M38</f>
        <v>108.26666666666614</v>
      </c>
      <c r="P38" s="142">
        <f>M38-J38</f>
        <v>0</v>
      </c>
      <c r="Q38" s="143">
        <f>O38-L38</f>
        <v>-6.0000000000005258</v>
      </c>
      <c r="R38" s="144">
        <f>O38/L38</f>
        <v>0.94749124854141897</v>
      </c>
      <c r="S38" s="490">
        <f>R48</f>
        <v>0.95063049581448844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-90.000000000007958</v>
      </c>
      <c r="AG38" s="195">
        <f>N38/K38</f>
        <v>0.94749124854141897</v>
      </c>
      <c r="AH38" s="480">
        <f>AG48</f>
        <v>0.91611664174840901</v>
      </c>
    </row>
    <row r="39" spans="1:34" ht="15" customHeight="1">
      <c r="A39" s="488"/>
      <c r="B39" s="75" t="s">
        <v>128</v>
      </c>
      <c r="C39" s="207"/>
      <c r="D39" s="198" t="s">
        <v>131</v>
      </c>
      <c r="E39" s="178"/>
      <c r="F39" s="75">
        <f>VLOOKUP(D39,廠價表!$C$1:$E$43,3,0)</f>
        <v>44.3</v>
      </c>
      <c r="G39" s="199">
        <v>2380</v>
      </c>
      <c r="H39" s="91">
        <f>F39*G39</f>
        <v>105434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1442.4242424242418</v>
      </c>
      <c r="O39" s="203">
        <f>N39/M39</f>
        <v>84.848484848484816</v>
      </c>
      <c r="P39" s="97">
        <f>M39-J39</f>
        <v>-1</v>
      </c>
      <c r="Q39" s="98">
        <f>O39-L39</f>
        <v>-6.04040404040407</v>
      </c>
      <c r="R39" s="99">
        <f>O39/L39</f>
        <v>0.93354078684151998</v>
      </c>
      <c r="S39" s="491"/>
      <c r="T39" s="20">
        <v>0.42430555555555599</v>
      </c>
      <c r="U39" s="20">
        <v>0.49305555555555602</v>
      </c>
      <c r="V39" s="92">
        <f>(T39-U38)*24*60</f>
        <v>26.000000000000625</v>
      </c>
      <c r="W39" s="205">
        <f t="shared" si="4"/>
        <v>99.000000000000043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-193.57575757575819</v>
      </c>
      <c r="AG39" s="206">
        <f>N39/K39</f>
        <v>0.88167740979476883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1126</v>
      </c>
      <c r="H40" s="91">
        <f>F40*G40</f>
        <v>49881.799999999996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1501.3333333333333</v>
      </c>
      <c r="O40" s="203">
        <f>N40/M40</f>
        <v>88.313725490196077</v>
      </c>
      <c r="P40" s="97">
        <f>M40-J40</f>
        <v>-1</v>
      </c>
      <c r="Q40" s="98">
        <f>O40-L40</f>
        <v>-2.5751633986928084</v>
      </c>
      <c r="R40" s="99">
        <f>O40/L40</f>
        <v>0.97166690637135056</v>
      </c>
      <c r="S40" s="413"/>
      <c r="T40" s="20">
        <v>0.55208333333333304</v>
      </c>
      <c r="U40" s="210">
        <v>0.58333333333333304</v>
      </c>
      <c r="V40" s="92">
        <f>(T40-U39)*24*60</f>
        <v>84.999999999998892</v>
      </c>
      <c r="W40" s="205">
        <f t="shared" si="4"/>
        <v>45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-134.66666666666674</v>
      </c>
      <c r="AG40" s="206">
        <f>N40/K40</f>
        <v>0.91768541157294203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3">AVERAGE(J38:J47)</f>
        <v>17</v>
      </c>
      <c r="K48" s="155">
        <f t="shared" si="23"/>
        <v>1662</v>
      </c>
      <c r="L48" s="158">
        <f t="shared" si="23"/>
        <v>98.681481481481498</v>
      </c>
      <c r="M48" s="155">
        <f t="shared" si="23"/>
        <v>16.333333333333332</v>
      </c>
      <c r="N48" s="155">
        <f t="shared" si="23"/>
        <v>1522.5858585858557</v>
      </c>
      <c r="O48" s="158">
        <f t="shared" si="23"/>
        <v>93.809625668449016</v>
      </c>
      <c r="P48" s="221">
        <f>M48-J48</f>
        <v>-0.66666666666666785</v>
      </c>
      <c r="Q48" s="222">
        <f>N48-K48</f>
        <v>-139.4141414141443</v>
      </c>
      <c r="R48" s="223">
        <f t="shared" ref="R48:R53" si="24">O48/L48</f>
        <v>0.95063049581448844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-139.4141414141443</v>
      </c>
      <c r="AG48" s="162">
        <f t="shared" ref="AG48:AG53" si="26">N48/K48</f>
        <v>0.91611664174840901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1956</v>
      </c>
      <c r="H49" s="134">
        <f>F49*G49</f>
        <v>96861.12000000001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1524.1558441558511</v>
      </c>
      <c r="O49" s="141">
        <f>N49/M49</f>
        <v>89.656226126814772</v>
      </c>
      <c r="P49" s="229">
        <f>M49-J49</f>
        <v>0</v>
      </c>
      <c r="Q49" s="230">
        <f>O49-L49</f>
        <v>-16.226126814361692</v>
      </c>
      <c r="R49" s="52">
        <f t="shared" si="24"/>
        <v>0.8467532467532507</v>
      </c>
      <c r="S49" s="412">
        <f>R58</f>
        <v>0.93261050788636324</v>
      </c>
      <c r="T49" s="191">
        <v>0.29027777777777802</v>
      </c>
      <c r="U49" s="191">
        <v>0.34375</v>
      </c>
      <c r="V49" s="55"/>
      <c r="W49" s="193">
        <f t="shared" si="4"/>
        <v>76.999999999999645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-275.84415584414887</v>
      </c>
      <c r="AG49" s="52">
        <f t="shared" si="26"/>
        <v>0.84675324675325059</v>
      </c>
      <c r="AH49" s="457">
        <f>AG58</f>
        <v>0.93193290521970051</v>
      </c>
    </row>
    <row r="50" spans="1:34" ht="15" customHeight="1">
      <c r="A50" s="485"/>
      <c r="B50" s="75" t="s">
        <v>81</v>
      </c>
      <c r="C50" s="76"/>
      <c r="D50" s="59" t="s">
        <v>134</v>
      </c>
      <c r="E50" s="77"/>
      <c r="F50" s="75">
        <f>VLOOKUP(D50,廠價表!$C$1:$E$43,3,0)</f>
        <v>49.97</v>
      </c>
      <c r="G50" s="202">
        <v>3067</v>
      </c>
      <c r="H50" s="231">
        <f>F50*G50</f>
        <v>153257.99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1672.9090909091101</v>
      </c>
      <c r="O50" s="235">
        <f>N50/M50</f>
        <v>104.55681818181938</v>
      </c>
      <c r="P50" s="74">
        <f>M50-J50</f>
        <v>0</v>
      </c>
      <c r="Q50" s="83">
        <f>O50-L50</f>
        <v>-7.9431818181806193</v>
      </c>
      <c r="R50" s="72">
        <f t="shared" si="24"/>
        <v>0.9293939393939501</v>
      </c>
      <c r="S50" s="413"/>
      <c r="T50" s="21">
        <v>0.34930555555555598</v>
      </c>
      <c r="U50" s="21">
        <v>0.42569444444444399</v>
      </c>
      <c r="V50" s="30">
        <f>(T50-U49)*24*60</f>
        <v>8.0000000000006111</v>
      </c>
      <c r="W50" s="236">
        <f t="shared" si="4"/>
        <v>109.99999999999874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-127.09090909088991</v>
      </c>
      <c r="AG50" s="72">
        <f t="shared" si="26"/>
        <v>0.9293939393939501</v>
      </c>
      <c r="AH50" s="458"/>
    </row>
    <row r="51" spans="1:34" ht="15" customHeight="1">
      <c r="A51" s="485"/>
      <c r="B51" s="75" t="s">
        <v>81</v>
      </c>
      <c r="C51" s="76"/>
      <c r="D51" s="59" t="s">
        <v>135</v>
      </c>
      <c r="E51" s="77"/>
      <c r="F51" s="75">
        <f>VLOOKUP(D51,廠價表!$C$1:$E$43,3,0)</f>
        <v>50.289000000000001</v>
      </c>
      <c r="G51" s="202">
        <v>948</v>
      </c>
      <c r="H51" s="231">
        <f>F51*G51</f>
        <v>47673.972000000002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1537.2972972973259</v>
      </c>
      <c r="O51" s="235">
        <f>N51/M51</f>
        <v>90.429252782195647</v>
      </c>
      <c r="P51" s="74">
        <f>M51-J51</f>
        <v>0</v>
      </c>
      <c r="Q51" s="83">
        <f>O51-L51</f>
        <v>-5.8060413354514111</v>
      </c>
      <c r="R51" s="72">
        <f t="shared" si="24"/>
        <v>0.9396682746316174</v>
      </c>
      <c r="S51" s="413"/>
      <c r="T51" s="21">
        <v>0.43263888888888902</v>
      </c>
      <c r="U51" s="19">
        <v>0.45833333333333298</v>
      </c>
      <c r="V51" s="30">
        <f>(T51-U50)*24*60</f>
        <v>10.000000000000844</v>
      </c>
      <c r="W51" s="236">
        <f t="shared" si="4"/>
        <v>36.999999999999311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-98.70270270267406</v>
      </c>
      <c r="AG51" s="72">
        <f t="shared" si="26"/>
        <v>0.93966827463161728</v>
      </c>
      <c r="AH51" s="458"/>
    </row>
    <row r="52" spans="1:34" ht="15" customHeight="1">
      <c r="A52" s="485"/>
      <c r="B52" s="75" t="s">
        <v>81</v>
      </c>
      <c r="C52" s="86"/>
      <c r="D52" s="59" t="s">
        <v>135</v>
      </c>
      <c r="E52" s="87"/>
      <c r="F52" s="75">
        <f>VLOOKUP(D52,廠價表!$C$1:$E$43,3,0)</f>
        <v>50.289000000000001</v>
      </c>
      <c r="G52" s="202">
        <v>1595</v>
      </c>
      <c r="H52" s="231">
        <f>F52*G52</f>
        <v>80210.955000000002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>K52/J52</f>
        <v>96.235294117647058</v>
      </c>
      <c r="M52" s="233">
        <v>17</v>
      </c>
      <c r="N52" s="234">
        <f>G52/W52*60</f>
        <v>1568.8524590163991</v>
      </c>
      <c r="O52" s="235">
        <f>N52/M52</f>
        <v>92.285438765670534</v>
      </c>
      <c r="P52" s="74">
        <f>M52-J52</f>
        <v>0</v>
      </c>
      <c r="Q52" s="83">
        <f>O52-L52</f>
        <v>-3.9498553519765238</v>
      </c>
      <c r="R52" s="72">
        <f t="shared" si="24"/>
        <v>0.95895627079241996</v>
      </c>
      <c r="S52" s="413"/>
      <c r="T52" s="21">
        <v>0.51736111111111105</v>
      </c>
      <c r="U52" s="21">
        <v>0.55972222222222201</v>
      </c>
      <c r="V52" s="30">
        <f>(T52-U51)*24*60</f>
        <v>85.000000000000412</v>
      </c>
      <c r="W52" s="236">
        <f t="shared" si="4"/>
        <v>60.999999999999787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-67.147540983600948</v>
      </c>
      <c r="AG52" s="72">
        <f t="shared" si="26"/>
        <v>0.95895627079241996</v>
      </c>
      <c r="AH52" s="458"/>
    </row>
    <row r="53" spans="1:34" ht="15" customHeight="1">
      <c r="A53" s="485"/>
      <c r="B53" s="101" t="s">
        <v>81</v>
      </c>
      <c r="C53" s="102"/>
      <c r="D53" s="103" t="s">
        <v>134</v>
      </c>
      <c r="E53" s="104"/>
      <c r="F53" s="75">
        <f>VLOOKUP(D53,廠價表!$C$1:$E$43,3,0)</f>
        <v>49.97</v>
      </c>
      <c r="G53" s="202">
        <v>1986</v>
      </c>
      <c r="H53" s="231">
        <f>F53*G53</f>
        <v>99240.42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1778.5074626865567</v>
      </c>
      <c r="O53" s="235">
        <f>N53/M53</f>
        <v>111.15671641790979</v>
      </c>
      <c r="P53" s="74">
        <f>M53-J53</f>
        <v>0</v>
      </c>
      <c r="Q53" s="83">
        <f>O53-L53</f>
        <v>-1.3432835820902085</v>
      </c>
      <c r="R53" s="72">
        <f t="shared" si="24"/>
        <v>0.98805970149253153</v>
      </c>
      <c r="S53" s="413"/>
      <c r="T53" s="21">
        <v>0.56458333333333299</v>
      </c>
      <c r="U53" s="21">
        <v>0.61111111111111105</v>
      </c>
      <c r="V53" s="30">
        <f>(T53-U52)*24*60</f>
        <v>6.9999999999998153</v>
      </c>
      <c r="W53" s="236">
        <f t="shared" si="4"/>
        <v>67.000000000000398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-21.492537313443336</v>
      </c>
      <c r="AG53" s="72">
        <f t="shared" si="26"/>
        <v>0.98805970149253153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1734.4</v>
      </c>
      <c r="L58" s="117">
        <f t="shared" si="27"/>
        <v>104.67058823529412</v>
      </c>
      <c r="M58" s="120">
        <f t="shared" si="27"/>
        <v>16.600000000000001</v>
      </c>
      <c r="N58" s="120">
        <f t="shared" si="27"/>
        <v>1616.3444308130486</v>
      </c>
      <c r="O58" s="117">
        <f t="shared" si="27"/>
        <v>97.616890454882039</v>
      </c>
      <c r="P58" s="121">
        <f>M58-J58</f>
        <v>0</v>
      </c>
      <c r="Q58" s="122">
        <f>N58-K58</f>
        <v>-118.05556918695152</v>
      </c>
      <c r="R58" s="123">
        <f>O58/L58</f>
        <v>0.93261050788636324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-118.05556918695152</v>
      </c>
      <c r="AG58" s="124">
        <f>N58/K58</f>
        <v>0.93193290521970051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3178</v>
      </c>
      <c r="H59" s="243">
        <f>F59*G59</f>
        <v>85774.22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1588.9999999999866</v>
      </c>
      <c r="O59" s="138">
        <f>N59/M59</f>
        <v>105.93333333333244</v>
      </c>
      <c r="P59" s="56">
        <f>M59-J59</f>
        <v>0</v>
      </c>
      <c r="Q59" s="230">
        <f>O59-L59</f>
        <v>-3.133333333334221</v>
      </c>
      <c r="R59" s="52">
        <f>O59/L59</f>
        <v>0.97127139364302362</v>
      </c>
      <c r="S59" s="412">
        <f>R69</f>
        <v>0.92592996856444043</v>
      </c>
      <c r="T59" s="245">
        <v>0.28819444444444398</v>
      </c>
      <c r="U59" s="245">
        <v>0.37152777777777801</v>
      </c>
      <c r="V59" s="55"/>
      <c r="W59" s="54">
        <f t="shared" si="4"/>
        <v>120.00000000000101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-47.000000000013415</v>
      </c>
      <c r="AG59" s="246">
        <f>N59/K59</f>
        <v>0.97127139364302362</v>
      </c>
      <c r="AH59" s="457">
        <f>AG69</f>
        <v>0.92895273023634617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1567</v>
      </c>
      <c r="H60" s="78">
        <f>F60*G60</f>
        <v>44283.420000000006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1566.9999999999868</v>
      </c>
      <c r="O60" s="81">
        <f>N60/M60</f>
        <v>142.45454545454425</v>
      </c>
      <c r="P60" s="74">
        <f>M60-J60</f>
        <v>0</v>
      </c>
      <c r="Q60" s="83">
        <f>O60-L60</f>
        <v>-6.2727272727284742</v>
      </c>
      <c r="R60" s="72">
        <f>O60/L60</f>
        <v>0.95782396088018751</v>
      </c>
      <c r="S60" s="502"/>
      <c r="T60" s="22">
        <v>0.37847222222222199</v>
      </c>
      <c r="U60" s="22">
        <v>0.42013888888888901</v>
      </c>
      <c r="V60" s="30">
        <f>(T60-U59)*24*60</f>
        <v>9.999999999999325</v>
      </c>
      <c r="W60" s="248">
        <f t="shared" si="4"/>
        <v>60.000000000000504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-69.000000000013188</v>
      </c>
      <c r="AG60" s="249">
        <f>N60/K60</f>
        <v>0.95782396088018751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2065</v>
      </c>
      <c r="H61" s="254">
        <f>F61*G61</f>
        <v>58356.9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1376.6666666666665</v>
      </c>
      <c r="O61" s="238">
        <f>N61/M61</f>
        <v>125.15151515151514</v>
      </c>
      <c r="P61" s="111">
        <f>M61-J61</f>
        <v>0</v>
      </c>
      <c r="Q61" s="255">
        <f>O61-L61</f>
        <v>-23.575757575757578</v>
      </c>
      <c r="R61" s="85">
        <f>O61/L61</f>
        <v>0.84148329258353705</v>
      </c>
      <c r="S61" s="413"/>
      <c r="T61" s="22">
        <v>0.42708333333333298</v>
      </c>
      <c r="U61" s="22">
        <v>0.48958333333333298</v>
      </c>
      <c r="V61" s="30">
        <f>(T61-U60)*24*60</f>
        <v>9.999999999999325</v>
      </c>
      <c r="W61" s="256">
        <f t="shared" si="4"/>
        <v>90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-259.33333333333348</v>
      </c>
      <c r="AG61" s="247">
        <f>N61/K61</f>
        <v>0.84148329258353693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1933</v>
      </c>
      <c r="H62" s="78">
        <f>F62*G62</f>
        <v>54626.58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80">
        <f>G62/W62*60</f>
        <v>1546.4000000000087</v>
      </c>
      <c r="O62" s="81">
        <f>N62/M62</f>
        <v>140.58181818181899</v>
      </c>
      <c r="P62" s="74">
        <f>M62-J62</f>
        <v>0</v>
      </c>
      <c r="Q62" s="83">
        <f>O62-L62</f>
        <v>-8.145454545453731</v>
      </c>
      <c r="R62" s="72">
        <f>O62/L62</f>
        <v>0.94523227383863628</v>
      </c>
      <c r="S62" s="413"/>
      <c r="T62" s="22">
        <v>0.54166666666666696</v>
      </c>
      <c r="U62" s="22">
        <v>0.59375</v>
      </c>
      <c r="V62" s="30">
        <f>(T62-U61)*24*60</f>
        <v>75.000000000000938</v>
      </c>
      <c r="W62" s="248">
        <f t="shared" si="4"/>
        <v>74.999999999999574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-89.599999999991269</v>
      </c>
      <c r="AG62" s="247">
        <f>N62/K62</f>
        <v>0.94523227383863617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1519.7666666666623</v>
      </c>
      <c r="O69" s="268">
        <f t="shared" si="28"/>
        <v>128.53030303030269</v>
      </c>
      <c r="P69" s="269">
        <f>M69-J69</f>
        <v>0</v>
      </c>
      <c r="Q69" s="222">
        <f>N69-K69</f>
        <v>-116.23333333333767</v>
      </c>
      <c r="R69" s="123">
        <f t="shared" ref="R69:R75" si="29">O69/L69</f>
        <v>0.92592996856444043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-116.23333333333767</v>
      </c>
      <c r="AG69" s="124">
        <f>N69/K69</f>
        <v>0.92895273023634617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1480</v>
      </c>
      <c r="H70" s="243">
        <f t="shared" ref="H70:H75" si="30">F70*G70</f>
        <v>41824.800000000003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 t="shared" ref="N70:N75" si="31">G70/W70*60</f>
        <v>1138.4615384615529</v>
      </c>
      <c r="O70" s="138">
        <f t="shared" ref="O70:O75" si="32">N70/M70</f>
        <v>142.30769230769411</v>
      </c>
      <c r="P70" s="56">
        <f t="shared" ref="P70:P75" si="33">M70-J70</f>
        <v>-3</v>
      </c>
      <c r="Q70" s="230">
        <f t="shared" ref="Q70:Q75" si="34">O70-L70</f>
        <v>-6.4195804195786081</v>
      </c>
      <c r="R70" s="52">
        <f t="shared" si="29"/>
        <v>0.95683656197104849</v>
      </c>
      <c r="S70" s="412">
        <f>R79</f>
        <v>0.76128409785284212</v>
      </c>
      <c r="T70" s="245">
        <v>0.29166666666666702</v>
      </c>
      <c r="U70" s="245">
        <v>0.34583333333333299</v>
      </c>
      <c r="V70" s="55"/>
      <c r="W70" s="54">
        <f t="shared" si="4"/>
        <v>77.999999999999005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-497.53846153844711</v>
      </c>
      <c r="AG70" s="246">
        <f>N70/K70</f>
        <v>0.6958811359789443</v>
      </c>
      <c r="AH70" s="457">
        <f>AG79</f>
        <v>0.68880457923634353</v>
      </c>
    </row>
    <row r="71" spans="1:36" ht="15" customHeight="1">
      <c r="A71" s="495"/>
      <c r="B71" s="75" t="s">
        <v>81</v>
      </c>
      <c r="C71" s="76"/>
      <c r="D71" s="59" t="s">
        <v>127</v>
      </c>
      <c r="E71" s="77"/>
      <c r="F71" s="75">
        <v>50.67</v>
      </c>
      <c r="G71" s="202">
        <v>474</v>
      </c>
      <c r="H71" s="78">
        <f t="shared" si="30"/>
        <v>24017.58</v>
      </c>
      <c r="I71" s="30"/>
      <c r="J71" s="79">
        <f>VLOOKUP(D71,產線配置圖!$A$3:$C$40,2,0)</f>
        <v>13</v>
      </c>
      <c r="K71" s="80">
        <f>VLOOKUP(D71,產線配置圖!$A$3:$C$40,3,0)</f>
        <v>1440</v>
      </c>
      <c r="L71" s="81">
        <f>K71/J71</f>
        <v>110.76923076923077</v>
      </c>
      <c r="M71" s="82">
        <v>13</v>
      </c>
      <c r="N71" s="80">
        <f t="shared" si="31"/>
        <v>711.00000000002092</v>
      </c>
      <c r="O71" s="81">
        <f t="shared" si="32"/>
        <v>54.692307692309299</v>
      </c>
      <c r="P71" s="74">
        <f t="shared" si="33"/>
        <v>0</v>
      </c>
      <c r="Q71" s="83">
        <f t="shared" si="34"/>
        <v>-56.076923076921474</v>
      </c>
      <c r="R71" s="72">
        <f t="shared" si="29"/>
        <v>0.49375000000001451</v>
      </c>
      <c r="S71" s="413"/>
      <c r="T71" s="22">
        <v>0.35416666666666702</v>
      </c>
      <c r="U71" s="22">
        <v>0.38194444444444398</v>
      </c>
      <c r="V71" s="30">
        <f>(T71-U70)*24*60</f>
        <v>12.000000000000997</v>
      </c>
      <c r="W71" s="73">
        <f t="shared" si="4"/>
        <v>39.99999999999882</v>
      </c>
      <c r="X71" s="271"/>
      <c r="Y71" s="293"/>
      <c r="Z71" s="90"/>
      <c r="AA71" s="90"/>
      <c r="AB71" s="483" t="s">
        <v>143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86"/>
      <c r="D72" s="59" t="s">
        <v>141</v>
      </c>
      <c r="E72" s="87"/>
      <c r="F72" s="250">
        <f>VLOOKUP(D72,廠價表!$C$1:$E$43,3,0)</f>
        <v>46.34</v>
      </c>
      <c r="G72" s="202">
        <v>2296</v>
      </c>
      <c r="H72" s="254">
        <f t="shared" si="30"/>
        <v>106396.64000000001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82">
        <v>15</v>
      </c>
      <c r="N72" s="107">
        <f t="shared" si="31"/>
        <v>1219.115044247791</v>
      </c>
      <c r="O72" s="238">
        <f t="shared" si="32"/>
        <v>81.274336283186074</v>
      </c>
      <c r="P72" s="111">
        <f t="shared" si="33"/>
        <v>-1</v>
      </c>
      <c r="Q72" s="255">
        <f t="shared" si="34"/>
        <v>-12.475663716813926</v>
      </c>
      <c r="R72" s="85">
        <f t="shared" si="29"/>
        <v>0.86692625368731813</v>
      </c>
      <c r="S72" s="413"/>
      <c r="T72" s="22">
        <v>0.39791666666666697</v>
      </c>
      <c r="U72" s="22">
        <v>0.47638888888888897</v>
      </c>
      <c r="V72" s="30">
        <f>(T72-U71)*24*60</f>
        <v>23.000000000001116</v>
      </c>
      <c r="W72" s="73">
        <f t="shared" si="4"/>
        <v>112.99999999999967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58"/>
      <c r="D73" s="259" t="s">
        <v>127</v>
      </c>
      <c r="E73" s="60"/>
      <c r="F73" s="250">
        <v>50.67</v>
      </c>
      <c r="G73" s="273">
        <v>739</v>
      </c>
      <c r="H73" s="78">
        <f t="shared" si="30"/>
        <v>37445.130000000005</v>
      </c>
      <c r="I73" s="30"/>
      <c r="J73" s="79">
        <f>VLOOKUP(D73,產線配置圖!$A$3:$C$40,2,0)</f>
        <v>13</v>
      </c>
      <c r="K73" s="80">
        <f>VLOOKUP(D73,產線配置圖!$A$3:$C$40,3,0)</f>
        <v>1440</v>
      </c>
      <c r="L73" s="81">
        <f>K73/J73</f>
        <v>110.76923076923077</v>
      </c>
      <c r="M73" s="94">
        <v>13</v>
      </c>
      <c r="N73" s="80">
        <f t="shared" si="31"/>
        <v>806.18181818180699</v>
      </c>
      <c r="O73" s="81">
        <f t="shared" si="32"/>
        <v>62.013986013985154</v>
      </c>
      <c r="P73" s="74">
        <f t="shared" si="33"/>
        <v>0</v>
      </c>
      <c r="Q73" s="83">
        <f t="shared" si="34"/>
        <v>-48.75524475524562</v>
      </c>
      <c r="R73" s="72">
        <f t="shared" si="29"/>
        <v>0.55984848484847705</v>
      </c>
      <c r="S73" s="413"/>
      <c r="T73" s="22">
        <v>0.53819444444444398</v>
      </c>
      <c r="U73" s="22">
        <v>0.57638888888888895</v>
      </c>
      <c r="V73" s="30">
        <f>(T73-U72)*24*60</f>
        <v>88.999999999999204</v>
      </c>
      <c r="W73" s="73">
        <f t="shared" si="4"/>
        <v>55.000000000000767</v>
      </c>
      <c r="X73" s="22"/>
      <c r="Y73" s="84"/>
      <c r="Z73" s="90"/>
      <c r="AA73" s="90"/>
      <c r="AB73" s="483" t="s">
        <v>143</v>
      </c>
      <c r="AC73" s="483"/>
      <c r="AD73" s="92"/>
      <c r="AE73" s="92"/>
      <c r="AF73" s="311"/>
      <c r="AG73" s="99"/>
      <c r="AH73" s="478"/>
    </row>
    <row r="74" spans="1:36" ht="15" customHeight="1">
      <c r="A74" s="495"/>
      <c r="B74" s="101" t="s">
        <v>81</v>
      </c>
      <c r="C74" s="102"/>
      <c r="D74" s="103" t="s">
        <v>141</v>
      </c>
      <c r="E74" s="104"/>
      <c r="F74" s="75">
        <f>VLOOKUP(D74,廠價表!$C$1:$E$43,3,0)</f>
        <v>46.34</v>
      </c>
      <c r="G74" s="30">
        <v>2275</v>
      </c>
      <c r="H74" s="78">
        <f t="shared" si="30"/>
        <v>105423.50000000001</v>
      </c>
      <c r="I74" s="182"/>
      <c r="J74" s="79">
        <f>VLOOKUP(D74,產線配置圖!$A$3:$C$40,2,0)</f>
        <v>16</v>
      </c>
      <c r="K74" s="80">
        <f>VLOOKUP(D74,產線配置圖!$A$3:$C$40,3,0)</f>
        <v>1500</v>
      </c>
      <c r="L74" s="81">
        <f t="shared" ref="L74:L75" si="35">K74/J74</f>
        <v>93.75</v>
      </c>
      <c r="M74" s="108">
        <v>15</v>
      </c>
      <c r="N74" s="80">
        <f t="shared" si="31"/>
        <v>1240.9090909090899</v>
      </c>
      <c r="O74" s="81">
        <f t="shared" si="32"/>
        <v>82.727272727272663</v>
      </c>
      <c r="P74" s="74">
        <f t="shared" si="33"/>
        <v>-1</v>
      </c>
      <c r="Q74" s="83">
        <f t="shared" si="34"/>
        <v>-11.022727272727337</v>
      </c>
      <c r="R74" s="72">
        <f t="shared" si="29"/>
        <v>0.88242424242424178</v>
      </c>
      <c r="S74" s="413"/>
      <c r="T74" s="22">
        <v>0.58333333333333304</v>
      </c>
      <c r="U74" s="22">
        <v>0.65972222222222199</v>
      </c>
      <c r="V74" s="30">
        <f>(T74-U73)*24*60</f>
        <v>9.9999999999994849</v>
      </c>
      <c r="W74" s="73">
        <f t="shared" si="4"/>
        <v>110.00000000000009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101" t="s">
        <v>81</v>
      </c>
      <c r="C75" s="102"/>
      <c r="D75" s="103" t="s">
        <v>141</v>
      </c>
      <c r="E75" s="104"/>
      <c r="F75" s="250">
        <f>VLOOKUP(D75,廠價表!$C$1:$E$43,3,0)</f>
        <v>46.34</v>
      </c>
      <c r="G75" s="30">
        <v>675</v>
      </c>
      <c r="H75" s="78">
        <f t="shared" si="30"/>
        <v>31279.500000000004</v>
      </c>
      <c r="I75" s="182"/>
      <c r="J75" s="79">
        <f>VLOOKUP(D75,產線配置圖!$A$3:$C$40,2,0)</f>
        <v>16</v>
      </c>
      <c r="K75" s="80">
        <f>VLOOKUP(D75,產線配置圖!$A$3:$C$40,3,0)</f>
        <v>1500</v>
      </c>
      <c r="L75" s="81">
        <f t="shared" si="35"/>
        <v>93.75</v>
      </c>
      <c r="M75" s="108">
        <v>15</v>
      </c>
      <c r="N75" s="107">
        <f t="shared" si="31"/>
        <v>1094.5945945946125</v>
      </c>
      <c r="O75" s="238">
        <f t="shared" si="32"/>
        <v>72.972972972974176</v>
      </c>
      <c r="P75" s="111">
        <f t="shared" si="33"/>
        <v>-1</v>
      </c>
      <c r="Q75" s="255">
        <f t="shared" si="34"/>
        <v>-20.777027027025824</v>
      </c>
      <c r="R75" s="85">
        <f t="shared" si="29"/>
        <v>0.77837837837839119</v>
      </c>
      <c r="S75" s="413"/>
      <c r="T75" s="22">
        <v>0.69305555555555598</v>
      </c>
      <c r="U75" s="22">
        <v>0.71875</v>
      </c>
      <c r="V75" s="30">
        <f>(T75-U74)*24*60</f>
        <v>48.000000000000952</v>
      </c>
      <c r="W75" s="256">
        <f t="shared" si="4"/>
        <v>36.999999999999389</v>
      </c>
      <c r="X75" s="279"/>
      <c r="Y75" s="304"/>
      <c r="Z75" s="90"/>
      <c r="AA75" s="90"/>
      <c r="AB75" s="483" t="s">
        <v>143</v>
      </c>
      <c r="AC75" s="483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6">AVERAGE(J70:J78)</f>
        <v>14.166666666666666</v>
      </c>
      <c r="K79" s="240">
        <f t="shared" si="36"/>
        <v>1502.6666666666667</v>
      </c>
      <c r="L79" s="268">
        <f t="shared" si="36"/>
        <v>108.5859557109557</v>
      </c>
      <c r="M79" s="240">
        <f t="shared" si="36"/>
        <v>13.166666666666666</v>
      </c>
      <c r="N79" s="240">
        <f t="shared" si="36"/>
        <v>1035.0436810658123</v>
      </c>
      <c r="O79" s="268">
        <f t="shared" si="36"/>
        <v>82.664761332903581</v>
      </c>
      <c r="P79" s="269">
        <f>M79-J79</f>
        <v>-1</v>
      </c>
      <c r="Q79" s="222">
        <f>N79-K79</f>
        <v>-467.62298560085446</v>
      </c>
      <c r="R79" s="223">
        <f>O79/L79</f>
        <v>0.76128409785284212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-467.62298560085446</v>
      </c>
      <c r="AG79" s="124">
        <f>N79/K79</f>
        <v>0.68880457923634353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5:AH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16:AH26"/>
    <mergeCell ref="AB17:AC17"/>
    <mergeCell ref="AB18:AC18"/>
    <mergeCell ref="AB19:AC19"/>
    <mergeCell ref="AB14:AC14"/>
    <mergeCell ref="A38:A48"/>
    <mergeCell ref="S38:S48"/>
    <mergeCell ref="AB38:AC38"/>
    <mergeCell ref="D48:E48"/>
    <mergeCell ref="AB48:AC48"/>
    <mergeCell ref="AB25:AC25"/>
    <mergeCell ref="A27:A37"/>
    <mergeCell ref="S27:S37"/>
    <mergeCell ref="AB27:AC27"/>
    <mergeCell ref="D37:E37"/>
    <mergeCell ref="A16:A26"/>
    <mergeCell ref="S16:S26"/>
    <mergeCell ref="AB16:AC16"/>
    <mergeCell ref="D26:E26"/>
    <mergeCell ref="AB26:AC26"/>
    <mergeCell ref="AB20:AC20"/>
    <mergeCell ref="AB21:AC21"/>
    <mergeCell ref="AB22:AC22"/>
    <mergeCell ref="AB23:AC23"/>
    <mergeCell ref="AB24:AC24"/>
    <mergeCell ref="AG3:AG4"/>
    <mergeCell ref="A5:A15"/>
    <mergeCell ref="S5:S15"/>
    <mergeCell ref="AB13:AC13"/>
    <mergeCell ref="AB5:AC5"/>
    <mergeCell ref="AB6:AC6"/>
    <mergeCell ref="AB7:AC7"/>
    <mergeCell ref="D15:E15"/>
    <mergeCell ref="AB15:AC15"/>
    <mergeCell ref="AB8:AC8"/>
    <mergeCell ref="AB9:AC9"/>
    <mergeCell ref="AB10:AC10"/>
    <mergeCell ref="AB11:AC11"/>
    <mergeCell ref="AB12:AC12"/>
    <mergeCell ref="I3:I4"/>
    <mergeCell ref="J3:J4"/>
    <mergeCell ref="K3:K4"/>
    <mergeCell ref="L3:L4"/>
    <mergeCell ref="M3:M4"/>
    <mergeCell ref="N3:N4"/>
    <mergeCell ref="R3:R4"/>
    <mergeCell ref="T3:U3"/>
    <mergeCell ref="AF3:AF4"/>
    <mergeCell ref="A2:B2"/>
    <mergeCell ref="A3:A4"/>
    <mergeCell ref="B3:B4"/>
    <mergeCell ref="D3:E4"/>
    <mergeCell ref="F3:F4"/>
    <mergeCell ref="O3:O4"/>
    <mergeCell ref="P3:P4"/>
    <mergeCell ref="Q3:Q4"/>
    <mergeCell ref="AH3:AH4"/>
    <mergeCell ref="AD3:AE3"/>
    <mergeCell ref="W3:W4"/>
    <mergeCell ref="X3:Y3"/>
    <mergeCell ref="V3:V4"/>
    <mergeCell ref="AB3:AC4"/>
    <mergeCell ref="AF1:AH2"/>
    <mergeCell ref="G3:G4"/>
    <mergeCell ref="J1:L2"/>
    <mergeCell ref="AB1:AC2"/>
    <mergeCell ref="Z3:AA3"/>
    <mergeCell ref="M1:O2"/>
    <mergeCell ref="P1:S2"/>
    <mergeCell ref="T1:Y2"/>
    <mergeCell ref="S3:S4"/>
    <mergeCell ref="H3:H4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46206</v>
      </c>
      <c r="E3" s="379"/>
      <c r="F3" s="3" t="s">
        <v>72</v>
      </c>
      <c r="G3" s="380">
        <f>'0703'!E1</f>
        <v>52244</v>
      </c>
      <c r="H3" s="380"/>
      <c r="I3" s="3" t="s">
        <v>2</v>
      </c>
      <c r="J3" s="381">
        <f>'0703'!G1</f>
        <v>2423657.0560000003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122.16478481835624</v>
      </c>
      <c r="G6" s="386"/>
      <c r="H6" s="387">
        <f>AVERAGE(D13:H13)</f>
        <v>120.91844932844933</v>
      </c>
      <c r="I6" s="387"/>
      <c r="J6" s="387">
        <f>AVERAGE(I13:J13)</f>
        <v>125.28062354312354</v>
      </c>
      <c r="K6" s="387"/>
      <c r="L6" s="503">
        <f>SUM(D18:J18)</f>
        <v>13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110.30961374026349</v>
      </c>
      <c r="G7" s="410"/>
      <c r="H7" s="411">
        <f>AVERAGE(D14:H14)</f>
        <v>110.28998623210036</v>
      </c>
      <c r="I7" s="411"/>
      <c r="J7" s="411">
        <f>AVERAGE(I14:J14)</f>
        <v>110.35868251067133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0.90295754135923945</v>
      </c>
      <c r="G8" s="383"/>
      <c r="H8" s="383">
        <f>H7/H6</f>
        <v>0.912102221328699</v>
      </c>
      <c r="I8" s="383"/>
      <c r="J8" s="383">
        <f>J7/J6</f>
        <v>0.88089186810827258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VALUE('0703'!L15)</f>
        <v>150</v>
      </c>
      <c r="E13" s="13">
        <f>VALUE('0703'!L26)</f>
        <v>154.03603749191984</v>
      </c>
      <c r="F13" s="13">
        <f>VALUE('0703'!L37)</f>
        <v>93.307843137254906</v>
      </c>
      <c r="G13" s="13">
        <f>VALUE('0703'!L48)</f>
        <v>102.57777777777778</v>
      </c>
      <c r="H13" s="13">
        <f>VALUE('0703'!L58)</f>
        <v>104.67058823529412</v>
      </c>
      <c r="I13" s="13">
        <f>VALUE('0703'!L69)</f>
        <v>138.81212121212121</v>
      </c>
      <c r="J13" s="13">
        <f>'0703'!L79</f>
        <v>111.74912587412587</v>
      </c>
    </row>
    <row r="14" spans="2:15" ht="39.950000000000003" customHeight="1">
      <c r="B14" s="404"/>
      <c r="C14" s="12" t="s">
        <v>100</v>
      </c>
      <c r="D14" s="13">
        <f>VALUE('0703'!O15)</f>
        <v>139.38823325322812</v>
      </c>
      <c r="E14" s="13">
        <f>VALUE('0703'!O26)</f>
        <v>136.99117496514461</v>
      </c>
      <c r="F14" s="13">
        <f>VALUE('0703'!O37)</f>
        <v>88.15026922367791</v>
      </c>
      <c r="G14" s="13">
        <f>VALUE('0703'!O48)</f>
        <v>93.100082712985284</v>
      </c>
      <c r="H14" s="13">
        <f>VALUE('0703'!O58)</f>
        <v>93.82017100546588</v>
      </c>
      <c r="I14" s="13">
        <f>VALUE('0703'!O69)</f>
        <v>127.74586776859512</v>
      </c>
      <c r="J14" s="13">
        <f>'0703'!O79</f>
        <v>92.97149725274754</v>
      </c>
    </row>
    <row r="15" spans="2:15" ht="39.950000000000003" customHeight="1">
      <c r="B15" s="405"/>
      <c r="C15" s="10" t="s">
        <v>26</v>
      </c>
      <c r="D15" s="14">
        <f t="shared" ref="D15:I15" si="1">D14/D13</f>
        <v>0.92925488835485415</v>
      </c>
      <c r="E15" s="14">
        <f t="shared" si="1"/>
        <v>0.88934496885075132</v>
      </c>
      <c r="F15" s="14">
        <f t="shared" si="1"/>
        <v>0.94472518343404144</v>
      </c>
      <c r="G15" s="14">
        <f t="shared" si="1"/>
        <v>0.90760479247927595</v>
      </c>
      <c r="H15" s="14">
        <f t="shared" si="1"/>
        <v>0.89633747729173874</v>
      </c>
      <c r="I15" s="14">
        <f t="shared" si="1"/>
        <v>0.92027891118661342</v>
      </c>
      <c r="J15" s="15">
        <f>'0703'!S70</f>
        <v>0.83196621472878962</v>
      </c>
    </row>
    <row r="16" spans="2:15" ht="17.25" customHeight="1">
      <c r="B16" s="406" t="s">
        <v>101</v>
      </c>
      <c r="C16" s="10" t="s">
        <v>34</v>
      </c>
      <c r="D16" s="16">
        <f>'0703'!T5</f>
        <v>0.29375000000000001</v>
      </c>
      <c r="E16" s="16">
        <f>'0703'!T16</f>
        <v>0.29166666666666702</v>
      </c>
      <c r="F16" s="16">
        <f>'0703'!T27</f>
        <v>0.28819444444444398</v>
      </c>
      <c r="G16" s="16">
        <f>'0703'!T38</f>
        <v>0.33333333333333298</v>
      </c>
      <c r="H16" s="16">
        <f>'0703'!T49</f>
        <v>0.29166666666666702</v>
      </c>
      <c r="I16" s="16">
        <f>'0703'!T59</f>
        <v>0.28819444444444398</v>
      </c>
      <c r="J16" s="16">
        <f>'0703'!T70</f>
        <v>0.29166666666666702</v>
      </c>
    </row>
    <row r="17" spans="2:10" ht="17.25" customHeight="1">
      <c r="B17" s="407"/>
      <c r="C17" s="10" t="s">
        <v>35</v>
      </c>
      <c r="D17" s="18">
        <v>0.47569444444444398</v>
      </c>
      <c r="E17" s="19">
        <v>0.48125000000000001</v>
      </c>
      <c r="F17" s="19">
        <v>0.58680555555555602</v>
      </c>
      <c r="G17" s="20">
        <v>0.50277777777777799</v>
      </c>
      <c r="H17" s="21">
        <v>0.58680555555555602</v>
      </c>
      <c r="I17" s="22">
        <v>0.56597222222222199</v>
      </c>
      <c r="J17" s="22">
        <v>0.625</v>
      </c>
    </row>
    <row r="18" spans="2:10" ht="17.25" customHeight="1">
      <c r="B18" s="408" t="s">
        <v>102</v>
      </c>
      <c r="C18" s="330" t="s">
        <v>36</v>
      </c>
      <c r="D18" s="357">
        <f>'0703'!Z15</f>
        <v>0</v>
      </c>
      <c r="E18" s="358">
        <f>'0703'!Z26</f>
        <v>0</v>
      </c>
      <c r="F18" s="358">
        <f>'0703'!Z37</f>
        <v>0</v>
      </c>
      <c r="G18" s="359">
        <f>'0703'!Z48</f>
        <v>0</v>
      </c>
      <c r="H18" s="359">
        <f>'0703'!Z58</f>
        <v>0</v>
      </c>
      <c r="I18" s="358">
        <f>'0703'!Z69</f>
        <v>0</v>
      </c>
      <c r="J18" s="358">
        <f>'0703'!AA79</f>
        <v>13</v>
      </c>
    </row>
    <row r="19" spans="2:10" ht="17.25" customHeight="1">
      <c r="B19" s="409"/>
      <c r="C19" s="330" t="s">
        <v>37</v>
      </c>
      <c r="D19" s="357">
        <f>'0703'!AA15</f>
        <v>0</v>
      </c>
      <c r="E19" s="358">
        <f>'0703'!AA26</f>
        <v>0</v>
      </c>
      <c r="F19" s="358">
        <f>'0703'!AA37</f>
        <v>0</v>
      </c>
      <c r="G19" s="359">
        <f>'0703'!AA48</f>
        <v>0</v>
      </c>
      <c r="H19" s="359">
        <f>'0703'!AA58</f>
        <v>0</v>
      </c>
      <c r="I19" s="358">
        <f>'0703'!AA69</f>
        <v>0</v>
      </c>
      <c r="J19" s="358">
        <f>'0703'!AB79</f>
        <v>0</v>
      </c>
    </row>
    <row r="20" spans="2:10" ht="17.25" customHeight="1">
      <c r="B20" s="408" t="s">
        <v>103</v>
      </c>
      <c r="C20" s="330" t="s">
        <v>36</v>
      </c>
      <c r="D20" s="357">
        <f>'0703'!AD15</f>
        <v>0</v>
      </c>
      <c r="E20" s="358">
        <f>'0703'!AD26</f>
        <v>0</v>
      </c>
      <c r="F20" s="358">
        <f>'0703'!AD37</f>
        <v>0</v>
      </c>
      <c r="G20" s="359">
        <f>'0703'!AD48</f>
        <v>0</v>
      </c>
      <c r="H20" s="359">
        <f>'0703'!AD58</f>
        <v>0</v>
      </c>
      <c r="I20" s="358">
        <f>'0703'!AD69</f>
        <v>0</v>
      </c>
      <c r="J20" s="358">
        <f>'0703'!AD79</f>
        <v>0</v>
      </c>
    </row>
    <row r="21" spans="2:10" ht="17.25" customHeight="1">
      <c r="B21" s="409"/>
      <c r="C21" s="330" t="s">
        <v>85</v>
      </c>
      <c r="D21" s="357">
        <f>'0703'!AE15</f>
        <v>0</v>
      </c>
      <c r="E21" s="358">
        <f>'0703'!AE26</f>
        <v>0</v>
      </c>
      <c r="F21" s="358">
        <f>'0703'!AE37</f>
        <v>0</v>
      </c>
      <c r="G21" s="359">
        <f>'0703'!AE48</f>
        <v>0</v>
      </c>
      <c r="H21" s="359">
        <f>'0703'!AE58</f>
        <v>0</v>
      </c>
      <c r="I21" s="358">
        <f>'0703'!AE69</f>
        <v>0</v>
      </c>
      <c r="J21" s="358">
        <f>'0703'!AE79</f>
        <v>0</v>
      </c>
    </row>
    <row r="22" spans="2:10" ht="17.25" customHeight="1">
      <c r="B22" s="392" t="s">
        <v>104</v>
      </c>
      <c r="C22" s="393"/>
      <c r="D22" s="23">
        <f>VALUE('0703'!M15)</f>
        <v>15</v>
      </c>
      <c r="E22" s="23">
        <f>VALUE('0703'!M26)</f>
        <v>14.5</v>
      </c>
      <c r="F22" s="23">
        <f>VALUE('0703'!M37)</f>
        <v>17</v>
      </c>
      <c r="G22" s="23">
        <f>VALUE('0703'!M48)</f>
        <v>16.5</v>
      </c>
      <c r="H22" s="23">
        <f>VALUE('0703'!M58)</f>
        <v>16.600000000000001</v>
      </c>
      <c r="I22" s="23">
        <f>VALUE('0703'!M69)</f>
        <v>12</v>
      </c>
      <c r="J22" s="23">
        <f>'0703'!M79</f>
        <v>13.75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U73" sqref="U73"/>
      <selection pane="topRight" activeCell="U73" sqref="U73"/>
      <selection pane="bottomLeft" activeCell="U73" sqref="U73"/>
      <selection pane="bottomRight" activeCell="E57" sqref="E5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52244</v>
      </c>
      <c r="F1" s="30" t="s">
        <v>2</v>
      </c>
      <c r="G1" s="31">
        <f>SUM(H5:H79)</f>
        <v>2423657.0560000003</v>
      </c>
      <c r="H1" s="32" t="s">
        <v>3</v>
      </c>
      <c r="I1" s="33">
        <f>M15+M26+M48+M58+M69+M79+M37</f>
        <v>105.35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144</v>
      </c>
      <c r="B2" s="418"/>
      <c r="C2" s="28"/>
      <c r="D2" s="28" t="s">
        <v>14</v>
      </c>
      <c r="E2" s="35">
        <f>AVERAGE(O15,O26,O37,O48,O58,O69,O79)</f>
        <v>110.30961374026349</v>
      </c>
      <c r="F2" s="36" t="s">
        <v>15</v>
      </c>
      <c r="G2" s="37">
        <f>G1/E1</f>
        <v>46.391108184671928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</v>
      </c>
      <c r="AA2" s="339">
        <f>AA15+AA26+AA37+AA48+AA58+AA69+AA79</f>
        <v>13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2128</v>
      </c>
      <c r="H5" s="43">
        <f>F5*G5</f>
        <v>121019.36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2093.1147540983652</v>
      </c>
      <c r="O5" s="47">
        <f>N5/M5</f>
        <v>139.54098360655769</v>
      </c>
      <c r="P5" s="49">
        <f>M5-J5</f>
        <v>0</v>
      </c>
      <c r="Q5" s="50">
        <f>O5-L5</f>
        <v>-10.459016393442312</v>
      </c>
      <c r="R5" s="51">
        <f>O5/L5</f>
        <v>0.93027322404371793</v>
      </c>
      <c r="S5" s="412">
        <f>R15</f>
        <v>0.92925488835485415</v>
      </c>
      <c r="T5" s="319">
        <v>0.29375000000000001</v>
      </c>
      <c r="U5" s="320">
        <v>0.33611111111111103</v>
      </c>
      <c r="V5" s="53"/>
      <c r="W5" s="54">
        <f t="shared" ref="W5:W14" si="0">(U5-T5)*24*60</f>
        <v>60.999999999999865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-156.88524590163479</v>
      </c>
      <c r="AG5" s="52">
        <f t="shared" ref="AG5:AG11" si="2">N5/K5</f>
        <v>0.93027322404371782</v>
      </c>
      <c r="AH5" s="457">
        <f>AG15</f>
        <v>0.92925488835485415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1797</v>
      </c>
      <c r="H6" s="63">
        <f>F6*G6</f>
        <v>104531.49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2114.1176470588048</v>
      </c>
      <c r="O6" s="67">
        <f>N6/M6</f>
        <v>140.94117647058698</v>
      </c>
      <c r="P6" s="69">
        <f>M6-J6</f>
        <v>0</v>
      </c>
      <c r="Q6" s="70">
        <f>O6-L6</f>
        <v>-9.0588235294130186</v>
      </c>
      <c r="R6" s="71">
        <f>O6/L6</f>
        <v>0.93960784313724655</v>
      </c>
      <c r="S6" s="413"/>
      <c r="T6" s="16">
        <v>0.34375</v>
      </c>
      <c r="U6" s="16">
        <v>0.37916666666666698</v>
      </c>
      <c r="V6" s="30">
        <f>(T6-U5)*24*60</f>
        <v>11.000000000000121</v>
      </c>
      <c r="W6" s="73">
        <f t="shared" si="0"/>
        <v>51.000000000000455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-135.88235294119522</v>
      </c>
      <c r="AG6" s="72">
        <f t="shared" si="2"/>
        <v>0.93960784313724655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4337</v>
      </c>
      <c r="H7" s="78">
        <f>F7*G7</f>
        <v>213120.18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2065.2380952380959</v>
      </c>
      <c r="O7" s="81">
        <f>N7/M7</f>
        <v>137.68253968253973</v>
      </c>
      <c r="P7" s="74">
        <f>M7-J7</f>
        <v>0</v>
      </c>
      <c r="Q7" s="83">
        <f>O7-L7</f>
        <v>-12.317460317460274</v>
      </c>
      <c r="R7" s="72">
        <f>O7/L7</f>
        <v>0.91788359788359819</v>
      </c>
      <c r="S7" s="413"/>
      <c r="T7" s="18">
        <v>0.38819444444444401</v>
      </c>
      <c r="U7" s="18">
        <v>0.47569444444444398</v>
      </c>
      <c r="V7" s="30">
        <f>(T7-U6)*24*60</f>
        <v>12.999999999998915</v>
      </c>
      <c r="W7" s="73">
        <f t="shared" si="0"/>
        <v>125.99999999999996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-184.76190476190413</v>
      </c>
      <c r="AG7" s="72">
        <f t="shared" si="2"/>
        <v>0.91788359788359819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2090.823498798422</v>
      </c>
      <c r="O15" s="117">
        <f t="shared" si="3"/>
        <v>139.38823325322812</v>
      </c>
      <c r="P15" s="121">
        <f>M15-J15</f>
        <v>0</v>
      </c>
      <c r="Q15" s="122">
        <f>O15-L15</f>
        <v>-10.611766746771877</v>
      </c>
      <c r="R15" s="123">
        <f>O15/L15</f>
        <v>0.92925488835485415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-159.17650120157805</v>
      </c>
      <c r="AG15" s="124">
        <f>N15/K15</f>
        <v>0.92925488835485415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2855</v>
      </c>
      <c r="H16" s="134">
        <f>F16*G16</f>
        <v>144662.85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2224.6753246753347</v>
      </c>
      <c r="O16" s="141">
        <f>N16/M16</f>
        <v>158.90538033395248</v>
      </c>
      <c r="P16" s="142">
        <f>M16-J16</f>
        <v>0</v>
      </c>
      <c r="Q16" s="143">
        <f>O16-L16</f>
        <v>-1.8089053803332433</v>
      </c>
      <c r="R16" s="144">
        <f>O16/L16</f>
        <v>0.98874458874459314</v>
      </c>
      <c r="S16" s="468">
        <f>R26</f>
        <v>0.88934496885075132</v>
      </c>
      <c r="T16" s="145">
        <v>0.29166666666666702</v>
      </c>
      <c r="U16" s="145">
        <v>0.34513888888888899</v>
      </c>
      <c r="V16" s="135"/>
      <c r="W16" s="146">
        <f t="shared" ref="W16:W78" si="4">(U16-T16)*24*60</f>
        <v>76.999999999999645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-25.32467532466535</v>
      </c>
      <c r="AG16" s="52">
        <f>N16/K16</f>
        <v>0.98874458874459314</v>
      </c>
      <c r="AH16" s="457">
        <f>AG26</f>
        <v>0.87339127539127415</v>
      </c>
    </row>
    <row r="17" spans="1:34" ht="15" customHeight="1">
      <c r="A17" s="475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1212</v>
      </c>
      <c r="H17" s="78">
        <f>F17*G17</f>
        <v>69338.52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16</v>
      </c>
      <c r="N17" s="95">
        <f>G17/W17*60</f>
        <v>1817.9999999999884</v>
      </c>
      <c r="O17" s="96">
        <f>N17/M17</f>
        <v>113.62499999999928</v>
      </c>
      <c r="P17" s="97">
        <f>M17-J17</f>
        <v>-1</v>
      </c>
      <c r="Q17" s="98">
        <f>O17-L17</f>
        <v>-18.727941176471305</v>
      </c>
      <c r="R17" s="99">
        <f>O17/L17</f>
        <v>0.8584999999999946</v>
      </c>
      <c r="S17" s="469"/>
      <c r="T17" s="19">
        <v>0.35347222222222202</v>
      </c>
      <c r="U17" s="19">
        <v>0.38124999999999998</v>
      </c>
      <c r="V17" s="30">
        <f>(T17-U16)*24*60</f>
        <v>11.999999999999558</v>
      </c>
      <c r="W17" s="149">
        <f t="shared" si="4"/>
        <v>40.000000000000256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-432.0000000000116</v>
      </c>
      <c r="AG17" s="72">
        <f>N17/K17</f>
        <v>0.80799999999999483</v>
      </c>
      <c r="AH17" s="458"/>
    </row>
    <row r="18" spans="1:34" ht="15" customHeight="1">
      <c r="A18" s="475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593</v>
      </c>
      <c r="H18" s="78">
        <f>F18*G18</f>
        <v>33569.730000000003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1778.9999999999848</v>
      </c>
      <c r="O18" s="96">
        <f>N18/M18</f>
        <v>118.59999999999899</v>
      </c>
      <c r="P18" s="97">
        <f>M18-J18</f>
        <v>0</v>
      </c>
      <c r="Q18" s="98">
        <f>O18-L18</f>
        <v>-31.400000000001015</v>
      </c>
      <c r="R18" s="99">
        <f>O18/L18</f>
        <v>0.79066666666665986</v>
      </c>
      <c r="S18" s="469"/>
      <c r="T18" s="19">
        <v>0.38750000000000001</v>
      </c>
      <c r="U18" s="19">
        <v>0.40138888888888902</v>
      </c>
      <c r="V18" s="30">
        <f>(T18-U17)*24*60</f>
        <v>9.000000000000048</v>
      </c>
      <c r="W18" s="149">
        <f t="shared" si="4"/>
        <v>20.000000000000171</v>
      </c>
      <c r="X18" s="22"/>
      <c r="Y18" s="84"/>
      <c r="Z18" s="90"/>
      <c r="AA18" s="90"/>
      <c r="AB18" s="462" t="s">
        <v>143</v>
      </c>
      <c r="AC18" s="462"/>
      <c r="AD18" s="92"/>
      <c r="AE18" s="92"/>
      <c r="AF18" s="307">
        <f>N18-K18</f>
        <v>-471.00000000001523</v>
      </c>
      <c r="AG18" s="72">
        <f>N18/K18</f>
        <v>0.79066666666665986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3534</v>
      </c>
      <c r="H19" s="78">
        <f>F19*G19</f>
        <v>178078.26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2038.8461538461595</v>
      </c>
      <c r="O19" s="96">
        <f>N19/M19</f>
        <v>156.83431952662767</v>
      </c>
      <c r="P19" s="97">
        <f>M19-J19</f>
        <v>0</v>
      </c>
      <c r="Q19" s="98">
        <f>O19-L19</f>
        <v>-16.242603550295399</v>
      </c>
      <c r="R19" s="99">
        <f>O19/L19</f>
        <v>0.90615384615384875</v>
      </c>
      <c r="S19" s="469"/>
      <c r="T19" s="19">
        <v>0.40902777777777799</v>
      </c>
      <c r="U19" s="19">
        <v>0.48125000000000001</v>
      </c>
      <c r="V19" s="30">
        <f>(T19-U18)*24*60</f>
        <v>11.000000000000121</v>
      </c>
      <c r="W19" s="149">
        <f t="shared" si="4"/>
        <v>103.99999999999972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-211.1538461538405</v>
      </c>
      <c r="AG19" s="72">
        <f>N19/K19</f>
        <v>0.90615384615384864</v>
      </c>
      <c r="AH19" s="459"/>
    </row>
    <row r="20" spans="1:34" ht="15" customHeight="1">
      <c r="A20" s="475"/>
      <c r="B20" s="75" t="s">
        <v>126</v>
      </c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69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5">AVERAGE(J16:J25)</f>
        <v>14.75</v>
      </c>
      <c r="K26" s="155">
        <f t="shared" si="5"/>
        <v>2250</v>
      </c>
      <c r="L26" s="158">
        <f t="shared" si="5"/>
        <v>154.03603749191984</v>
      </c>
      <c r="M26" s="155">
        <f t="shared" si="5"/>
        <v>14.5</v>
      </c>
      <c r="N26" s="155">
        <f t="shared" si="5"/>
        <v>1965.1303696303669</v>
      </c>
      <c r="O26" s="158">
        <f t="shared" si="5"/>
        <v>136.99117496514461</v>
      </c>
      <c r="P26" s="159">
        <f>M26-J26</f>
        <v>-0.25</v>
      </c>
      <c r="Q26" s="160">
        <f>O26-L26</f>
        <v>-17.044862526775233</v>
      </c>
      <c r="R26" s="161">
        <f>O26/L26</f>
        <v>0.88934496885075132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6">N26-K26</f>
        <v>-284.86963036963311</v>
      </c>
      <c r="AG26" s="124">
        <f t="shared" ref="AG26:AG31" si="7">N26/K26</f>
        <v>0.87339127539127415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2313</v>
      </c>
      <c r="H27" s="134">
        <f>F27*G27</f>
        <v>105611.57999999999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1595.1724137930946</v>
      </c>
      <c r="O27" s="141">
        <f>N27/M27</f>
        <v>93.833671399593797</v>
      </c>
      <c r="P27" s="142">
        <f>M27-J27</f>
        <v>0</v>
      </c>
      <c r="Q27" s="143">
        <f>O27-L27</f>
        <v>-2.401622718053261</v>
      </c>
      <c r="R27" s="144">
        <f>O27/L27</f>
        <v>0.97504426270971545</v>
      </c>
      <c r="S27" s="468">
        <f>R37</f>
        <v>0.94472518343404144</v>
      </c>
      <c r="T27" s="171">
        <v>0.28819444444444398</v>
      </c>
      <c r="U27" s="171">
        <v>0.34861111111111098</v>
      </c>
      <c r="V27" s="135"/>
      <c r="W27" s="146">
        <f t="shared" si="4"/>
        <v>87.000000000000483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6"/>
        <v>-40.82758620690538</v>
      </c>
      <c r="AG27" s="172">
        <f t="shared" si="7"/>
        <v>0.97504426270971556</v>
      </c>
      <c r="AH27" s="457">
        <f>AG37</f>
        <v>0.92400701492324855</v>
      </c>
    </row>
    <row r="28" spans="1:34" ht="15" customHeight="1">
      <c r="A28" s="466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1804</v>
      </c>
      <c r="H28" s="91">
        <f>F28*G28</f>
        <v>103206.84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1443.2000000000098</v>
      </c>
      <c r="O28" s="96">
        <f>N28/M28</f>
        <v>84.894117647059403</v>
      </c>
      <c r="P28" s="97">
        <f>M28-J28</f>
        <v>-1</v>
      </c>
      <c r="Q28" s="98">
        <f>O28-L28</f>
        <v>-5.9947712418294827</v>
      </c>
      <c r="R28" s="99">
        <f>O28/L28</f>
        <v>0.93404285919747509</v>
      </c>
      <c r="S28" s="469"/>
      <c r="T28" s="19">
        <v>0.35416666666666702</v>
      </c>
      <c r="U28" s="19">
        <v>0.40625</v>
      </c>
      <c r="V28" s="92">
        <f>(T28-U27)*24*60</f>
        <v>8.000000000000691</v>
      </c>
      <c r="W28" s="149">
        <f t="shared" si="4"/>
        <v>74.999999999999488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6"/>
        <v>-192.79999999999018</v>
      </c>
      <c r="AG28" s="99">
        <f t="shared" si="7"/>
        <v>0.88215158924205983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1141</v>
      </c>
      <c r="H29" s="91">
        <f>F29*G29</f>
        <v>65276.61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1426.2500000000146</v>
      </c>
      <c r="O29" s="96">
        <f>N29/M29</f>
        <v>83.897058823530273</v>
      </c>
      <c r="P29" s="97">
        <f>M29-J29</f>
        <v>-1</v>
      </c>
      <c r="Q29" s="98">
        <f>O29-L29</f>
        <v>-3.0473856209141701</v>
      </c>
      <c r="R29" s="99">
        <f>O29/L29</f>
        <v>0.96495019733133858</v>
      </c>
      <c r="S29" s="469"/>
      <c r="T29" s="19">
        <v>0.41111111111111098</v>
      </c>
      <c r="U29" s="19">
        <v>0.44444444444444398</v>
      </c>
      <c r="V29" s="92">
        <f>(T29-U28)*24*60</f>
        <v>6.9999999999998153</v>
      </c>
      <c r="W29" s="149">
        <f t="shared" si="4"/>
        <v>47.99999999999951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6"/>
        <v>-138.74999999998545</v>
      </c>
      <c r="AG29" s="99">
        <f t="shared" si="7"/>
        <v>0.91134185303515303</v>
      </c>
      <c r="AH29" s="478"/>
    </row>
    <row r="30" spans="1:34" ht="15" customHeight="1">
      <c r="A30" s="466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554</v>
      </c>
      <c r="H30" s="91">
        <f t="shared" ref="H30:H31" si="8">F30*G30</f>
        <v>25295.64</v>
      </c>
      <c r="I30" s="92"/>
      <c r="J30" s="79">
        <f>VLOOKUP(D30,產線配置圖!$A$3:$C$40,2,0)</f>
        <v>17</v>
      </c>
      <c r="K30" s="80">
        <v>1636</v>
      </c>
      <c r="L30" s="93">
        <f t="shared" ref="L30:L31" si="9">K30/J30</f>
        <v>96.235294117647058</v>
      </c>
      <c r="M30" s="94">
        <v>17</v>
      </c>
      <c r="N30" s="95">
        <f t="shared" ref="N30:N31" si="10">G30/W30*60</f>
        <v>1510.9090909091676</v>
      </c>
      <c r="O30" s="96">
        <f t="shared" ref="O30:O31" si="11">N30/M30</f>
        <v>88.8770053475981</v>
      </c>
      <c r="P30" s="97">
        <f t="shared" ref="P30:P31" si="12">M30-J30</f>
        <v>0</v>
      </c>
      <c r="Q30" s="98">
        <f t="shared" ref="Q30:Q31" si="13">O30-L30</f>
        <v>-7.3582887700489579</v>
      </c>
      <c r="R30" s="99">
        <f t="shared" ref="R30:R31" si="14">O30/L30</f>
        <v>0.92353856412540813</v>
      </c>
      <c r="S30" s="469"/>
      <c r="T30" s="19">
        <v>0.44930555555555601</v>
      </c>
      <c r="U30" s="19">
        <v>0.46458333333333302</v>
      </c>
      <c r="V30" s="92">
        <f t="shared" ref="V30:V31" si="15">(T30-U29)*24*60</f>
        <v>7.000000000001334</v>
      </c>
      <c r="W30" s="149">
        <f t="shared" si="4"/>
        <v>21.999999999998884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6"/>
        <v>-125.09090909083238</v>
      </c>
      <c r="AG30" s="99">
        <f t="shared" si="7"/>
        <v>0.92353856412540802</v>
      </c>
      <c r="AH30" s="479"/>
    </row>
    <row r="31" spans="1:34" ht="15" customHeight="1">
      <c r="A31" s="466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2200</v>
      </c>
      <c r="H31" s="91">
        <f t="shared" si="8"/>
        <v>100451.99999999999</v>
      </c>
      <c r="I31" s="92"/>
      <c r="J31" s="79">
        <f>VLOOKUP(D31,產線配置圖!$A$3:$C$40,2,0)</f>
        <v>17</v>
      </c>
      <c r="K31" s="80">
        <v>1636</v>
      </c>
      <c r="L31" s="93">
        <f t="shared" si="9"/>
        <v>96.235294117647058</v>
      </c>
      <c r="M31" s="94">
        <v>17</v>
      </c>
      <c r="N31" s="95">
        <f t="shared" si="10"/>
        <v>1517.2413793103362</v>
      </c>
      <c r="O31" s="96">
        <f t="shared" si="11"/>
        <v>89.249492900608018</v>
      </c>
      <c r="P31" s="97">
        <f t="shared" si="12"/>
        <v>0</v>
      </c>
      <c r="Q31" s="98">
        <f t="shared" si="13"/>
        <v>-6.9858012170390396</v>
      </c>
      <c r="R31" s="99">
        <f t="shared" si="14"/>
        <v>0.92740915605766283</v>
      </c>
      <c r="S31" s="469"/>
      <c r="T31" s="19">
        <v>0.52638888888888902</v>
      </c>
      <c r="U31" s="19">
        <v>0.58680555555555602</v>
      </c>
      <c r="V31" s="92">
        <f t="shared" si="15"/>
        <v>89.000000000000639</v>
      </c>
      <c r="W31" s="149">
        <f t="shared" si="4"/>
        <v>87.000000000000483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6"/>
        <v>-118.75862068966376</v>
      </c>
      <c r="AG31" s="99">
        <f t="shared" si="7"/>
        <v>0.92740915605766272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16">AVERAGE(J27:J36)</f>
        <v>17.399999999999999</v>
      </c>
      <c r="K37" s="155">
        <f t="shared" si="16"/>
        <v>1621.8</v>
      </c>
      <c r="L37" s="158">
        <f t="shared" si="16"/>
        <v>93.307843137254906</v>
      </c>
      <c r="M37" s="155">
        <f t="shared" si="16"/>
        <v>17</v>
      </c>
      <c r="N37" s="155">
        <f t="shared" si="16"/>
        <v>1498.5545768025245</v>
      </c>
      <c r="O37" s="158">
        <f t="shared" si="16"/>
        <v>88.15026922367791</v>
      </c>
      <c r="P37" s="159">
        <f>M37-J37</f>
        <v>-0.39999999999999858</v>
      </c>
      <c r="Q37" s="160">
        <f>N37-K37</f>
        <v>-123.24542319747547</v>
      </c>
      <c r="R37" s="161">
        <f>O37/L37</f>
        <v>0.94472518343404144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-123.24542319747547</v>
      </c>
      <c r="AG37" s="124">
        <f>N37/K37</f>
        <v>0.92400701492324855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362"/>
      <c r="F38" s="39">
        <f>VLOOKUP(D38,廠價表!$C$1:$E$43,3,0)</f>
        <v>49.91</v>
      </c>
      <c r="G38" s="186">
        <v>2493</v>
      </c>
      <c r="H38" s="134">
        <f>F38*G38</f>
        <v>124425.62999999999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1608.3870967741771</v>
      </c>
      <c r="O38" s="141">
        <f>N38/M38</f>
        <v>107.2258064516118</v>
      </c>
      <c r="P38" s="142">
        <f>M38-J38</f>
        <v>0</v>
      </c>
      <c r="Q38" s="143">
        <f>O38-L38</f>
        <v>-7.0408602150548631</v>
      </c>
      <c r="R38" s="144">
        <f>O38/L38</f>
        <v>0.93838220348551749</v>
      </c>
      <c r="S38" s="490">
        <f>R48</f>
        <v>0.90760479247927595</v>
      </c>
      <c r="T38" s="191">
        <v>0.33333333333333298</v>
      </c>
      <c r="U38" s="191">
        <v>0.39791666666666697</v>
      </c>
      <c r="V38" s="192"/>
      <c r="W38" s="193">
        <f t="shared" si="4"/>
        <v>93.000000000000952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-105.61290322582295</v>
      </c>
      <c r="AG38" s="195">
        <f>N38/K38</f>
        <v>0.93838220348551749</v>
      </c>
      <c r="AH38" s="480">
        <f>AG48</f>
        <v>0.90445539054108515</v>
      </c>
    </row>
    <row r="39" spans="1:34" ht="15" customHeight="1">
      <c r="A39" s="488"/>
      <c r="B39" s="75" t="s">
        <v>128</v>
      </c>
      <c r="C39" s="207"/>
      <c r="D39" s="198" t="s">
        <v>131</v>
      </c>
      <c r="E39" s="178"/>
      <c r="F39" s="75">
        <f>VLOOKUP(D39,廠價表!$C$1:$E$43,3,0)</f>
        <v>44.3</v>
      </c>
      <c r="G39" s="199">
        <v>3080</v>
      </c>
      <c r="H39" s="91">
        <f>F39*G39</f>
        <v>136444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1421.5384615384578</v>
      </c>
      <c r="O39" s="203">
        <f>N39/M39</f>
        <v>78.974358974358765</v>
      </c>
      <c r="P39" s="97">
        <f>M39-J39</f>
        <v>0</v>
      </c>
      <c r="Q39" s="98">
        <f>O39-L39</f>
        <v>-11.914529914530121</v>
      </c>
      <c r="R39" s="99">
        <f>O39/L39</f>
        <v>0.86891104006018205</v>
      </c>
      <c r="S39" s="491"/>
      <c r="T39" s="20">
        <v>0.41249999999999998</v>
      </c>
      <c r="U39" s="20">
        <v>0.50277777777777799</v>
      </c>
      <c r="V39" s="92">
        <f>(T39-U38)*24*60</f>
        <v>20.999999999999524</v>
      </c>
      <c r="W39" s="205">
        <f t="shared" si="4"/>
        <v>130.00000000000034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-214.4615384615422</v>
      </c>
      <c r="AG39" s="206">
        <f>N39/K39</f>
        <v>0.86891104006018205</v>
      </c>
      <c r="AH39" s="481"/>
    </row>
    <row r="40" spans="1:34" ht="15" customHeight="1">
      <c r="A40" s="48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0</v>
      </c>
      <c r="AG40" s="206" t="e">
        <f>N40/K40</f>
        <v>#DIV/0!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17">AVERAGE(J38:J47)</f>
        <v>16.5</v>
      </c>
      <c r="K48" s="155">
        <f t="shared" si="17"/>
        <v>1675</v>
      </c>
      <c r="L48" s="158">
        <f t="shared" si="17"/>
        <v>102.57777777777778</v>
      </c>
      <c r="M48" s="155">
        <f t="shared" si="17"/>
        <v>16.5</v>
      </c>
      <c r="N48" s="155">
        <f t="shared" si="17"/>
        <v>1514.9627791563175</v>
      </c>
      <c r="O48" s="158">
        <f t="shared" si="17"/>
        <v>93.100082712985284</v>
      </c>
      <c r="P48" s="221">
        <f>M48-J48</f>
        <v>0</v>
      </c>
      <c r="Q48" s="222">
        <f>N48-K48</f>
        <v>-160.03722084368246</v>
      </c>
      <c r="R48" s="223">
        <f>O48/L48</f>
        <v>0.90760479247927595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18">N48-K48</f>
        <v>-160.03722084368246</v>
      </c>
      <c r="AG48" s="162">
        <f t="shared" ref="AG48:AG53" si="19">N48/K48</f>
        <v>0.90445539054108515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1718</v>
      </c>
      <c r="H49" s="134">
        <f>F49*G49</f>
        <v>85075.36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1610.6250000000157</v>
      </c>
      <c r="O49" s="141">
        <f>N49/M49</f>
        <v>94.742647058824446</v>
      </c>
      <c r="P49" s="229">
        <f>M49-J49</f>
        <v>0</v>
      </c>
      <c r="Q49" s="230">
        <f>O49-L49</f>
        <v>-11.139705882352018</v>
      </c>
      <c r="R49" s="52">
        <f>O49/L49</f>
        <v>0.89479166666667542</v>
      </c>
      <c r="S49" s="412">
        <f>R58</f>
        <v>0.89633747729173874</v>
      </c>
      <c r="T49" s="191">
        <v>0.29166666666666702</v>
      </c>
      <c r="U49" s="191">
        <v>0.33611111111111103</v>
      </c>
      <c r="V49" s="55"/>
      <c r="W49" s="193">
        <f t="shared" si="4"/>
        <v>63.999999999999375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18"/>
        <v>-189.37499999998431</v>
      </c>
      <c r="AG49" s="52">
        <f t="shared" si="19"/>
        <v>0.89479166666667542</v>
      </c>
      <c r="AH49" s="457">
        <f>AG58</f>
        <v>0.89630786936772433</v>
      </c>
    </row>
    <row r="50" spans="1:34" ht="15" customHeight="1">
      <c r="A50" s="485"/>
      <c r="B50" s="75" t="s">
        <v>81</v>
      </c>
      <c r="C50" s="76"/>
      <c r="D50" s="59" t="s">
        <v>134</v>
      </c>
      <c r="E50" s="77"/>
      <c r="F50" s="75">
        <f>VLOOKUP(D50,廠價表!$C$1:$E$43,3,0)</f>
        <v>49.97</v>
      </c>
      <c r="G50" s="202">
        <v>3153</v>
      </c>
      <c r="H50" s="231">
        <f>F50*G50</f>
        <v>157555.41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1616.9230769230771</v>
      </c>
      <c r="O50" s="235">
        <f>N50/M50</f>
        <v>101.05769230769232</v>
      </c>
      <c r="P50" s="74">
        <f>M50-J50</f>
        <v>0</v>
      </c>
      <c r="Q50" s="83">
        <f>O50-L50</f>
        <v>-11.442307692307679</v>
      </c>
      <c r="R50" s="72">
        <f>O50/L50</f>
        <v>0.89829059829059843</v>
      </c>
      <c r="S50" s="413"/>
      <c r="T50" s="21">
        <v>0.34236111111111101</v>
      </c>
      <c r="U50" s="21">
        <v>0.42361111111111099</v>
      </c>
      <c r="V50" s="30">
        <f>(T50-U49)*24*60</f>
        <v>8.999999999999968</v>
      </c>
      <c r="W50" s="236">
        <f t="shared" si="4"/>
        <v>116.99999999999999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18"/>
        <v>-183.07692307692287</v>
      </c>
      <c r="AG50" s="72">
        <f t="shared" si="19"/>
        <v>0.89829059829059843</v>
      </c>
      <c r="AH50" s="458"/>
    </row>
    <row r="51" spans="1:34" ht="15" customHeight="1">
      <c r="A51" s="485"/>
      <c r="B51" s="75" t="s">
        <v>81</v>
      </c>
      <c r="C51" s="76"/>
      <c r="D51" s="59" t="s">
        <v>135</v>
      </c>
      <c r="E51" s="77"/>
      <c r="F51" s="75">
        <f>VLOOKUP(D51,廠價表!$C$1:$E$43,3,0)</f>
        <v>50.289000000000001</v>
      </c>
      <c r="G51" s="202">
        <v>957</v>
      </c>
      <c r="H51" s="231">
        <f>F51*G51</f>
        <v>48126.573000000004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1367.1428571428908</v>
      </c>
      <c r="O51" s="235">
        <f>N51/M51</f>
        <v>80.420168067228872</v>
      </c>
      <c r="P51" s="74">
        <f>M51-J51</f>
        <v>0</v>
      </c>
      <c r="Q51" s="83">
        <f>O51-L51</f>
        <v>-15.815126050418186</v>
      </c>
      <c r="R51" s="72">
        <f>O51/L51</f>
        <v>0.83566189311912642</v>
      </c>
      <c r="S51" s="413"/>
      <c r="T51" s="21">
        <v>0.43055555555555602</v>
      </c>
      <c r="U51" s="19">
        <v>0.45972222222222198</v>
      </c>
      <c r="V51" s="30">
        <f>(T51-U50)*24*60</f>
        <v>10.000000000000844</v>
      </c>
      <c r="W51" s="236">
        <f t="shared" si="4"/>
        <v>41.99999999999897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18"/>
        <v>-268.85714285710924</v>
      </c>
      <c r="AG51" s="72">
        <f t="shared" si="19"/>
        <v>0.83566189311912642</v>
      </c>
      <c r="AH51" s="458"/>
    </row>
    <row r="52" spans="1:34" ht="15" customHeight="1">
      <c r="A52" s="485"/>
      <c r="B52" s="75" t="s">
        <v>81</v>
      </c>
      <c r="C52" s="86"/>
      <c r="D52" s="59" t="s">
        <v>135</v>
      </c>
      <c r="E52" s="87"/>
      <c r="F52" s="75">
        <f>VLOOKUP(D52,廠價表!$C$1:$E$43,3,0)</f>
        <v>50.289000000000001</v>
      </c>
      <c r="G52" s="202">
        <v>1147</v>
      </c>
      <c r="H52" s="231">
        <f t="shared" ref="H52:H53" si="20">F52*G52</f>
        <v>57681.483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 t="shared" ref="L52:L53" si="21">K52/J52</f>
        <v>96.235294117647058</v>
      </c>
      <c r="M52" s="233">
        <v>17</v>
      </c>
      <c r="N52" s="234">
        <f t="shared" ref="N52:N53" si="22">G52/W52*60</f>
        <v>1564.0909090909374</v>
      </c>
      <c r="O52" s="235">
        <f t="shared" ref="O52:O53" si="23">N52/M52</f>
        <v>92.00534759358456</v>
      </c>
      <c r="P52" s="74">
        <f t="shared" ref="P52:P53" si="24">M52-J52</f>
        <v>0</v>
      </c>
      <c r="Q52" s="83">
        <f t="shared" ref="Q52:Q53" si="25">O52-L52</f>
        <v>-4.2299465240624983</v>
      </c>
      <c r="R52" s="72">
        <f t="shared" ref="R52:R53" si="26">O52/L52</f>
        <v>0.95604578795289585</v>
      </c>
      <c r="S52" s="413"/>
      <c r="T52" s="21">
        <v>0.52152777777777803</v>
      </c>
      <c r="U52" s="21">
        <v>0.55208333333333304</v>
      </c>
      <c r="V52" s="30">
        <f>(T52-U51)*24*60</f>
        <v>89.000000000000725</v>
      </c>
      <c r="W52" s="236">
        <f t="shared" si="4"/>
        <v>43.999999999999204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18"/>
        <v>-71.90909090906257</v>
      </c>
      <c r="AG52" s="72">
        <f t="shared" si="19"/>
        <v>0.95604578795289574</v>
      </c>
      <c r="AH52" s="458"/>
    </row>
    <row r="53" spans="1:34" ht="15" customHeight="1">
      <c r="A53" s="485"/>
      <c r="B53" s="101" t="s">
        <v>81</v>
      </c>
      <c r="C53" s="102"/>
      <c r="D53" s="103" t="s">
        <v>134</v>
      </c>
      <c r="E53" s="104"/>
      <c r="F53" s="75">
        <f>VLOOKUP(D53,廠價表!$C$1:$E$43,3,0)</f>
        <v>49.97</v>
      </c>
      <c r="G53" s="202">
        <v>1076</v>
      </c>
      <c r="H53" s="231">
        <f t="shared" si="20"/>
        <v>53767.72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1613.9999999999864</v>
      </c>
      <c r="O53" s="235">
        <f t="shared" si="23"/>
        <v>100.87499999999915</v>
      </c>
      <c r="P53" s="74">
        <f t="shared" si="24"/>
        <v>0</v>
      </c>
      <c r="Q53" s="83">
        <f t="shared" si="25"/>
        <v>-11.625000000000853</v>
      </c>
      <c r="R53" s="72">
        <f t="shared" si="26"/>
        <v>0.89666666666665906</v>
      </c>
      <c r="S53" s="413"/>
      <c r="T53" s="21">
        <v>0.55902777777777801</v>
      </c>
      <c r="U53" s="21">
        <v>0.58680555555555602</v>
      </c>
      <c r="V53" s="30">
        <f>(T53-U52)*24*60</f>
        <v>10.000000000000764</v>
      </c>
      <c r="W53" s="236">
        <f t="shared" si="4"/>
        <v>40.000000000000341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18"/>
        <v>-186.00000000001364</v>
      </c>
      <c r="AG53" s="72">
        <f t="shared" si="19"/>
        <v>0.89666666666665906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1734.4</v>
      </c>
      <c r="L58" s="117">
        <f t="shared" si="27"/>
        <v>104.67058823529412</v>
      </c>
      <c r="M58" s="120">
        <f t="shared" si="27"/>
        <v>16.600000000000001</v>
      </c>
      <c r="N58" s="120">
        <f t="shared" si="27"/>
        <v>1554.5563686313812</v>
      </c>
      <c r="O58" s="117">
        <f t="shared" si="27"/>
        <v>93.82017100546588</v>
      </c>
      <c r="P58" s="121">
        <f>M58-J58</f>
        <v>0</v>
      </c>
      <c r="Q58" s="122">
        <f>N58-K58</f>
        <v>-179.84363136861884</v>
      </c>
      <c r="R58" s="123">
        <f>O58/L58</f>
        <v>0.89633747729173874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-179.84363136861884</v>
      </c>
      <c r="AG58" s="124">
        <f>N58/K58</f>
        <v>0.89630786936772433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2782</v>
      </c>
      <c r="H59" s="243">
        <f>F59*G59</f>
        <v>75086.179999999993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1559.9999999999905</v>
      </c>
      <c r="O59" s="138">
        <f>N59/M59</f>
        <v>103.99999999999936</v>
      </c>
      <c r="P59" s="56">
        <f>M59-J59</f>
        <v>0</v>
      </c>
      <c r="Q59" s="230">
        <f>O59-L59</f>
        <v>-5.0666666666673024</v>
      </c>
      <c r="R59" s="52">
        <f>O59/L59</f>
        <v>0.95354523227383281</v>
      </c>
      <c r="S59" s="412">
        <f>R69</f>
        <v>0.92027891118661342</v>
      </c>
      <c r="T59" s="245">
        <v>0.28819444444444398</v>
      </c>
      <c r="U59" s="245">
        <v>0.36249999999999999</v>
      </c>
      <c r="V59" s="55"/>
      <c r="W59" s="54">
        <f t="shared" si="4"/>
        <v>107.00000000000065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-76.00000000000955</v>
      </c>
      <c r="AG59" s="246">
        <f>N59/K59</f>
        <v>0.95354523227383281</v>
      </c>
      <c r="AH59" s="457">
        <f>AG69</f>
        <v>0.92249666592576129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1448</v>
      </c>
      <c r="H60" s="78">
        <f>F60*G60</f>
        <v>40920.480000000003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1579.6363636363415</v>
      </c>
      <c r="O60" s="81">
        <f>N60/M60</f>
        <v>143.60330578512196</v>
      </c>
      <c r="P60" s="74">
        <f>M60-J60</f>
        <v>0</v>
      </c>
      <c r="Q60" s="83">
        <f>O60-L60</f>
        <v>-5.1239669421507585</v>
      </c>
      <c r="R60" s="72">
        <f>O60/L60</f>
        <v>0.96554789953321618</v>
      </c>
      <c r="S60" s="502"/>
      <c r="T60" s="22">
        <v>0.36944444444444402</v>
      </c>
      <c r="U60" s="22">
        <v>0.40763888888888899</v>
      </c>
      <c r="V60" s="30">
        <f>(T60-U59)*24*60</f>
        <v>9.9999999999994049</v>
      </c>
      <c r="W60" s="248">
        <f t="shared" si="4"/>
        <v>55.000000000000767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-56.363636363658543</v>
      </c>
      <c r="AG60" s="249">
        <f>N60/K60</f>
        <v>0.96554789953321607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1743</v>
      </c>
      <c r="H61" s="254">
        <f>F61*G61</f>
        <v>49257.18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1358.1818181818244</v>
      </c>
      <c r="O61" s="238">
        <f>N61/M61</f>
        <v>123.47107438016586</v>
      </c>
      <c r="P61" s="111">
        <f>M61-J61</f>
        <v>0</v>
      </c>
      <c r="Q61" s="255">
        <f>O61-L61</f>
        <v>-25.25619834710686</v>
      </c>
      <c r="R61" s="85">
        <f>O61/L61</f>
        <v>0.83018448544121304</v>
      </c>
      <c r="S61" s="413"/>
      <c r="T61" s="22">
        <v>0.41527777777777802</v>
      </c>
      <c r="U61" s="22">
        <v>0.46875</v>
      </c>
      <c r="V61" s="30">
        <f>(T61-U60)*24*60</f>
        <v>11.000000000000201</v>
      </c>
      <c r="W61" s="256">
        <f t="shared" si="4"/>
        <v>76.999999999999645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-277.81818181817562</v>
      </c>
      <c r="AG61" s="247">
        <f>N61/K61</f>
        <v>0.83018448544121293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1539</v>
      </c>
      <c r="H62" s="254">
        <f>F62*G62</f>
        <v>43492.14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1539.0000000000259</v>
      </c>
      <c r="O62" s="238">
        <f>N62/M62</f>
        <v>139.90909090909327</v>
      </c>
      <c r="P62" s="111">
        <f>M62-J62</f>
        <v>0</v>
      </c>
      <c r="Q62" s="255">
        <f>O62-L62</f>
        <v>-8.818181818179454</v>
      </c>
      <c r="R62" s="85">
        <f>O62/L62</f>
        <v>0.94070904645478359</v>
      </c>
      <c r="S62" s="413"/>
      <c r="T62" s="22">
        <v>0.52430555555555602</v>
      </c>
      <c r="U62" s="22">
        <v>0.56597222222222199</v>
      </c>
      <c r="V62" s="30">
        <f>(T62-U61)*24*60</f>
        <v>80.000000000000682</v>
      </c>
      <c r="W62" s="248">
        <f t="shared" si="4"/>
        <v>59.999999999998991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-96.999999999974079</v>
      </c>
      <c r="AG62" s="247">
        <f>N62/K62</f>
        <v>0.94070904645478359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1509.2045454545455</v>
      </c>
      <c r="O69" s="268">
        <f t="shared" si="28"/>
        <v>127.74586776859512</v>
      </c>
      <c r="P69" s="269">
        <f>M69-J69</f>
        <v>0</v>
      </c>
      <c r="Q69" s="222">
        <f>N69-K69</f>
        <v>-126.7954545454545</v>
      </c>
      <c r="R69" s="123">
        <f>O69/L69</f>
        <v>0.92027891118661342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-126.7954545454545</v>
      </c>
      <c r="AG69" s="124">
        <f>N69/K69</f>
        <v>0.92249666592576129</v>
      </c>
      <c r="AH69" s="460"/>
    </row>
    <row r="70" spans="1:36" ht="15" customHeight="1">
      <c r="A70" s="494" t="s">
        <v>55</v>
      </c>
      <c r="B70" s="129" t="s">
        <v>81</v>
      </c>
      <c r="C70" s="129"/>
      <c r="D70" s="131" t="s">
        <v>127</v>
      </c>
      <c r="E70" s="132"/>
      <c r="F70" s="129">
        <v>50.67</v>
      </c>
      <c r="G70" s="55">
        <v>968</v>
      </c>
      <c r="H70" s="243">
        <f>F70*G70</f>
        <v>49048.560000000005</v>
      </c>
      <c r="I70" s="55"/>
      <c r="J70" s="136">
        <f>VLOOKUP(D70,產線配置圖!$A$3:$C$40,2,0)</f>
        <v>13</v>
      </c>
      <c r="K70" s="137">
        <f>VLOOKUP(D70,產線配置圖!$A$3:$C$40,3,0)</f>
        <v>1440</v>
      </c>
      <c r="L70" s="138">
        <f>K70/J70</f>
        <v>110.76923076923077</v>
      </c>
      <c r="M70" s="244">
        <v>13</v>
      </c>
      <c r="N70" s="137">
        <f>G70/W70*60</f>
        <v>968.00000000001614</v>
      </c>
      <c r="O70" s="138">
        <f>N70/M70</f>
        <v>74.461538461539703</v>
      </c>
      <c r="P70" s="56">
        <f>M70-J70</f>
        <v>0</v>
      </c>
      <c r="Q70" s="230">
        <f>O70-L70</f>
        <v>-36.30769230769107</v>
      </c>
      <c r="R70" s="52">
        <f>O70/L70</f>
        <v>0.67222222222223338</v>
      </c>
      <c r="S70" s="412">
        <f>R79</f>
        <v>0.83196621472878962</v>
      </c>
      <c r="T70" s="245">
        <v>0.29166666666666702</v>
      </c>
      <c r="U70" s="245">
        <v>0.33333333333333298</v>
      </c>
      <c r="V70" s="55"/>
      <c r="W70" s="54">
        <f t="shared" si="4"/>
        <v>59.999999999998991</v>
      </c>
      <c r="X70" s="270"/>
      <c r="Y70" s="292"/>
      <c r="Z70" s="169">
        <v>1</v>
      </c>
      <c r="AA70" s="169">
        <v>13</v>
      </c>
      <c r="AB70" s="464" t="s">
        <v>145</v>
      </c>
      <c r="AC70" s="464"/>
      <c r="AD70" s="135"/>
      <c r="AE70" s="135"/>
      <c r="AF70" s="310">
        <f>N70-K70</f>
        <v>-471.99999999998386</v>
      </c>
      <c r="AG70" s="246">
        <f>N70/K70</f>
        <v>0.67222222222223338</v>
      </c>
      <c r="AH70" s="457">
        <f>AG79</f>
        <v>0.82038139608910132</v>
      </c>
    </row>
    <row r="71" spans="1:36" ht="15" customHeight="1">
      <c r="A71" s="495"/>
      <c r="B71" s="75" t="s">
        <v>136</v>
      </c>
      <c r="C71" s="86"/>
      <c r="D71" s="59" t="s">
        <v>140</v>
      </c>
      <c r="E71" s="87"/>
      <c r="F71" s="75">
        <f>VLOOKUP(D71,廠價表!$C$1:$E$43,3,0)</f>
        <v>28.26</v>
      </c>
      <c r="G71" s="202">
        <v>1340</v>
      </c>
      <c r="H71" s="78">
        <f>F71*G71</f>
        <v>37868.400000000001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10</v>
      </c>
      <c r="N71" s="80">
        <f>G71/W71*60</f>
        <v>1236.9230769230735</v>
      </c>
      <c r="O71" s="81">
        <f>N71/M71</f>
        <v>123.69230769230735</v>
      </c>
      <c r="P71" s="74">
        <f>M71-J71</f>
        <v>-1</v>
      </c>
      <c r="Q71" s="83">
        <f>O71-L71</f>
        <v>-25.034965034965367</v>
      </c>
      <c r="R71" s="72">
        <f>O71/L71</f>
        <v>0.83167199548617421</v>
      </c>
      <c r="S71" s="413"/>
      <c r="T71" s="22">
        <v>0.375</v>
      </c>
      <c r="U71" s="22">
        <v>0.42013888888888901</v>
      </c>
      <c r="V71" s="30">
        <f>(T71-U70)*24*60</f>
        <v>60.000000000000504</v>
      </c>
      <c r="W71" s="73">
        <f t="shared" si="4"/>
        <v>65.000000000000171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58"/>
      <c r="D72" s="259" t="s">
        <v>141</v>
      </c>
      <c r="E72" s="60"/>
      <c r="F72" s="250">
        <f>VLOOKUP(D72,廠價表!$C$1:$E$43,3,0)</f>
        <v>46.34</v>
      </c>
      <c r="G72" s="273">
        <v>1549</v>
      </c>
      <c r="H72" s="254">
        <f>F72*G72</f>
        <v>71780.66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94">
        <v>16</v>
      </c>
      <c r="N72" s="107">
        <f>G72/W72*60</f>
        <v>1327.714285714289</v>
      </c>
      <c r="O72" s="238">
        <f>N72/M72</f>
        <v>82.98214285714306</v>
      </c>
      <c r="P72" s="111">
        <f>M72-J72</f>
        <v>0</v>
      </c>
      <c r="Q72" s="255">
        <f>O72-L72</f>
        <v>-10.76785714285694</v>
      </c>
      <c r="R72" s="85">
        <f>O72/L72</f>
        <v>0.88514285714285934</v>
      </c>
      <c r="S72" s="413"/>
      <c r="T72" s="22">
        <v>0.43055555555555602</v>
      </c>
      <c r="U72" s="22">
        <v>0.47916666666666702</v>
      </c>
      <c r="V72" s="30">
        <f>(T72-U71)*24*60</f>
        <v>15.000000000000506</v>
      </c>
      <c r="W72" s="73">
        <f t="shared" si="4"/>
        <v>69.999999999999829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 t="s">
        <v>81</v>
      </c>
      <c r="C73" s="102"/>
      <c r="D73" s="103" t="s">
        <v>141</v>
      </c>
      <c r="E73" s="104"/>
      <c r="F73" s="250">
        <f>VLOOKUP(D73,廠價表!$C$1:$E$43,3,0)</f>
        <v>46.34</v>
      </c>
      <c r="G73" s="30">
        <v>2783</v>
      </c>
      <c r="H73" s="254">
        <f>F73*G73</f>
        <v>128964.22000000002</v>
      </c>
      <c r="I73" s="182"/>
      <c r="J73" s="106">
        <f>VLOOKUP(D73,產線配置圖!$A$3:$C$40,2,0)</f>
        <v>16</v>
      </c>
      <c r="K73" s="107">
        <f>VLOOKUP(D73,產線配置圖!$A$3:$C$40,3,0)</f>
        <v>1500</v>
      </c>
      <c r="L73" s="238">
        <f>K73/J73</f>
        <v>93.75</v>
      </c>
      <c r="M73" s="108">
        <v>16</v>
      </c>
      <c r="N73" s="107">
        <f>G73/W73*60</f>
        <v>1452.0000000000009</v>
      </c>
      <c r="O73" s="238">
        <f>N73/M73</f>
        <v>90.750000000000057</v>
      </c>
      <c r="P73" s="111">
        <f>M73-J73</f>
        <v>0</v>
      </c>
      <c r="Q73" s="255">
        <f>O73-L73</f>
        <v>-2.9999999999999432</v>
      </c>
      <c r="R73" s="85">
        <f>O73/L73</f>
        <v>0.96800000000000064</v>
      </c>
      <c r="S73" s="413"/>
      <c r="T73" s="22">
        <v>0.54513888888888895</v>
      </c>
      <c r="U73" s="22">
        <v>0.625</v>
      </c>
      <c r="V73" s="30">
        <f>(T73-U72)*24*60</f>
        <v>94.999999999999588</v>
      </c>
      <c r="W73" s="73">
        <f t="shared" si="4"/>
        <v>114.99999999999991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 t="s">
        <v>126</v>
      </c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29">AVERAGE(J70:J78)</f>
        <v>14</v>
      </c>
      <c r="K79" s="240">
        <f t="shared" si="29"/>
        <v>1519</v>
      </c>
      <c r="L79" s="268">
        <f t="shared" si="29"/>
        <v>111.74912587412587</v>
      </c>
      <c r="M79" s="240">
        <f t="shared" si="29"/>
        <v>13.75</v>
      </c>
      <c r="N79" s="240">
        <f t="shared" si="29"/>
        <v>1246.1593406593449</v>
      </c>
      <c r="O79" s="268">
        <f t="shared" si="29"/>
        <v>92.97149725274754</v>
      </c>
      <c r="P79" s="269">
        <f>M79-J79</f>
        <v>-0.25</v>
      </c>
      <c r="Q79" s="222">
        <f>N79-K79</f>
        <v>-272.84065934065507</v>
      </c>
      <c r="R79" s="223">
        <f>O79/L79</f>
        <v>0.83196621472878962</v>
      </c>
      <c r="S79" s="416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13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-272.84065934065507</v>
      </c>
      <c r="AG79" s="124">
        <f>N79/K79</f>
        <v>0.82038139608910132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5:AH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16:AH26"/>
    <mergeCell ref="AB17:AC17"/>
    <mergeCell ref="AB18:AC18"/>
    <mergeCell ref="AB19:AC19"/>
    <mergeCell ref="AB14:AC14"/>
    <mergeCell ref="A38:A48"/>
    <mergeCell ref="S38:S48"/>
    <mergeCell ref="AB38:AC38"/>
    <mergeCell ref="D48:E48"/>
    <mergeCell ref="AB48:AC48"/>
    <mergeCell ref="AB25:AC25"/>
    <mergeCell ref="A27:A37"/>
    <mergeCell ref="S27:S37"/>
    <mergeCell ref="AB27:AC27"/>
    <mergeCell ref="D37:E37"/>
    <mergeCell ref="A16:A26"/>
    <mergeCell ref="S16:S26"/>
    <mergeCell ref="AB16:AC16"/>
    <mergeCell ref="D26:E26"/>
    <mergeCell ref="AB26:AC26"/>
    <mergeCell ref="AB20:AC20"/>
    <mergeCell ref="AB21:AC21"/>
    <mergeCell ref="AB22:AC22"/>
    <mergeCell ref="AB23:AC23"/>
    <mergeCell ref="AB24:AC24"/>
    <mergeCell ref="AG3:AG4"/>
    <mergeCell ref="A5:A15"/>
    <mergeCell ref="S5:S15"/>
    <mergeCell ref="AB13:AC13"/>
    <mergeCell ref="AB5:AC5"/>
    <mergeCell ref="AB6:AC6"/>
    <mergeCell ref="AB7:AC7"/>
    <mergeCell ref="D15:E15"/>
    <mergeCell ref="AB15:AC15"/>
    <mergeCell ref="AB8:AC8"/>
    <mergeCell ref="AB9:AC9"/>
    <mergeCell ref="AB10:AC10"/>
    <mergeCell ref="AB11:AC11"/>
    <mergeCell ref="AB12:AC12"/>
    <mergeCell ref="I3:I4"/>
    <mergeCell ref="J3:J4"/>
    <mergeCell ref="K3:K4"/>
    <mergeCell ref="L3:L4"/>
    <mergeCell ref="M3:M4"/>
    <mergeCell ref="N3:N4"/>
    <mergeCell ref="R3:R4"/>
    <mergeCell ref="T3:U3"/>
    <mergeCell ref="AF3:AF4"/>
    <mergeCell ref="A2:B2"/>
    <mergeCell ref="A3:A4"/>
    <mergeCell ref="B3:B4"/>
    <mergeCell ref="D3:E4"/>
    <mergeCell ref="F3:F4"/>
    <mergeCell ref="O3:O4"/>
    <mergeCell ref="P3:P4"/>
    <mergeCell ref="Q3:Q4"/>
    <mergeCell ref="AH3:AH4"/>
    <mergeCell ref="AD3:AE3"/>
    <mergeCell ref="W3:W4"/>
    <mergeCell ref="X3:Y3"/>
    <mergeCell ref="V3:V4"/>
    <mergeCell ref="AB3:AC4"/>
    <mergeCell ref="AF1:AH2"/>
    <mergeCell ref="G3:G4"/>
    <mergeCell ref="J1:L2"/>
    <mergeCell ref="AB1:AC2"/>
    <mergeCell ref="Z3:AA3"/>
    <mergeCell ref="M1:O2"/>
    <mergeCell ref="P1:S2"/>
    <mergeCell ref="T1:Y2"/>
    <mergeCell ref="S3:S4"/>
    <mergeCell ref="H3:H4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46207</v>
      </c>
      <c r="E3" s="379"/>
      <c r="F3" s="3" t="s">
        <v>72</v>
      </c>
      <c r="G3" s="380">
        <f>'0704'!E1</f>
        <v>61707</v>
      </c>
      <c r="H3" s="380"/>
      <c r="I3" s="3" t="s">
        <v>2</v>
      </c>
      <c r="J3" s="381">
        <f>'0704'!G1</f>
        <v>2869729.0410000002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120.6205184505815</v>
      </c>
      <c r="G6" s="386"/>
      <c r="H6" s="387">
        <f>AVERAGE(D13:H13)</f>
        <v>121.10873398932225</v>
      </c>
      <c r="I6" s="387"/>
      <c r="J6" s="387">
        <f>AVERAGE(I13:J13)</f>
        <v>119.39997960372961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110.61864875063176</v>
      </c>
      <c r="G7" s="410"/>
      <c r="H7" s="411">
        <f>AVERAGE(D14:H14)</f>
        <v>111.32912904716275</v>
      </c>
      <c r="I7" s="411"/>
      <c r="J7" s="411">
        <f>AVERAGE(I14:J14)</f>
        <v>108.84244800930426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0.91707986478231296</v>
      </c>
      <c r="G8" s="383"/>
      <c r="H8" s="383">
        <f>H7/H6</f>
        <v>0.9192493834257921</v>
      </c>
      <c r="I8" s="383"/>
      <c r="J8" s="383">
        <f>J7/J6</f>
        <v>0.91157844725380865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VALUE('0704'!L15)</f>
        <v>150</v>
      </c>
      <c r="E13" s="13">
        <f>VALUE('0704'!L26)</f>
        <v>157.84421460892048</v>
      </c>
      <c r="F13" s="13">
        <f>VALUE('0704'!L37)</f>
        <v>92.238562091503269</v>
      </c>
      <c r="G13" s="13">
        <f>VALUE('0704'!L48)</f>
        <v>98.681481481481498</v>
      </c>
      <c r="H13" s="13">
        <f>VALUE('0704'!L58)</f>
        <v>106.77941176470588</v>
      </c>
      <c r="I13" s="13">
        <f>VALUE('0704'!L69)</f>
        <v>140.79515151515153</v>
      </c>
      <c r="J13" s="13">
        <f>'0704'!L79</f>
        <v>98.004807692307693</v>
      </c>
    </row>
    <row r="14" spans="2:15" ht="39.950000000000003" customHeight="1">
      <c r="B14" s="404"/>
      <c r="C14" s="12" t="s">
        <v>100</v>
      </c>
      <c r="D14" s="13">
        <f>VALUE('0704'!O15)</f>
        <v>141.97137926143478</v>
      </c>
      <c r="E14" s="13">
        <f>VALUE('0704'!O26)</f>
        <v>140.37217881981204</v>
      </c>
      <c r="F14" s="13">
        <f>VALUE('0704'!O37)</f>
        <v>87.87742296918708</v>
      </c>
      <c r="G14" s="13">
        <f>VALUE('0704'!O48)</f>
        <v>88.447048139417305</v>
      </c>
      <c r="H14" s="13">
        <f>VALUE('0704'!O58)</f>
        <v>97.977616045962549</v>
      </c>
      <c r="I14" s="13">
        <f>VALUE('0704'!O69)</f>
        <v>130.4714720964258</v>
      </c>
      <c r="J14" s="13">
        <f>'0704'!O79</f>
        <v>87.213423922182727</v>
      </c>
    </row>
    <row r="15" spans="2:15" ht="39.950000000000003" customHeight="1">
      <c r="B15" s="405"/>
      <c r="C15" s="10" t="s">
        <v>26</v>
      </c>
      <c r="D15" s="14">
        <f t="shared" ref="D15:I15" si="1">D14/D13</f>
        <v>0.94647586174289855</v>
      </c>
      <c r="E15" s="14">
        <f t="shared" si="1"/>
        <v>0.88930835487130344</v>
      </c>
      <c r="F15" s="14">
        <f t="shared" si="1"/>
        <v>0.95271891686700605</v>
      </c>
      <c r="G15" s="14">
        <f t="shared" si="1"/>
        <v>0.89628820738787973</v>
      </c>
      <c r="H15" s="14">
        <f t="shared" si="1"/>
        <v>0.91757029212580266</v>
      </c>
      <c r="I15" s="14">
        <f t="shared" si="1"/>
        <v>0.92667588828430103</v>
      </c>
      <c r="J15" s="15">
        <f>'0704'!S70</f>
        <v>0.88988924090331156</v>
      </c>
    </row>
    <row r="16" spans="2:15" ht="17.25" customHeight="1">
      <c r="B16" s="406" t="s">
        <v>101</v>
      </c>
      <c r="C16" s="10" t="s">
        <v>34</v>
      </c>
      <c r="D16" s="16">
        <f>'0704'!T5</f>
        <v>0.3</v>
      </c>
      <c r="E16" s="16">
        <f>'0704'!T16</f>
        <v>0.29861111111111099</v>
      </c>
      <c r="F16" s="16">
        <f>'0704'!T27</f>
        <v>0.28819444444444398</v>
      </c>
      <c r="G16" s="16">
        <f>'0704'!T38</f>
        <v>0.33333333333333298</v>
      </c>
      <c r="H16" s="16">
        <f>'0704'!T49</f>
        <v>0.28958333333333303</v>
      </c>
      <c r="I16" s="16">
        <f>'0704'!T59</f>
        <v>0.28819444444444398</v>
      </c>
      <c r="J16" s="16">
        <f>'0704'!T70</f>
        <v>0.297222222222222</v>
      </c>
    </row>
    <row r="17" spans="2:10" ht="17.25" customHeight="1">
      <c r="B17" s="407"/>
      <c r="C17" s="10" t="s">
        <v>35</v>
      </c>
      <c r="D17" s="16">
        <v>0.57638888888888895</v>
      </c>
      <c r="E17" s="19">
        <v>0.59722222222222199</v>
      </c>
      <c r="F17" s="19">
        <v>0.61111111111111105</v>
      </c>
      <c r="G17" s="20">
        <v>0.57847222222222205</v>
      </c>
      <c r="H17" s="21">
        <v>0.61805555555555602</v>
      </c>
      <c r="I17" s="22">
        <v>0.57986111111111105</v>
      </c>
      <c r="J17" s="22">
        <v>0.68402777777777801</v>
      </c>
    </row>
    <row r="18" spans="2:10" ht="17.25" customHeight="1">
      <c r="B18" s="408" t="s">
        <v>102</v>
      </c>
      <c r="C18" s="330" t="s">
        <v>36</v>
      </c>
      <c r="D18" s="357">
        <f>'0704'!Z15</f>
        <v>0</v>
      </c>
      <c r="E18" s="358">
        <f>'0704'!Z26</f>
        <v>0</v>
      </c>
      <c r="F18" s="358">
        <f>'0704'!Z37</f>
        <v>0</v>
      </c>
      <c r="G18" s="359">
        <f>'0704'!Z48</f>
        <v>0</v>
      </c>
      <c r="H18" s="359">
        <f>'0704'!Z58</f>
        <v>0</v>
      </c>
      <c r="I18" s="358">
        <f>'0704'!Z69</f>
        <v>0</v>
      </c>
      <c r="J18" s="358">
        <f>'0704'!AA79</f>
        <v>0</v>
      </c>
    </row>
    <row r="19" spans="2:10" ht="17.25" customHeight="1">
      <c r="B19" s="409"/>
      <c r="C19" s="330" t="s">
        <v>37</v>
      </c>
      <c r="D19" s="357">
        <f>'0704'!AA15</f>
        <v>0</v>
      </c>
      <c r="E19" s="358">
        <f>'0704'!AA26</f>
        <v>0</v>
      </c>
      <c r="F19" s="358">
        <f>'0704'!AA37</f>
        <v>0</v>
      </c>
      <c r="G19" s="359">
        <f>'0704'!AA48</f>
        <v>0</v>
      </c>
      <c r="H19" s="359">
        <f>'0704'!AA58</f>
        <v>0</v>
      </c>
      <c r="I19" s="358">
        <f>'0704'!AA69</f>
        <v>0</v>
      </c>
      <c r="J19" s="358">
        <f>'0704'!AB79</f>
        <v>0</v>
      </c>
    </row>
    <row r="20" spans="2:10" ht="17.25" customHeight="1">
      <c r="B20" s="408" t="s">
        <v>103</v>
      </c>
      <c r="C20" s="330" t="s">
        <v>36</v>
      </c>
      <c r="D20" s="357">
        <f>'0704'!AD15</f>
        <v>0</v>
      </c>
      <c r="E20" s="358">
        <f>'0704'!AD26</f>
        <v>0</v>
      </c>
      <c r="F20" s="358">
        <f>'0704'!AD37</f>
        <v>0</v>
      </c>
      <c r="G20" s="359">
        <f>'0704'!AD48</f>
        <v>0</v>
      </c>
      <c r="H20" s="359">
        <f>'0704'!AD58</f>
        <v>0</v>
      </c>
      <c r="I20" s="358">
        <f>'0704'!AD69</f>
        <v>0</v>
      </c>
      <c r="J20" s="358">
        <f>'0704'!AD79</f>
        <v>0</v>
      </c>
    </row>
    <row r="21" spans="2:10" ht="17.25" customHeight="1">
      <c r="B21" s="409"/>
      <c r="C21" s="330" t="s">
        <v>85</v>
      </c>
      <c r="D21" s="357">
        <f>'0704'!AE15</f>
        <v>0</v>
      </c>
      <c r="E21" s="358">
        <f>'0704'!AE26</f>
        <v>0</v>
      </c>
      <c r="F21" s="358">
        <f>'0704'!AE37</f>
        <v>0</v>
      </c>
      <c r="G21" s="359">
        <f>'0704'!AE48</f>
        <v>0</v>
      </c>
      <c r="H21" s="359">
        <f>'0704'!AE58</f>
        <v>0</v>
      </c>
      <c r="I21" s="358">
        <f>'0704'!AE69</f>
        <v>0</v>
      </c>
      <c r="J21" s="358">
        <f>'0704'!AE79</f>
        <v>0</v>
      </c>
    </row>
    <row r="22" spans="2:10" ht="17.25" customHeight="1">
      <c r="B22" s="392" t="s">
        <v>104</v>
      </c>
      <c r="C22" s="393"/>
      <c r="D22" s="23">
        <f>VALUE('0704'!M15)</f>
        <v>15</v>
      </c>
      <c r="E22" s="23">
        <f>VALUE('0704'!M26)</f>
        <v>14.4</v>
      </c>
      <c r="F22" s="23">
        <f>VALUE('0704'!M37)</f>
        <v>17.2</v>
      </c>
      <c r="G22" s="23">
        <f>VALUE('0704'!M48)</f>
        <v>16.333333333333332</v>
      </c>
      <c r="H22" s="23">
        <f>VALUE('0704'!M58)</f>
        <v>16.5</v>
      </c>
      <c r="I22" s="23">
        <f>VALUE('0704'!M69)</f>
        <v>11.2</v>
      </c>
      <c r="J22" s="23">
        <f>'0704'!M79</f>
        <v>14.25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63" sqref="U63"/>
      <selection pane="topRight" activeCell="U63" sqref="U63"/>
      <selection pane="bottomLeft" activeCell="U63" sqref="U63"/>
      <selection pane="bottomRight" activeCell="D69" sqref="D69:E6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61707</v>
      </c>
      <c r="F1" s="30" t="s">
        <v>2</v>
      </c>
      <c r="G1" s="31">
        <f>SUM(H5:H79)</f>
        <v>2869729.0410000002</v>
      </c>
      <c r="H1" s="32" t="s">
        <v>3</v>
      </c>
      <c r="I1" s="33">
        <f>M15+M26+M48+M58+M69+M79+M37</f>
        <v>104.88333333333334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146</v>
      </c>
      <c r="B2" s="418"/>
      <c r="C2" s="28"/>
      <c r="D2" s="28" t="s">
        <v>14</v>
      </c>
      <c r="E2" s="35">
        <f>AVERAGE(O15,O26,O37,O48,O58,O69,O79)</f>
        <v>110.61864875063176</v>
      </c>
      <c r="F2" s="36" t="s">
        <v>15</v>
      </c>
      <c r="G2" s="37">
        <f>G1/E1</f>
        <v>46.505729349992713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2525</v>
      </c>
      <c r="H5" s="43">
        <f>F5*G5</f>
        <v>143596.75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2164.2857142857197</v>
      </c>
      <c r="O5" s="47">
        <f>N5/M5</f>
        <v>144.28571428571465</v>
      </c>
      <c r="P5" s="49">
        <f>M5-J5</f>
        <v>0</v>
      </c>
      <c r="Q5" s="50">
        <f>O5-L5</f>
        <v>-5.7142857142853529</v>
      </c>
      <c r="R5" s="51">
        <f>O5/L5</f>
        <v>0.96190476190476426</v>
      </c>
      <c r="S5" s="412">
        <f>R15</f>
        <v>0.94647586174289855</v>
      </c>
      <c r="T5" s="319">
        <v>0.3</v>
      </c>
      <c r="U5" s="320">
        <v>0.34861111111111098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-85.714285714280322</v>
      </c>
      <c r="AG5" s="52">
        <f t="shared" ref="AG5:AG11" si="2">N5/K5</f>
        <v>0.96190476190476426</v>
      </c>
      <c r="AH5" s="457">
        <f>AG15</f>
        <v>0.94647586174289855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2203</v>
      </c>
      <c r="H6" s="63">
        <f>F6*G6</f>
        <v>128148.51000000001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2131.9354838709451</v>
      </c>
      <c r="O6" s="67">
        <f>N6/M6</f>
        <v>142.12903225806301</v>
      </c>
      <c r="P6" s="69">
        <f>M6-J6</f>
        <v>0</v>
      </c>
      <c r="Q6" s="70">
        <f>O6-L6</f>
        <v>-7.8709677419369939</v>
      </c>
      <c r="R6" s="71">
        <f>O6/L6</f>
        <v>0.94752688172041999</v>
      </c>
      <c r="S6" s="413"/>
      <c r="T6" s="16">
        <v>0.35625000000000001</v>
      </c>
      <c r="U6" s="16">
        <v>0.39930555555555602</v>
      </c>
      <c r="V6" s="30">
        <f>(T6-U5)*24*60</f>
        <v>11.000000000000201</v>
      </c>
      <c r="W6" s="73">
        <f t="shared" si="0"/>
        <v>62.000000000000661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-118.06451612905494</v>
      </c>
      <c r="AG6" s="72">
        <f t="shared" si="2"/>
        <v>0.94752688172041999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3816</v>
      </c>
      <c r="H7" s="78">
        <f>F7*G7</f>
        <v>187518.24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2222.9126213592158</v>
      </c>
      <c r="O7" s="81">
        <f>N7/M7</f>
        <v>148.19417475728105</v>
      </c>
      <c r="P7" s="74">
        <f>M7-J7</f>
        <v>0</v>
      </c>
      <c r="Q7" s="83">
        <f>O7-L7</f>
        <v>-1.8058252427189529</v>
      </c>
      <c r="R7" s="72">
        <f>O7/L7</f>
        <v>0.98796116504854037</v>
      </c>
      <c r="S7" s="413"/>
      <c r="T7" s="18">
        <v>0.40763888888888899</v>
      </c>
      <c r="U7" s="18">
        <v>0.47916666666666702</v>
      </c>
      <c r="V7" s="30">
        <f>(T7-U6)*24*60</f>
        <v>11.999999999999478</v>
      </c>
      <c r="W7" s="73">
        <f t="shared" si="0"/>
        <v>103.00000000000036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-27.087378640784209</v>
      </c>
      <c r="AG7" s="72">
        <f t="shared" si="2"/>
        <v>0.98796116504854037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1566</v>
      </c>
      <c r="H8" s="78">
        <f>F8*G8</f>
        <v>76953.240000000005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1999.1489361702061</v>
      </c>
      <c r="O8" s="81">
        <f>N8/M8</f>
        <v>133.27659574468041</v>
      </c>
      <c r="P8" s="74">
        <f>M8-J8</f>
        <v>0</v>
      </c>
      <c r="Q8" s="83">
        <f>O8-L8</f>
        <v>-16.723404255319593</v>
      </c>
      <c r="R8" s="72">
        <f>O8/L8</f>
        <v>0.88851063829786936</v>
      </c>
      <c r="S8" s="413"/>
      <c r="T8" s="16">
        <v>0.54374999999999996</v>
      </c>
      <c r="U8" s="16">
        <v>0.57638888888888895</v>
      </c>
      <c r="V8" s="30">
        <f>(T8-U7)*24*60</f>
        <v>92.999999999999432</v>
      </c>
      <c r="W8" s="73">
        <f t="shared" si="0"/>
        <v>47.000000000000156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-250.85106382979393</v>
      </c>
      <c r="AG8" s="72">
        <f t="shared" si="2"/>
        <v>0.88851063829786936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2129.5706889215217</v>
      </c>
      <c r="O15" s="117">
        <f t="shared" si="3"/>
        <v>141.97137926143478</v>
      </c>
      <c r="P15" s="121">
        <f>M15-J15</f>
        <v>0</v>
      </c>
      <c r="Q15" s="122">
        <f>O15-L15</f>
        <v>-8.0286207385652233</v>
      </c>
      <c r="R15" s="123">
        <f>O15/L15</f>
        <v>0.94647586174289855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-120.42931107847835</v>
      </c>
      <c r="AG15" s="124">
        <f>N15/K15</f>
        <v>0.94647586174289855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3539</v>
      </c>
      <c r="H16" s="134">
        <f>F16*G16</f>
        <v>179321.13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2081.7647058823618</v>
      </c>
      <c r="O16" s="141">
        <f>N16/M16</f>
        <v>148.69747899159728</v>
      </c>
      <c r="P16" s="142">
        <f>M16-J16</f>
        <v>0</v>
      </c>
      <c r="Q16" s="143">
        <f>O16-L16</f>
        <v>-12.016806722688443</v>
      </c>
      <c r="R16" s="144">
        <f>O16/L16</f>
        <v>0.92522875816993855</v>
      </c>
      <c r="S16" s="468">
        <f>R26</f>
        <v>0.88930835487130344</v>
      </c>
      <c r="T16" s="145">
        <v>0.29861111111111099</v>
      </c>
      <c r="U16" s="145">
        <v>0.36944444444444402</v>
      </c>
      <c r="V16" s="135"/>
      <c r="W16" s="146">
        <f t="shared" ref="W16:W78" si="4">(U16-T16)*24*60</f>
        <v>101.99999999999956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-168.2352941176382</v>
      </c>
      <c r="AG16" s="52">
        <f>N16/K16</f>
        <v>0.92522875816993855</v>
      </c>
      <c r="AH16" s="457">
        <f>AG26</f>
        <v>0.88721697885637507</v>
      </c>
    </row>
    <row r="17" spans="1:34" ht="15" customHeight="1">
      <c r="A17" s="475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1555</v>
      </c>
      <c r="H17" s="78">
        <f>F17*G17</f>
        <v>88961.55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2120.4545454545146</v>
      </c>
      <c r="O17" s="96">
        <f>N17/M17</f>
        <v>124.7326203208538</v>
      </c>
      <c r="P17" s="97">
        <f>M17-J17</f>
        <v>0</v>
      </c>
      <c r="Q17" s="98">
        <f>O17-L17</f>
        <v>-7.6203208556167823</v>
      </c>
      <c r="R17" s="99">
        <f>O17/L17</f>
        <v>0.94242424242422873</v>
      </c>
      <c r="S17" s="469"/>
      <c r="T17" s="19">
        <v>0.37708333333333299</v>
      </c>
      <c r="U17" s="19">
        <v>0.40763888888888899</v>
      </c>
      <c r="V17" s="30">
        <f>(T17-U16)*24*60</f>
        <v>11.000000000000121</v>
      </c>
      <c r="W17" s="149">
        <f t="shared" si="4"/>
        <v>44.000000000000639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-129.54545454548543</v>
      </c>
      <c r="AG17" s="72">
        <f>N17/K17</f>
        <v>0.94242424242422873</v>
      </c>
      <c r="AH17" s="458"/>
    </row>
    <row r="18" spans="1:34" ht="15" customHeight="1">
      <c r="A18" s="475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916</v>
      </c>
      <c r="H18" s="78">
        <f>F18*G18</f>
        <v>51854.76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1570.2857142856876</v>
      </c>
      <c r="O18" s="96">
        <f>N18/M18</f>
        <v>104.68571428571251</v>
      </c>
      <c r="P18" s="97">
        <f>M18-J18</f>
        <v>0</v>
      </c>
      <c r="Q18" s="98">
        <f>O18-L18</f>
        <v>-45.314285714287493</v>
      </c>
      <c r="R18" s="99">
        <f>O18/L18</f>
        <v>0.69790476190475004</v>
      </c>
      <c r="S18" s="469"/>
      <c r="T18" s="19">
        <v>0.41944444444444401</v>
      </c>
      <c r="U18" s="19">
        <v>0.44374999999999998</v>
      </c>
      <c r="V18" s="30">
        <f>(T18-U17)*24*60</f>
        <v>16.999999999999218</v>
      </c>
      <c r="W18" s="149">
        <f t="shared" si="4"/>
        <v>35.000000000000597</v>
      </c>
      <c r="X18" s="22"/>
      <c r="Y18" s="84"/>
      <c r="Z18" s="90"/>
      <c r="AA18" s="90"/>
      <c r="AB18" s="462" t="s">
        <v>143</v>
      </c>
      <c r="AC18" s="462"/>
      <c r="AD18" s="92"/>
      <c r="AE18" s="92"/>
      <c r="AF18" s="307">
        <f>N18-K18</f>
        <v>-679.71428571431238</v>
      </c>
      <c r="AG18" s="72">
        <f>N18/K18</f>
        <v>0.69790476190475004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1508</v>
      </c>
      <c r="H19" s="78">
        <f t="shared" ref="H19:H20" si="5">F19*G19</f>
        <v>75988.12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2104.1860465116356</v>
      </c>
      <c r="O19" s="96">
        <f t="shared" ref="O19:O20" si="8">N19/M19</f>
        <v>161.86046511627967</v>
      </c>
      <c r="P19" s="97">
        <f t="shared" ref="P19:P20" si="9">M19-J19</f>
        <v>0</v>
      </c>
      <c r="Q19" s="98">
        <f t="shared" ref="Q19:Q20" si="10">O19-L19</f>
        <v>-11.216457960643396</v>
      </c>
      <c r="R19" s="99">
        <f t="shared" ref="R19:R20" si="11">O19/L19</f>
        <v>0.93519379844961592</v>
      </c>
      <c r="S19" s="469"/>
      <c r="T19" s="19">
        <v>0.44930555555555601</v>
      </c>
      <c r="U19" s="19">
        <v>0.47916666666666702</v>
      </c>
      <c r="V19" s="30">
        <f>(T19-U18)*24*60</f>
        <v>8.000000000000691</v>
      </c>
      <c r="W19" s="149">
        <f t="shared" si="4"/>
        <v>42.999999999999844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-145.8139534883644</v>
      </c>
      <c r="AG19" s="72">
        <f>N19/K19</f>
        <v>0.93519379844961581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2806</v>
      </c>
      <c r="H20" s="78">
        <f t="shared" si="5"/>
        <v>141394.34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2104.50000000002</v>
      </c>
      <c r="O20" s="96">
        <f t="shared" si="8"/>
        <v>161.88461538461692</v>
      </c>
      <c r="P20" s="97">
        <f t="shared" si="9"/>
        <v>0</v>
      </c>
      <c r="Q20" s="98">
        <f t="shared" si="10"/>
        <v>-11.192307692306144</v>
      </c>
      <c r="R20" s="99">
        <f t="shared" si="11"/>
        <v>0.93533333333334223</v>
      </c>
      <c r="S20" s="469"/>
      <c r="T20" s="19">
        <v>0.54166666666666696</v>
      </c>
      <c r="U20" s="19">
        <v>0.59722222222222199</v>
      </c>
      <c r="V20" s="30">
        <f>(T20-U19)*24*60</f>
        <v>89.999999999999915</v>
      </c>
      <c r="W20" s="149">
        <f t="shared" si="4"/>
        <v>79.999999999999233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14.4</v>
      </c>
      <c r="K26" s="155">
        <f t="shared" si="12"/>
        <v>2250</v>
      </c>
      <c r="L26" s="158">
        <f t="shared" si="12"/>
        <v>157.84421460892048</v>
      </c>
      <c r="M26" s="155">
        <f t="shared" si="12"/>
        <v>14.4</v>
      </c>
      <c r="N26" s="155">
        <f t="shared" si="12"/>
        <v>1996.2382024268438</v>
      </c>
      <c r="O26" s="158">
        <f t="shared" si="12"/>
        <v>140.37217881981204</v>
      </c>
      <c r="P26" s="159">
        <f>M26-J26</f>
        <v>0</v>
      </c>
      <c r="Q26" s="160">
        <f>O26-L26</f>
        <v>-17.472035789108446</v>
      </c>
      <c r="R26" s="161">
        <f>O26/L26</f>
        <v>0.88930835487130344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-253.76179757315617</v>
      </c>
      <c r="AG26" s="124">
        <f t="shared" ref="AG26:AG31" si="14">N26/K26</f>
        <v>0.88721697885637507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2438</v>
      </c>
      <c r="H27" s="134">
        <f>F27*G27</f>
        <v>111319.07999999999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1589.9999999999961</v>
      </c>
      <c r="O27" s="141">
        <f>N27/M27</f>
        <v>93.529411764705657</v>
      </c>
      <c r="P27" s="142">
        <f>M27-J27</f>
        <v>0</v>
      </c>
      <c r="Q27" s="143">
        <f>O27-L27</f>
        <v>-2.7058823529414013</v>
      </c>
      <c r="R27" s="144">
        <f>O27/L27</f>
        <v>0.97188264058679474</v>
      </c>
      <c r="S27" s="468">
        <f>R37</f>
        <v>0.95271891686700605</v>
      </c>
      <c r="T27" s="171">
        <v>0.28819444444444398</v>
      </c>
      <c r="U27" s="171">
        <v>0.35208333333333303</v>
      </c>
      <c r="V27" s="135"/>
      <c r="W27" s="146">
        <f t="shared" si="4"/>
        <v>92.000000000000227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-46.000000000003865</v>
      </c>
      <c r="AG27" s="172">
        <f t="shared" si="14"/>
        <v>0.97188264058679474</v>
      </c>
      <c r="AH27" s="457">
        <f>AG37</f>
        <v>0.93155421251000692</v>
      </c>
    </row>
    <row r="28" spans="1:34" ht="15" customHeight="1">
      <c r="A28" s="466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2152</v>
      </c>
      <c r="H28" s="91">
        <f>F28*G28</f>
        <v>123115.92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1519.0588235294058</v>
      </c>
      <c r="O28" s="96">
        <f>N28/M28</f>
        <v>84.39215686274477</v>
      </c>
      <c r="P28" s="97">
        <f>M28-J28</f>
        <v>0</v>
      </c>
      <c r="Q28" s="98">
        <f>O28-L28</f>
        <v>-6.4967320261441159</v>
      </c>
      <c r="R28" s="99">
        <f>O28/L28</f>
        <v>0.92852006328203296</v>
      </c>
      <c r="S28" s="469"/>
      <c r="T28" s="19">
        <v>0.35763888888888901</v>
      </c>
      <c r="U28" s="19">
        <v>0.41666666666666702</v>
      </c>
      <c r="V28" s="92">
        <f>(T28-U27)*24*60</f>
        <v>8.0000000000006111</v>
      </c>
      <c r="W28" s="149">
        <f t="shared" si="4"/>
        <v>85.000000000000341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-116.9411764705942</v>
      </c>
      <c r="AG28" s="99">
        <f t="shared" si="14"/>
        <v>0.92852006328203285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1191</v>
      </c>
      <c r="H29" s="91">
        <f>F29*G29</f>
        <v>68137.11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1429.2000000000098</v>
      </c>
      <c r="O29" s="96">
        <f>N29/M29</f>
        <v>84.070588235294693</v>
      </c>
      <c r="P29" s="97">
        <f>M29-J29</f>
        <v>-1</v>
      </c>
      <c r="Q29" s="98">
        <f>O29-L29</f>
        <v>-2.8738562091497499</v>
      </c>
      <c r="R29" s="99">
        <f>O29/L29</f>
        <v>0.9669460627701626</v>
      </c>
      <c r="S29" s="469"/>
      <c r="T29" s="19">
        <v>0.422222222222222</v>
      </c>
      <c r="U29" s="19">
        <v>0.45694444444444399</v>
      </c>
      <c r="V29" s="92">
        <f>(T29-U28)*24*60</f>
        <v>7.9999999999991722</v>
      </c>
      <c r="W29" s="149">
        <f t="shared" si="4"/>
        <v>49.999999999999659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-135.79999999999018</v>
      </c>
      <c r="AG29" s="99">
        <f t="shared" si="14"/>
        <v>0.91322683706070917</v>
      </c>
      <c r="AH29" s="478"/>
    </row>
    <row r="30" spans="1:34" ht="15" customHeight="1">
      <c r="A30" s="466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1300</v>
      </c>
      <c r="H30" s="91">
        <f t="shared" ref="H30:H31" si="15">F30*G30</f>
        <v>59357.999999999993</v>
      </c>
      <c r="I30" s="92"/>
      <c r="J30" s="79">
        <f>VLOOKUP(D30,產線配置圖!$A$3:$C$40,2,0)</f>
        <v>17</v>
      </c>
      <c r="K30" s="80">
        <v>1636</v>
      </c>
      <c r="L30" s="93">
        <f t="shared" ref="L30:L31" si="16">K30/J30</f>
        <v>96.235294117647058</v>
      </c>
      <c r="M30" s="94">
        <v>17</v>
      </c>
      <c r="N30" s="95">
        <f t="shared" ref="N30:N31" si="17">G30/W30*60</f>
        <v>1559.9999999999657</v>
      </c>
      <c r="O30" s="96">
        <f t="shared" ref="O30:O31" si="18">N30/M30</f>
        <v>91.764705882350924</v>
      </c>
      <c r="P30" s="97">
        <f t="shared" ref="P30:P31" si="19">M30-J30</f>
        <v>0</v>
      </c>
      <c r="Q30" s="98">
        <f t="shared" ref="Q30:Q31" si="20">O30-L30</f>
        <v>-4.4705882352961339</v>
      </c>
      <c r="R30" s="99">
        <f t="shared" ref="R30:R31" si="21">O30/L30</f>
        <v>0.95354523227381771</v>
      </c>
      <c r="S30" s="469"/>
      <c r="T30" s="19">
        <v>0.52083333333333304</v>
      </c>
      <c r="U30" s="19">
        <v>0.55555555555555602</v>
      </c>
      <c r="V30" s="92">
        <f>(T30-U29)*24*60</f>
        <v>92.000000000000227</v>
      </c>
      <c r="W30" s="149">
        <f t="shared" si="4"/>
        <v>50.000000000001101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-76.000000000034333</v>
      </c>
      <c r="AG30" s="99">
        <f t="shared" si="14"/>
        <v>0.9535452322738176</v>
      </c>
      <c r="AH30" s="479"/>
    </row>
    <row r="31" spans="1:34" ht="15" customHeight="1">
      <c r="A31" s="466"/>
      <c r="B31" s="75" t="s">
        <v>128</v>
      </c>
      <c r="C31" s="102"/>
      <c r="D31" s="175" t="s">
        <v>131</v>
      </c>
      <c r="E31" s="176"/>
      <c r="F31" s="75">
        <f>VLOOKUP(D31,廠價表!$C$1:$E$43,3,0)</f>
        <v>44.3</v>
      </c>
      <c r="G31" s="90">
        <v>1019</v>
      </c>
      <c r="H31" s="91">
        <f t="shared" si="15"/>
        <v>45141.7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17</v>
      </c>
      <c r="N31" s="95">
        <f t="shared" si="17"/>
        <v>1455.7142857142687</v>
      </c>
      <c r="O31" s="96">
        <f t="shared" si="18"/>
        <v>85.630252100839343</v>
      </c>
      <c r="P31" s="97">
        <f t="shared" si="19"/>
        <v>-1</v>
      </c>
      <c r="Q31" s="98">
        <f t="shared" si="20"/>
        <v>-5.258636788049543</v>
      </c>
      <c r="R31" s="99">
        <f t="shared" si="21"/>
        <v>0.94214213802879476</v>
      </c>
      <c r="S31" s="469"/>
      <c r="T31" s="19">
        <v>0.58194444444444404</v>
      </c>
      <c r="U31" s="19">
        <v>0.61111111111111105</v>
      </c>
      <c r="V31" s="92">
        <f>(T31-U30)*24*60</f>
        <v>37.999999999998749</v>
      </c>
      <c r="W31" s="149">
        <f t="shared" si="4"/>
        <v>42.00000000000049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-180.28571428573127</v>
      </c>
      <c r="AG31" s="99">
        <f t="shared" si="14"/>
        <v>0.88980090813830603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2">AVERAGE(J27:J36)</f>
        <v>17.600000000000001</v>
      </c>
      <c r="K37" s="155">
        <f t="shared" si="22"/>
        <v>1621.8</v>
      </c>
      <c r="L37" s="158">
        <f t="shared" si="22"/>
        <v>92.238562091503269</v>
      </c>
      <c r="M37" s="155">
        <f t="shared" si="22"/>
        <v>17.2</v>
      </c>
      <c r="N37" s="155">
        <f t="shared" si="22"/>
        <v>1510.7946218487291</v>
      </c>
      <c r="O37" s="158">
        <f t="shared" si="22"/>
        <v>87.87742296918708</v>
      </c>
      <c r="P37" s="159">
        <f>M37-J37</f>
        <v>-0.40000000000000213</v>
      </c>
      <c r="Q37" s="160">
        <f>N37-K37</f>
        <v>-111.00537815127086</v>
      </c>
      <c r="R37" s="161">
        <f>O37/L37</f>
        <v>0.95271891686700605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-111.00537815127086</v>
      </c>
      <c r="AG37" s="124">
        <f>N37/K37</f>
        <v>0.93155421251000692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2869</v>
      </c>
      <c r="H38" s="134">
        <f>F38*G38</f>
        <v>143191.78999999998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1639.4285714285634</v>
      </c>
      <c r="O38" s="141">
        <f>N38/M38</f>
        <v>109.29523809523756</v>
      </c>
      <c r="P38" s="142">
        <f>M38-J38</f>
        <v>0</v>
      </c>
      <c r="Q38" s="143">
        <f>O38-L38</f>
        <v>-4.9714285714291009</v>
      </c>
      <c r="R38" s="144">
        <f>O38/L38</f>
        <v>0.95649274879146062</v>
      </c>
      <c r="S38" s="490">
        <f>R48</f>
        <v>0.89628820738787973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-74.571428571436627</v>
      </c>
      <c r="AG38" s="195">
        <f>N38/K38</f>
        <v>0.95649274879146051</v>
      </c>
      <c r="AH38" s="480">
        <f>AG48</f>
        <v>0.86085218189326274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2560</v>
      </c>
      <c r="H39" s="91">
        <f>F39*G39</f>
        <v>113408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1359.2920353982167</v>
      </c>
      <c r="O39" s="203">
        <f>N39/M39</f>
        <v>79.958355023424517</v>
      </c>
      <c r="P39" s="97">
        <f>M39-J39</f>
        <v>-1</v>
      </c>
      <c r="Q39" s="98">
        <f>O39-L39</f>
        <v>-10.930533865464369</v>
      </c>
      <c r="R39" s="99">
        <f>O39/L39</f>
        <v>0.87973740245821597</v>
      </c>
      <c r="S39" s="491"/>
      <c r="T39" s="20">
        <v>0.41458333333333303</v>
      </c>
      <c r="U39" s="20">
        <v>0.49305555555555602</v>
      </c>
      <c r="V39" s="92">
        <f>(T39-U38)*24*60</f>
        <v>11.999999999999558</v>
      </c>
      <c r="W39" s="205">
        <f t="shared" si="4"/>
        <v>113.00000000000112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-276.70796460178326</v>
      </c>
      <c r="AG39" s="206">
        <f>N39/K39</f>
        <v>0.83086310232164839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927</v>
      </c>
      <c r="H40" s="91">
        <f>F40*G40</f>
        <v>41066.1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1293.4883720930279</v>
      </c>
      <c r="O40" s="203">
        <f>N40/M40</f>
        <v>76.087551299589876</v>
      </c>
      <c r="P40" s="97">
        <f>M40-J40</f>
        <v>-1</v>
      </c>
      <c r="Q40" s="98">
        <f>O40-L40</f>
        <v>-14.80133758929901</v>
      </c>
      <c r="R40" s="99">
        <f>O40/L40</f>
        <v>0.8371490974282505</v>
      </c>
      <c r="S40" s="413"/>
      <c r="T40" s="20">
        <v>0.54861111111111105</v>
      </c>
      <c r="U40" s="20">
        <v>0.57847222222222205</v>
      </c>
      <c r="V40" s="92">
        <f>(T40-U39)*24*60</f>
        <v>79.999999999999233</v>
      </c>
      <c r="W40" s="205">
        <f t="shared" si="4"/>
        <v>42.999999999999844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-342.51162790697208</v>
      </c>
      <c r="AG40" s="206">
        <f>N40/K40</f>
        <v>0.79064081423779209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3">AVERAGE(J38:J47)</f>
        <v>17</v>
      </c>
      <c r="K48" s="155">
        <f t="shared" si="23"/>
        <v>1662</v>
      </c>
      <c r="L48" s="158">
        <f t="shared" si="23"/>
        <v>98.681481481481498</v>
      </c>
      <c r="M48" s="155">
        <f t="shared" si="23"/>
        <v>16.333333333333332</v>
      </c>
      <c r="N48" s="155">
        <f t="shared" si="23"/>
        <v>1430.7363263066027</v>
      </c>
      <c r="O48" s="158">
        <f t="shared" si="23"/>
        <v>88.447048139417305</v>
      </c>
      <c r="P48" s="221">
        <f>M48-J48</f>
        <v>-0.66666666666666785</v>
      </c>
      <c r="Q48" s="222">
        <f>N48-K48</f>
        <v>-231.26367369339732</v>
      </c>
      <c r="R48" s="223">
        <f>O48/L48</f>
        <v>0.89628820738787973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4">N48-K48</f>
        <v>-231.26367369339732</v>
      </c>
      <c r="AG48" s="162">
        <f t="shared" ref="AG48:AG53" si="25">N48/K48</f>
        <v>0.86085218189326274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1907</v>
      </c>
      <c r="H49" s="134">
        <f>F49*G49</f>
        <v>94434.64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1682.6470588235015</v>
      </c>
      <c r="O49" s="141">
        <f>N49/M49</f>
        <v>98.979238754323617</v>
      </c>
      <c r="P49" s="229">
        <f>M49-J49</f>
        <v>0</v>
      </c>
      <c r="Q49" s="230">
        <f>O49-L49</f>
        <v>-6.9031141868528465</v>
      </c>
      <c r="R49" s="52">
        <f>O49/L49</f>
        <v>0.93480392156861203</v>
      </c>
      <c r="S49" s="412">
        <f>R58</f>
        <v>0.91757029212580266</v>
      </c>
      <c r="T49" s="191">
        <v>0.28958333333333303</v>
      </c>
      <c r="U49" s="191">
        <v>0.33680555555555602</v>
      </c>
      <c r="V49" s="55"/>
      <c r="W49" s="193">
        <f t="shared" si="4"/>
        <v>68.000000000001123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4"/>
        <v>-117.35294117649846</v>
      </c>
      <c r="AG49" s="52">
        <f t="shared" si="25"/>
        <v>0.93480392156861192</v>
      </c>
      <c r="AH49" s="457">
        <f>AG58</f>
        <v>0.91798892533050813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2559</v>
      </c>
      <c r="H50" s="231">
        <f>F50*G50</f>
        <v>128689.55100000001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1520.1980198019785</v>
      </c>
      <c r="O50" s="235">
        <f>N50/M50</f>
        <v>89.423412929528141</v>
      </c>
      <c r="P50" s="74">
        <f>M50-J50</f>
        <v>0</v>
      </c>
      <c r="Q50" s="83">
        <f>O50-L50</f>
        <v>-6.8118811881189174</v>
      </c>
      <c r="R50" s="72">
        <f>O50/L50</f>
        <v>0.9292163935219917</v>
      </c>
      <c r="S50" s="413"/>
      <c r="T50" s="21">
        <v>0.34375</v>
      </c>
      <c r="U50" s="21">
        <v>0.41388888888888897</v>
      </c>
      <c r="V50" s="30">
        <f>(T50-U49)*24*60</f>
        <v>9.999999999999325</v>
      </c>
      <c r="W50" s="236">
        <f t="shared" si="4"/>
        <v>101.00000000000011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4"/>
        <v>-115.80198019802151</v>
      </c>
      <c r="AG50" s="72">
        <f t="shared" si="25"/>
        <v>0.9292163935219917</v>
      </c>
      <c r="AH50" s="458"/>
    </row>
    <row r="51" spans="1:34" ht="15" customHeight="1">
      <c r="A51" s="485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1726</v>
      </c>
      <c r="H51" s="231">
        <f t="shared" ref="H51:H52" si="26">F51*G51</f>
        <v>86248.22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27">K51/J51</f>
        <v>112.5</v>
      </c>
      <c r="M51" s="363">
        <v>16</v>
      </c>
      <c r="N51" s="234">
        <f t="shared" ref="N51:N52" si="28">G51/W51*60</f>
        <v>1618.1249999999795</v>
      </c>
      <c r="O51" s="235">
        <f t="shared" ref="O51:O52" si="29">N51/M51</f>
        <v>101.13281249999872</v>
      </c>
      <c r="P51" s="74">
        <f t="shared" ref="P51:P52" si="30">M51-J51</f>
        <v>0</v>
      </c>
      <c r="Q51" s="83">
        <f t="shared" ref="Q51:Q52" si="31">O51-L51</f>
        <v>-11.367187500001279</v>
      </c>
      <c r="R51" s="72">
        <f t="shared" ref="R51:R52" si="32">O51/L51</f>
        <v>0.89895833333332198</v>
      </c>
      <c r="S51" s="413"/>
      <c r="T51" s="21">
        <v>0.420833333333333</v>
      </c>
      <c r="U51" s="21">
        <v>0.46527777777777801</v>
      </c>
      <c r="V51" s="30">
        <f>(T51-U50)*24*60</f>
        <v>9.9999999999994049</v>
      </c>
      <c r="W51" s="236">
        <f t="shared" si="4"/>
        <v>64.00000000000081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4"/>
        <v>-181.87500000002046</v>
      </c>
      <c r="AG51" s="72">
        <f t="shared" si="25"/>
        <v>0.89895833333332198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3549</v>
      </c>
      <c r="H52" s="231">
        <f t="shared" si="26"/>
        <v>177343.53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27"/>
        <v>112.5</v>
      </c>
      <c r="M52" s="233">
        <v>16</v>
      </c>
      <c r="N52" s="234">
        <f t="shared" si="28"/>
        <v>1637.9999999999957</v>
      </c>
      <c r="O52" s="235">
        <f t="shared" si="29"/>
        <v>102.37499999999973</v>
      </c>
      <c r="P52" s="74">
        <f t="shared" si="30"/>
        <v>0</v>
      </c>
      <c r="Q52" s="83">
        <f t="shared" si="31"/>
        <v>-10.12500000000027</v>
      </c>
      <c r="R52" s="72">
        <f t="shared" si="32"/>
        <v>0.90999999999999759</v>
      </c>
      <c r="S52" s="413"/>
      <c r="T52" s="21">
        <v>0.52777777777777801</v>
      </c>
      <c r="U52" s="21">
        <v>0.61805555555555602</v>
      </c>
      <c r="V52" s="30">
        <f>(T52-U51)*24*60</f>
        <v>90</v>
      </c>
      <c r="W52" s="236">
        <f t="shared" si="4"/>
        <v>130.00000000000034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4"/>
        <v>-162.00000000000432</v>
      </c>
      <c r="AG52" s="72">
        <f t="shared" si="25"/>
        <v>0.90999999999999759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4"/>
        <v>0</v>
      </c>
      <c r="AG53" s="72" t="e">
        <f t="shared" si="25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3">AVERAGE(J49:J57)</f>
        <v>16.5</v>
      </c>
      <c r="K58" s="120">
        <f t="shared" si="33"/>
        <v>1759</v>
      </c>
      <c r="L58" s="117">
        <f t="shared" si="33"/>
        <v>106.77941176470588</v>
      </c>
      <c r="M58" s="120">
        <f t="shared" si="33"/>
        <v>16.5</v>
      </c>
      <c r="N58" s="120">
        <f t="shared" si="33"/>
        <v>1614.7425196563638</v>
      </c>
      <c r="O58" s="117">
        <f t="shared" si="33"/>
        <v>97.977616045962549</v>
      </c>
      <c r="P58" s="121">
        <f>M58-J58</f>
        <v>0</v>
      </c>
      <c r="Q58" s="122">
        <f>N58-K58</f>
        <v>-144.25748034363619</v>
      </c>
      <c r="R58" s="123">
        <f>O58/L58</f>
        <v>0.91757029212580266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-144.25748034363619</v>
      </c>
      <c r="AG58" s="124">
        <f>N58/K58</f>
        <v>0.91798892533050813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3393</v>
      </c>
      <c r="H59" s="243">
        <f>F59*G59</f>
        <v>91577.069999999992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1565.9999999999959</v>
      </c>
      <c r="O59" s="138">
        <f>N59/M59</f>
        <v>104.39999999999972</v>
      </c>
      <c r="P59" s="56">
        <f>M59-J59</f>
        <v>0</v>
      </c>
      <c r="Q59" s="230">
        <f>O59-L59</f>
        <v>-4.6666666666669414</v>
      </c>
      <c r="R59" s="52">
        <f>O59/L59</f>
        <v>0.95721271393642782</v>
      </c>
      <c r="S59" s="412">
        <f>R69</f>
        <v>0.92667588828430103</v>
      </c>
      <c r="T59" s="245">
        <v>0.28819444444444398</v>
      </c>
      <c r="U59" s="245">
        <v>0.37847222222222199</v>
      </c>
      <c r="V59" s="55"/>
      <c r="W59" s="54">
        <f t="shared" si="4"/>
        <v>130.00000000000034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-70.000000000004093</v>
      </c>
      <c r="AG59" s="246">
        <f>N59/K59</f>
        <v>0.95721271393642782</v>
      </c>
      <c r="AH59" s="457">
        <f>AG69</f>
        <v>0.87803382391065166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1672</v>
      </c>
      <c r="H60" s="78">
        <f>F60*G60</f>
        <v>47250.720000000001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1497.313432835846</v>
      </c>
      <c r="O60" s="81">
        <f>N60/M60</f>
        <v>136.1194029850769</v>
      </c>
      <c r="P60" s="74">
        <f>M60-J60</f>
        <v>0</v>
      </c>
      <c r="Q60" s="83">
        <f>O60-L60</f>
        <v>-12.607869742195817</v>
      </c>
      <c r="R60" s="72">
        <f>O60/L60</f>
        <v>0.91522825967961252</v>
      </c>
      <c r="S60" s="502"/>
      <c r="T60" s="22">
        <v>0.38541666666666702</v>
      </c>
      <c r="U60" s="22">
        <v>0.43194444444444402</v>
      </c>
      <c r="V60" s="30">
        <f>(T60-U59)*24*60</f>
        <v>10.000000000000844</v>
      </c>
      <c r="W60" s="248">
        <f t="shared" si="4"/>
        <v>66.999999999998877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-138.68656716415398</v>
      </c>
      <c r="AG60" s="249">
        <f>N60/K60</f>
        <v>0.91522825967961252</v>
      </c>
      <c r="AH60" s="493"/>
    </row>
    <row r="61" spans="1:34" ht="15" customHeight="1">
      <c r="A61" s="500"/>
      <c r="B61" s="250" t="s">
        <v>136</v>
      </c>
      <c r="C61" s="251"/>
      <c r="D61" s="252" t="s">
        <v>140</v>
      </c>
      <c r="E61" s="253"/>
      <c r="F61" s="75">
        <f>VLOOKUP(D61,廠價表!$C$1:$E$43,3,0)</f>
        <v>28.26</v>
      </c>
      <c r="G61" s="38">
        <v>1919</v>
      </c>
      <c r="H61" s="254">
        <f>F61*G61</f>
        <v>54230.94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8</v>
      </c>
      <c r="N61" s="107">
        <f>G61/W61*60</f>
        <v>1096.5714285714391</v>
      </c>
      <c r="O61" s="238">
        <f>N61/M61</f>
        <v>137.07142857142989</v>
      </c>
      <c r="P61" s="111">
        <f>M61-J61</f>
        <v>-3</v>
      </c>
      <c r="Q61" s="255">
        <f>O61-L61</f>
        <v>-11.655844155842829</v>
      </c>
      <c r="R61" s="85">
        <f>O61/L61</f>
        <v>0.92162940971010321</v>
      </c>
      <c r="S61" s="413"/>
      <c r="T61" s="22">
        <v>0.41666666666666702</v>
      </c>
      <c r="U61" s="22">
        <v>0.48958333333333298</v>
      </c>
      <c r="V61" s="30">
        <f>(T61-U60)*24*60</f>
        <v>-21.999999999998884</v>
      </c>
      <c r="W61" s="256">
        <f t="shared" si="4"/>
        <v>104.99999999999899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-539.42857142856087</v>
      </c>
      <c r="AG61" s="247">
        <f>N61/K61</f>
        <v>0.67027593433462052</v>
      </c>
      <c r="AH61" s="458"/>
    </row>
    <row r="62" spans="1:34" ht="15" customHeight="1">
      <c r="A62" s="500"/>
      <c r="B62" s="250" t="s">
        <v>136</v>
      </c>
      <c r="C62" s="251"/>
      <c r="D62" s="257" t="s">
        <v>139</v>
      </c>
      <c r="E62" s="253"/>
      <c r="F62" s="75">
        <f>VLOOKUP(D62,廠價表!$C$1:$E$43,3,0)</f>
        <v>28.26</v>
      </c>
      <c r="G62" s="38">
        <v>2043</v>
      </c>
      <c r="H62" s="254">
        <f t="shared" ref="H62:H63" si="34">F62*G62</f>
        <v>57735.18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5">K62/J62</f>
        <v>148.72727272727272</v>
      </c>
      <c r="M62" s="108">
        <v>11</v>
      </c>
      <c r="N62" s="107">
        <f t="shared" ref="N62:N63" si="36">G62/W62*60</f>
        <v>1532.2500000000161</v>
      </c>
      <c r="O62" s="238">
        <f t="shared" ref="O62:O63" si="37">N62/M62</f>
        <v>139.29545454545601</v>
      </c>
      <c r="P62" s="111">
        <f t="shared" ref="P62:P63" si="38">M62-J62</f>
        <v>0</v>
      </c>
      <c r="Q62" s="255">
        <f t="shared" ref="Q62:Q63" si="39">O62-L62</f>
        <v>-9.4318181818167091</v>
      </c>
      <c r="R62" s="85">
        <f t="shared" ref="R62:R63" si="40">O62/L62</f>
        <v>0.93658312958436196</v>
      </c>
      <c r="S62" s="413"/>
      <c r="T62" s="22">
        <v>0.43402777777777801</v>
      </c>
      <c r="U62" s="22">
        <v>0.48958333333333298</v>
      </c>
      <c r="V62" s="30">
        <f>(T62-U61)*24*60</f>
        <v>-79.999999999999162</v>
      </c>
      <c r="W62" s="248">
        <f t="shared" si="4"/>
        <v>79.999999999999162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-103.74999999998386</v>
      </c>
      <c r="AG62" s="247">
        <f>N62/K62</f>
        <v>0.93658312958436196</v>
      </c>
      <c r="AH62" s="458"/>
    </row>
    <row r="63" spans="1:34" ht="15" customHeight="1">
      <c r="A63" s="500"/>
      <c r="B63" s="258" t="s">
        <v>136</v>
      </c>
      <c r="C63" s="58"/>
      <c r="D63" s="259" t="s">
        <v>140</v>
      </c>
      <c r="E63" s="60"/>
      <c r="F63" s="75">
        <f>VLOOKUP(D63,廠價表!$C$1:$E$43,3,0)</f>
        <v>28.26</v>
      </c>
      <c r="G63" s="260">
        <v>1366</v>
      </c>
      <c r="H63" s="254">
        <f t="shared" si="34"/>
        <v>38603.160000000003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5"/>
        <v>148.72727272727272</v>
      </c>
      <c r="M63" s="68">
        <v>11</v>
      </c>
      <c r="N63" s="107">
        <f t="shared" si="36"/>
        <v>1490.1818181818321</v>
      </c>
      <c r="O63" s="238">
        <f t="shared" si="37"/>
        <v>135.47107438016656</v>
      </c>
      <c r="P63" s="111">
        <f t="shared" si="38"/>
        <v>0</v>
      </c>
      <c r="Q63" s="255">
        <f t="shared" si="39"/>
        <v>-13.256198347106164</v>
      </c>
      <c r="R63" s="85">
        <f t="shared" si="40"/>
        <v>0.9108690820182348</v>
      </c>
      <c r="S63" s="413"/>
      <c r="T63" s="22">
        <v>0.54166666666666696</v>
      </c>
      <c r="U63" s="22">
        <v>0.57986111111111105</v>
      </c>
      <c r="V63" s="30">
        <f>(T63-U62)*24*60</f>
        <v>75.000000000000938</v>
      </c>
      <c r="W63" s="248">
        <f t="shared" si="4"/>
        <v>54.999999999999488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1">AVERAGE(J59:J68)</f>
        <v>11.8</v>
      </c>
      <c r="K69" s="240">
        <f t="shared" si="41"/>
        <v>1636</v>
      </c>
      <c r="L69" s="268">
        <f t="shared" si="41"/>
        <v>140.79515151515153</v>
      </c>
      <c r="M69" s="240">
        <f t="shared" si="41"/>
        <v>11.2</v>
      </c>
      <c r="N69" s="240">
        <f t="shared" si="41"/>
        <v>1436.463335917826</v>
      </c>
      <c r="O69" s="268">
        <f t="shared" si="41"/>
        <v>130.4714720964258</v>
      </c>
      <c r="P69" s="269">
        <f>M69-J69</f>
        <v>-0.60000000000000142</v>
      </c>
      <c r="Q69" s="222">
        <f>N69-K69</f>
        <v>-199.53666408217396</v>
      </c>
      <c r="R69" s="123">
        <f>O69/L69</f>
        <v>0.92667588828430103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-199.53666408217396</v>
      </c>
      <c r="AG69" s="124">
        <f>N69/K69</f>
        <v>0.87803382391065166</v>
      </c>
      <c r="AH69" s="460"/>
    </row>
    <row r="70" spans="1:36" ht="15" customHeight="1">
      <c r="A70" s="494" t="s">
        <v>55</v>
      </c>
      <c r="B70" s="129" t="s">
        <v>81</v>
      </c>
      <c r="C70" s="129"/>
      <c r="D70" s="131" t="s">
        <v>141</v>
      </c>
      <c r="E70" s="132"/>
      <c r="F70" s="129">
        <f>VLOOKUP(D70,廠價表!$C$1:$E$43,3,0)</f>
        <v>46.34</v>
      </c>
      <c r="G70" s="55">
        <v>2505</v>
      </c>
      <c r="H70" s="243">
        <f>F70*G70</f>
        <v>116081.70000000001</v>
      </c>
      <c r="I70" s="55"/>
      <c r="J70" s="136">
        <f>VLOOKUP(D70,產線配置圖!$A$3:$C$40,2,0)</f>
        <v>16</v>
      </c>
      <c r="K70" s="137">
        <f>VLOOKUP(D70,產線配置圖!$A$3:$C$40,3,0)</f>
        <v>1500</v>
      </c>
      <c r="L70" s="138">
        <f>K70/J70</f>
        <v>93.75</v>
      </c>
      <c r="M70" s="244">
        <v>14</v>
      </c>
      <c r="N70" s="137">
        <f>G70/W70*60</f>
        <v>1183.464566929126</v>
      </c>
      <c r="O70" s="138">
        <f>N70/M70</f>
        <v>84.533183352080428</v>
      </c>
      <c r="P70" s="56">
        <f>M70-J70</f>
        <v>-2</v>
      </c>
      <c r="Q70" s="230">
        <f>O70-L70</f>
        <v>-9.2168166479195719</v>
      </c>
      <c r="R70" s="52">
        <f>O70/L70</f>
        <v>0.90168728908885787</v>
      </c>
      <c r="S70" s="412">
        <f>R79</f>
        <v>0.88988924090331156</v>
      </c>
      <c r="T70" s="245">
        <v>0.297222222222222</v>
      </c>
      <c r="U70" s="245">
        <v>0.38541666666666702</v>
      </c>
      <c r="V70" s="55"/>
      <c r="W70" s="54">
        <f t="shared" si="4"/>
        <v>127.00000000000082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-316.53543307087398</v>
      </c>
      <c r="AG70" s="246">
        <f>N70/K70</f>
        <v>0.78897637795275066</v>
      </c>
      <c r="AH70" s="457">
        <f>AG79</f>
        <v>0.83413713510056531</v>
      </c>
    </row>
    <row r="71" spans="1:36" ht="15" customHeight="1">
      <c r="A71" s="495"/>
      <c r="B71" s="75" t="s">
        <v>81</v>
      </c>
      <c r="C71" s="76"/>
      <c r="D71" s="59" t="s">
        <v>127</v>
      </c>
      <c r="E71" s="77"/>
      <c r="F71" s="75">
        <v>50.67</v>
      </c>
      <c r="G71" s="202">
        <v>1259</v>
      </c>
      <c r="H71" s="254">
        <f>F71*G71</f>
        <v>63793.53</v>
      </c>
      <c r="I71" s="182"/>
      <c r="J71" s="106">
        <f>VLOOKUP(D71,產線配置圖!$A$3:$C$40,2,0)</f>
        <v>13</v>
      </c>
      <c r="K71" s="107">
        <f>VLOOKUP(D71,產線配置圖!$A$3:$C$40,3,0)</f>
        <v>1440</v>
      </c>
      <c r="L71" s="238">
        <f>K71/J71</f>
        <v>110.76923076923077</v>
      </c>
      <c r="M71" s="82">
        <v>11</v>
      </c>
      <c r="N71" s="107">
        <f>G71/W71*60</f>
        <v>1007.1999999999865</v>
      </c>
      <c r="O71" s="238">
        <f>N71/M71</f>
        <v>91.56363636363514</v>
      </c>
      <c r="P71" s="111">
        <f>M71-J71</f>
        <v>-2</v>
      </c>
      <c r="Q71" s="255">
        <f>O71-L71</f>
        <v>-19.205594405595633</v>
      </c>
      <c r="R71" s="85">
        <f>O71/L71</f>
        <v>0.82661616161615059</v>
      </c>
      <c r="S71" s="413"/>
      <c r="T71" s="22">
        <v>0.39583333333333298</v>
      </c>
      <c r="U71" s="22">
        <v>0.44791666666666702</v>
      </c>
      <c r="V71" s="30">
        <f>(T71-U70)*24*60</f>
        <v>14.999999999998987</v>
      </c>
      <c r="W71" s="73">
        <f t="shared" si="4"/>
        <v>75.000000000001009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58"/>
      <c r="D72" s="259" t="s">
        <v>141</v>
      </c>
      <c r="E72" s="60"/>
      <c r="F72" s="75">
        <f>VLOOKUP(D72,廠價表!$C$1:$E$43,3,0)</f>
        <v>46.34</v>
      </c>
      <c r="G72" s="273">
        <v>1766</v>
      </c>
      <c r="H72" s="254">
        <f t="shared" ref="H72:H73" si="42">F72*G72</f>
        <v>81836.44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 t="shared" ref="L72:L73" si="43">K72/J72</f>
        <v>93.75</v>
      </c>
      <c r="M72" s="94">
        <v>16</v>
      </c>
      <c r="N72" s="107">
        <f t="shared" ref="N72:N73" si="44">G72/W72*60</f>
        <v>1292.1951219512293</v>
      </c>
      <c r="O72" s="238">
        <f t="shared" ref="O72:O73" si="45">N72/M72</f>
        <v>80.762195121951834</v>
      </c>
      <c r="P72" s="111">
        <f t="shared" ref="P72:P73" si="46">M72-J72</f>
        <v>0</v>
      </c>
      <c r="Q72" s="255">
        <f t="shared" ref="Q72:Q73" si="47">O72-L72</f>
        <v>-12.987804878048166</v>
      </c>
      <c r="R72" s="85">
        <f t="shared" ref="R72:R73" si="48">O72/L72</f>
        <v>0.86146341463415288</v>
      </c>
      <c r="S72" s="413"/>
      <c r="T72" s="22">
        <v>0.53125</v>
      </c>
      <c r="U72" s="22">
        <v>0.58819444444444402</v>
      </c>
      <c r="V72" s="30">
        <f>(T72-U71)*24*60</f>
        <v>119.99999999999949</v>
      </c>
      <c r="W72" s="73">
        <f t="shared" si="4"/>
        <v>81.999999999999389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 t="s">
        <v>81</v>
      </c>
      <c r="C73" s="102"/>
      <c r="D73" s="103" t="s">
        <v>141</v>
      </c>
      <c r="E73" s="104"/>
      <c r="F73" s="75">
        <f>VLOOKUP(D73,廠價表!$C$1:$E$43,3,0)</f>
        <v>46.34</v>
      </c>
      <c r="G73" s="30">
        <v>1153</v>
      </c>
      <c r="H73" s="364">
        <f t="shared" si="42"/>
        <v>53430.020000000004</v>
      </c>
      <c r="I73" s="182"/>
      <c r="J73" s="106">
        <f>VLOOKUP(D73,產線配置圖!$A$3:$C$40,2,0)</f>
        <v>16</v>
      </c>
      <c r="K73" s="107">
        <f>VLOOKUP(D73,產線配置圖!$A$3:$C$40,3,0)</f>
        <v>1500</v>
      </c>
      <c r="L73" s="238">
        <f t="shared" si="43"/>
        <v>93.75</v>
      </c>
      <c r="M73" s="108">
        <v>16</v>
      </c>
      <c r="N73" s="107">
        <f t="shared" si="44"/>
        <v>1471.9148936170163</v>
      </c>
      <c r="O73" s="238">
        <f t="shared" si="45"/>
        <v>91.994680851063521</v>
      </c>
      <c r="P73" s="111">
        <f t="shared" si="46"/>
        <v>0</v>
      </c>
      <c r="Q73" s="255">
        <f t="shared" si="47"/>
        <v>-1.7553191489364792</v>
      </c>
      <c r="R73" s="85">
        <f t="shared" si="48"/>
        <v>0.98127659574467752</v>
      </c>
      <c r="S73" s="413"/>
      <c r="T73" s="22">
        <v>0.65138888888888902</v>
      </c>
      <c r="U73" s="22">
        <v>0.68402777777777801</v>
      </c>
      <c r="V73" s="30">
        <f>(T73-U72)*24*60</f>
        <v>91.000000000000796</v>
      </c>
      <c r="W73" s="73">
        <f t="shared" si="4"/>
        <v>47.000000000000156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 t="s">
        <v>126</v>
      </c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49">AVERAGE(J70:J78)</f>
        <v>15.25</v>
      </c>
      <c r="K79" s="240">
        <f t="shared" si="49"/>
        <v>1485</v>
      </c>
      <c r="L79" s="268">
        <f t="shared" si="49"/>
        <v>98.004807692307693</v>
      </c>
      <c r="M79" s="240">
        <f t="shared" si="49"/>
        <v>14.25</v>
      </c>
      <c r="N79" s="240">
        <f t="shared" si="49"/>
        <v>1238.6936456243395</v>
      </c>
      <c r="O79" s="268">
        <f t="shared" si="49"/>
        <v>87.213423922182727</v>
      </c>
      <c r="P79" s="269">
        <f>M79-J79</f>
        <v>-1</v>
      </c>
      <c r="Q79" s="222">
        <f>N79-K79</f>
        <v>-246.30635437566048</v>
      </c>
      <c r="R79" s="223">
        <f>O79/L79</f>
        <v>0.88988924090331156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-246.30635437566048</v>
      </c>
      <c r="AG79" s="124">
        <f>N79/K79</f>
        <v>0.83413713510056531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T1:Y2"/>
    <mergeCell ref="T3:U3"/>
    <mergeCell ref="AG3:AG4"/>
    <mergeCell ref="W3:W4"/>
    <mergeCell ref="AD3:AE3"/>
    <mergeCell ref="AF3:AF4"/>
    <mergeCell ref="AB3:AC4"/>
    <mergeCell ref="AH3:AH4"/>
    <mergeCell ref="X3:Y3"/>
    <mergeCell ref="Z3:AA3"/>
    <mergeCell ref="AB1:AC2"/>
    <mergeCell ref="V3:V4"/>
    <mergeCell ref="J1:L2"/>
    <mergeCell ref="M1:O2"/>
    <mergeCell ref="P1:S2"/>
    <mergeCell ref="R3:R4"/>
    <mergeCell ref="A5:A15"/>
    <mergeCell ref="S5:S15"/>
    <mergeCell ref="D15:E15"/>
    <mergeCell ref="N3:N4"/>
    <mergeCell ref="O3:O4"/>
    <mergeCell ref="G3:G4"/>
    <mergeCell ref="S3:S4"/>
    <mergeCell ref="H3:H4"/>
    <mergeCell ref="I3:I4"/>
    <mergeCell ref="J3:J4"/>
    <mergeCell ref="K3:K4"/>
    <mergeCell ref="M3:M4"/>
    <mergeCell ref="A2:B2"/>
    <mergeCell ref="A3:A4"/>
    <mergeCell ref="B3:B4"/>
    <mergeCell ref="D3:E4"/>
    <mergeCell ref="F3:F4"/>
    <mergeCell ref="L3:L4"/>
    <mergeCell ref="P3:P4"/>
    <mergeCell ref="Q3:Q4"/>
    <mergeCell ref="AH5:AH15"/>
    <mergeCell ref="AB6:AC6"/>
    <mergeCell ref="AB7:AC7"/>
    <mergeCell ref="AB14:AC14"/>
    <mergeCell ref="AB13:AC13"/>
    <mergeCell ref="AB9:AC9"/>
    <mergeCell ref="AB10:AC10"/>
    <mergeCell ref="AB11:AC11"/>
    <mergeCell ref="AB12:AC12"/>
    <mergeCell ref="AB15:AC15"/>
    <mergeCell ref="AB8:AC8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16:A26"/>
    <mergeCell ref="S16:S26"/>
    <mergeCell ref="AB16:AC16"/>
    <mergeCell ref="D26:E26"/>
    <mergeCell ref="AB26:AC26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AB67:AC67"/>
    <mergeCell ref="AB68:AC68"/>
    <mergeCell ref="AH38:AH48"/>
    <mergeCell ref="AB42:AC42"/>
    <mergeCell ref="AB43:AC43"/>
    <mergeCell ref="AB44:AC44"/>
    <mergeCell ref="AB45:AC45"/>
    <mergeCell ref="AB46:AC46"/>
    <mergeCell ref="A70:A79"/>
    <mergeCell ref="S70:S79"/>
    <mergeCell ref="AB70:AC70"/>
    <mergeCell ref="AH59:AH69"/>
    <mergeCell ref="AB66:AC66"/>
    <mergeCell ref="D79:E79"/>
    <mergeCell ref="AB79:AC7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</mergeCells>
  <phoneticPr fontId="0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46208</v>
      </c>
      <c r="E3" s="379"/>
      <c r="F3" s="3" t="s">
        <v>72</v>
      </c>
      <c r="G3" s="380">
        <f>'0705'!E1</f>
        <v>73271</v>
      </c>
      <c r="H3" s="380"/>
      <c r="I3" s="3" t="s">
        <v>2</v>
      </c>
      <c r="J3" s="381">
        <f>'0705'!G1</f>
        <v>3411803.0089999991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122.55062490264172</v>
      </c>
      <c r="G6" s="386"/>
      <c r="H6" s="387">
        <f>AVERAGE(D13:H13)</f>
        <v>122.58311728794081</v>
      </c>
      <c r="I6" s="387"/>
      <c r="J6" s="387">
        <f>AVERAGE(I13:J13)</f>
        <v>122.46939393939394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112.73921821941732</v>
      </c>
      <c r="G7" s="410"/>
      <c r="H7" s="411">
        <f>AVERAGE(D14:H14)</f>
        <v>114.21247389741833</v>
      </c>
      <c r="I7" s="411"/>
      <c r="J7" s="411">
        <f>AVERAGE(I14:J14)</f>
        <v>109.0560790244148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0.91993997018767637</v>
      </c>
      <c r="G8" s="383"/>
      <c r="H8" s="383">
        <f>H7/H6</f>
        <v>0.93171454947698629</v>
      </c>
      <c r="I8" s="383"/>
      <c r="J8" s="383">
        <f>J7/J6</f>
        <v>0.89047618769456027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VALUE('0705'!L15)</f>
        <v>150</v>
      </c>
      <c r="E13" s="13">
        <f>VALUE('0705'!L26)</f>
        <v>158.32255979314803</v>
      </c>
      <c r="F13" s="13">
        <f>VALUE('0705'!L37)</f>
        <v>96.914117647058816</v>
      </c>
      <c r="G13" s="13">
        <f>VALUE('0705'!L48)</f>
        <v>101.7034188034188</v>
      </c>
      <c r="H13" s="13">
        <f>VALUE('0705'!L58)</f>
        <v>105.97549019607844</v>
      </c>
      <c r="I13" s="13">
        <f>VALUE('0705'!L69)</f>
        <v>132.86303030303029</v>
      </c>
      <c r="J13" s="13">
        <f>'0705'!L79</f>
        <v>112.07575757575758</v>
      </c>
    </row>
    <row r="14" spans="2:15" ht="39.950000000000003" customHeight="1">
      <c r="B14" s="404"/>
      <c r="C14" s="12" t="s">
        <v>100</v>
      </c>
      <c r="D14" s="13">
        <f>VALUE('0705'!O15)</f>
        <v>142.45391355315695</v>
      </c>
      <c r="E14" s="13">
        <f>VALUE('0705'!O26)</f>
        <v>147.45541940232005</v>
      </c>
      <c r="F14" s="13">
        <f>VALUE('0705'!O37)</f>
        <v>89.487447864477602</v>
      </c>
      <c r="G14" s="13">
        <f>VALUE('0705'!O48)</f>
        <v>92.321891410126554</v>
      </c>
      <c r="H14" s="13">
        <f>VALUE('0705'!O58)</f>
        <v>99.343697257010589</v>
      </c>
      <c r="I14" s="13">
        <f>VALUE('0705'!O69)</f>
        <v>122.02244071717682</v>
      </c>
      <c r="J14" s="13">
        <f>'0705'!O79</f>
        <v>96.089717331652778</v>
      </c>
    </row>
    <row r="15" spans="2:15" ht="39.950000000000003" customHeight="1">
      <c r="B15" s="405"/>
      <c r="C15" s="10" t="s">
        <v>26</v>
      </c>
      <c r="D15" s="14">
        <f t="shared" ref="D15:I15" si="1">D14/D13</f>
        <v>0.94969275702104639</v>
      </c>
      <c r="E15" s="14">
        <f t="shared" si="1"/>
        <v>0.9313607586624032</v>
      </c>
      <c r="F15" s="14">
        <f t="shared" si="1"/>
        <v>0.92336854564752258</v>
      </c>
      <c r="G15" s="14">
        <f t="shared" si="1"/>
        <v>0.90775602724402338</v>
      </c>
      <c r="H15" s="14">
        <f t="shared" si="1"/>
        <v>0.9374214459702187</v>
      </c>
      <c r="I15" s="14">
        <f t="shared" si="1"/>
        <v>0.91840778009406721</v>
      </c>
      <c r="J15" s="15">
        <f>'0705'!S70</f>
        <v>0.85736397781385465</v>
      </c>
    </row>
    <row r="16" spans="2:15" ht="17.25" customHeight="1">
      <c r="B16" s="406" t="s">
        <v>101</v>
      </c>
      <c r="C16" s="10" t="s">
        <v>34</v>
      </c>
      <c r="D16" s="16">
        <f>'0705'!T5</f>
        <v>0.3</v>
      </c>
      <c r="E16" s="16">
        <f>'0705'!T16</f>
        <v>0.30208333333333298</v>
      </c>
      <c r="F16" s="16">
        <f>'0705'!T27</f>
        <v>0.29166666666666702</v>
      </c>
      <c r="G16" s="16">
        <f>'0705'!T38</f>
        <v>0.33333333333333298</v>
      </c>
      <c r="H16" s="16">
        <f>'0705'!T49</f>
        <v>0.29166666666666702</v>
      </c>
      <c r="I16" s="16">
        <f>'0705'!T59</f>
        <v>0.29861111111111099</v>
      </c>
      <c r="J16" s="16">
        <f>'0705'!T70</f>
        <v>0.29166666666666702</v>
      </c>
    </row>
    <row r="17" spans="2:10" ht="17.25" customHeight="1">
      <c r="B17" s="407"/>
      <c r="C17" s="10" t="s">
        <v>35</v>
      </c>
      <c r="D17" s="16">
        <v>0.61388888888888904</v>
      </c>
      <c r="E17" s="19">
        <v>0.63194444444444398</v>
      </c>
      <c r="F17" s="19">
        <v>0.64305555555555605</v>
      </c>
      <c r="G17" s="20">
        <v>0.66666666666666696</v>
      </c>
      <c r="H17" s="21">
        <v>0.69791666666666696</v>
      </c>
      <c r="I17" s="22">
        <v>0.68402777777777801</v>
      </c>
      <c r="J17" s="22">
        <v>0.70138888888888895</v>
      </c>
    </row>
    <row r="18" spans="2:10" ht="17.25" customHeight="1">
      <c r="B18" s="408" t="s">
        <v>102</v>
      </c>
      <c r="C18" s="330" t="s">
        <v>36</v>
      </c>
      <c r="D18" s="357">
        <f>'0705'!Z15</f>
        <v>0</v>
      </c>
      <c r="E18" s="358">
        <f>'0705'!Z26</f>
        <v>0</v>
      </c>
      <c r="F18" s="358">
        <f>'0705'!Z37</f>
        <v>0</v>
      </c>
      <c r="G18" s="359">
        <f>'0705'!Z48</f>
        <v>0</v>
      </c>
      <c r="H18" s="359">
        <f>'0705'!Z58</f>
        <v>0</v>
      </c>
      <c r="I18" s="358">
        <f>'0705'!Z69</f>
        <v>0</v>
      </c>
      <c r="J18" s="358">
        <f>'0705'!AA79</f>
        <v>0</v>
      </c>
    </row>
    <row r="19" spans="2:10" ht="17.25" customHeight="1">
      <c r="B19" s="409"/>
      <c r="C19" s="330" t="s">
        <v>37</v>
      </c>
      <c r="D19" s="357">
        <f>'0705'!AA15</f>
        <v>0</v>
      </c>
      <c r="E19" s="358">
        <f>'0705'!AA26</f>
        <v>0</v>
      </c>
      <c r="F19" s="358">
        <f>'0705'!AA37</f>
        <v>0</v>
      </c>
      <c r="G19" s="359">
        <f>'0705'!AA48</f>
        <v>0</v>
      </c>
      <c r="H19" s="359">
        <f>'0705'!AA58</f>
        <v>0</v>
      </c>
      <c r="I19" s="358">
        <f>'0705'!AA69</f>
        <v>0</v>
      </c>
      <c r="J19" s="358">
        <f>'0705'!AB79</f>
        <v>0</v>
      </c>
    </row>
    <row r="20" spans="2:10" ht="17.25" customHeight="1">
      <c r="B20" s="408" t="s">
        <v>103</v>
      </c>
      <c r="C20" s="330" t="s">
        <v>36</v>
      </c>
      <c r="D20" s="357">
        <f>'0705'!AD15</f>
        <v>0</v>
      </c>
      <c r="E20" s="358">
        <f>'0705'!AD26</f>
        <v>0</v>
      </c>
      <c r="F20" s="358">
        <f>'0705'!AD37</f>
        <v>0</v>
      </c>
      <c r="G20" s="359">
        <f>'0705'!AD48</f>
        <v>0</v>
      </c>
      <c r="H20" s="359">
        <f>'0705'!AD58</f>
        <v>0</v>
      </c>
      <c r="I20" s="358">
        <f>'0705'!AD69</f>
        <v>0</v>
      </c>
      <c r="J20" s="358">
        <f>'0705'!AD79</f>
        <v>0</v>
      </c>
    </row>
    <row r="21" spans="2:10" ht="17.25" customHeight="1">
      <c r="B21" s="409"/>
      <c r="C21" s="330" t="s">
        <v>85</v>
      </c>
      <c r="D21" s="357">
        <f>'0705'!AE15</f>
        <v>0</v>
      </c>
      <c r="E21" s="358">
        <f>'0705'!AE26</f>
        <v>0</v>
      </c>
      <c r="F21" s="358">
        <f>'0705'!AE37</f>
        <v>0</v>
      </c>
      <c r="G21" s="359">
        <f>'0705'!AE48</f>
        <v>0</v>
      </c>
      <c r="H21" s="359">
        <f>'0705'!AE58</f>
        <v>0</v>
      </c>
      <c r="I21" s="358">
        <f>'0705'!AE69</f>
        <v>0</v>
      </c>
      <c r="J21" s="358">
        <f>'0705'!AE79</f>
        <v>0</v>
      </c>
    </row>
    <row r="22" spans="2:10" ht="17.25" customHeight="1">
      <c r="B22" s="392" t="s">
        <v>104</v>
      </c>
      <c r="C22" s="393"/>
      <c r="D22" s="23">
        <f>VALUE('0705'!M15)</f>
        <v>15</v>
      </c>
      <c r="E22" s="23">
        <f>VALUE('0705'!M26)</f>
        <v>14.333333333333334</v>
      </c>
      <c r="F22" s="23">
        <f>VALUE('0705'!M37)</f>
        <v>16.600000000000001</v>
      </c>
      <c r="G22" s="23">
        <f>VALUE('0705'!M48)</f>
        <v>15.5</v>
      </c>
      <c r="H22" s="23">
        <f>VALUE('0705'!M58)</f>
        <v>14.333333333333334</v>
      </c>
      <c r="I22" s="23">
        <f>VALUE('0705'!M69)</f>
        <v>11.8</v>
      </c>
      <c r="J22" s="23">
        <f>'0705'!M79</f>
        <v>13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J18" sqref="J18"/>
      <selection pane="topRight" activeCell="J18" sqref="J18"/>
      <selection pane="bottomLeft" activeCell="J18" sqref="J18"/>
      <selection pane="bottomRight" activeCell="E29" sqref="E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73271</v>
      </c>
      <c r="F1" s="30" t="s">
        <v>2</v>
      </c>
      <c r="G1" s="31">
        <f>SUM(H5:H79)</f>
        <v>3411803.0089999991</v>
      </c>
      <c r="H1" s="32" t="s">
        <v>3</v>
      </c>
      <c r="I1" s="33">
        <f>M15+M26+M48+M58+M69+M79+M37</f>
        <v>100.56666666666666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147</v>
      </c>
      <c r="B2" s="418"/>
      <c r="C2" s="28"/>
      <c r="D2" s="28" t="s">
        <v>14</v>
      </c>
      <c r="E2" s="35">
        <f>AVERAGE(O15,O26,O37,O48,O58,O69,O79)</f>
        <v>112.73921821941732</v>
      </c>
      <c r="F2" s="36" t="s">
        <v>15</v>
      </c>
      <c r="G2" s="37">
        <f>G1/E1</f>
        <v>46.564166027486991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3105</v>
      </c>
      <c r="H5" s="43">
        <f>F5*G5</f>
        <v>176581.35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2191.7647058823441</v>
      </c>
      <c r="O5" s="47">
        <f>N5/M5</f>
        <v>146.11764705882294</v>
      </c>
      <c r="P5" s="49">
        <f>M5-J5</f>
        <v>0</v>
      </c>
      <c r="Q5" s="50">
        <f>O5-L5</f>
        <v>-3.8823529411770608</v>
      </c>
      <c r="R5" s="51">
        <f>O5/L5</f>
        <v>0.97411764705881965</v>
      </c>
      <c r="S5" s="412">
        <f>R15</f>
        <v>0.94969275702104639</v>
      </c>
      <c r="T5" s="319">
        <v>0.3</v>
      </c>
      <c r="U5" s="320">
        <v>0.359027777777778</v>
      </c>
      <c r="V5" s="53"/>
      <c r="W5" s="54">
        <f t="shared" ref="W5:W14" si="0">(U5-T5)*24*60</f>
        <v>85.000000000000341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-58.23529411765594</v>
      </c>
      <c r="AG5" s="52">
        <f t="shared" ref="AG5:AG11" si="2">N5/K5</f>
        <v>0.97411764705881954</v>
      </c>
      <c r="AH5" s="457">
        <f>AG15</f>
        <v>0.94969275702104639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2701</v>
      </c>
      <c r="H6" s="63">
        <f>F6*G6</f>
        <v>157117.17000000001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2132.3684210526212</v>
      </c>
      <c r="O6" s="67">
        <f>N6/M6</f>
        <v>142.15789473684143</v>
      </c>
      <c r="P6" s="69">
        <f>M6-J6</f>
        <v>0</v>
      </c>
      <c r="Q6" s="70">
        <f>O6-L6</f>
        <v>-7.8421052631585724</v>
      </c>
      <c r="R6" s="71">
        <f>O6/L6</f>
        <v>0.94771929824560952</v>
      </c>
      <c r="S6" s="413"/>
      <c r="T6" s="16">
        <v>0.36597222222222198</v>
      </c>
      <c r="U6" s="16">
        <v>0.41875000000000001</v>
      </c>
      <c r="V6" s="30">
        <f>(T6-U5)*24*60</f>
        <v>9.999999999999325</v>
      </c>
      <c r="W6" s="73">
        <f t="shared" si="0"/>
        <v>76.000000000000369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-117.63157894737878</v>
      </c>
      <c r="AG6" s="72">
        <f t="shared" si="2"/>
        <v>0.94771929824560941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2538</v>
      </c>
      <c r="H7" s="78">
        <f>F7*G7</f>
        <v>124717.32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2003.6842105263063</v>
      </c>
      <c r="O7" s="81">
        <f>N7/M7</f>
        <v>133.57894736842042</v>
      </c>
      <c r="P7" s="74">
        <f>M7-J7</f>
        <v>0</v>
      </c>
      <c r="Q7" s="83">
        <f>O7-L7</f>
        <v>-16.421052631579585</v>
      </c>
      <c r="R7" s="72">
        <f>O7/L7</f>
        <v>0.89052631578946939</v>
      </c>
      <c r="S7" s="413"/>
      <c r="T7" s="18">
        <v>0.42638888888888898</v>
      </c>
      <c r="U7" s="18">
        <v>0.47916666666666702</v>
      </c>
      <c r="V7" s="30">
        <f>(T7-U6)*24*60</f>
        <v>11.000000000000121</v>
      </c>
      <c r="W7" s="73">
        <f t="shared" si="0"/>
        <v>76.000000000000369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-246.31578947369371</v>
      </c>
      <c r="AG7" s="72">
        <f t="shared" si="2"/>
        <v>0.8905263157894695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3810</v>
      </c>
      <c r="H8" s="78">
        <f>F8*G8</f>
        <v>187223.4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2219.4174757281462</v>
      </c>
      <c r="O8" s="81">
        <f>N8/M8</f>
        <v>147.96116504854308</v>
      </c>
      <c r="P8" s="74">
        <f>M8-J8</f>
        <v>0</v>
      </c>
      <c r="Q8" s="83">
        <f>O8-L8</f>
        <v>-2.03883495145692</v>
      </c>
      <c r="R8" s="72">
        <f>O8/L8</f>
        <v>0.9864077669902872</v>
      </c>
      <c r="S8" s="413"/>
      <c r="T8" s="16">
        <v>0.54236111111111096</v>
      </c>
      <c r="U8" s="16">
        <v>0.61388888888888904</v>
      </c>
      <c r="V8" s="30">
        <f>(T8-U7)*24*60</f>
        <v>90.999999999999275</v>
      </c>
      <c r="W8" s="73">
        <f t="shared" si="0"/>
        <v>103.00000000000043</v>
      </c>
      <c r="X8" s="22">
        <v>0.48611111111111099</v>
      </c>
      <c r="Y8" s="84">
        <v>0.52777777777777801</v>
      </c>
      <c r="Z8" s="90"/>
      <c r="AA8" s="90"/>
      <c r="AB8" s="461"/>
      <c r="AC8" s="461"/>
      <c r="AD8" s="149"/>
      <c r="AE8" s="149"/>
      <c r="AF8" s="307">
        <f t="shared" si="1"/>
        <v>-30.582524271853799</v>
      </c>
      <c r="AG8" s="72">
        <f t="shared" si="2"/>
        <v>0.9864077669902872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2136.8087032973544</v>
      </c>
      <c r="O15" s="117">
        <f t="shared" si="3"/>
        <v>142.45391355315695</v>
      </c>
      <c r="P15" s="121">
        <f>M15-J15</f>
        <v>0</v>
      </c>
      <c r="Q15" s="122">
        <f>O15-L15</f>
        <v>-7.5460864468430486</v>
      </c>
      <c r="R15" s="123">
        <f>O15/L15</f>
        <v>0.94969275702104639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-113.19129670264556</v>
      </c>
      <c r="AG15" s="124">
        <f>N15/K15</f>
        <v>0.94969275702104639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2497</v>
      </c>
      <c r="H16" s="134">
        <f>F16*G16</f>
        <v>126522.99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2140.2857142857192</v>
      </c>
      <c r="O16" s="141">
        <f>N16/M16</f>
        <v>152.8775510204085</v>
      </c>
      <c r="P16" s="142">
        <f>M16-J16</f>
        <v>0</v>
      </c>
      <c r="Q16" s="143">
        <f>O16-L16</f>
        <v>-7.8367346938772187</v>
      </c>
      <c r="R16" s="144">
        <f>O16/L16</f>
        <v>0.95123809523809733</v>
      </c>
      <c r="S16" s="468">
        <f>R26</f>
        <v>0.9313607586624032</v>
      </c>
      <c r="T16" s="145">
        <v>0.30208333333333298</v>
      </c>
      <c r="U16" s="145">
        <v>0.35069444444444398</v>
      </c>
      <c r="V16" s="135"/>
      <c r="W16" s="146">
        <f t="shared" ref="W16:W78" si="4">(U16-T16)*24*60</f>
        <v>69.999999999999829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-109.71428571428078</v>
      </c>
      <c r="AG16" s="52">
        <f>N16/K16</f>
        <v>0.95123809523809744</v>
      </c>
      <c r="AH16" s="457">
        <f>AG26</f>
        <v>0.93007957893810267</v>
      </c>
    </row>
    <row r="17" spans="1:34" ht="15" customHeight="1">
      <c r="A17" s="475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1712</v>
      </c>
      <c r="H17" s="78">
        <f>F17*G17</f>
        <v>97943.52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2096.3265306122316</v>
      </c>
      <c r="O17" s="96">
        <f>N17/M17</f>
        <v>123.31332533013128</v>
      </c>
      <c r="P17" s="97">
        <f>M17-J17</f>
        <v>0</v>
      </c>
      <c r="Q17" s="98">
        <f>O17-L17</f>
        <v>-9.0396158463393022</v>
      </c>
      <c r="R17" s="99">
        <f>O17/L17</f>
        <v>0.93170068027210307</v>
      </c>
      <c r="S17" s="469"/>
      <c r="T17" s="19">
        <v>0.35694444444444401</v>
      </c>
      <c r="U17" s="19">
        <v>0.390972222222222</v>
      </c>
      <c r="V17" s="30">
        <f>(T17-U16)*24*60</f>
        <v>9.000000000000048</v>
      </c>
      <c r="W17" s="149">
        <f t="shared" si="4"/>
        <v>49.000000000000306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-153.67346938776836</v>
      </c>
      <c r="AG17" s="72">
        <f>N17/K17</f>
        <v>0.93170068027210295</v>
      </c>
      <c r="AH17" s="458"/>
    </row>
    <row r="18" spans="1:34" ht="15" customHeight="1">
      <c r="A18" s="475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875</v>
      </c>
      <c r="H18" s="78">
        <f>F18*G18</f>
        <v>49533.75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1944.4444444444455</v>
      </c>
      <c r="O18" s="96">
        <f>N18/M18</f>
        <v>129.6296296296297</v>
      </c>
      <c r="P18" s="97">
        <f>M18-J18</f>
        <v>0</v>
      </c>
      <c r="Q18" s="98">
        <f>O18-L18</f>
        <v>-20.370370370370296</v>
      </c>
      <c r="R18" s="99">
        <f>O18/L18</f>
        <v>0.86419753086419804</v>
      </c>
      <c r="S18" s="469"/>
      <c r="T18" s="19">
        <v>0.4</v>
      </c>
      <c r="U18" s="19">
        <v>0.41875000000000001</v>
      </c>
      <c r="V18" s="30">
        <f>(T18-U17)*24*60</f>
        <v>13.000000000000353</v>
      </c>
      <c r="W18" s="149">
        <f t="shared" si="4"/>
        <v>26.999999999999986</v>
      </c>
      <c r="X18" s="22">
        <v>0.48611111111111099</v>
      </c>
      <c r="Y18" s="84">
        <v>0.52777777777777801</v>
      </c>
      <c r="Z18" s="90"/>
      <c r="AA18" s="90"/>
      <c r="AB18" s="462"/>
      <c r="AC18" s="462"/>
      <c r="AD18" s="92"/>
      <c r="AE18" s="92"/>
      <c r="AF18" s="307">
        <f>N18-K18</f>
        <v>-305.55555555555452</v>
      </c>
      <c r="AG18" s="72">
        <f>N18/K18</f>
        <v>0.86419753086419804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2706</v>
      </c>
      <c r="H19" s="78">
        <f t="shared" ref="H19:H21" si="5">F19*G19</f>
        <v>136355.34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2194.0540540540478</v>
      </c>
      <c r="O19" s="96">
        <f t="shared" ref="O19:O21" si="8">N19/M19</f>
        <v>168.77338877338829</v>
      </c>
      <c r="P19" s="97">
        <f t="shared" ref="P19:P21" si="9">M19-J19</f>
        <v>0</v>
      </c>
      <c r="Q19" s="98">
        <f t="shared" ref="Q19:Q21" si="10">O19-L19</f>
        <v>-4.3035343035347751</v>
      </c>
      <c r="R19" s="99">
        <f t="shared" ref="R19:R21" si="11">O19/L19</f>
        <v>0.97513513513513239</v>
      </c>
      <c r="S19" s="469"/>
      <c r="T19" s="19">
        <v>0.42777777777777798</v>
      </c>
      <c r="U19" s="19">
        <v>0.47916666666666702</v>
      </c>
      <c r="V19" s="30">
        <f>(T19-U18)*24*60</f>
        <v>13.000000000000274</v>
      </c>
      <c r="W19" s="149">
        <f t="shared" si="4"/>
        <v>74.000000000000213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-55.94594594595219</v>
      </c>
      <c r="AG19" s="72">
        <f>N19/K19</f>
        <v>0.97513513513513239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2581</v>
      </c>
      <c r="H20" s="78">
        <f t="shared" si="5"/>
        <v>130056.59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2092.7027027026966</v>
      </c>
      <c r="O20" s="96">
        <f t="shared" si="8"/>
        <v>160.97713097713051</v>
      </c>
      <c r="P20" s="97">
        <f t="shared" si="9"/>
        <v>0</v>
      </c>
      <c r="Q20" s="98">
        <f t="shared" si="10"/>
        <v>-12.099792099792552</v>
      </c>
      <c r="R20" s="99">
        <f t="shared" si="11"/>
        <v>0.93009009009008747</v>
      </c>
      <c r="S20" s="469"/>
      <c r="T20" s="19">
        <v>0.54166666666666696</v>
      </c>
      <c r="U20" s="19">
        <v>0.593055555555556</v>
      </c>
      <c r="V20" s="30">
        <f t="shared" ref="V20:V21" si="12">(T20-U19)*24*60</f>
        <v>89.999999999999915</v>
      </c>
      <c r="W20" s="149">
        <f t="shared" si="4"/>
        <v>74.000000000000213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1601</v>
      </c>
      <c r="H21" s="78">
        <f t="shared" si="5"/>
        <v>81122.67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2088.2608695652466</v>
      </c>
      <c r="O21" s="96">
        <f t="shared" si="8"/>
        <v>149.1614906832319</v>
      </c>
      <c r="P21" s="97">
        <f t="shared" si="9"/>
        <v>0</v>
      </c>
      <c r="Q21" s="98">
        <f t="shared" si="10"/>
        <v>-11.552795031053819</v>
      </c>
      <c r="R21" s="99">
        <f t="shared" si="11"/>
        <v>0.9281159420289985</v>
      </c>
      <c r="S21" s="469"/>
      <c r="T21" s="19">
        <v>0.6</v>
      </c>
      <c r="U21" s="19">
        <v>0.63194444444444398</v>
      </c>
      <c r="V21" s="30">
        <f t="shared" si="12"/>
        <v>9.999999999999325</v>
      </c>
      <c r="W21" s="149">
        <f t="shared" si="4"/>
        <v>45.999999999999361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3">AVERAGE(J16:J25)</f>
        <v>14.333333333333334</v>
      </c>
      <c r="K26" s="155">
        <f t="shared" si="13"/>
        <v>2250</v>
      </c>
      <c r="L26" s="158">
        <f t="shared" si="13"/>
        <v>158.32255979314803</v>
      </c>
      <c r="M26" s="155">
        <f t="shared" si="13"/>
        <v>14.333333333333334</v>
      </c>
      <c r="N26" s="155">
        <f t="shared" si="13"/>
        <v>2092.6790526107311</v>
      </c>
      <c r="O26" s="158">
        <f t="shared" si="13"/>
        <v>147.45541940232005</v>
      </c>
      <c r="P26" s="159">
        <f>M26-J26</f>
        <v>0</v>
      </c>
      <c r="Q26" s="160">
        <f>O26-L26</f>
        <v>-10.867140390827984</v>
      </c>
      <c r="R26" s="161">
        <f>O26/L26</f>
        <v>0.9313607586624032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4">N26-K26</f>
        <v>-157.32094738926889</v>
      </c>
      <c r="AG26" s="124">
        <f t="shared" ref="AG26:AG31" si="15">N26/K26</f>
        <v>0.93007957893810267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1727</v>
      </c>
      <c r="H27" s="134">
        <f>F27*G27</f>
        <v>78854.819999999992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1480.2857142857179</v>
      </c>
      <c r="O27" s="141">
        <f>N27/M27</f>
        <v>87.07563025210105</v>
      </c>
      <c r="P27" s="142">
        <f>M27-J27</f>
        <v>0</v>
      </c>
      <c r="Q27" s="143">
        <f>O27-L27</f>
        <v>-9.1596638655460083</v>
      </c>
      <c r="R27" s="144">
        <f>O27/L27</f>
        <v>0.90482011875655122</v>
      </c>
      <c r="S27" s="468">
        <f>R37</f>
        <v>0.92336854564752258</v>
      </c>
      <c r="T27" s="171">
        <v>0.29166666666666702</v>
      </c>
      <c r="U27" s="171">
        <v>0.34027777777777801</v>
      </c>
      <c r="V27" s="135"/>
      <c r="W27" s="146">
        <f t="shared" si="4"/>
        <v>69.999999999999829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4"/>
        <v>-155.71428571428214</v>
      </c>
      <c r="AG27" s="172">
        <f t="shared" si="15"/>
        <v>0.90482011875655122</v>
      </c>
      <c r="AH27" s="457">
        <f>AG37</f>
        <v>0.90234640180255576</v>
      </c>
    </row>
    <row r="28" spans="1:34" ht="15" customHeight="1">
      <c r="A28" s="466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2524</v>
      </c>
      <c r="H28" s="91">
        <f>F28*G28</f>
        <v>144398.04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1402.2222222222219</v>
      </c>
      <c r="O28" s="96">
        <f>N28/M28</f>
        <v>82.483660130718931</v>
      </c>
      <c r="P28" s="97">
        <f>M28-J28</f>
        <v>-1</v>
      </c>
      <c r="Q28" s="98">
        <f>O28-L28</f>
        <v>-8.4052287581699545</v>
      </c>
      <c r="R28" s="99">
        <f>O28/L28</f>
        <v>0.9075219329785702</v>
      </c>
      <c r="S28" s="469"/>
      <c r="T28" s="19">
        <v>0.34722222222222199</v>
      </c>
      <c r="U28" s="19">
        <v>0.422222222222222</v>
      </c>
      <c r="V28" s="92">
        <f>(T28-U27)*24*60</f>
        <v>9.999999999999325</v>
      </c>
      <c r="W28" s="149">
        <f t="shared" si="4"/>
        <v>108.00000000000001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4"/>
        <v>-233.77777777777806</v>
      </c>
      <c r="AG28" s="99">
        <f t="shared" si="15"/>
        <v>0.85710404781309413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1220</v>
      </c>
      <c r="H29" s="91">
        <f>F29*G29</f>
        <v>69796.2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1381.1320754716801</v>
      </c>
      <c r="O29" s="96">
        <f>N29/M29</f>
        <v>81.24306326304</v>
      </c>
      <c r="P29" s="97">
        <f>M29-J29</f>
        <v>-1</v>
      </c>
      <c r="Q29" s="98">
        <f>O29-L29</f>
        <v>-5.7013811814044431</v>
      </c>
      <c r="R29" s="99">
        <f>O29/L29</f>
        <v>0.93442500877617896</v>
      </c>
      <c r="S29" s="469"/>
      <c r="T29" s="19">
        <v>0.42708333333333298</v>
      </c>
      <c r="U29" s="19">
        <v>0.46388888888888902</v>
      </c>
      <c r="V29" s="92">
        <f>(T29-U28)*24*60</f>
        <v>6.9999999999998153</v>
      </c>
      <c r="W29" s="149">
        <f t="shared" si="4"/>
        <v>53.000000000000689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4"/>
        <v>-183.86792452831992</v>
      </c>
      <c r="AG29" s="99">
        <f t="shared" si="15"/>
        <v>0.8825125082886135</v>
      </c>
      <c r="AH29" s="478"/>
    </row>
    <row r="30" spans="1:34" ht="15" customHeight="1">
      <c r="A30" s="466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2791</v>
      </c>
      <c r="H30" s="91">
        <f t="shared" ref="H30:H31" si="16">F30*G30</f>
        <v>127437.06</v>
      </c>
      <c r="I30" s="92"/>
      <c r="J30" s="79">
        <f>VLOOKUP(D30,產線配置圖!$A$3:$C$40,2,0)</f>
        <v>17</v>
      </c>
      <c r="K30" s="80">
        <v>1636</v>
      </c>
      <c r="L30" s="93">
        <f t="shared" ref="L30:L31" si="17">K30/J30</f>
        <v>96.235294117647058</v>
      </c>
      <c r="M30" s="94">
        <v>17</v>
      </c>
      <c r="N30" s="95">
        <f t="shared" ref="N30:N31" si="18">G30/W30*60</f>
        <v>1481.9469026548725</v>
      </c>
      <c r="O30" s="96">
        <f t="shared" ref="O30:O31" si="19">N30/M30</f>
        <v>87.173347214992503</v>
      </c>
      <c r="P30" s="97">
        <f t="shared" ref="P30:P31" si="20">M30-J30</f>
        <v>0</v>
      </c>
      <c r="Q30" s="98">
        <f t="shared" ref="Q30:Q31" si="21">O30-L30</f>
        <v>-9.0619469026545545</v>
      </c>
      <c r="R30" s="99">
        <f t="shared" ref="R30:R31" si="22">O30/L30</f>
        <v>0.90583551507021554</v>
      </c>
      <c r="S30" s="469"/>
      <c r="T30" s="19">
        <v>0.52222222222222203</v>
      </c>
      <c r="U30" s="19">
        <v>0.60069444444444398</v>
      </c>
      <c r="V30" s="92">
        <f>(T30-U29)*24*60</f>
        <v>83.999999999999545</v>
      </c>
      <c r="W30" s="149">
        <f t="shared" si="4"/>
        <v>112.9999999999996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14"/>
        <v>-154.05309734512753</v>
      </c>
      <c r="AG30" s="99">
        <f t="shared" si="15"/>
        <v>0.90583551507021542</v>
      </c>
      <c r="AH30" s="479"/>
    </row>
    <row r="31" spans="1:34" ht="15" customHeight="1">
      <c r="A31" s="466"/>
      <c r="B31" s="75" t="s">
        <v>128</v>
      </c>
      <c r="C31" s="102"/>
      <c r="D31" s="175" t="s">
        <v>129</v>
      </c>
      <c r="E31" s="176"/>
      <c r="F31" s="75">
        <f>VLOOKUP(D31,廠價表!$C$1:$E$43,3,0)</f>
        <v>49.91</v>
      </c>
      <c r="G31" s="90">
        <v>1423</v>
      </c>
      <c r="H31" s="91">
        <f t="shared" si="16"/>
        <v>71021.929999999993</v>
      </c>
      <c r="I31" s="92"/>
      <c r="J31" s="79">
        <f>VLOOKUP(D31,產線配置圖!$A$3:$C$40,2,0)</f>
        <v>15</v>
      </c>
      <c r="K31" s="80">
        <f>VLOOKUP(D31,產線配置圖!$A$3:$C$40,3,0)</f>
        <v>1714</v>
      </c>
      <c r="L31" s="93">
        <f t="shared" si="17"/>
        <v>114.26666666666667</v>
      </c>
      <c r="M31" s="94">
        <v>15</v>
      </c>
      <c r="N31" s="95">
        <f t="shared" si="18"/>
        <v>1641.9230769230323</v>
      </c>
      <c r="O31" s="96">
        <f t="shared" si="19"/>
        <v>109.46153846153548</v>
      </c>
      <c r="P31" s="97">
        <f t="shared" si="20"/>
        <v>0</v>
      </c>
      <c r="Q31" s="98">
        <f t="shared" si="21"/>
        <v>-4.805128205131183</v>
      </c>
      <c r="R31" s="99">
        <f t="shared" si="22"/>
        <v>0.9579481195583619</v>
      </c>
      <c r="S31" s="469"/>
      <c r="T31" s="19">
        <v>0.60694444444444395</v>
      </c>
      <c r="U31" s="19">
        <v>0.64305555555555605</v>
      </c>
      <c r="V31" s="92">
        <f>(T31-U30)*24*60</f>
        <v>8.999999999999968</v>
      </c>
      <c r="W31" s="149">
        <f t="shared" si="4"/>
        <v>52.000000000001414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4"/>
        <v>-72.07692307696766</v>
      </c>
      <c r="AG31" s="99">
        <f t="shared" si="15"/>
        <v>0.9579481195583619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1637.4</v>
      </c>
      <c r="L37" s="158">
        <f t="shared" si="23"/>
        <v>96.914117647058816</v>
      </c>
      <c r="M37" s="155">
        <f t="shared" si="23"/>
        <v>16.600000000000001</v>
      </c>
      <c r="N37" s="155">
        <f t="shared" si="23"/>
        <v>1477.5019983115048</v>
      </c>
      <c r="O37" s="158">
        <f t="shared" si="23"/>
        <v>89.487447864477602</v>
      </c>
      <c r="P37" s="159">
        <f>M37-J37</f>
        <v>-0.39999999999999858</v>
      </c>
      <c r="Q37" s="160">
        <f>N37-K37</f>
        <v>-159.89800168849524</v>
      </c>
      <c r="R37" s="161">
        <f>O37/L37</f>
        <v>0.92336854564752258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-159.89800168849524</v>
      </c>
      <c r="AG37" s="124">
        <f>N37/K37</f>
        <v>0.90234640180255576</v>
      </c>
      <c r="AH37" s="460"/>
    </row>
    <row r="38" spans="1:34" ht="15" customHeight="1">
      <c r="A38" s="487" t="s">
        <v>48</v>
      </c>
      <c r="B38" s="167" t="s">
        <v>81</v>
      </c>
      <c r="C38" s="129"/>
      <c r="D38" s="184" t="s">
        <v>127</v>
      </c>
      <c r="E38" s="185"/>
      <c r="F38" s="39">
        <v>50.67</v>
      </c>
      <c r="G38" s="186">
        <v>1304</v>
      </c>
      <c r="H38" s="134">
        <f>F38*G38</f>
        <v>66073.680000000008</v>
      </c>
      <c r="I38" s="135"/>
      <c r="J38" s="187">
        <f>VLOOKUP(D38,產線配置圖!$A$3:$C$40,2,0)</f>
        <v>13</v>
      </c>
      <c r="K38" s="188">
        <f>VLOOKUP(D38,產線配置圖!$A$3:$C$40,3,0)</f>
        <v>1440</v>
      </c>
      <c r="L38" s="189">
        <f>K38/J38</f>
        <v>110.76923076923077</v>
      </c>
      <c r="M38" s="190">
        <v>13</v>
      </c>
      <c r="N38" s="140">
        <f>G38/W38*60</f>
        <v>1303.9999999999891</v>
      </c>
      <c r="O38" s="141">
        <f>N38/M38</f>
        <v>100.30769230769147</v>
      </c>
      <c r="P38" s="142">
        <f>M38-J38</f>
        <v>0</v>
      </c>
      <c r="Q38" s="143">
        <f>O38-L38</f>
        <v>-10.461538461539305</v>
      </c>
      <c r="R38" s="144">
        <f>O38/L38</f>
        <v>0.9055555555555479</v>
      </c>
      <c r="S38" s="490">
        <f>R48</f>
        <v>0.90775602724402338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-136.00000000001091</v>
      </c>
      <c r="AG38" s="195">
        <f>N38/K38</f>
        <v>0.90555555555554801</v>
      </c>
      <c r="AH38" s="480">
        <f>AG48</f>
        <v>0.88265482383129346</v>
      </c>
    </row>
    <row r="39" spans="1:34" ht="15" customHeight="1">
      <c r="A39" s="48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1996</v>
      </c>
      <c r="H39" s="91">
        <f>F39*G39</f>
        <v>99620.359999999986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15</v>
      </c>
      <c r="N39" s="202">
        <f>G39/W39*60</f>
        <v>1535.384615384605</v>
      </c>
      <c r="O39" s="203">
        <f>N39/M39</f>
        <v>102.35897435897367</v>
      </c>
      <c r="P39" s="97">
        <f>M39-J39</f>
        <v>0</v>
      </c>
      <c r="Q39" s="98">
        <f>O39-L39</f>
        <v>-11.907692307692997</v>
      </c>
      <c r="R39" s="99">
        <f>O39/L39</f>
        <v>0.89579032402835768</v>
      </c>
      <c r="S39" s="491"/>
      <c r="T39" s="20">
        <v>0.38194444444444398</v>
      </c>
      <c r="U39" s="20">
        <v>0.43611111111111101</v>
      </c>
      <c r="V39" s="92">
        <f>(T39-U38)*24*60</f>
        <v>9.999999999999325</v>
      </c>
      <c r="W39" s="205">
        <f t="shared" si="4"/>
        <v>78.000000000000526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-178.61538461539499</v>
      </c>
      <c r="AG39" s="206">
        <f>N39/K39</f>
        <v>0.89579032402835768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1713</v>
      </c>
      <c r="H40" s="91">
        <f>F40*G40</f>
        <v>75885.899999999994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1388.9189189189417</v>
      </c>
      <c r="O40" s="203">
        <f>N40/M40</f>
        <v>81.701112877584805</v>
      </c>
      <c r="P40" s="97">
        <f>M40-J40</f>
        <v>-1</v>
      </c>
      <c r="Q40" s="98">
        <f>O40-L40</f>
        <v>-9.1877760113040807</v>
      </c>
      <c r="R40" s="99">
        <f>O40/L40</f>
        <v>0.89891199987562742</v>
      </c>
      <c r="S40" s="413"/>
      <c r="T40" s="20">
        <v>0.44305555555555598</v>
      </c>
      <c r="U40" s="20">
        <v>0.49444444444444402</v>
      </c>
      <c r="V40" s="92">
        <f>(T40-U39)*24*60</f>
        <v>10.000000000000764</v>
      </c>
      <c r="W40" s="205">
        <f t="shared" si="4"/>
        <v>73.999999999998778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-247.0810810810583</v>
      </c>
      <c r="AG40" s="206">
        <f>N40/K40</f>
        <v>0.84897244432698149</v>
      </c>
      <c r="AH40" s="481"/>
    </row>
    <row r="41" spans="1:34" ht="15" customHeight="1">
      <c r="A41" s="48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3970</v>
      </c>
      <c r="H41" s="91">
        <f>F41*G41</f>
        <v>175871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17</v>
      </c>
      <c r="N41" s="202">
        <f>G41/W41*60</f>
        <v>1443.6363636363562</v>
      </c>
      <c r="O41" s="203">
        <f>N41/M41</f>
        <v>84.919786096256246</v>
      </c>
      <c r="P41" s="97">
        <f>M41-J41</f>
        <v>-1</v>
      </c>
      <c r="Q41" s="98">
        <f>O41-L41</f>
        <v>-5.9691027926326399</v>
      </c>
      <c r="R41" s="99">
        <f>O41/L41</f>
        <v>0.93432527489768491</v>
      </c>
      <c r="S41" s="413"/>
      <c r="T41" s="20">
        <v>0.55208333333333304</v>
      </c>
      <c r="U41" s="210">
        <v>0.66666666666666696</v>
      </c>
      <c r="V41" s="92">
        <f>(T41-U40)*24*60</f>
        <v>83.000000000000185</v>
      </c>
      <c r="W41" s="205">
        <f t="shared" si="4"/>
        <v>165.00000000000085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-192.36363636364376</v>
      </c>
      <c r="AG41" s="206">
        <f>N41/K41</f>
        <v>0.88241831518114688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1606.5</v>
      </c>
      <c r="L48" s="158">
        <f t="shared" si="24"/>
        <v>101.7034188034188</v>
      </c>
      <c r="M48" s="155">
        <f t="shared" si="24"/>
        <v>15.5</v>
      </c>
      <c r="N48" s="155">
        <f t="shared" si="24"/>
        <v>1417.984974484973</v>
      </c>
      <c r="O48" s="158">
        <f t="shared" si="24"/>
        <v>92.321891410126554</v>
      </c>
      <c r="P48" s="221">
        <f>M48-J48</f>
        <v>-0.5</v>
      </c>
      <c r="Q48" s="222">
        <f>N48-K48</f>
        <v>-188.51502551502699</v>
      </c>
      <c r="R48" s="223">
        <f>O48/L48</f>
        <v>0.90775602724402338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-188.51502551502699</v>
      </c>
      <c r="AG48" s="162">
        <f t="shared" ref="AG48:AG53" si="26">N48/K48</f>
        <v>0.88265482383129346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2178</v>
      </c>
      <c r="H49" s="134">
        <f>F49*G49</f>
        <v>107854.56000000001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1765.9459459459424</v>
      </c>
      <c r="O49" s="141">
        <f>N49/M49</f>
        <v>103.87917329093779</v>
      </c>
      <c r="P49" s="229">
        <f>M49-J49</f>
        <v>0</v>
      </c>
      <c r="Q49" s="230">
        <f>O49-L49</f>
        <v>-2.0031796502386783</v>
      </c>
      <c r="R49" s="52">
        <f>O49/L49</f>
        <v>0.98108108108107916</v>
      </c>
      <c r="S49" s="412">
        <f>R58</f>
        <v>0.9374214459702187</v>
      </c>
      <c r="T49" s="191">
        <v>0.29166666666666702</v>
      </c>
      <c r="U49" s="191">
        <v>0.343055555555556</v>
      </c>
      <c r="V49" s="55"/>
      <c r="W49" s="193">
        <f t="shared" si="4"/>
        <v>74.000000000000142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-34.054054054057588</v>
      </c>
      <c r="AG49" s="52">
        <f t="shared" si="26"/>
        <v>0.98108108108107916</v>
      </c>
      <c r="AH49" s="457">
        <f>AG58</f>
        <v>0.80285514801031255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1942</v>
      </c>
      <c r="H50" s="231">
        <f>F50*G50</f>
        <v>97661.237999999998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1387.142857142841</v>
      </c>
      <c r="O50" s="235">
        <f>N50/M50</f>
        <v>86.69642857142756</v>
      </c>
      <c r="P50" s="74">
        <f>M50-J50</f>
        <v>-1</v>
      </c>
      <c r="Q50" s="83">
        <f>O50-L50</f>
        <v>-9.5388655462194976</v>
      </c>
      <c r="R50" s="72">
        <f>O50/L50</f>
        <v>0.9008797589940517</v>
      </c>
      <c r="S50" s="413"/>
      <c r="T50" s="21">
        <v>0.358333333333333</v>
      </c>
      <c r="U50" s="19">
        <v>0.41666666666666702</v>
      </c>
      <c r="V50" s="30">
        <f>(T50-U49)*24*60</f>
        <v>21.999999999998884</v>
      </c>
      <c r="W50" s="236">
        <f t="shared" si="4"/>
        <v>84.000000000000981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-248.85714285715903</v>
      </c>
      <c r="AG50" s="72">
        <f t="shared" si="26"/>
        <v>0.84788683199440162</v>
      </c>
      <c r="AH50" s="458"/>
    </row>
    <row r="51" spans="1:34" ht="15" customHeight="1">
      <c r="A51" s="485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2008</v>
      </c>
      <c r="H51" s="231">
        <f t="shared" ref="H51:H54" si="27">F51*G51</f>
        <v>100339.76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4" si="28">K51/J51</f>
        <v>112.5</v>
      </c>
      <c r="M51" s="233">
        <v>16</v>
      </c>
      <c r="N51" s="234">
        <f t="shared" ref="N51:N54" si="29">G51/W51*60</f>
        <v>1746.0869565217272</v>
      </c>
      <c r="O51" s="235">
        <f t="shared" ref="O51:O54" si="30">N51/M51</f>
        <v>109.13043478260795</v>
      </c>
      <c r="P51" s="74">
        <f t="shared" ref="P51:P54" si="31">M51-J51</f>
        <v>0</v>
      </c>
      <c r="Q51" s="83">
        <f t="shared" ref="Q51:Q54" si="32">O51-L51</f>
        <v>-3.3695652173920507</v>
      </c>
      <c r="R51" s="72">
        <f t="shared" ref="R51:R54" si="33">O51/L51</f>
        <v>0.9700483091787373</v>
      </c>
      <c r="S51" s="413"/>
      <c r="T51" s="21">
        <v>0.42361111111111099</v>
      </c>
      <c r="U51" s="21">
        <v>0.47152777777777799</v>
      </c>
      <c r="V51" s="30">
        <f>(T51-U50)*24*60</f>
        <v>9.999999999999325</v>
      </c>
      <c r="W51" s="236">
        <f t="shared" si="4"/>
        <v>69.000000000000469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-53.913043478272812</v>
      </c>
      <c r="AG51" s="72">
        <f t="shared" si="26"/>
        <v>0.9700483091787373</v>
      </c>
      <c r="AH51" s="458"/>
    </row>
    <row r="52" spans="1:34" ht="15" customHeight="1">
      <c r="A52" s="485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3788</v>
      </c>
      <c r="H52" s="231">
        <f t="shared" si="27"/>
        <v>189286.36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28"/>
        <v>112.5</v>
      </c>
      <c r="M52" s="108">
        <v>16</v>
      </c>
      <c r="N52" s="234">
        <f t="shared" si="29"/>
        <v>1696.1194029850665</v>
      </c>
      <c r="O52" s="235">
        <f t="shared" si="30"/>
        <v>106.00746268656665</v>
      </c>
      <c r="P52" s="74">
        <f t="shared" si="31"/>
        <v>0</v>
      </c>
      <c r="Q52" s="83">
        <f t="shared" si="32"/>
        <v>-6.4925373134333455</v>
      </c>
      <c r="R52" s="72">
        <f t="shared" si="33"/>
        <v>0.94228855721392579</v>
      </c>
      <c r="S52" s="413"/>
      <c r="T52" s="21">
        <v>0.531944444444444</v>
      </c>
      <c r="U52" s="21">
        <v>0.625</v>
      </c>
      <c r="V52" s="30">
        <f>(T52-U51)*24*60</f>
        <v>86.999999999999048</v>
      </c>
      <c r="W52" s="236">
        <f t="shared" si="4"/>
        <v>134.00000000000065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25"/>
        <v>-103.88059701493353</v>
      </c>
      <c r="AG52" s="72">
        <f t="shared" si="26"/>
        <v>0.94228855721392579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1189</v>
      </c>
      <c r="H53" s="231">
        <f t="shared" si="27"/>
        <v>59793.620999999999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16</v>
      </c>
      <c r="N53" s="234">
        <f t="shared" si="29"/>
        <v>1251.5789473684326</v>
      </c>
      <c r="O53" s="235">
        <f t="shared" si="30"/>
        <v>78.22368421052704</v>
      </c>
      <c r="P53" s="74">
        <f t="shared" si="31"/>
        <v>-1</v>
      </c>
      <c r="Q53" s="83">
        <f t="shared" si="32"/>
        <v>-18.011609907120018</v>
      </c>
      <c r="R53" s="72">
        <f t="shared" si="33"/>
        <v>0.81283779436366732</v>
      </c>
      <c r="S53" s="413"/>
      <c r="T53" s="21">
        <v>0.63055555555555598</v>
      </c>
      <c r="U53" s="21">
        <v>0.67013888888888895</v>
      </c>
      <c r="V53" s="30">
        <f>(T53-U52)*24*60</f>
        <v>8.0000000000006111</v>
      </c>
      <c r="W53" s="236">
        <f t="shared" si="4"/>
        <v>56.999999999999474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-384.42105263156736</v>
      </c>
      <c r="AG53" s="72">
        <f t="shared" si="26"/>
        <v>0.76502380645992218</v>
      </c>
      <c r="AH53" s="458"/>
    </row>
    <row r="54" spans="1:34" ht="15" customHeight="1">
      <c r="A54" s="485"/>
      <c r="B54" s="101" t="s">
        <v>81</v>
      </c>
      <c r="C54" s="102"/>
      <c r="D54" s="103" t="s">
        <v>134</v>
      </c>
      <c r="E54" s="104"/>
      <c r="F54" s="75">
        <f>VLOOKUP(D54,廠價表!$C$1:$E$43,3,0)</f>
        <v>49.97</v>
      </c>
      <c r="G54" s="202">
        <v>299</v>
      </c>
      <c r="H54" s="231">
        <f t="shared" si="27"/>
        <v>14941.029999999999</v>
      </c>
      <c r="I54" s="232"/>
      <c r="J54" s="79">
        <f>VLOOKUP(D54,產線配置圖!$A$3:$C$40,2,0)</f>
        <v>16</v>
      </c>
      <c r="K54" s="80">
        <f>VLOOKUP(D54,產線配置圖!$A$3:$C$40,3,0)</f>
        <v>1800</v>
      </c>
      <c r="L54" s="81">
        <f t="shared" si="28"/>
        <v>112.5</v>
      </c>
      <c r="M54" s="108">
        <v>5</v>
      </c>
      <c r="N54" s="234">
        <f t="shared" si="29"/>
        <v>560.62499999998226</v>
      </c>
      <c r="O54" s="235">
        <f t="shared" si="30"/>
        <v>112.12499999999645</v>
      </c>
      <c r="P54" s="74">
        <f t="shared" si="31"/>
        <v>-11</v>
      </c>
      <c r="Q54" s="83">
        <f t="shared" si="32"/>
        <v>-0.37500000000355271</v>
      </c>
      <c r="R54" s="72">
        <f t="shared" si="33"/>
        <v>0.99666666666663506</v>
      </c>
      <c r="S54" s="413"/>
      <c r="T54" s="21">
        <v>0.67569444444444404</v>
      </c>
      <c r="U54" s="21">
        <v>0.69791666666666696</v>
      </c>
      <c r="V54" s="30">
        <f>(T54-U53)*24*60</f>
        <v>7.9999999999993321</v>
      </c>
      <c r="W54" s="236">
        <f t="shared" si="4"/>
        <v>32.000000000001009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4">AVERAGE(J49:J57)</f>
        <v>16.5</v>
      </c>
      <c r="K58" s="120">
        <f t="shared" si="34"/>
        <v>1745.3333333333333</v>
      </c>
      <c r="L58" s="117">
        <f t="shared" si="34"/>
        <v>105.97549019607844</v>
      </c>
      <c r="M58" s="120">
        <f t="shared" si="34"/>
        <v>14.333333333333334</v>
      </c>
      <c r="N58" s="120">
        <f t="shared" si="34"/>
        <v>1401.2498516606654</v>
      </c>
      <c r="O58" s="117">
        <f t="shared" si="34"/>
        <v>99.343697257010589</v>
      </c>
      <c r="P58" s="121">
        <f>M58-J58</f>
        <v>-2.1666666666666661</v>
      </c>
      <c r="Q58" s="122">
        <f>N58-K58</f>
        <v>-344.08348167266786</v>
      </c>
      <c r="R58" s="123">
        <f>O58/L58</f>
        <v>0.9374214459702187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-344.08348167266786</v>
      </c>
      <c r="AG58" s="124">
        <f>N58/K58</f>
        <v>0.80285514801031255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2317</v>
      </c>
      <c r="H59" s="243">
        <f>F59*G59</f>
        <v>62535.829999999994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1323.9999999999936</v>
      </c>
      <c r="O59" s="138">
        <f>N59/M59</f>
        <v>94.571428571428115</v>
      </c>
      <c r="P59" s="56">
        <f>M59-J59</f>
        <v>-1</v>
      </c>
      <c r="Q59" s="230">
        <f>O59-L59</f>
        <v>-14.495238095238548</v>
      </c>
      <c r="R59" s="52">
        <f>O59/L59</f>
        <v>0.86709745022703044</v>
      </c>
      <c r="S59" s="412">
        <f>R69</f>
        <v>0.91840778009406721</v>
      </c>
      <c r="T59" s="245">
        <v>0.29861111111111099</v>
      </c>
      <c r="U59" s="245">
        <v>0.37152777777777801</v>
      </c>
      <c r="V59" s="55"/>
      <c r="W59" s="54">
        <f t="shared" si="4"/>
        <v>105.00000000000051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-312.00000000000637</v>
      </c>
      <c r="AG59" s="246">
        <f>N59/K59</f>
        <v>0.8092909535452284</v>
      </c>
      <c r="AH59" s="457">
        <f>AG69</f>
        <v>0.85739179621047579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1738</v>
      </c>
      <c r="H60" s="78">
        <f>F60*G60</f>
        <v>49115.880000000005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1489.7142857142894</v>
      </c>
      <c r="O60" s="81">
        <f>N60/M60</f>
        <v>135.42857142857176</v>
      </c>
      <c r="P60" s="74">
        <f>M60-J60</f>
        <v>0</v>
      </c>
      <c r="Q60" s="83">
        <f>O60-L60</f>
        <v>-13.298701298700962</v>
      </c>
      <c r="R60" s="72">
        <f>O60/L60</f>
        <v>0.91058330422633826</v>
      </c>
      <c r="S60" s="502"/>
      <c r="T60" s="22">
        <v>0.38541666666666702</v>
      </c>
      <c r="U60" s="22">
        <v>0.43402777777777801</v>
      </c>
      <c r="V60" s="30">
        <f>(T60-U59)*24*60</f>
        <v>20.000000000000171</v>
      </c>
      <c r="W60" s="248">
        <f t="shared" si="4"/>
        <v>69.999999999999829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-146.28571428571058</v>
      </c>
      <c r="AG60" s="249">
        <f>N60/K60</f>
        <v>0.91058330422633826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2238</v>
      </c>
      <c r="H61" s="254">
        <f>F61*G61</f>
        <v>63245.880000000005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10</v>
      </c>
      <c r="N61" s="107">
        <f>G61/W61*60</f>
        <v>1413.4736842105099</v>
      </c>
      <c r="O61" s="238">
        <f>N61/M61</f>
        <v>141.34736842105099</v>
      </c>
      <c r="P61" s="111">
        <f>M61-J61</f>
        <v>-1</v>
      </c>
      <c r="Q61" s="255">
        <f>O61-L61</f>
        <v>-7.3799043062217322</v>
      </c>
      <c r="R61" s="85">
        <f>O61/L61</f>
        <v>0.95037961652295899</v>
      </c>
      <c r="S61" s="413"/>
      <c r="T61" s="22">
        <v>0.44444444444444398</v>
      </c>
      <c r="U61" s="22">
        <v>0.51041666666666696</v>
      </c>
      <c r="V61" s="30">
        <f>(T61-U60)*24*60</f>
        <v>14.999999999998987</v>
      </c>
      <c r="W61" s="256">
        <f t="shared" si="4"/>
        <v>95.000000000001108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-222.52631578949013</v>
      </c>
      <c r="AG61" s="247">
        <f>N61/K61</f>
        <v>0.86398146956632638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1507</v>
      </c>
      <c r="H62" s="254">
        <f t="shared" ref="H62:H63" si="35">F62*G62</f>
        <v>42587.82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6">K62/J62</f>
        <v>148.72727272727272</v>
      </c>
      <c r="M62" s="108">
        <v>10</v>
      </c>
      <c r="N62" s="107">
        <f t="shared" ref="N62:N63" si="37">G62/W62*60</f>
        <v>1391.0769230769176</v>
      </c>
      <c r="O62" s="238">
        <f t="shared" ref="O62:O63" si="38">N62/M62</f>
        <v>139.10769230769176</v>
      </c>
      <c r="P62" s="111">
        <f t="shared" ref="P62:P63" si="39">M62-J62</f>
        <v>-1</v>
      </c>
      <c r="Q62" s="255">
        <f t="shared" ref="Q62:Q63" si="40">O62-L62</f>
        <v>-9.6195804195809558</v>
      </c>
      <c r="R62" s="85">
        <f t="shared" ref="R62:R63" si="41">O62/L62</f>
        <v>0.93532066955049475</v>
      </c>
      <c r="S62" s="413"/>
      <c r="T62" s="22">
        <v>0.56944444444444398</v>
      </c>
      <c r="U62" s="22">
        <v>0.61458333333333304</v>
      </c>
      <c r="V62" s="30">
        <f>(T62-U61)*24*60</f>
        <v>84.999999999998892</v>
      </c>
      <c r="W62" s="248">
        <f t="shared" si="4"/>
        <v>65.000000000000256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-244.92307692308236</v>
      </c>
      <c r="AG62" s="247">
        <f>N62/K62</f>
        <v>0.85029151777317702</v>
      </c>
      <c r="AH62" s="458"/>
    </row>
    <row r="63" spans="1:34" ht="15" customHeight="1">
      <c r="A63" s="500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1744</v>
      </c>
      <c r="H63" s="254">
        <f t="shared" si="35"/>
        <v>47070.559999999998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6"/>
        <v>109.06666666666666</v>
      </c>
      <c r="M63" s="68">
        <v>14</v>
      </c>
      <c r="N63" s="107">
        <f t="shared" si="37"/>
        <v>1395.1999999999812</v>
      </c>
      <c r="O63" s="238">
        <f t="shared" si="38"/>
        <v>99.657142857141508</v>
      </c>
      <c r="P63" s="111">
        <f t="shared" si="39"/>
        <v>-1</v>
      </c>
      <c r="Q63" s="255">
        <f t="shared" si="40"/>
        <v>-9.4095238095251545</v>
      </c>
      <c r="R63" s="85">
        <f t="shared" si="41"/>
        <v>0.91372685993711655</v>
      </c>
      <c r="S63" s="413"/>
      <c r="T63" s="22">
        <v>0.63194444444444398</v>
      </c>
      <c r="U63" s="22">
        <v>0.68402777777777801</v>
      </c>
      <c r="V63" s="30">
        <f>(T63-U62)*24*60</f>
        <v>24.999999999999751</v>
      </c>
      <c r="W63" s="248">
        <f t="shared" si="4"/>
        <v>75.000000000001009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2">AVERAGE(J59:J68)</f>
        <v>12.6</v>
      </c>
      <c r="K69" s="240">
        <f t="shared" si="42"/>
        <v>1636</v>
      </c>
      <c r="L69" s="268">
        <f t="shared" si="42"/>
        <v>132.86303030303029</v>
      </c>
      <c r="M69" s="240">
        <f t="shared" si="42"/>
        <v>11.8</v>
      </c>
      <c r="N69" s="240">
        <f t="shared" si="42"/>
        <v>1402.6929786003384</v>
      </c>
      <c r="O69" s="268">
        <f t="shared" si="42"/>
        <v>122.02244071717682</v>
      </c>
      <c r="P69" s="269">
        <f>M69-J69</f>
        <v>-0.79999999999999893</v>
      </c>
      <c r="Q69" s="222">
        <f>N69-K69</f>
        <v>-233.30702139966161</v>
      </c>
      <c r="R69" s="123">
        <f>O69/L69</f>
        <v>0.91840778009406721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-233.30702139966161</v>
      </c>
      <c r="AG69" s="124">
        <f>N69/K69</f>
        <v>0.85739179621047579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2231</v>
      </c>
      <c r="H70" s="243">
        <f>F70*G70</f>
        <v>63048.060000000005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1115.5000000000048</v>
      </c>
      <c r="O70" s="138">
        <f>N70/M70</f>
        <v>123.94444444444497</v>
      </c>
      <c r="P70" s="56">
        <f>M70-J70</f>
        <v>-2</v>
      </c>
      <c r="Q70" s="230">
        <f>O70-L70</f>
        <v>-24.782828282827751</v>
      </c>
      <c r="R70" s="52">
        <f>O70/L70</f>
        <v>0.83336729149687938</v>
      </c>
      <c r="S70" s="412">
        <f>R79</f>
        <v>0.85736397781385465</v>
      </c>
      <c r="T70" s="245">
        <v>0.29166666666666702</v>
      </c>
      <c r="U70" s="245">
        <v>0.375</v>
      </c>
      <c r="V70" s="55"/>
      <c r="W70" s="54">
        <f t="shared" si="4"/>
        <v>119.99999999999949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-520.49999999999523</v>
      </c>
      <c r="AG70" s="246">
        <f>N70/K70</f>
        <v>0.68184596577017409</v>
      </c>
      <c r="AH70" s="457">
        <f>AG79</f>
        <v>0.77229737128078213</v>
      </c>
    </row>
    <row r="71" spans="1:36" ht="15" customHeight="1">
      <c r="A71" s="495"/>
      <c r="B71" s="75" t="s">
        <v>81</v>
      </c>
      <c r="C71" s="86"/>
      <c r="D71" s="59" t="s">
        <v>141</v>
      </c>
      <c r="E71" s="87"/>
      <c r="F71" s="250">
        <f>VLOOKUP(D71,廠價表!$C$1:$E$43,3,0)</f>
        <v>46.34</v>
      </c>
      <c r="G71" s="202">
        <v>3124</v>
      </c>
      <c r="H71" s="254">
        <f t="shared" ref="H71:H72" si="43">F71*G71</f>
        <v>144766.16</v>
      </c>
      <c r="I71" s="182"/>
      <c r="J71" s="106">
        <f>VLOOKUP(D71,產線配置圖!$A$3:$C$40,2,0)</f>
        <v>16</v>
      </c>
      <c r="K71" s="107">
        <f>VLOOKUP(D71,產線配置圖!$A$3:$C$40,3,0)</f>
        <v>1500</v>
      </c>
      <c r="L71" s="238">
        <f t="shared" ref="L71:L72" si="44">K71/J71</f>
        <v>93.75</v>
      </c>
      <c r="M71" s="82">
        <v>15</v>
      </c>
      <c r="N71" s="107">
        <f t="shared" ref="N71:N72" si="45">G71/W71*60</f>
        <v>1310.769230769225</v>
      </c>
      <c r="O71" s="238">
        <f t="shared" ref="O71:O72" si="46">N71/M71</f>
        <v>87.384615384615003</v>
      </c>
      <c r="P71" s="111">
        <f t="shared" ref="P71:P72" si="47">M71-J71</f>
        <v>-1</v>
      </c>
      <c r="Q71" s="255">
        <f t="shared" ref="Q71:Q72" si="48">O71-L71</f>
        <v>-6.3653846153849969</v>
      </c>
      <c r="R71" s="85">
        <f t="shared" ref="R71:R72" si="49">O71/L71</f>
        <v>0.93210256410255998</v>
      </c>
      <c r="S71" s="413"/>
      <c r="T71" s="22">
        <v>0.38333333333333303</v>
      </c>
      <c r="U71" s="22">
        <v>0.48263888888888901</v>
      </c>
      <c r="V71" s="30">
        <f>(T71-U70)*24*60</f>
        <v>11.999999999999558</v>
      </c>
      <c r="W71" s="73">
        <f t="shared" si="4"/>
        <v>143.00000000000063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101" t="s">
        <v>81</v>
      </c>
      <c r="C72" s="102"/>
      <c r="D72" s="103" t="s">
        <v>141</v>
      </c>
      <c r="E72" s="104"/>
      <c r="F72" s="250">
        <f>VLOOKUP(D72,廠價表!$C$1:$E$43,3,0)</f>
        <v>46.34</v>
      </c>
      <c r="G72" s="30">
        <v>4174</v>
      </c>
      <c r="H72" s="254">
        <f t="shared" si="43"/>
        <v>193423.16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 t="shared" si="44"/>
        <v>93.75</v>
      </c>
      <c r="M72" s="108">
        <v>15</v>
      </c>
      <c r="N72" s="107">
        <f t="shared" si="45"/>
        <v>1154.1013824884756</v>
      </c>
      <c r="O72" s="238">
        <f t="shared" si="46"/>
        <v>76.940092165898378</v>
      </c>
      <c r="P72" s="111">
        <f t="shared" si="47"/>
        <v>-1</v>
      </c>
      <c r="Q72" s="255">
        <f t="shared" si="48"/>
        <v>-16.809907834101622</v>
      </c>
      <c r="R72" s="85">
        <f t="shared" si="49"/>
        <v>0.82069431643624935</v>
      </c>
      <c r="S72" s="413"/>
      <c r="T72" s="22">
        <v>0.55069444444444404</v>
      </c>
      <c r="U72" s="110">
        <v>0.70138888888888895</v>
      </c>
      <c r="V72" s="30">
        <f>(T72-U71)*24*60</f>
        <v>97.999999999999247</v>
      </c>
      <c r="W72" s="73">
        <f t="shared" si="4"/>
        <v>217.00000000000068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/>
      <c r="C73" s="102"/>
      <c r="D73" s="103"/>
      <c r="E73" s="104"/>
      <c r="F73" s="105"/>
      <c r="G73" s="30"/>
      <c r="H73" s="78"/>
      <c r="I73" s="264"/>
      <c r="J73" s="148"/>
      <c r="K73" s="95"/>
      <c r="L73" s="277"/>
      <c r="M73" s="94"/>
      <c r="N73" s="80"/>
      <c r="O73" s="81"/>
      <c r="P73" s="74"/>
      <c r="Q73" s="83"/>
      <c r="R73" s="72"/>
      <c r="S73" s="413"/>
      <c r="T73" s="110"/>
      <c r="U73" s="110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50">AVERAGE(J70:J78)</f>
        <v>14.333333333333334</v>
      </c>
      <c r="K79" s="240">
        <f t="shared" si="50"/>
        <v>1545.3333333333333</v>
      </c>
      <c r="L79" s="268">
        <f t="shared" si="50"/>
        <v>112.07575757575758</v>
      </c>
      <c r="M79" s="240">
        <f t="shared" si="50"/>
        <v>13</v>
      </c>
      <c r="N79" s="240">
        <f t="shared" si="50"/>
        <v>1193.4568710859019</v>
      </c>
      <c r="O79" s="268">
        <f t="shared" si="50"/>
        <v>96.089717331652778</v>
      </c>
      <c r="P79" s="269">
        <f>M79-J79</f>
        <v>-1.3333333333333339</v>
      </c>
      <c r="Q79" s="222">
        <f>N79-K79</f>
        <v>-351.87646224743139</v>
      </c>
      <c r="R79" s="223">
        <f>O79/L79</f>
        <v>0.85736397781385465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-351.87646224743139</v>
      </c>
      <c r="AG79" s="124">
        <f>N79/K79</f>
        <v>0.77229737128078213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35:AC35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D37:E37"/>
    <mergeCell ref="AB37:AC37"/>
    <mergeCell ref="A27:A37"/>
    <mergeCell ref="S27:S37"/>
    <mergeCell ref="AB27:AC27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T3:U3"/>
    <mergeCell ref="V3:V4"/>
    <mergeCell ref="W3:W4"/>
    <mergeCell ref="X3:Y3"/>
    <mergeCell ref="Z3:AA3"/>
    <mergeCell ref="AB13:AC13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46209</v>
      </c>
      <c r="E3" s="379"/>
      <c r="F3" s="3" t="s">
        <v>72</v>
      </c>
      <c r="G3" s="380">
        <f>'0706'!E1</f>
        <v>71566</v>
      </c>
      <c r="H3" s="380"/>
      <c r="I3" s="3" t="s">
        <v>2</v>
      </c>
      <c r="J3" s="381">
        <f>'0706'!G1</f>
        <v>3339872.8900000006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123.43649657998397</v>
      </c>
      <c r="G6" s="386"/>
      <c r="H6" s="387">
        <f>AVERAGE(D13:H13)</f>
        <v>122.78397399985633</v>
      </c>
      <c r="I6" s="387"/>
      <c r="J6" s="387">
        <f>AVERAGE(I13:J13)</f>
        <v>125.06780303030303</v>
      </c>
      <c r="K6" s="387"/>
      <c r="L6" s="503">
        <f>SUM(D18:J18)</f>
        <v>3</v>
      </c>
      <c r="M6" s="390">
        <f>SUM(D19:J19)</f>
        <v>35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112.10631121761922</v>
      </c>
      <c r="G7" s="410"/>
      <c r="H7" s="411">
        <f>AVERAGE(D14:H14)</f>
        <v>111.10467151548706</v>
      </c>
      <c r="I7" s="411"/>
      <c r="J7" s="411">
        <f>AVERAGE(I14:J14)</f>
        <v>114.6104104729496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0.90821041040302819</v>
      </c>
      <c r="G8" s="383"/>
      <c r="H8" s="383">
        <f>H7/H6</f>
        <v>0.90487925985859574</v>
      </c>
      <c r="I8" s="383"/>
      <c r="J8" s="383">
        <f>J7/J6</f>
        <v>0.91638621368587025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VALUE('0706'!L15)</f>
        <v>150</v>
      </c>
      <c r="E13" s="13">
        <f>VALUE('0706'!L26)</f>
        <v>158.32255979314803</v>
      </c>
      <c r="F13" s="13">
        <f>VALUE('0706'!L37)</f>
        <v>99.223303167420809</v>
      </c>
      <c r="G13" s="13">
        <f>VALUE('0706'!L48)</f>
        <v>101.7034188034188</v>
      </c>
      <c r="H13" s="13">
        <f>VALUE('0706'!L58)</f>
        <v>104.67058823529412</v>
      </c>
      <c r="I13" s="13">
        <f>VALUE('0706'!L69)</f>
        <v>132.86303030303029</v>
      </c>
      <c r="J13" s="13">
        <f>'0706'!L79</f>
        <v>117.27257575757575</v>
      </c>
    </row>
    <row r="14" spans="2:15" ht="39.950000000000003" customHeight="1">
      <c r="B14" s="404"/>
      <c r="C14" s="12" t="s">
        <v>100</v>
      </c>
      <c r="D14" s="13">
        <f>VALUE('0706'!O15)</f>
        <v>141.14595147993364</v>
      </c>
      <c r="E14" s="13">
        <f>VALUE('0706'!O26)</f>
        <v>146.40604378680581</v>
      </c>
      <c r="F14" s="13">
        <f>VALUE('0706'!O37)</f>
        <v>82.747142910623836</v>
      </c>
      <c r="G14" s="13">
        <f>VALUE('0706'!O48)</f>
        <v>90.74625771642674</v>
      </c>
      <c r="H14" s="13">
        <f>VALUE('0706'!O58)</f>
        <v>94.477961683645177</v>
      </c>
      <c r="I14" s="13">
        <f>VALUE('0706'!O69)</f>
        <v>124.80311852583495</v>
      </c>
      <c r="J14" s="13">
        <f>'0706'!O79</f>
        <v>104.41770242006424</v>
      </c>
    </row>
    <row r="15" spans="2:15" ht="39.950000000000003" customHeight="1">
      <c r="B15" s="405"/>
      <c r="C15" s="10" t="s">
        <v>26</v>
      </c>
      <c r="D15" s="14">
        <f t="shared" ref="D15:I15" si="1">D14/D13</f>
        <v>0.94097300986622434</v>
      </c>
      <c r="E15" s="14">
        <f t="shared" si="1"/>
        <v>0.92473267219838151</v>
      </c>
      <c r="F15" s="14">
        <f t="shared" si="1"/>
        <v>0.83394868210548756</v>
      </c>
      <c r="G15" s="14">
        <f t="shared" si="1"/>
        <v>0.8922635913727639</v>
      </c>
      <c r="H15" s="14">
        <f t="shared" si="1"/>
        <v>0.90262186614699791</v>
      </c>
      <c r="I15" s="14">
        <f t="shared" si="1"/>
        <v>0.93933668561666461</v>
      </c>
      <c r="J15" s="15">
        <f>'0706'!S70</f>
        <v>0.8903846593760768</v>
      </c>
    </row>
    <row r="16" spans="2:15" ht="17.25" customHeight="1">
      <c r="B16" s="406" t="s">
        <v>101</v>
      </c>
      <c r="C16" s="10" t="s">
        <v>34</v>
      </c>
      <c r="D16" s="16">
        <f>'0706'!T5</f>
        <v>0.3</v>
      </c>
      <c r="E16" s="16">
        <f>'0706'!T16</f>
        <v>0.29861111111111099</v>
      </c>
      <c r="F16" s="16">
        <f>'0706'!T27</f>
        <v>0.28819444444444398</v>
      </c>
      <c r="G16" s="16">
        <f>'0706'!T38</f>
        <v>0.33333333333333298</v>
      </c>
      <c r="H16" s="16">
        <f>'0706'!T49</f>
        <v>0.29027777777777802</v>
      </c>
      <c r="I16" s="16">
        <f>'0706'!T59</f>
        <v>0.28819444444444398</v>
      </c>
      <c r="J16" s="16">
        <f>'0706'!T70</f>
        <v>0.29375000000000001</v>
      </c>
    </row>
    <row r="17" spans="2:10" ht="17.25" customHeight="1">
      <c r="B17" s="407"/>
      <c r="C17" s="10" t="s">
        <v>35</v>
      </c>
      <c r="D17" s="16">
        <v>0.61805555555555602</v>
      </c>
      <c r="E17" s="19">
        <v>0.64513888888888904</v>
      </c>
      <c r="F17" s="19">
        <v>0.66319444444444398</v>
      </c>
      <c r="G17" s="210">
        <v>0.66319444444444398</v>
      </c>
      <c r="H17" s="21">
        <v>0.66666666666666696</v>
      </c>
      <c r="I17" s="22">
        <v>0.65277777777777801</v>
      </c>
      <c r="J17" s="22">
        <v>0.60763888888888895</v>
      </c>
    </row>
    <row r="18" spans="2:10" ht="17.25" customHeight="1">
      <c r="B18" s="408" t="s">
        <v>102</v>
      </c>
      <c r="C18" s="330" t="s">
        <v>36</v>
      </c>
      <c r="D18" s="357">
        <f>'0706'!Z15</f>
        <v>0</v>
      </c>
      <c r="E18" s="358">
        <f>'0706'!Z26</f>
        <v>0</v>
      </c>
      <c r="F18" s="358">
        <f>'0706'!Z37</f>
        <v>3</v>
      </c>
      <c r="G18" s="359">
        <f>'0706'!Z48</f>
        <v>0</v>
      </c>
      <c r="H18" s="359">
        <f>'0706'!Z58</f>
        <v>0</v>
      </c>
      <c r="I18" s="358">
        <f>'0706'!Z69</f>
        <v>0</v>
      </c>
      <c r="J18" s="358">
        <f>'0706'!AA79</f>
        <v>0</v>
      </c>
    </row>
    <row r="19" spans="2:10" ht="17.25" customHeight="1">
      <c r="B19" s="409"/>
      <c r="C19" s="330" t="s">
        <v>37</v>
      </c>
      <c r="D19" s="357">
        <f>'0706'!AA15</f>
        <v>0</v>
      </c>
      <c r="E19" s="358">
        <f>'0706'!AA26</f>
        <v>0</v>
      </c>
      <c r="F19" s="358">
        <f>'0706'!AA37</f>
        <v>35</v>
      </c>
      <c r="G19" s="359">
        <f>'0706'!AA48</f>
        <v>0</v>
      </c>
      <c r="H19" s="359">
        <f>'0706'!AA58</f>
        <v>0</v>
      </c>
      <c r="I19" s="358">
        <f>'0706'!AA69</f>
        <v>0</v>
      </c>
      <c r="J19" s="358">
        <f>'0706'!AB79</f>
        <v>0</v>
      </c>
    </row>
    <row r="20" spans="2:10" ht="17.25" customHeight="1">
      <c r="B20" s="408" t="s">
        <v>103</v>
      </c>
      <c r="C20" s="330" t="s">
        <v>36</v>
      </c>
      <c r="D20" s="357">
        <f>'0706'!AD15</f>
        <v>0</v>
      </c>
      <c r="E20" s="358">
        <f>'0706'!AD26</f>
        <v>0</v>
      </c>
      <c r="F20" s="358">
        <f>'0706'!AD37</f>
        <v>0</v>
      </c>
      <c r="G20" s="359">
        <f>'0706'!AD48</f>
        <v>0</v>
      </c>
      <c r="H20" s="359">
        <f>'0706'!AD58</f>
        <v>0</v>
      </c>
      <c r="I20" s="358">
        <f>'0706'!AD69</f>
        <v>0</v>
      </c>
      <c r="J20" s="358">
        <f>'0706'!AD79</f>
        <v>0</v>
      </c>
    </row>
    <row r="21" spans="2:10" ht="17.25" customHeight="1">
      <c r="B21" s="409"/>
      <c r="C21" s="330" t="s">
        <v>85</v>
      </c>
      <c r="D21" s="357">
        <f>'0706'!AE15</f>
        <v>0</v>
      </c>
      <c r="E21" s="358">
        <f>'0706'!AE26</f>
        <v>0</v>
      </c>
      <c r="F21" s="358">
        <f>'0706'!AE37</f>
        <v>0</v>
      </c>
      <c r="G21" s="359">
        <f>'0706'!AE48</f>
        <v>0</v>
      </c>
      <c r="H21" s="359">
        <f>'0706'!AE58</f>
        <v>0</v>
      </c>
      <c r="I21" s="358">
        <f>'0706'!AE69</f>
        <v>0</v>
      </c>
      <c r="J21" s="358">
        <f>'0706'!AE79</f>
        <v>0</v>
      </c>
    </row>
    <row r="22" spans="2:10" ht="17.25" customHeight="1">
      <c r="B22" s="392" t="s">
        <v>104</v>
      </c>
      <c r="C22" s="393"/>
      <c r="D22" s="23">
        <f>VALUE('0706'!M15)</f>
        <v>15</v>
      </c>
      <c r="E22" s="23">
        <f>VALUE('0706'!M26)</f>
        <v>14.333333333333334</v>
      </c>
      <c r="F22" s="23">
        <f>VALUE('0706'!M37)</f>
        <v>16.333333333333332</v>
      </c>
      <c r="G22" s="23">
        <f>VALUE('0706'!M48)</f>
        <v>15.5</v>
      </c>
      <c r="H22" s="23">
        <f>VALUE('0706'!M58)</f>
        <v>16.399999999999999</v>
      </c>
      <c r="I22" s="23">
        <f>VALUE('0706'!M69)</f>
        <v>12.6</v>
      </c>
      <c r="J22" s="23">
        <f>'0706'!M79</f>
        <v>13.4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9" activePane="bottomRight" state="frozen"/>
      <selection activeCell="U72" sqref="U72"/>
      <selection pane="topRight" activeCell="U72" sqref="U72"/>
      <selection pane="bottomLeft" activeCell="U72" sqref="U72"/>
      <selection pane="bottomRight" activeCell="G40" sqref="G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71566</v>
      </c>
      <c r="F1" s="30" t="s">
        <v>2</v>
      </c>
      <c r="G1" s="31">
        <f>SUM(H5:H79)</f>
        <v>3339872.8900000006</v>
      </c>
      <c r="H1" s="32" t="s">
        <v>3</v>
      </c>
      <c r="I1" s="33">
        <f>M15+M26+M48+M58+M69+M79+M37</f>
        <v>103.56666666666666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148</v>
      </c>
      <c r="B2" s="418"/>
      <c r="C2" s="28"/>
      <c r="D2" s="28" t="s">
        <v>14</v>
      </c>
      <c r="E2" s="35">
        <f>AVERAGE(O15,O26,O37,O48,O58,O69,O79)</f>
        <v>112.10631121761922</v>
      </c>
      <c r="F2" s="36" t="s">
        <v>15</v>
      </c>
      <c r="G2" s="37">
        <f>G1/E1</f>
        <v>46.668430399910584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3</v>
      </c>
      <c r="AA2" s="339">
        <f>AA15+AA26+AA37+AA48+AA58+AA69+AA79</f>
        <v>35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3299</v>
      </c>
      <c r="H5" s="43">
        <f>F5*G5</f>
        <v>187614.13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2105.7446808510567</v>
      </c>
      <c r="O5" s="47">
        <f>N5/M5</f>
        <v>140.3829787234038</v>
      </c>
      <c r="P5" s="49">
        <f>M5-J5</f>
        <v>0</v>
      </c>
      <c r="Q5" s="50">
        <f>O5-L5</f>
        <v>-9.6170212765962049</v>
      </c>
      <c r="R5" s="51">
        <f>O5/L5</f>
        <v>0.93588652482269197</v>
      </c>
      <c r="S5" s="412">
        <f>R15</f>
        <v>0.94097300986622434</v>
      </c>
      <c r="T5" s="319">
        <v>0.3</v>
      </c>
      <c r="U5" s="320">
        <v>0.36527777777777798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-144.25531914894327</v>
      </c>
      <c r="AG5" s="52">
        <f t="shared" ref="AG5:AG11" si="2">N5/K5</f>
        <v>0.93588652482269186</v>
      </c>
      <c r="AH5" s="457">
        <f>AG15</f>
        <v>0.94097300986622434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2776</v>
      </c>
      <c r="H6" s="63">
        <f>F6*G6</f>
        <v>161479.92000000001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2191.5789473684131</v>
      </c>
      <c r="O6" s="67">
        <f>N6/M6</f>
        <v>146.1052631578942</v>
      </c>
      <c r="P6" s="69">
        <f>M6-J6</f>
        <v>0</v>
      </c>
      <c r="Q6" s="70">
        <f>O6-L6</f>
        <v>-3.8947368421058002</v>
      </c>
      <c r="R6" s="71">
        <f>O6/L6</f>
        <v>0.9740350877192947</v>
      </c>
      <c r="S6" s="413"/>
      <c r="T6" s="16">
        <v>0.37083333333333302</v>
      </c>
      <c r="U6" s="16">
        <v>0.42361111111111099</v>
      </c>
      <c r="V6" s="30">
        <f>(T6-U5)*24*60</f>
        <v>7.9999999999992522</v>
      </c>
      <c r="W6" s="73">
        <f t="shared" si="0"/>
        <v>76.000000000000284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-58.421052631586917</v>
      </c>
      <c r="AG6" s="72">
        <f t="shared" si="2"/>
        <v>0.9740350877192947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2351</v>
      </c>
      <c r="H7" s="78">
        <f>F7*G7</f>
        <v>115528.14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1986.7605633803023</v>
      </c>
      <c r="O7" s="81">
        <f>N7/M7</f>
        <v>132.45070422535349</v>
      </c>
      <c r="P7" s="74">
        <f>M7-J7</f>
        <v>0</v>
      </c>
      <c r="Q7" s="83">
        <f>O7-L7</f>
        <v>-17.549295774646509</v>
      </c>
      <c r="R7" s="72">
        <f>O7/L7</f>
        <v>0.88300469483568989</v>
      </c>
      <c r="S7" s="413"/>
      <c r="T7" s="18">
        <v>0.42916666666666697</v>
      </c>
      <c r="U7" s="18">
        <v>0.47847222222222202</v>
      </c>
      <c r="V7" s="30">
        <f>(T7-U6)*24*60</f>
        <v>8.0000000000006111</v>
      </c>
      <c r="W7" s="73">
        <f t="shared" si="0"/>
        <v>70.999999999999261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-263.2394366196977</v>
      </c>
      <c r="AG7" s="72">
        <f t="shared" si="2"/>
        <v>0.88300469483568989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3896</v>
      </c>
      <c r="H8" s="78">
        <f>F8*G8</f>
        <v>191449.44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2184.6728971962466</v>
      </c>
      <c r="O8" s="81">
        <f>N8/M8</f>
        <v>145.64485981308312</v>
      </c>
      <c r="P8" s="74">
        <f>M8-J8</f>
        <v>0</v>
      </c>
      <c r="Q8" s="83">
        <f>O8-L8</f>
        <v>-4.3551401869168842</v>
      </c>
      <c r="R8" s="72">
        <f>O8/L8</f>
        <v>0.97096573208722081</v>
      </c>
      <c r="S8" s="413"/>
      <c r="T8" s="16">
        <v>0.54374999999999996</v>
      </c>
      <c r="U8" s="16">
        <v>0.61805555555555602</v>
      </c>
      <c r="V8" s="30">
        <f>(T8-U7)*24*60</f>
        <v>94.000000000000227</v>
      </c>
      <c r="W8" s="73">
        <f t="shared" si="0"/>
        <v>107.00000000000074</v>
      </c>
      <c r="X8" s="22">
        <v>0.48611111111111099</v>
      </c>
      <c r="Y8" s="84">
        <v>0.52777777777777801</v>
      </c>
      <c r="Z8" s="90"/>
      <c r="AA8" s="90"/>
      <c r="AB8" s="461"/>
      <c r="AC8" s="461"/>
      <c r="AD8" s="149"/>
      <c r="AE8" s="149"/>
      <c r="AF8" s="307">
        <f t="shared" si="1"/>
        <v>-65.327102803753405</v>
      </c>
      <c r="AG8" s="72">
        <f t="shared" si="2"/>
        <v>0.9709657320872207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2117.1892721990048</v>
      </c>
      <c r="O15" s="117">
        <f t="shared" si="3"/>
        <v>141.14595147993364</v>
      </c>
      <c r="P15" s="121">
        <f>M15-J15</f>
        <v>0</v>
      </c>
      <c r="Q15" s="122">
        <f>O15-L15</f>
        <v>-8.8540485200663568</v>
      </c>
      <c r="R15" s="123">
        <f>O15/L15</f>
        <v>0.94097300986622434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-132.81072780099521</v>
      </c>
      <c r="AG15" s="124">
        <f>N15/K15</f>
        <v>0.94097300986622434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2107</v>
      </c>
      <c r="H16" s="134">
        <f>F16*G16</f>
        <v>106761.69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2006.6666666666661</v>
      </c>
      <c r="O16" s="141">
        <f>N16/M16</f>
        <v>143.33333333333329</v>
      </c>
      <c r="P16" s="142">
        <f>M16-J16</f>
        <v>0</v>
      </c>
      <c r="Q16" s="143">
        <f>O16-L16</f>
        <v>-17.380952380952436</v>
      </c>
      <c r="R16" s="144">
        <f>O16/L16</f>
        <v>0.89185185185185156</v>
      </c>
      <c r="S16" s="468">
        <f>R26</f>
        <v>0.92473267219838151</v>
      </c>
      <c r="T16" s="145">
        <v>0.29861111111111099</v>
      </c>
      <c r="U16" s="145">
        <v>0.34236111111111101</v>
      </c>
      <c r="V16" s="135"/>
      <c r="W16" s="146">
        <f t="shared" ref="W16:W78" si="4">(U16-T16)*24*60</f>
        <v>63.000000000000014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-243.33333333333394</v>
      </c>
      <c r="AG16" s="52">
        <f>N16/K16</f>
        <v>0.89185185185185156</v>
      </c>
      <c r="AH16" s="457">
        <f>AG26</f>
        <v>0.92459938647873852</v>
      </c>
    </row>
    <row r="17" spans="1:34" ht="15" customHeight="1">
      <c r="A17" s="475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2001</v>
      </c>
      <c r="H17" s="78">
        <f>F17*G17</f>
        <v>114477.21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2106.3157894736473</v>
      </c>
      <c r="O17" s="96">
        <f>N17/M17</f>
        <v>123.90092879256748</v>
      </c>
      <c r="P17" s="97">
        <f>M17-J17</f>
        <v>0</v>
      </c>
      <c r="Q17" s="98">
        <f>O17-L17</f>
        <v>-8.4520123839030958</v>
      </c>
      <c r="R17" s="99">
        <f>O17/L17</f>
        <v>0.93614035087717662</v>
      </c>
      <c r="S17" s="469"/>
      <c r="T17" s="19">
        <v>0.35069444444444398</v>
      </c>
      <c r="U17" s="19">
        <v>0.390277777777778</v>
      </c>
      <c r="V17" s="30">
        <f>(T17-U16)*24*60</f>
        <v>11.999999999999478</v>
      </c>
      <c r="W17" s="149">
        <f t="shared" si="4"/>
        <v>57.000000000000995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-143.68421052635267</v>
      </c>
      <c r="AG17" s="72">
        <f>N17/K17</f>
        <v>0.93614035087717662</v>
      </c>
      <c r="AH17" s="458"/>
    </row>
    <row r="18" spans="1:34" ht="15" customHeight="1">
      <c r="A18" s="475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1152</v>
      </c>
      <c r="H18" s="78">
        <f>F18*G18</f>
        <v>65214.720000000001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2094.5454545454268</v>
      </c>
      <c r="O18" s="96">
        <f>N18/M18</f>
        <v>139.63636363636178</v>
      </c>
      <c r="P18" s="97">
        <f>M18-J18</f>
        <v>0</v>
      </c>
      <c r="Q18" s="98">
        <f>O18-L18</f>
        <v>-10.363636363638221</v>
      </c>
      <c r="R18" s="99">
        <f>O18/L18</f>
        <v>0.93090909090907847</v>
      </c>
      <c r="S18" s="469"/>
      <c r="T18" s="19">
        <v>0.39861111111111103</v>
      </c>
      <c r="U18" s="19">
        <v>0.421527777777778</v>
      </c>
      <c r="V18" s="30">
        <f>(T18-U17)*24*60</f>
        <v>11.999999999999558</v>
      </c>
      <c r="W18" s="149">
        <f t="shared" si="4"/>
        <v>33.000000000000441</v>
      </c>
      <c r="X18" s="22">
        <v>0.48611111111111099</v>
      </c>
      <c r="Y18" s="84">
        <v>0.52777777777777801</v>
      </c>
      <c r="Z18" s="90"/>
      <c r="AA18" s="90"/>
      <c r="AB18" s="462"/>
      <c r="AC18" s="462"/>
      <c r="AD18" s="92"/>
      <c r="AE18" s="92"/>
      <c r="AF18" s="307">
        <f>N18-K18</f>
        <v>-155.45454545457324</v>
      </c>
      <c r="AG18" s="72">
        <f>N18/K18</f>
        <v>0.93090909090907858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2574</v>
      </c>
      <c r="H19" s="78">
        <f t="shared" ref="H19:H21" si="5">F19*G19</f>
        <v>129703.86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2115.6164383561395</v>
      </c>
      <c r="O19" s="96">
        <f t="shared" ref="O19:O21" si="8">N19/M19</f>
        <v>162.73972602739533</v>
      </c>
      <c r="P19" s="97">
        <f t="shared" ref="P19:P21" si="9">M19-J19</f>
        <v>0</v>
      </c>
      <c r="Q19" s="98">
        <f t="shared" ref="Q19:Q21" si="10">O19-L19</f>
        <v>-10.337197049527731</v>
      </c>
      <c r="R19" s="99">
        <f t="shared" ref="R19:R21" si="11">O19/L19</f>
        <v>0.94027397260272871</v>
      </c>
      <c r="S19" s="469"/>
      <c r="T19" s="19">
        <v>0.42847222222222198</v>
      </c>
      <c r="U19" s="19">
        <v>0.47916666666666702</v>
      </c>
      <c r="V19" s="30">
        <f>(T19-U18)*24*60</f>
        <v>9.999999999999325</v>
      </c>
      <c r="W19" s="149">
        <f t="shared" si="4"/>
        <v>73.000000000000853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-134.3835616438605</v>
      </c>
      <c r="AG19" s="72">
        <f>N19/K19</f>
        <v>0.94027397260272871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2782</v>
      </c>
      <c r="H20" s="78">
        <f t="shared" si="5"/>
        <v>140184.98000000001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2140.000000000025</v>
      </c>
      <c r="O20" s="96">
        <f t="shared" si="8"/>
        <v>164.61538461538655</v>
      </c>
      <c r="P20" s="97">
        <f t="shared" si="9"/>
        <v>0</v>
      </c>
      <c r="Q20" s="98">
        <f t="shared" si="10"/>
        <v>-8.4615384615365201</v>
      </c>
      <c r="R20" s="99">
        <f t="shared" si="11"/>
        <v>0.95111111111112234</v>
      </c>
      <c r="S20" s="469"/>
      <c r="T20" s="19">
        <v>0.54166666666666696</v>
      </c>
      <c r="U20" s="19">
        <v>0.59583333333333299</v>
      </c>
      <c r="V20" s="30">
        <f>(T20-U19)*24*60</f>
        <v>89.999999999999915</v>
      </c>
      <c r="W20" s="149">
        <f t="shared" si="4"/>
        <v>77.999999999999091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1918</v>
      </c>
      <c r="H21" s="78">
        <f t="shared" si="5"/>
        <v>97185.06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2018.9473684210657</v>
      </c>
      <c r="O21" s="96">
        <f t="shared" si="8"/>
        <v>144.21052631579042</v>
      </c>
      <c r="P21" s="97">
        <f t="shared" si="9"/>
        <v>0</v>
      </c>
      <c r="Q21" s="98">
        <f t="shared" si="10"/>
        <v>-16.503759398495305</v>
      </c>
      <c r="R21" s="99">
        <f t="shared" si="11"/>
        <v>0.89730994152047372</v>
      </c>
      <c r="S21" s="469"/>
      <c r="T21" s="19">
        <v>0.60555555555555596</v>
      </c>
      <c r="U21" s="19">
        <v>0.64513888888888904</v>
      </c>
      <c r="V21" s="30">
        <f>(T21-U20)*24*60</f>
        <v>14.000000000001069</v>
      </c>
      <c r="W21" s="149">
        <f t="shared" si="4"/>
        <v>56.999999999999638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2080.3486195771616</v>
      </c>
      <c r="O26" s="158">
        <f t="shared" si="12"/>
        <v>146.40604378680581</v>
      </c>
      <c r="P26" s="159">
        <f>M26-J26</f>
        <v>0</v>
      </c>
      <c r="Q26" s="160">
        <f>O26-L26</f>
        <v>-11.916516006342221</v>
      </c>
      <c r="R26" s="161">
        <f>O26/L26</f>
        <v>0.92473267219838151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-169.65138042283843</v>
      </c>
      <c r="AG26" s="124">
        <f t="shared" ref="AG26:AG31" si="14">N26/K26</f>
        <v>0.92459938647873852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2154</v>
      </c>
      <c r="H27" s="134">
        <f>F27*G27</f>
        <v>98351.64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1595.555555555555</v>
      </c>
      <c r="O27" s="141">
        <f>N27/M27</f>
        <v>93.856209150326762</v>
      </c>
      <c r="P27" s="142">
        <f>M27-J27</f>
        <v>0</v>
      </c>
      <c r="Q27" s="143">
        <f>O27-L27</f>
        <v>-2.3790849673202956</v>
      </c>
      <c r="R27" s="144">
        <f>O27/L27</f>
        <v>0.97527845694104831</v>
      </c>
      <c r="S27" s="468">
        <f>R37</f>
        <v>0.83394868210548756</v>
      </c>
      <c r="T27" s="171">
        <v>0.28819444444444398</v>
      </c>
      <c r="U27" s="171">
        <v>0.344444444444444</v>
      </c>
      <c r="V27" s="135"/>
      <c r="W27" s="146">
        <f t="shared" si="4"/>
        <v>81.000000000000028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-40.444444444445026</v>
      </c>
      <c r="AG27" s="172">
        <f t="shared" si="14"/>
        <v>0.97527845694104831</v>
      </c>
      <c r="AH27" s="457">
        <f>AG37</f>
        <v>0.85371640116294767</v>
      </c>
    </row>
    <row r="28" spans="1:34" ht="15" customHeight="1">
      <c r="A28" s="466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2599</v>
      </c>
      <c r="H28" s="91">
        <f>F28*G28</f>
        <v>148688.79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1513.9805825242879</v>
      </c>
      <c r="O28" s="96">
        <f>N28/M28</f>
        <v>84.110032362460444</v>
      </c>
      <c r="P28" s="97">
        <f>M28-J28</f>
        <v>0</v>
      </c>
      <c r="Q28" s="98">
        <f>O28-L28</f>
        <v>-6.7788565264284415</v>
      </c>
      <c r="R28" s="99">
        <f>O28/L28</f>
        <v>0.9254160039879511</v>
      </c>
      <c r="S28" s="469"/>
      <c r="T28" s="19">
        <v>0.34930555555555598</v>
      </c>
      <c r="U28" s="19">
        <v>0.420833333333333</v>
      </c>
      <c r="V28" s="92">
        <f>(T28-U27)*24*60</f>
        <v>7.0000000000012541</v>
      </c>
      <c r="W28" s="149">
        <f t="shared" si="4"/>
        <v>102.99999999999892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-122.01941747571209</v>
      </c>
      <c r="AG28" s="99">
        <f t="shared" si="14"/>
        <v>0.9254160039879511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1361</v>
      </c>
      <c r="H29" s="91">
        <f>F29*G29</f>
        <v>77862.81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1407.93103448275</v>
      </c>
      <c r="O29" s="96">
        <f>N29/M29</f>
        <v>78.21839080459722</v>
      </c>
      <c r="P29" s="97">
        <f>M29-J29</f>
        <v>0</v>
      </c>
      <c r="Q29" s="98">
        <f>O29-L29</f>
        <v>-8.7260536398472226</v>
      </c>
      <c r="R29" s="99">
        <f>O29/L29</f>
        <v>0.89963644375894569</v>
      </c>
      <c r="S29" s="469"/>
      <c r="T29" s="19">
        <v>0.42638888888888898</v>
      </c>
      <c r="U29" s="19">
        <v>0.46666666666666701</v>
      </c>
      <c r="V29" s="92">
        <f>(T29-U28)*24*60</f>
        <v>8.0000000000006111</v>
      </c>
      <c r="W29" s="149">
        <f t="shared" si="4"/>
        <v>58.000000000000355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-157.06896551725004</v>
      </c>
      <c r="AG29" s="99">
        <f t="shared" si="14"/>
        <v>0.89963644375894569</v>
      </c>
      <c r="AH29" s="478"/>
    </row>
    <row r="30" spans="1:34" ht="15" customHeight="1">
      <c r="A30" s="466"/>
      <c r="B30" s="75" t="s">
        <v>81</v>
      </c>
      <c r="C30" s="88"/>
      <c r="D30" s="59" t="s">
        <v>127</v>
      </c>
      <c r="E30" s="89"/>
      <c r="F30" s="75">
        <v>50.67</v>
      </c>
      <c r="G30" s="90">
        <v>800</v>
      </c>
      <c r="H30" s="91">
        <f t="shared" ref="H30:H32" si="15">F30*G30</f>
        <v>40536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 t="shared" ref="L30:L32" si="16">K30/J30</f>
        <v>110.76923076923077</v>
      </c>
      <c r="M30" s="94">
        <v>13</v>
      </c>
      <c r="N30" s="95">
        <f t="shared" ref="N30:N32" si="17">G30/W30*60</f>
        <v>578.31325301204686</v>
      </c>
      <c r="O30" s="96">
        <f t="shared" ref="O30:O32" si="18">N30/M30</f>
        <v>44.485634847080526</v>
      </c>
      <c r="P30" s="97">
        <f t="shared" ref="P30:P32" si="19">M30-J30</f>
        <v>0</v>
      </c>
      <c r="Q30" s="98">
        <f t="shared" ref="Q30:Q32" si="20">O30-L30</f>
        <v>-66.283595922150255</v>
      </c>
      <c r="R30" s="99">
        <f t="shared" ref="R30:R32" si="21">O30/L30</f>
        <v>0.4016064257028103</v>
      </c>
      <c r="S30" s="469"/>
      <c r="T30" s="19">
        <v>0.53125</v>
      </c>
      <c r="U30" s="19">
        <v>0.58888888888888902</v>
      </c>
      <c r="V30" s="92">
        <f>(T30-U29)*24*60</f>
        <v>92.999999999999517</v>
      </c>
      <c r="W30" s="149">
        <f t="shared" si="4"/>
        <v>83.000000000000185</v>
      </c>
      <c r="X30" s="174">
        <v>0.49652777777777801</v>
      </c>
      <c r="Y30" s="301">
        <v>0.53819444444444398</v>
      </c>
      <c r="Z30" s="335">
        <v>3</v>
      </c>
      <c r="AA30" s="335">
        <v>35</v>
      </c>
      <c r="AB30" s="462" t="s">
        <v>149</v>
      </c>
      <c r="AC30" s="462"/>
      <c r="AD30" s="92"/>
      <c r="AE30" s="92"/>
      <c r="AF30" s="312">
        <f t="shared" si="13"/>
        <v>-861.68674698795314</v>
      </c>
      <c r="AG30" s="99">
        <f t="shared" si="14"/>
        <v>0.4016064257028103</v>
      </c>
      <c r="AH30" s="479"/>
    </row>
    <row r="31" spans="1:34" ht="15" customHeight="1">
      <c r="A31" s="466"/>
      <c r="B31" s="75" t="s">
        <v>81</v>
      </c>
      <c r="C31" s="177"/>
      <c r="D31" s="59" t="s">
        <v>123</v>
      </c>
      <c r="E31" s="178"/>
      <c r="F31" s="75">
        <f>VLOOKUP(D31,廠價表!$C$1:$E$43,3,0)</f>
        <v>45.66</v>
      </c>
      <c r="G31" s="90">
        <v>1500</v>
      </c>
      <c r="H31" s="91">
        <f t="shared" si="15"/>
        <v>68490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1578.9473684210272</v>
      </c>
      <c r="O31" s="96">
        <f t="shared" si="18"/>
        <v>92.879256965942773</v>
      </c>
      <c r="P31" s="97">
        <f t="shared" si="19"/>
        <v>0</v>
      </c>
      <c r="Q31" s="98">
        <f t="shared" si="20"/>
        <v>-3.3560371517042853</v>
      </c>
      <c r="R31" s="99">
        <f t="shared" si="21"/>
        <v>0.96512675331358633</v>
      </c>
      <c r="S31" s="469"/>
      <c r="T31" s="19">
        <v>0.59583333333333299</v>
      </c>
      <c r="U31" s="19">
        <v>0.63541666666666696</v>
      </c>
      <c r="V31" s="92">
        <f t="shared" ref="V31:V32" si="22">(T31-U30)*24*60</f>
        <v>9.999999999999325</v>
      </c>
      <c r="W31" s="149">
        <f t="shared" si="4"/>
        <v>57.000000000000917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-57.052631578972751</v>
      </c>
      <c r="AG31" s="99">
        <f t="shared" si="14"/>
        <v>0.96512675331358633</v>
      </c>
      <c r="AH31" s="459"/>
    </row>
    <row r="32" spans="1:34" ht="15" customHeight="1">
      <c r="A32" s="466"/>
      <c r="B32" s="75" t="s">
        <v>128</v>
      </c>
      <c r="C32" s="173"/>
      <c r="D32" s="59" t="s">
        <v>129</v>
      </c>
      <c r="E32" s="366"/>
      <c r="F32" s="75">
        <f>VLOOKUP(D32,廠價表!$C$1:$E$43,3,0)</f>
        <v>49.91</v>
      </c>
      <c r="G32" s="90">
        <v>772</v>
      </c>
      <c r="H32" s="91">
        <f t="shared" si="15"/>
        <v>38530.519999999997</v>
      </c>
      <c r="I32" s="92"/>
      <c r="J32" s="79">
        <f>VLOOKUP(D32,產線配置圖!$A$3:$C$40,2,0)</f>
        <v>15</v>
      </c>
      <c r="K32" s="80">
        <f>VLOOKUP(D32,產線配置圖!$A$3:$C$40,3,0)</f>
        <v>1714</v>
      </c>
      <c r="L32" s="93">
        <f t="shared" si="16"/>
        <v>114.26666666666667</v>
      </c>
      <c r="M32" s="94">
        <v>15</v>
      </c>
      <c r="N32" s="95">
        <f t="shared" si="17"/>
        <v>1544.00000000003</v>
      </c>
      <c r="O32" s="96">
        <f t="shared" si="18"/>
        <v>102.93333333333534</v>
      </c>
      <c r="P32" s="97">
        <f t="shared" si="19"/>
        <v>0</v>
      </c>
      <c r="Q32" s="98">
        <f t="shared" si="20"/>
        <v>-11.333333333331325</v>
      </c>
      <c r="R32" s="99">
        <f t="shared" si="21"/>
        <v>0.90081680280048437</v>
      </c>
      <c r="S32" s="469"/>
      <c r="T32" s="19">
        <v>0.64236111111111105</v>
      </c>
      <c r="U32" s="19">
        <v>0.66319444444444398</v>
      </c>
      <c r="V32" s="92">
        <f t="shared" si="22"/>
        <v>9.9999999999994849</v>
      </c>
      <c r="W32" s="149">
        <f t="shared" si="4"/>
        <v>29.999999999999414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16.333333333333332</v>
      </c>
      <c r="K37" s="155">
        <f t="shared" si="23"/>
        <v>1604.5</v>
      </c>
      <c r="L37" s="158">
        <f t="shared" si="23"/>
        <v>99.223303167420809</v>
      </c>
      <c r="M37" s="155">
        <f t="shared" si="23"/>
        <v>16.333333333333332</v>
      </c>
      <c r="N37" s="155">
        <f t="shared" si="23"/>
        <v>1369.7879656659495</v>
      </c>
      <c r="O37" s="158">
        <f t="shared" si="23"/>
        <v>82.747142910623836</v>
      </c>
      <c r="P37" s="159">
        <f>M37-J37</f>
        <v>0</v>
      </c>
      <c r="Q37" s="160">
        <f>N37-K37</f>
        <v>-234.71203433405049</v>
      </c>
      <c r="R37" s="161">
        <f>O37/L37</f>
        <v>0.83394868210548756</v>
      </c>
      <c r="S37" s="470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35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-234.71203433405049</v>
      </c>
      <c r="AG37" s="124">
        <f>N37/K37</f>
        <v>0.85371640116294767</v>
      </c>
      <c r="AH37" s="460"/>
    </row>
    <row r="38" spans="1:34" ht="15" customHeight="1">
      <c r="A38" s="487" t="s">
        <v>48</v>
      </c>
      <c r="B38" s="167" t="s">
        <v>81</v>
      </c>
      <c r="C38" s="129"/>
      <c r="D38" s="184" t="s">
        <v>127</v>
      </c>
      <c r="E38" s="185"/>
      <c r="F38" s="39">
        <v>50.67</v>
      </c>
      <c r="G38" s="186">
        <v>604</v>
      </c>
      <c r="H38" s="134">
        <f>F38*G38</f>
        <v>30604.68</v>
      </c>
      <c r="I38" s="135"/>
      <c r="J38" s="187">
        <f>VLOOKUP(D38,產線配置圖!$A$3:$C$40,2,0)</f>
        <v>13</v>
      </c>
      <c r="K38" s="188">
        <f>VLOOKUP(D38,產線配置圖!$A$3:$C$40,3,0)</f>
        <v>1440</v>
      </c>
      <c r="L38" s="189">
        <f>K38/J38</f>
        <v>110.76923076923077</v>
      </c>
      <c r="M38" s="190">
        <v>13</v>
      </c>
      <c r="N38" s="140">
        <f>G38/W38*60</f>
        <v>1207.9999999999593</v>
      </c>
      <c r="O38" s="141">
        <f>N38/M38</f>
        <v>92.923076923073793</v>
      </c>
      <c r="P38" s="142">
        <f>M38-J38</f>
        <v>0</v>
      </c>
      <c r="Q38" s="143">
        <f>O38-L38</f>
        <v>-17.84615384615698</v>
      </c>
      <c r="R38" s="144">
        <f>O38/L38</f>
        <v>0.8388888888888606</v>
      </c>
      <c r="S38" s="490">
        <f>R48</f>
        <v>0.8922635913727639</v>
      </c>
      <c r="T38" s="191">
        <v>0.33333333333333298</v>
      </c>
      <c r="U38" s="191">
        <v>0.35416666666666702</v>
      </c>
      <c r="V38" s="192"/>
      <c r="W38" s="193">
        <f t="shared" si="4"/>
        <v>30.000000000001013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-232.0000000000407</v>
      </c>
      <c r="AG38" s="195">
        <f>N38/K38</f>
        <v>0.8388888888888606</v>
      </c>
      <c r="AH38" s="480">
        <f>AG48</f>
        <v>0.87293293030317021</v>
      </c>
    </row>
    <row r="39" spans="1:34" ht="15" customHeight="1">
      <c r="A39" s="48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2749</v>
      </c>
      <c r="H39" s="91">
        <f>F39*G39</f>
        <v>137202.59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15</v>
      </c>
      <c r="N39" s="202">
        <f>G39/W39*60</f>
        <v>1421.8965517241302</v>
      </c>
      <c r="O39" s="203">
        <f>N39/M39</f>
        <v>94.793103448275346</v>
      </c>
      <c r="P39" s="97">
        <f>M39-J39</f>
        <v>0</v>
      </c>
      <c r="Q39" s="98">
        <f>O39-L39</f>
        <v>-19.47356321839132</v>
      </c>
      <c r="R39" s="99">
        <f>O39/L39</f>
        <v>0.82957791815876913</v>
      </c>
      <c r="S39" s="491"/>
      <c r="T39" s="20">
        <v>0.36249999999999999</v>
      </c>
      <c r="U39" s="20">
        <v>0.44305555555555598</v>
      </c>
      <c r="V39" s="92">
        <f>(T39-U38)*24*60</f>
        <v>11.999999999999478</v>
      </c>
      <c r="W39" s="205">
        <f t="shared" si="4"/>
        <v>116.00000000000063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-292.10344827586982</v>
      </c>
      <c r="AG39" s="206">
        <f>N39/K39</f>
        <v>0.82957791815876902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1855</v>
      </c>
      <c r="H40" s="91">
        <f>F40*G40</f>
        <v>82176.5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1464.4736842105208</v>
      </c>
      <c r="O40" s="203">
        <f>N40/M40</f>
        <v>86.145510835912987</v>
      </c>
      <c r="P40" s="97">
        <f>M40-J40</f>
        <v>-1</v>
      </c>
      <c r="Q40" s="98">
        <f>O40-L40</f>
        <v>-4.7433780529758991</v>
      </c>
      <c r="R40" s="99">
        <f>O40/L40</f>
        <v>0.94781124391591309</v>
      </c>
      <c r="S40" s="413"/>
      <c r="T40" s="20">
        <v>0.45</v>
      </c>
      <c r="U40" s="20">
        <v>0.50277777777777799</v>
      </c>
      <c r="V40" s="92">
        <f t="shared" ref="V40:V41" si="24">(T40-U39)*24*60</f>
        <v>9.9999999999994049</v>
      </c>
      <c r="W40" s="205">
        <f t="shared" si="4"/>
        <v>76.000000000000284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-171.52631578947921</v>
      </c>
      <c r="AG40" s="206">
        <f>N40/K40</f>
        <v>0.89515506369836229</v>
      </c>
      <c r="AH40" s="481"/>
    </row>
    <row r="41" spans="1:34" ht="15" customHeight="1">
      <c r="A41" s="48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3914</v>
      </c>
      <c r="H41" s="91">
        <f>F41*G41</f>
        <v>173390.19999999998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17</v>
      </c>
      <c r="N41" s="202">
        <f>G41/W41*60</f>
        <v>1515.0967741935617</v>
      </c>
      <c r="O41" s="203">
        <f>N41/M41</f>
        <v>89.123339658444806</v>
      </c>
      <c r="P41" s="97">
        <f>M41-J41</f>
        <v>-1</v>
      </c>
      <c r="Q41" s="98">
        <f>O41-L41</f>
        <v>-1.7655492304440799</v>
      </c>
      <c r="R41" s="99">
        <f>O41/L41</f>
        <v>0.98057464171883046</v>
      </c>
      <c r="S41" s="413"/>
      <c r="T41" s="20">
        <v>0.55555555555555602</v>
      </c>
      <c r="U41" s="210">
        <v>0.66319444444444398</v>
      </c>
      <c r="V41" s="92">
        <f t="shared" si="24"/>
        <v>76.000000000000369</v>
      </c>
      <c r="W41" s="205">
        <f t="shared" si="4"/>
        <v>154.99999999999864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-120.90322580643829</v>
      </c>
      <c r="AG41" s="206">
        <f>N41/K41</f>
        <v>0.92609827273445089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5">AVERAGE(J38:J47)</f>
        <v>16</v>
      </c>
      <c r="K48" s="155">
        <f t="shared" si="25"/>
        <v>1606.5</v>
      </c>
      <c r="L48" s="158">
        <f t="shared" si="25"/>
        <v>101.7034188034188</v>
      </c>
      <c r="M48" s="155">
        <f t="shared" si="25"/>
        <v>15.5</v>
      </c>
      <c r="N48" s="155">
        <f t="shared" si="25"/>
        <v>1402.3667525320429</v>
      </c>
      <c r="O48" s="158">
        <f t="shared" si="25"/>
        <v>90.74625771642674</v>
      </c>
      <c r="P48" s="221">
        <f>M48-J48</f>
        <v>-0.5</v>
      </c>
      <c r="Q48" s="222">
        <f>N48-K48</f>
        <v>-204.13324746795706</v>
      </c>
      <c r="R48" s="223">
        <f>O48/L48</f>
        <v>0.8922635913727639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6">N48-K48</f>
        <v>-204.13324746795706</v>
      </c>
      <c r="AG48" s="162">
        <f t="shared" ref="AG48:AG53" si="27">N48/K48</f>
        <v>0.87293293030317021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2339</v>
      </c>
      <c r="H49" s="134">
        <f>F49*G49</f>
        <v>115827.28000000001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1651.0588235294067</v>
      </c>
      <c r="O49" s="141">
        <f>N49/M49</f>
        <v>97.121107266435686</v>
      </c>
      <c r="P49" s="229">
        <f>M49-J49</f>
        <v>0</v>
      </c>
      <c r="Q49" s="230">
        <f>O49-L49</f>
        <v>-8.7612456747407776</v>
      </c>
      <c r="R49" s="52">
        <f>O49/L49</f>
        <v>0.91725490196078152</v>
      </c>
      <c r="S49" s="412">
        <f>R58</f>
        <v>0.90262186614699791</v>
      </c>
      <c r="T49" s="191">
        <v>0.29027777777777802</v>
      </c>
      <c r="U49" s="191">
        <v>0.34930555555555598</v>
      </c>
      <c r="V49" s="55"/>
      <c r="W49" s="193">
        <f t="shared" si="4"/>
        <v>85.000000000000256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6"/>
        <v>-148.94117647059329</v>
      </c>
      <c r="AG49" s="52">
        <f t="shared" si="27"/>
        <v>0.91725490196078152</v>
      </c>
      <c r="AH49" s="457">
        <f>AG58</f>
        <v>0.89196772811516756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2474</v>
      </c>
      <c r="H50" s="231">
        <f>F50*G50</f>
        <v>124414.986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1484.4000000000101</v>
      </c>
      <c r="O50" s="235">
        <f>N50/M50</f>
        <v>92.775000000000631</v>
      </c>
      <c r="P50" s="74">
        <f>M50-J50</f>
        <v>-1</v>
      </c>
      <c r="Q50" s="83">
        <f>O50-L50</f>
        <v>-3.460294117646427</v>
      </c>
      <c r="R50" s="72">
        <f>O50/L50</f>
        <v>0.96404339853301391</v>
      </c>
      <c r="S50" s="413"/>
      <c r="T50" s="21">
        <v>0.35277777777777802</v>
      </c>
      <c r="U50" s="21">
        <v>0.422222222222222</v>
      </c>
      <c r="V50" s="30">
        <f>(T50-U49)*24*60</f>
        <v>4.9999999999997424</v>
      </c>
      <c r="W50" s="236">
        <f t="shared" si="4"/>
        <v>99.999999999999318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6"/>
        <v>-151.5999999999899</v>
      </c>
      <c r="AG50" s="72">
        <f t="shared" si="27"/>
        <v>0.90733496332518959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1759</v>
      </c>
      <c r="H51" s="231">
        <f>F51*G51</f>
        <v>87897.23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1599.0909090909204</v>
      </c>
      <c r="O51" s="235">
        <f>N51/M51</f>
        <v>99.943181818182524</v>
      </c>
      <c r="P51" s="74">
        <f>M51-J51</f>
        <v>0</v>
      </c>
      <c r="Q51" s="83">
        <f>O51-L51</f>
        <v>-12.556818181817476</v>
      </c>
      <c r="R51" s="72">
        <f>O51/L51</f>
        <v>0.8883838383838446</v>
      </c>
      <c r="S51" s="413"/>
      <c r="T51" s="21">
        <v>0.42638888888888898</v>
      </c>
      <c r="U51" s="19">
        <v>0.47222222222222199</v>
      </c>
      <c r="V51" s="30">
        <f>(T51-U50)*24*60</f>
        <v>6.0000000000004583</v>
      </c>
      <c r="W51" s="236">
        <f t="shared" si="4"/>
        <v>65.999999999999531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6"/>
        <v>-200.90909090907962</v>
      </c>
      <c r="AG51" s="72">
        <f t="shared" si="27"/>
        <v>0.8883838383838446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4275</v>
      </c>
      <c r="H52" s="231">
        <f>F52*G52</f>
        <v>213621.75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 t="shared" ref="N52:N53" si="28">G52/W52*60</f>
        <v>1644.2307692307752</v>
      </c>
      <c r="O52" s="235">
        <f t="shared" ref="O52:O53" si="29">N52/M52</f>
        <v>102.76442307692345</v>
      </c>
      <c r="P52" s="74">
        <f t="shared" ref="P52:P53" si="30">M52-J52</f>
        <v>0</v>
      </c>
      <c r="Q52" s="83">
        <f t="shared" ref="Q52:Q53" si="31">O52-L52</f>
        <v>-9.7355769230765503</v>
      </c>
      <c r="R52" s="72">
        <f t="shared" ref="R52:R53" si="32">O52/L52</f>
        <v>0.91346153846154177</v>
      </c>
      <c r="S52" s="413"/>
      <c r="T52" s="21">
        <v>0.53125</v>
      </c>
      <c r="U52" s="21">
        <v>0.63958333333333295</v>
      </c>
      <c r="V52" s="30">
        <f>(T52-U51)*24*60</f>
        <v>85.000000000000341</v>
      </c>
      <c r="W52" s="236">
        <f t="shared" si="4"/>
        <v>155.99999999999943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6"/>
        <v>-155.76923076922481</v>
      </c>
      <c r="AG52" s="72">
        <f t="shared" si="27"/>
        <v>0.91346153846154177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746</v>
      </c>
      <c r="H53" s="231">
        <f>F53*G53</f>
        <v>37515.594000000005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>K53/J53</f>
        <v>96.235294117647058</v>
      </c>
      <c r="M53" s="108">
        <v>17</v>
      </c>
      <c r="N53" s="234">
        <f t="shared" si="28"/>
        <v>1356.3636363636215</v>
      </c>
      <c r="O53" s="235">
        <f t="shared" si="29"/>
        <v>79.786096256683621</v>
      </c>
      <c r="P53" s="74">
        <f t="shared" si="30"/>
        <v>0</v>
      </c>
      <c r="Q53" s="83">
        <f t="shared" si="31"/>
        <v>-16.449197860963437</v>
      </c>
      <c r="R53" s="72">
        <f t="shared" si="32"/>
        <v>0.82907312736162686</v>
      </c>
      <c r="S53" s="413"/>
      <c r="T53" s="21">
        <v>0.64375000000000004</v>
      </c>
      <c r="U53" s="21">
        <v>0.66666666666666696</v>
      </c>
      <c r="V53" s="30">
        <f>(T53-U52)*24*60</f>
        <v>6.0000000000006182</v>
      </c>
      <c r="W53" s="236">
        <f t="shared" si="4"/>
        <v>33.000000000000362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6"/>
        <v>-279.63636363637852</v>
      </c>
      <c r="AG53" s="72">
        <f t="shared" si="27"/>
        <v>0.82907312736162686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1734.4</v>
      </c>
      <c r="L58" s="117">
        <f t="shared" si="33"/>
        <v>104.67058823529412</v>
      </c>
      <c r="M58" s="120">
        <f t="shared" si="33"/>
        <v>16.399999999999999</v>
      </c>
      <c r="N58" s="120">
        <f t="shared" si="33"/>
        <v>1547.0288276429467</v>
      </c>
      <c r="O58" s="117">
        <f t="shared" si="33"/>
        <v>94.477961683645177</v>
      </c>
      <c r="P58" s="121">
        <f>M58-J58</f>
        <v>-0.20000000000000284</v>
      </c>
      <c r="Q58" s="122">
        <f>N58-K58</f>
        <v>-187.37117235705341</v>
      </c>
      <c r="R58" s="123">
        <f>O58/L58</f>
        <v>0.90262186614699791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-187.37117235705341</v>
      </c>
      <c r="AG58" s="124">
        <f>N58/K58</f>
        <v>0.89196772811516756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2882</v>
      </c>
      <c r="H59" s="243">
        <f>F59*G59</f>
        <v>77785.179999999993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1571.9999999999977</v>
      </c>
      <c r="O59" s="138">
        <f>N59/M59</f>
        <v>104.79999999999986</v>
      </c>
      <c r="P59" s="56">
        <f>M59-J59</f>
        <v>0</v>
      </c>
      <c r="Q59" s="230">
        <f>O59-L59</f>
        <v>-4.2666666666668078</v>
      </c>
      <c r="R59" s="52">
        <f>O59/L59</f>
        <v>0.96088019559902071</v>
      </c>
      <c r="S59" s="412">
        <f>R69</f>
        <v>0.93933668561666461</v>
      </c>
      <c r="T59" s="245">
        <v>0.28819444444444398</v>
      </c>
      <c r="U59" s="245">
        <v>0.36458333333333298</v>
      </c>
      <c r="V59" s="55"/>
      <c r="W59" s="54">
        <f t="shared" si="4"/>
        <v>110.00000000000017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-64.000000000002274</v>
      </c>
      <c r="AG59" s="246">
        <f>N59/K59</f>
        <v>0.9608801955990206</v>
      </c>
      <c r="AH59" s="457">
        <f>AG69</f>
        <v>0.94050453233208753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1855</v>
      </c>
      <c r="H60" s="78">
        <f>F60*G60</f>
        <v>52422.3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1524.657534246589</v>
      </c>
      <c r="O60" s="81">
        <f>N60/M60</f>
        <v>138.60523038605353</v>
      </c>
      <c r="P60" s="74">
        <f>M60-J60</f>
        <v>0</v>
      </c>
      <c r="Q60" s="83">
        <f>O60-L60</f>
        <v>-10.122042341219185</v>
      </c>
      <c r="R60" s="72">
        <f>O60/L60</f>
        <v>0.93194225809693698</v>
      </c>
      <c r="S60" s="502"/>
      <c r="T60" s="22">
        <v>0.37152777777777801</v>
      </c>
      <c r="U60" s="22">
        <v>0.422222222222222</v>
      </c>
      <c r="V60" s="30">
        <f>(T60-U59)*24*60</f>
        <v>10.000000000000844</v>
      </c>
      <c r="W60" s="248">
        <f t="shared" si="4"/>
        <v>72.999999999999346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-111.34246575341103</v>
      </c>
      <c r="AG60" s="249">
        <f>N60/K60</f>
        <v>0.93194225809693698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2273</v>
      </c>
      <c r="H61" s="254">
        <f>F61*G61</f>
        <v>64234.98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1567.5862068965689</v>
      </c>
      <c r="O61" s="238">
        <f>N61/M61</f>
        <v>142.50783699059718</v>
      </c>
      <c r="P61" s="111">
        <f>M61-J61</f>
        <v>0</v>
      </c>
      <c r="Q61" s="255">
        <f>O61-L61</f>
        <v>-6.2194357366755355</v>
      </c>
      <c r="R61" s="85">
        <f>O61/L61</f>
        <v>0.95818227805413758</v>
      </c>
      <c r="S61" s="413"/>
      <c r="T61" s="22">
        <v>0.42916666666666697</v>
      </c>
      <c r="U61" s="22">
        <v>0.48958333333333298</v>
      </c>
      <c r="V61" s="30">
        <f>(T61-U60)*24*60</f>
        <v>10.000000000000764</v>
      </c>
      <c r="W61" s="256">
        <f t="shared" si="4"/>
        <v>86.999999999999048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-68.41379310343109</v>
      </c>
      <c r="AG61" s="247">
        <f>N61/K61</f>
        <v>0.95818227805413747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1989</v>
      </c>
      <c r="H62" s="78">
        <f>F62*G62</f>
        <v>56209.140000000007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 t="shared" ref="N62:N63" si="34">G62/W62*60</f>
        <v>1491.7499999999873</v>
      </c>
      <c r="O62" s="238">
        <f t="shared" ref="O62:O63" si="35">N62/M62</f>
        <v>135.61363636363521</v>
      </c>
      <c r="P62" s="111">
        <f t="shared" ref="P62:P63" si="36">M62-J62</f>
        <v>0</v>
      </c>
      <c r="Q62" s="255">
        <f t="shared" ref="Q62:Q63" si="37">O62-L62</f>
        <v>-13.113636363637511</v>
      </c>
      <c r="R62" s="85">
        <f t="shared" ref="R62:R63" si="38">O62/L62</f>
        <v>0.9118276283618505</v>
      </c>
      <c r="S62" s="413"/>
      <c r="T62" s="22">
        <v>0.53819444444444398</v>
      </c>
      <c r="U62" s="22">
        <v>0.59375</v>
      </c>
      <c r="V62" s="30">
        <f t="shared" ref="V62:V63" si="39">(T62-U61)*24*60</f>
        <v>69.999999999999829</v>
      </c>
      <c r="W62" s="248">
        <f t="shared" si="4"/>
        <v>80.000000000000682</v>
      </c>
      <c r="X62" s="22"/>
      <c r="Y62" s="84"/>
      <c r="Z62" s="90"/>
      <c r="AA62" s="90"/>
      <c r="AB62" s="462" t="s">
        <v>150</v>
      </c>
      <c r="AC62" s="462"/>
      <c r="AD62" s="92"/>
      <c r="AE62" s="92"/>
      <c r="AF62" s="317">
        <f>N62-K62</f>
        <v>-144.25000000001273</v>
      </c>
      <c r="AG62" s="247">
        <f>N62/K62</f>
        <v>0.91182762836185038</v>
      </c>
      <c r="AH62" s="458"/>
    </row>
    <row r="63" spans="1:34" ht="15" customHeight="1">
      <c r="A63" s="500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1153</v>
      </c>
      <c r="H63" s="254">
        <f>F63*G63</f>
        <v>31119.469999999998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 t="shared" si="34"/>
        <v>1537.3333333333335</v>
      </c>
      <c r="O63" s="238">
        <f t="shared" si="35"/>
        <v>102.48888888888889</v>
      </c>
      <c r="P63" s="111">
        <f t="shared" si="36"/>
        <v>0</v>
      </c>
      <c r="Q63" s="255">
        <f t="shared" si="37"/>
        <v>-6.5777777777777686</v>
      </c>
      <c r="R63" s="85">
        <f t="shared" si="38"/>
        <v>0.93969030154849231</v>
      </c>
      <c r="S63" s="413"/>
      <c r="T63" s="22">
        <v>0.62152777777777801</v>
      </c>
      <c r="U63" s="22">
        <v>0.65277777777777801</v>
      </c>
      <c r="V63" s="30">
        <f t="shared" si="39"/>
        <v>40.000000000000341</v>
      </c>
      <c r="W63" s="248">
        <f t="shared" si="4"/>
        <v>45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0">AVERAGE(J59:J68)</f>
        <v>12.6</v>
      </c>
      <c r="K69" s="240">
        <f t="shared" si="40"/>
        <v>1636</v>
      </c>
      <c r="L69" s="268">
        <f t="shared" si="40"/>
        <v>132.86303030303029</v>
      </c>
      <c r="M69" s="240">
        <f t="shared" si="40"/>
        <v>12.6</v>
      </c>
      <c r="N69" s="240">
        <f t="shared" si="40"/>
        <v>1538.6654148952953</v>
      </c>
      <c r="O69" s="268">
        <f t="shared" si="40"/>
        <v>124.80311852583495</v>
      </c>
      <c r="P69" s="269">
        <f>M69-J69</f>
        <v>0</v>
      </c>
      <c r="Q69" s="222">
        <f>N69-K69</f>
        <v>-97.334585104704729</v>
      </c>
      <c r="R69" s="123">
        <f>O69/L69</f>
        <v>0.93933668561666461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-97.334585104704729</v>
      </c>
      <c r="AG69" s="124">
        <f>N69/K69</f>
        <v>0.94050453233208753</v>
      </c>
      <c r="AH69" s="460"/>
    </row>
    <row r="70" spans="1:36" ht="15" customHeight="1">
      <c r="A70" s="494" t="s">
        <v>55</v>
      </c>
      <c r="B70" s="75" t="s">
        <v>136</v>
      </c>
      <c r="C70" s="76"/>
      <c r="D70" s="59" t="s">
        <v>140</v>
      </c>
      <c r="E70" s="77"/>
      <c r="F70" s="75">
        <f>VLOOKUP(D70,廠價表!$C$1:$E$43,3,0)</f>
        <v>28.26</v>
      </c>
      <c r="G70" s="202">
        <v>1941</v>
      </c>
      <c r="H70" s="78">
        <f>F70*G70</f>
        <v>54852.66</v>
      </c>
      <c r="I70" s="232"/>
      <c r="J70" s="79">
        <f>VLOOKUP(D70,產線配置圖!$A$3:$C$40,2,0)</f>
        <v>11</v>
      </c>
      <c r="K70" s="80">
        <f>VLOOKUP(D70,產線配置圖!$A$3:$C$40,3,0)</f>
        <v>1636</v>
      </c>
      <c r="L70" s="81">
        <f>K70/J70</f>
        <v>148.72727272727272</v>
      </c>
      <c r="M70" s="82">
        <v>9</v>
      </c>
      <c r="N70" s="80">
        <f>G70/W70*60</f>
        <v>1265.869565217389</v>
      </c>
      <c r="O70" s="81">
        <f>N70/M70</f>
        <v>140.65217391304321</v>
      </c>
      <c r="P70" s="74">
        <f>M70-J70</f>
        <v>-2</v>
      </c>
      <c r="Q70" s="83">
        <f>O70-L70</f>
        <v>-8.0750988142295057</v>
      </c>
      <c r="R70" s="72">
        <f>O70/L70</f>
        <v>0.94570532582119526</v>
      </c>
      <c r="S70" s="412">
        <f>R79</f>
        <v>0.8903846593760768</v>
      </c>
      <c r="T70" s="22">
        <v>0.29375000000000001</v>
      </c>
      <c r="U70" s="22">
        <v>0.35763888888888901</v>
      </c>
      <c r="V70" s="55"/>
      <c r="W70" s="54">
        <f t="shared" si="4"/>
        <v>92.000000000000156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-370.13043478261102</v>
      </c>
      <c r="AG70" s="246">
        <f>N70/K70</f>
        <v>0.77375890294461425</v>
      </c>
      <c r="AH70" s="457">
        <f>AG79</f>
        <v>0.83545651402658583</v>
      </c>
    </row>
    <row r="71" spans="1:36" ht="15" customHeight="1">
      <c r="A71" s="495"/>
      <c r="B71" s="75" t="s">
        <v>81</v>
      </c>
      <c r="C71" s="86"/>
      <c r="D71" s="59" t="s">
        <v>141</v>
      </c>
      <c r="E71" s="87"/>
      <c r="F71" s="250">
        <f>VLOOKUP(D71,廠價表!$C$1:$E$43,3,0)</f>
        <v>46.34</v>
      </c>
      <c r="G71" s="202">
        <v>2802</v>
      </c>
      <c r="H71" s="254">
        <f>F71*G71</f>
        <v>129844.68000000001</v>
      </c>
      <c r="I71" s="232"/>
      <c r="J71" s="106">
        <f>VLOOKUP(D71,產線配置圖!$A$3:$C$40,2,0)</f>
        <v>16</v>
      </c>
      <c r="K71" s="107">
        <f>VLOOKUP(D71,產線配置圖!$A$3:$C$40,3,0)</f>
        <v>1500</v>
      </c>
      <c r="L71" s="238">
        <f>K71/J71</f>
        <v>93.75</v>
      </c>
      <c r="M71" s="82">
        <v>16</v>
      </c>
      <c r="N71" s="107">
        <f>G71/W71*60</f>
        <v>1159.448275862062</v>
      </c>
      <c r="O71" s="238">
        <f>N71/M71</f>
        <v>72.465517241378876</v>
      </c>
      <c r="P71" s="111">
        <f>M71-J71</f>
        <v>0</v>
      </c>
      <c r="Q71" s="255">
        <f>O71-L71</f>
        <v>-21.284482758621124</v>
      </c>
      <c r="R71" s="85">
        <f>O71/L71</f>
        <v>0.77296551724137463</v>
      </c>
      <c r="S71" s="413"/>
      <c r="T71" s="22">
        <v>0.37847222222222199</v>
      </c>
      <c r="U71" s="22">
        <v>0.47916666666666702</v>
      </c>
      <c r="V71" s="30">
        <f>(T71-U70)*24*60</f>
        <v>29.999999999999496</v>
      </c>
      <c r="W71" s="73">
        <f t="shared" si="4"/>
        <v>145.00000000000085</v>
      </c>
      <c r="X71" s="271"/>
      <c r="Y71" s="293"/>
      <c r="Z71" s="90"/>
      <c r="AA71" s="90"/>
      <c r="AB71" s="483" t="s">
        <v>151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101" t="s">
        <v>81</v>
      </c>
      <c r="C72" s="102"/>
      <c r="D72" s="103" t="s">
        <v>141</v>
      </c>
      <c r="E72" s="104"/>
      <c r="F72" s="250">
        <f>VLOOKUP(D72,廠價表!$C$1:$E$43,3,0)</f>
        <v>46.34</v>
      </c>
      <c r="G72" s="30">
        <v>1914</v>
      </c>
      <c r="H72" s="78">
        <f>F72*G72</f>
        <v>88694.760000000009</v>
      </c>
      <c r="I72" s="368"/>
      <c r="J72" s="79">
        <f>VLOOKUP(D72,產線配置圖!$A$3:$C$40,2,0)</f>
        <v>16</v>
      </c>
      <c r="K72" s="80">
        <f>VLOOKUP(D72,產線配置圖!$A$3:$C$40,3,0)</f>
        <v>1500</v>
      </c>
      <c r="L72" s="81">
        <f>K72/J72</f>
        <v>93.75</v>
      </c>
      <c r="M72" s="108">
        <v>16</v>
      </c>
      <c r="N72" s="107">
        <f>G72/W72*60</f>
        <v>1276</v>
      </c>
      <c r="O72" s="238">
        <f>N72/M72</f>
        <v>79.75</v>
      </c>
      <c r="P72" s="111">
        <f>M72-J72</f>
        <v>0</v>
      </c>
      <c r="Q72" s="255">
        <f>O72-L72</f>
        <v>-14</v>
      </c>
      <c r="R72" s="85">
        <f>O72/L72</f>
        <v>0.85066666666666668</v>
      </c>
      <c r="S72" s="413"/>
      <c r="T72" s="22">
        <v>0.54513888888888895</v>
      </c>
      <c r="U72" s="22">
        <v>0.60763888888888895</v>
      </c>
      <c r="V72" s="30">
        <f>(T72-U71)*24*60</f>
        <v>94.999999999999588</v>
      </c>
      <c r="W72" s="73">
        <f t="shared" si="4"/>
        <v>90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250"/>
      <c r="G73" s="202"/>
      <c r="H73" s="367"/>
      <c r="I73" s="232"/>
      <c r="J73" s="106"/>
      <c r="K73" s="107"/>
      <c r="L73" s="238"/>
      <c r="M73" s="82"/>
      <c r="N73" s="107"/>
      <c r="O73" s="238"/>
      <c r="P73" s="111"/>
      <c r="Q73" s="255"/>
      <c r="R73" s="85"/>
      <c r="S73" s="413"/>
      <c r="T73" s="279"/>
      <c r="U73" s="279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72"/>
      <c r="U74" s="27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118"/>
      <c r="I79" s="267"/>
      <c r="J79" s="240">
        <f t="shared" ref="J79:O79" si="41">AVERAGE(J69:J78)</f>
        <v>13.9</v>
      </c>
      <c r="K79" s="240">
        <f t="shared" si="41"/>
        <v>1568</v>
      </c>
      <c r="L79" s="268">
        <f t="shared" si="41"/>
        <v>117.27257575757575</v>
      </c>
      <c r="M79" s="240">
        <f t="shared" si="41"/>
        <v>13.4</v>
      </c>
      <c r="N79" s="240">
        <f t="shared" si="41"/>
        <v>1309.9958139936866</v>
      </c>
      <c r="O79" s="268">
        <f t="shared" si="41"/>
        <v>104.41770242006424</v>
      </c>
      <c r="P79" s="269">
        <f>M79-J79</f>
        <v>-0.5</v>
      </c>
      <c r="Q79" s="222">
        <f>N79-K79</f>
        <v>-258.00418600631338</v>
      </c>
      <c r="R79" s="123">
        <f>O79/L79</f>
        <v>0.8903846593760768</v>
      </c>
      <c r="S79" s="416"/>
      <c r="T79" s="365"/>
      <c r="U79" s="36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-258.00418600631338</v>
      </c>
      <c r="AG79" s="124">
        <f>N79/K79</f>
        <v>0.83545651402658583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35:AC35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D37:E37"/>
    <mergeCell ref="AB37:AC37"/>
    <mergeCell ref="A27:A37"/>
    <mergeCell ref="S27:S37"/>
    <mergeCell ref="AB27:AC27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T3:U3"/>
    <mergeCell ref="V3:V4"/>
    <mergeCell ref="W3:W4"/>
    <mergeCell ref="X3:Y3"/>
    <mergeCell ref="Z3:AA3"/>
    <mergeCell ref="AB13:AC13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U72" sqref="U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46210</v>
      </c>
      <c r="E3" s="379"/>
      <c r="F3" s="3" t="s">
        <v>72</v>
      </c>
      <c r="G3" s="380">
        <f>'0707'!E1</f>
        <v>73106</v>
      </c>
      <c r="H3" s="380"/>
      <c r="I3" s="3" t="s">
        <v>2</v>
      </c>
      <c r="J3" s="381">
        <f>'0707'!G1</f>
        <v>3425033.2029999997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125.97019825412681</v>
      </c>
      <c r="G6" s="386"/>
      <c r="H6" s="387">
        <f>AVERAGE(D13:H13)</f>
        <v>121.92505117431588</v>
      </c>
      <c r="I6" s="387"/>
      <c r="J6" s="387">
        <f>AVERAGE(I13:J13)</f>
        <v>136.08306595365417</v>
      </c>
      <c r="K6" s="387"/>
      <c r="L6" s="503">
        <f>SUM(D18:J18)</f>
        <v>1</v>
      </c>
      <c r="M6" s="390">
        <f>SUM(D19:J19)</f>
        <v>35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113.8607400835983</v>
      </c>
      <c r="G7" s="410"/>
      <c r="H7" s="411">
        <f>AVERAGE(D14:H14)</f>
        <v>113.86803525967846</v>
      </c>
      <c r="I7" s="411"/>
      <c r="J7" s="411">
        <f>AVERAGE(I14:J14)</f>
        <v>113.84250214339788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0.90387045238986274</v>
      </c>
      <c r="G8" s="383"/>
      <c r="H8" s="383">
        <f>H7/H6</f>
        <v>0.93391828966207835</v>
      </c>
      <c r="I8" s="383"/>
      <c r="J8" s="383">
        <f>J7/J6</f>
        <v>0.83656626447679561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VALUE('0707'!L15)</f>
        <v>145.3125</v>
      </c>
      <c r="E13" s="13">
        <f>VALUE('0707'!L26)</f>
        <v>161.26373626373626</v>
      </c>
      <c r="F13" s="13">
        <f>VALUE('0707'!L37)</f>
        <v>95.800653594771248</v>
      </c>
      <c r="G13" s="13">
        <f>VALUE('0707'!L48)</f>
        <v>102.57777777777778</v>
      </c>
      <c r="H13" s="13">
        <f>VALUE('0707'!L58)</f>
        <v>104.67058823529412</v>
      </c>
      <c r="I13" s="13">
        <f>VALUE('0707'!L69)</f>
        <v>128.89696969696968</v>
      </c>
      <c r="J13" s="13">
        <f>'0707'!L79</f>
        <v>143.26916221033866</v>
      </c>
    </row>
    <row r="14" spans="2:15" ht="39.950000000000003" customHeight="1">
      <c r="B14" s="404"/>
      <c r="C14" s="12" t="s">
        <v>100</v>
      </c>
      <c r="D14" s="13">
        <f>VALUE('0707'!O15)</f>
        <v>137.87915481421521</v>
      </c>
      <c r="E14" s="13">
        <f>VALUE('0707'!O26)</f>
        <v>154.12459503396352</v>
      </c>
      <c r="F14" s="13">
        <f>VALUE('0707'!O37)</f>
        <v>89.889475584329048</v>
      </c>
      <c r="G14" s="13">
        <f>VALUE('0707'!O48)</f>
        <v>91.901688642146937</v>
      </c>
      <c r="H14" s="13">
        <f>VALUE('0707'!O58)</f>
        <v>95.545262223737637</v>
      </c>
      <c r="I14" s="13">
        <f>VALUE('0707'!O69)</f>
        <v>118.90232261154145</v>
      </c>
      <c r="J14" s="13">
        <f>'0707'!O79</f>
        <v>108.78268167525431</v>
      </c>
    </row>
    <row r="15" spans="2:15" ht="39.950000000000003" customHeight="1">
      <c r="B15" s="405"/>
      <c r="C15" s="10" t="s">
        <v>26</v>
      </c>
      <c r="D15" s="14">
        <f t="shared" ref="D15:I15" si="1">D14/D13</f>
        <v>0.94884579657094337</v>
      </c>
      <c r="E15" s="14">
        <f t="shared" si="1"/>
        <v>0.95573002712713317</v>
      </c>
      <c r="F15" s="14">
        <f t="shared" si="1"/>
        <v>0.93829710144310718</v>
      </c>
      <c r="G15" s="14">
        <f t="shared" si="1"/>
        <v>0.89592200799320021</v>
      </c>
      <c r="H15" s="14">
        <f t="shared" si="1"/>
        <v>0.91281862302098449</v>
      </c>
      <c r="I15" s="14">
        <f t="shared" si="1"/>
        <v>0.92246018576755417</v>
      </c>
      <c r="J15" s="15">
        <f>'0707'!S70</f>
        <v>0.75928887973495995</v>
      </c>
    </row>
    <row r="16" spans="2:15" ht="17.25" customHeight="1">
      <c r="B16" s="406" t="s">
        <v>101</v>
      </c>
      <c r="C16" s="10" t="s">
        <v>34</v>
      </c>
      <c r="D16" s="16">
        <f>'0707'!T5</f>
        <v>0.29861111111111099</v>
      </c>
      <c r="E16" s="16">
        <f>'0707'!T16</f>
        <v>0.28819444444444398</v>
      </c>
      <c r="F16" s="16">
        <f>'0707'!T27</f>
        <v>0.29166666666666702</v>
      </c>
      <c r="G16" s="16">
        <f>'0707'!T38</f>
        <v>0.33333333333333298</v>
      </c>
      <c r="H16" s="16">
        <f>'0707'!T49</f>
        <v>0.29166666666666702</v>
      </c>
      <c r="I16" s="16">
        <f>'0707'!T59</f>
        <v>0.29166666666666702</v>
      </c>
      <c r="J16" s="16">
        <f>'0707'!T70</f>
        <v>0.29861111111111099</v>
      </c>
    </row>
    <row r="17" spans="2:10" ht="17.25" customHeight="1">
      <c r="B17" s="407"/>
      <c r="C17" s="10" t="s">
        <v>35</v>
      </c>
      <c r="D17" s="16">
        <v>0.68333333333333302</v>
      </c>
      <c r="E17" s="19">
        <v>0.65138888888888902</v>
      </c>
      <c r="F17" s="19">
        <v>0.65277777777777801</v>
      </c>
      <c r="G17" s="210">
        <v>0.65625</v>
      </c>
      <c r="H17" s="19">
        <v>0.65277777777777801</v>
      </c>
      <c r="I17" s="22">
        <v>0.57291666666666696</v>
      </c>
      <c r="J17" s="22">
        <v>0.58333333333333304</v>
      </c>
    </row>
    <row r="18" spans="2:10" ht="17.25" customHeight="1">
      <c r="B18" s="408" t="s">
        <v>102</v>
      </c>
      <c r="C18" s="330" t="s">
        <v>36</v>
      </c>
      <c r="D18" s="357">
        <f>'0707'!Z15</f>
        <v>0</v>
      </c>
      <c r="E18" s="358">
        <f>'0707'!Z26</f>
        <v>0</v>
      </c>
      <c r="F18" s="358">
        <f>'0707'!Z37</f>
        <v>0</v>
      </c>
      <c r="G18" s="359">
        <f>'0707'!Z48</f>
        <v>1</v>
      </c>
      <c r="H18" s="359">
        <f>'0707'!Z58</f>
        <v>0</v>
      </c>
      <c r="I18" s="358">
        <f>'0707'!Z69</f>
        <v>0</v>
      </c>
      <c r="J18" s="358">
        <f>'0707'!AA79</f>
        <v>0</v>
      </c>
    </row>
    <row r="19" spans="2:10" ht="17.25" customHeight="1">
      <c r="B19" s="409"/>
      <c r="C19" s="330" t="s">
        <v>37</v>
      </c>
      <c r="D19" s="357">
        <f>'0707'!AA15</f>
        <v>0</v>
      </c>
      <c r="E19" s="358">
        <f>'0707'!AA26</f>
        <v>0</v>
      </c>
      <c r="F19" s="358">
        <f>'0707'!AA37</f>
        <v>0</v>
      </c>
      <c r="G19" s="359">
        <f>'0707'!AA48</f>
        <v>35</v>
      </c>
      <c r="H19" s="359">
        <f>'0707'!AA58</f>
        <v>0</v>
      </c>
      <c r="I19" s="358">
        <f>'0707'!AA69</f>
        <v>0</v>
      </c>
      <c r="J19" s="358">
        <f>'0707'!AB79</f>
        <v>0</v>
      </c>
    </row>
    <row r="20" spans="2:10" ht="17.25" customHeight="1">
      <c r="B20" s="408" t="s">
        <v>103</v>
      </c>
      <c r="C20" s="330" t="s">
        <v>36</v>
      </c>
      <c r="D20" s="357">
        <f>'0707'!AD15</f>
        <v>0</v>
      </c>
      <c r="E20" s="358">
        <f>'0707'!AD26</f>
        <v>0</v>
      </c>
      <c r="F20" s="358">
        <f>'0707'!AD37</f>
        <v>0</v>
      </c>
      <c r="G20" s="359">
        <f>'0707'!AD48</f>
        <v>0</v>
      </c>
      <c r="H20" s="359">
        <f>'0707'!AD58</f>
        <v>0</v>
      </c>
      <c r="I20" s="358">
        <f>'0707'!AD69</f>
        <v>0</v>
      </c>
      <c r="J20" s="358">
        <f>'0707'!AD79</f>
        <v>0</v>
      </c>
    </row>
    <row r="21" spans="2:10" ht="17.25" customHeight="1">
      <c r="B21" s="409"/>
      <c r="C21" s="330" t="s">
        <v>85</v>
      </c>
      <c r="D21" s="357">
        <f>'0707'!AE15</f>
        <v>0</v>
      </c>
      <c r="E21" s="358">
        <f>'0707'!AE26</f>
        <v>0</v>
      </c>
      <c r="F21" s="358">
        <f>'0707'!AE37</f>
        <v>0</v>
      </c>
      <c r="G21" s="359">
        <f>'0707'!AE48</f>
        <v>0</v>
      </c>
      <c r="H21" s="359">
        <f>'0707'!AE58</f>
        <v>0</v>
      </c>
      <c r="I21" s="358">
        <f>'0707'!AE69</f>
        <v>0</v>
      </c>
      <c r="J21" s="358">
        <f>'0707'!AE79</f>
        <v>0</v>
      </c>
    </row>
    <row r="22" spans="2:10" ht="17.25" customHeight="1">
      <c r="B22" s="392" t="s">
        <v>104</v>
      </c>
      <c r="C22" s="393"/>
      <c r="D22" s="23">
        <f>VALUE('0707'!M15)</f>
        <v>15.5</v>
      </c>
      <c r="E22" s="23">
        <f>VALUE('0707'!M26)</f>
        <v>14</v>
      </c>
      <c r="F22" s="23">
        <f>VALUE('0707'!M37)</f>
        <v>17</v>
      </c>
      <c r="G22" s="23">
        <f>VALUE('0707'!M48)</f>
        <v>16.5</v>
      </c>
      <c r="H22" s="23">
        <f>VALUE('0707'!M58)</f>
        <v>16.600000000000001</v>
      </c>
      <c r="I22" s="23">
        <f>VALUE('0707'!M69)</f>
        <v>13</v>
      </c>
      <c r="J22" s="23">
        <f>'0707'!M79</f>
        <v>11.666666666666666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tabSelected="1" zoomScale="69" zoomScaleNormal="69" workbookViewId="0">
      <pane xSplit="5" ySplit="4" topLeftCell="F56" activePane="bottomRight" state="frozen"/>
      <selection activeCell="U72" sqref="U72"/>
      <selection pane="topRight" activeCell="U72" sqref="U72"/>
      <selection pane="bottomLeft" activeCell="U72" sqref="U72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73106</v>
      </c>
      <c r="F1" s="30" t="s">
        <v>2</v>
      </c>
      <c r="G1" s="31">
        <f>SUM(H5:H79)</f>
        <v>3425033.2029999997</v>
      </c>
      <c r="H1" s="32" t="s">
        <v>3</v>
      </c>
      <c r="I1" s="33">
        <f>M15+M26+M48+M58+M69+M79+M37</f>
        <v>104.26666666666667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152</v>
      </c>
      <c r="B2" s="418"/>
      <c r="C2" s="28"/>
      <c r="D2" s="28" t="s">
        <v>14</v>
      </c>
      <c r="E2" s="35">
        <f>AVERAGE(O15,O26,O37,O48,O58,O69,O79)</f>
        <v>113.8607400835983</v>
      </c>
      <c r="F2" s="36" t="s">
        <v>15</v>
      </c>
      <c r="G2" s="37">
        <f>G1/E1</f>
        <v>46.850233947965961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</v>
      </c>
      <c r="AA2" s="339">
        <f>AA15+AA26+AA37+AA48+AA58+AA69+AA79</f>
        <v>35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6055</v>
      </c>
      <c r="H5" s="43">
        <f>F5*G5</f>
        <v>306806.85000000003</v>
      </c>
      <c r="I5" s="44"/>
      <c r="J5" s="45"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2162.4999999999936</v>
      </c>
      <c r="O5" s="47">
        <f>N5/M5</f>
        <v>135.1562499999996</v>
      </c>
      <c r="P5" s="49">
        <f>M5-J5</f>
        <v>0</v>
      </c>
      <c r="Q5" s="50">
        <f>O5-L5</f>
        <v>-5.4687500000003979</v>
      </c>
      <c r="R5" s="51">
        <f>O5/L5</f>
        <v>0.96111111111110825</v>
      </c>
      <c r="S5" s="412">
        <f>R15</f>
        <v>0.94884579657094337</v>
      </c>
      <c r="T5" s="319">
        <v>0.29861111111111099</v>
      </c>
      <c r="U5" s="320">
        <v>0.41527777777777802</v>
      </c>
      <c r="V5" s="53"/>
      <c r="W5" s="54">
        <f t="shared" ref="W5:W14" si="0">(U5-T5)*24*60</f>
        <v>168.00000000000051</v>
      </c>
      <c r="X5" s="55"/>
      <c r="Y5" s="290"/>
      <c r="Z5" s="169"/>
      <c r="AA5" s="169"/>
      <c r="AB5" s="464" t="s">
        <v>154</v>
      </c>
      <c r="AC5" s="464"/>
      <c r="AD5" s="135"/>
      <c r="AE5" s="135"/>
      <c r="AF5" s="229">
        <f t="shared" ref="AF5:AF11" si="1">N5-K5</f>
        <v>-87.500000000006366</v>
      </c>
      <c r="AG5" s="52">
        <f t="shared" ref="AG5:AG11" si="2">N5/K5</f>
        <v>0.96111111111110825</v>
      </c>
      <c r="AH5" s="457">
        <f>AG15</f>
        <v>0.94890828451022713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3331</v>
      </c>
      <c r="H6" s="63">
        <f>F6*G6</f>
        <v>163685.34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2126.1702127659491</v>
      </c>
      <c r="O6" s="67">
        <f>N6/M6</f>
        <v>141.74468085106326</v>
      </c>
      <c r="P6" s="69">
        <f>M6-J6</f>
        <v>0</v>
      </c>
      <c r="Q6" s="70">
        <f>O6-L6</f>
        <v>-8.255319148936735</v>
      </c>
      <c r="R6" s="71">
        <f>O6/L6</f>
        <v>0.94496453900708843</v>
      </c>
      <c r="S6" s="413"/>
      <c r="T6" s="16">
        <v>0.42777777777777798</v>
      </c>
      <c r="U6" s="16">
        <v>0.49305555555555602</v>
      </c>
      <c r="V6" s="30">
        <f>(T6-U5)*24*60</f>
        <v>17.999999999999936</v>
      </c>
      <c r="W6" s="73">
        <f t="shared" si="0"/>
        <v>94.000000000000384</v>
      </c>
      <c r="X6" s="22"/>
      <c r="Y6" s="84"/>
      <c r="Z6" s="90"/>
      <c r="AA6" s="90"/>
      <c r="AB6" s="461" t="s">
        <v>155</v>
      </c>
      <c r="AC6" s="461"/>
      <c r="AD6" s="149"/>
      <c r="AE6" s="149"/>
      <c r="AF6" s="307">
        <f t="shared" si="1"/>
        <v>-123.82978723405085</v>
      </c>
      <c r="AG6" s="72">
        <f t="shared" si="2"/>
        <v>0.94496453900708854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2669</v>
      </c>
      <c r="H7" s="78">
        <f>F7*G7</f>
        <v>131154.66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2135.2000000000166</v>
      </c>
      <c r="O7" s="81">
        <f>N7/M7</f>
        <v>142.34666666666777</v>
      </c>
      <c r="P7" s="74">
        <f>M7-J7</f>
        <v>0</v>
      </c>
      <c r="Q7" s="83">
        <f>O7-L7</f>
        <v>-7.6533333333322275</v>
      </c>
      <c r="R7" s="72">
        <f>O7/L7</f>
        <v>0.94897777777778514</v>
      </c>
      <c r="S7" s="413"/>
      <c r="T7" s="18">
        <v>0.55416666666666703</v>
      </c>
      <c r="U7" s="18">
        <v>0.60624999999999996</v>
      </c>
      <c r="V7" s="30">
        <f>(T7-U6)*24*60</f>
        <v>87.999999999999844</v>
      </c>
      <c r="W7" s="73">
        <f t="shared" si="0"/>
        <v>74.999999999999417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-114.79999999998336</v>
      </c>
      <c r="AG7" s="72">
        <f t="shared" si="2"/>
        <v>0.94897777777778514</v>
      </c>
      <c r="AH7" s="458"/>
    </row>
    <row r="8" spans="1:34" ht="15" customHeight="1">
      <c r="A8" s="424"/>
      <c r="B8" s="75" t="s">
        <v>81</v>
      </c>
      <c r="C8" s="76"/>
      <c r="D8" s="59" t="s">
        <v>153</v>
      </c>
      <c r="E8" s="77"/>
      <c r="F8" s="75">
        <f>VLOOKUP(D8,廠價表!$C$1:$E$43,3,0)</f>
        <v>50.67</v>
      </c>
      <c r="G8" s="66">
        <v>3245</v>
      </c>
      <c r="H8" s="78">
        <f>F8*G8</f>
        <v>164424.15</v>
      </c>
      <c r="I8" s="73"/>
      <c r="J8" s="79">
        <v>16</v>
      </c>
      <c r="K8" s="80">
        <f>VLOOKUP(D8,產線配置圖!$A$3:$C$40,3,0)</f>
        <v>2250</v>
      </c>
      <c r="L8" s="81">
        <f>K8/J8</f>
        <v>140.625</v>
      </c>
      <c r="M8" s="82">
        <v>16</v>
      </c>
      <c r="N8" s="80">
        <f>G8/W8*60</f>
        <v>2116.3043478260834</v>
      </c>
      <c r="O8" s="81">
        <f>N8/M8</f>
        <v>132.26902173913021</v>
      </c>
      <c r="P8" s="74">
        <f>M8-J8</f>
        <v>0</v>
      </c>
      <c r="Q8" s="83">
        <f>O8-L8</f>
        <v>-8.3559782608697901</v>
      </c>
      <c r="R8" s="72">
        <f>O8/L8</f>
        <v>0.94057971014492592</v>
      </c>
      <c r="S8" s="413"/>
      <c r="T8" s="16">
        <v>0.61944444444444402</v>
      </c>
      <c r="U8" s="16">
        <v>0.68333333333333302</v>
      </c>
      <c r="V8" s="30">
        <f>(T8-U7)*24*60</f>
        <v>18.999999999999453</v>
      </c>
      <c r="W8" s="73">
        <f t="shared" si="0"/>
        <v>92.000000000000156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-133.69565217391664</v>
      </c>
      <c r="AG8" s="72">
        <f t="shared" si="2"/>
        <v>0.94057971014492592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15.5</v>
      </c>
      <c r="K15" s="120">
        <f t="shared" si="3"/>
        <v>2250</v>
      </c>
      <c r="L15" s="117">
        <f t="shared" si="3"/>
        <v>145.3125</v>
      </c>
      <c r="M15" s="120">
        <f t="shared" si="3"/>
        <v>15.5</v>
      </c>
      <c r="N15" s="120">
        <f t="shared" si="3"/>
        <v>2135.043640148011</v>
      </c>
      <c r="O15" s="117">
        <f t="shared" si="3"/>
        <v>137.87915481421521</v>
      </c>
      <c r="P15" s="121">
        <f>M15-J15</f>
        <v>0</v>
      </c>
      <c r="Q15" s="122">
        <f>O15-L15</f>
        <v>-7.4333451857847876</v>
      </c>
      <c r="R15" s="123">
        <f>O15/L15</f>
        <v>0.94884579657094337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-114.95635985198896</v>
      </c>
      <c r="AG15" s="124">
        <f>N15/K15</f>
        <v>0.94890828451022713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2412</v>
      </c>
      <c r="H16" s="134">
        <f>F16*G16</f>
        <v>122216.04000000001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2128.2352941176118</v>
      </c>
      <c r="O16" s="141">
        <f>N16/M16</f>
        <v>152.01680672268657</v>
      </c>
      <c r="P16" s="142">
        <f>M16-J16</f>
        <v>0</v>
      </c>
      <c r="Q16" s="143">
        <f>O16-L16</f>
        <v>-8.6974789915991551</v>
      </c>
      <c r="R16" s="144">
        <f>O16/L16</f>
        <v>0.94588235294116085</v>
      </c>
      <c r="S16" s="468">
        <f>R26</f>
        <v>0.95573002712713317</v>
      </c>
      <c r="T16" s="145">
        <v>0.28819444444444398</v>
      </c>
      <c r="U16" s="145">
        <v>0.33541666666666697</v>
      </c>
      <c r="V16" s="135"/>
      <c r="W16" s="146">
        <f t="shared" ref="W16:W78" si="4">(U16-T16)*24*60</f>
        <v>68.000000000001123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-121.76470588238817</v>
      </c>
      <c r="AG16" s="52">
        <f>N16/K16</f>
        <v>0.94588235294116085</v>
      </c>
      <c r="AH16" s="457">
        <f>AG26</f>
        <v>0.95577472213211878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3018</v>
      </c>
      <c r="H17" s="78">
        <f>F17*G17</f>
        <v>171633.66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2130.3529411764621</v>
      </c>
      <c r="O17" s="96">
        <f>N17/M17</f>
        <v>142.02352941176414</v>
      </c>
      <c r="P17" s="97">
        <f>M17-J17</f>
        <v>0</v>
      </c>
      <c r="Q17" s="98">
        <f>O17-L17</f>
        <v>-7.9764705882358555</v>
      </c>
      <c r="R17" s="99">
        <f>O17/L17</f>
        <v>0.94682352941176096</v>
      </c>
      <c r="S17" s="469"/>
      <c r="T17" s="19">
        <v>0.34027777777777801</v>
      </c>
      <c r="U17" s="19">
        <v>0.39930555555555602</v>
      </c>
      <c r="V17" s="30">
        <f>(T17-U16)*24*60</f>
        <v>6.9999999999998952</v>
      </c>
      <c r="W17" s="149">
        <f t="shared" si="4"/>
        <v>85.000000000000341</v>
      </c>
      <c r="X17" s="19"/>
      <c r="Y17" s="297"/>
      <c r="Z17" s="90"/>
      <c r="AA17" s="90"/>
      <c r="AB17" s="461"/>
      <c r="AC17" s="462"/>
      <c r="AD17" s="92"/>
      <c r="AE17" s="92"/>
      <c r="AF17" s="307">
        <f>N17-K17</f>
        <v>-119.64705882353792</v>
      </c>
      <c r="AG17" s="72">
        <f>N17/K17</f>
        <v>0.94682352941176096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2464</v>
      </c>
      <c r="H18" s="78">
        <f>F18*G18</f>
        <v>143330.88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2174.1176470588343</v>
      </c>
      <c r="O18" s="96">
        <f>N18/M18</f>
        <v>144.94117647058894</v>
      </c>
      <c r="P18" s="97">
        <f>M18-J18</f>
        <v>0</v>
      </c>
      <c r="Q18" s="98">
        <f>O18-L18</f>
        <v>-5.0588235294110575</v>
      </c>
      <c r="R18" s="99">
        <f>O18/L18</f>
        <v>0.96627450980392626</v>
      </c>
      <c r="S18" s="469"/>
      <c r="T18" s="19">
        <v>0.405555555555556</v>
      </c>
      <c r="U18" s="19">
        <v>0.452777777777778</v>
      </c>
      <c r="V18" s="30">
        <f>(T18-U17)*24*60</f>
        <v>8.999999999999968</v>
      </c>
      <c r="W18" s="149">
        <f t="shared" si="4"/>
        <v>67.999999999999673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-75.882352941165664</v>
      </c>
      <c r="AG18" s="72">
        <f>N18/K18</f>
        <v>0.96627450980392637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1534</v>
      </c>
      <c r="H19" s="78">
        <f t="shared" ref="H19:H21" si="5">F19*G19</f>
        <v>77298.259999999995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2140.4651162790778</v>
      </c>
      <c r="O19" s="96">
        <f t="shared" ref="O19:O21" si="8">N19/M19</f>
        <v>164.65116279069829</v>
      </c>
      <c r="P19" s="97">
        <f t="shared" ref="P19:P21" si="9">M19-J19</f>
        <v>0</v>
      </c>
      <c r="Q19" s="98">
        <f t="shared" ref="Q19:Q21" si="10">O19-L19</f>
        <v>-8.4257602862247722</v>
      </c>
      <c r="R19" s="99">
        <f t="shared" ref="R19:R21" si="11">O19/L19</f>
        <v>0.95131782945736798</v>
      </c>
      <c r="S19" s="469"/>
      <c r="T19" s="19">
        <v>0.45972222222222198</v>
      </c>
      <c r="U19" s="19">
        <v>0.48958333333333298</v>
      </c>
      <c r="V19" s="30">
        <f>(T19-U18)*24*60</f>
        <v>9.999999999999325</v>
      </c>
      <c r="W19" s="149">
        <f t="shared" si="4"/>
        <v>42.999999999999844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-109.53488372092215</v>
      </c>
      <c r="AG19" s="72">
        <f>N19/K19</f>
        <v>0.95131782945736798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3485</v>
      </c>
      <c r="H20" s="78">
        <f t="shared" si="5"/>
        <v>175609.15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2155.6701030927875</v>
      </c>
      <c r="O20" s="96">
        <f t="shared" si="8"/>
        <v>165.82077716098365</v>
      </c>
      <c r="P20" s="97">
        <f t="shared" si="9"/>
        <v>0</v>
      </c>
      <c r="Q20" s="98">
        <f t="shared" si="10"/>
        <v>-7.2561459159394133</v>
      </c>
      <c r="R20" s="99">
        <f t="shared" si="11"/>
        <v>0.95807560137457226</v>
      </c>
      <c r="S20" s="469"/>
      <c r="T20" s="19">
        <v>0.55208333333333304</v>
      </c>
      <c r="U20" s="19">
        <v>0.61944444444444402</v>
      </c>
      <c r="V20" s="30">
        <f>(T20-U19)*24*60</f>
        <v>90.000000000000085</v>
      </c>
      <c r="W20" s="149">
        <f t="shared" si="4"/>
        <v>96.999999999999815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1232</v>
      </c>
      <c r="H21" s="78">
        <f t="shared" si="5"/>
        <v>62425.440000000002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2174.1176470588312</v>
      </c>
      <c r="O21" s="96">
        <f t="shared" si="8"/>
        <v>155.29411764705938</v>
      </c>
      <c r="P21" s="97">
        <f t="shared" si="9"/>
        <v>0</v>
      </c>
      <c r="Q21" s="98">
        <f t="shared" si="10"/>
        <v>-5.4201680672263421</v>
      </c>
      <c r="R21" s="99">
        <f t="shared" si="11"/>
        <v>0.96627450980392493</v>
      </c>
      <c r="S21" s="469"/>
      <c r="T21" s="19">
        <v>0.62777777777777799</v>
      </c>
      <c r="U21" s="19">
        <v>0.65138888888888902</v>
      </c>
      <c r="V21" s="30">
        <f>(T21-U20)*24*60</f>
        <v>12.000000000000917</v>
      </c>
      <c r="W21" s="149">
        <f t="shared" si="4"/>
        <v>33.999999999999879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9"/>
      <c r="U23" s="19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161.26373626373626</v>
      </c>
      <c r="M26" s="155">
        <f t="shared" si="12"/>
        <v>14</v>
      </c>
      <c r="N26" s="155">
        <f t="shared" si="12"/>
        <v>2150.4931247972672</v>
      </c>
      <c r="O26" s="158">
        <f t="shared" si="12"/>
        <v>154.12459503396352</v>
      </c>
      <c r="P26" s="159">
        <f>M26-J26</f>
        <v>0</v>
      </c>
      <c r="Q26" s="160">
        <f>O26-L26</f>
        <v>-7.139141229772747</v>
      </c>
      <c r="R26" s="161">
        <f>O26/L26</f>
        <v>0.95573002712713317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-99.506875202732772</v>
      </c>
      <c r="AG26" s="124">
        <f t="shared" ref="AG26:AG31" si="14">N26/K26</f>
        <v>0.95577472213211878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1378</v>
      </c>
      <c r="H27" s="134">
        <f>F27*G27</f>
        <v>62919.479999999996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1560.0000000000243</v>
      </c>
      <c r="O27" s="141">
        <f>N27/M27</f>
        <v>91.764705882354377</v>
      </c>
      <c r="P27" s="142">
        <f>M27-J27</f>
        <v>0</v>
      </c>
      <c r="Q27" s="143">
        <f>O27-L27</f>
        <v>-4.4705882352926807</v>
      </c>
      <c r="R27" s="144">
        <f>O27/L27</f>
        <v>0.95354523227385357</v>
      </c>
      <c r="S27" s="468">
        <f>R37</f>
        <v>0.93829710144310718</v>
      </c>
      <c r="T27" s="171">
        <v>0.29166666666666702</v>
      </c>
      <c r="U27" s="171">
        <v>0.328472222222222</v>
      </c>
      <c r="V27" s="135"/>
      <c r="W27" s="146">
        <f t="shared" si="4"/>
        <v>52.999999999999176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-75.999999999975671</v>
      </c>
      <c r="AG27" s="172">
        <f t="shared" si="14"/>
        <v>0.95354523227385346</v>
      </c>
      <c r="AH27" s="457">
        <f>AG37</f>
        <v>0.93931509742182406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994</v>
      </c>
      <c r="H28" s="91">
        <f>F28*G28</f>
        <v>46061.960000000006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1420.0000000000323</v>
      </c>
      <c r="O28" s="96">
        <f>N28/M28</f>
        <v>88.750000000002018</v>
      </c>
      <c r="P28" s="97">
        <f>M28-J28</f>
        <v>0</v>
      </c>
      <c r="Q28" s="98">
        <f>O28-L28</f>
        <v>-13.499999999997982</v>
      </c>
      <c r="R28" s="99">
        <f>O28/L28</f>
        <v>0.86797066014671898</v>
      </c>
      <c r="S28" s="469"/>
      <c r="T28" s="19">
        <v>0.33402777777777798</v>
      </c>
      <c r="U28" s="19">
        <v>0.36319444444444399</v>
      </c>
      <c r="V28" s="92">
        <f>(T28-U27)*24*60</f>
        <v>8.0000000000006111</v>
      </c>
      <c r="W28" s="149">
        <f t="shared" si="4"/>
        <v>41.999999999999048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-215.99999999996771</v>
      </c>
      <c r="AG28" s="99">
        <f t="shared" si="14"/>
        <v>0.86797066014671898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1201</v>
      </c>
      <c r="H29" s="91">
        <f>F29*G29</f>
        <v>68709.210000000006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1501.2500000000152</v>
      </c>
      <c r="O29" s="96">
        <f>N29/M29</f>
        <v>83.402777777778624</v>
      </c>
      <c r="P29" s="97">
        <f>M29-J29</f>
        <v>0</v>
      </c>
      <c r="Q29" s="98">
        <f>O29-L29</f>
        <v>-3.5416666666658188</v>
      </c>
      <c r="R29" s="99">
        <f>O29/L29</f>
        <v>0.95926517571885961</v>
      </c>
      <c r="S29" s="469"/>
      <c r="T29" s="19">
        <v>0.36805555555555602</v>
      </c>
      <c r="U29" s="19">
        <v>0.40138888888888902</v>
      </c>
      <c r="V29" s="92">
        <f>(T29-U28)*24*60</f>
        <v>7.000000000001334</v>
      </c>
      <c r="W29" s="149">
        <f t="shared" si="4"/>
        <v>47.99999999999951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-63.749999999984766</v>
      </c>
      <c r="AG29" s="99">
        <f t="shared" si="14"/>
        <v>0.95926517571885961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2375</v>
      </c>
      <c r="H30" s="91">
        <f t="shared" ref="H30:H32" si="15">F30*G30</f>
        <v>135873.75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18</v>
      </c>
      <c r="N30" s="95">
        <f t="shared" ref="N30:N32" si="17">G30/W30*60</f>
        <v>1565.9340659340523</v>
      </c>
      <c r="O30" s="96">
        <f t="shared" ref="O30:O32" si="18">N30/M30</f>
        <v>86.99633699633624</v>
      </c>
      <c r="P30" s="97">
        <f t="shared" ref="P30:P32" si="19">M30-J30</f>
        <v>0</v>
      </c>
      <c r="Q30" s="98">
        <f t="shared" ref="Q30:Q32" si="20">O30-L30</f>
        <v>-3.8925518925526461</v>
      </c>
      <c r="R30" s="99">
        <f t="shared" ref="R30:R32" si="21">O30/L30</f>
        <v>0.95717241194012981</v>
      </c>
      <c r="S30" s="469"/>
      <c r="T30" s="19">
        <v>0.406944444444444</v>
      </c>
      <c r="U30" s="19">
        <v>0.47013888888888899</v>
      </c>
      <c r="V30" s="92">
        <f>(T30-U29)*24*60</f>
        <v>7.9999999999991722</v>
      </c>
      <c r="W30" s="149">
        <f t="shared" si="4"/>
        <v>91.000000000000796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-70.065934065947658</v>
      </c>
      <c r="AG30" s="99">
        <f t="shared" si="14"/>
        <v>0.95717241194012981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2580</v>
      </c>
      <c r="H31" s="91">
        <f t="shared" si="15"/>
        <v>119557.20000000001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1547.9999999999882</v>
      </c>
      <c r="O31" s="96">
        <f t="shared" si="18"/>
        <v>96.749999999999261</v>
      </c>
      <c r="P31" s="97">
        <f t="shared" si="19"/>
        <v>0</v>
      </c>
      <c r="Q31" s="98">
        <f t="shared" si="20"/>
        <v>-5.500000000000739</v>
      </c>
      <c r="R31" s="99">
        <f t="shared" si="21"/>
        <v>0.94621026894864801</v>
      </c>
      <c r="S31" s="469"/>
      <c r="T31" s="19">
        <v>0.52361111111111103</v>
      </c>
      <c r="U31" s="19">
        <v>0.593055555555556</v>
      </c>
      <c r="V31" s="92">
        <f t="shared" ref="V31:V32" si="22">(T31-U30)*24*60</f>
        <v>76.99999999999973</v>
      </c>
      <c r="W31" s="149">
        <f t="shared" si="4"/>
        <v>100.00000000000077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-88.000000000011823</v>
      </c>
      <c r="AG31" s="99">
        <f t="shared" si="14"/>
        <v>0.94621026894864801</v>
      </c>
      <c r="AH31" s="459"/>
    </row>
    <row r="32" spans="1:34" ht="15" customHeight="1">
      <c r="A32" s="466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2000</v>
      </c>
      <c r="H32" s="91">
        <f t="shared" si="15"/>
        <v>91320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1558.441558441564</v>
      </c>
      <c r="O32" s="96">
        <f t="shared" si="18"/>
        <v>91.67303284950377</v>
      </c>
      <c r="P32" s="97">
        <f t="shared" si="19"/>
        <v>0</v>
      </c>
      <c r="Q32" s="98">
        <f t="shared" si="20"/>
        <v>-4.5622612681432884</v>
      </c>
      <c r="R32" s="99">
        <f t="shared" si="21"/>
        <v>0.95259263963420793</v>
      </c>
      <c r="S32" s="469"/>
      <c r="T32" s="19">
        <v>0.59930555555555598</v>
      </c>
      <c r="U32" s="19">
        <v>0.65277777777777801</v>
      </c>
      <c r="V32" s="92">
        <f t="shared" si="22"/>
        <v>8.999999999999968</v>
      </c>
      <c r="W32" s="149">
        <f t="shared" si="4"/>
        <v>76.99999999999973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1624.1666666666667</v>
      </c>
      <c r="L37" s="158">
        <f t="shared" si="23"/>
        <v>95.800653594771248</v>
      </c>
      <c r="M37" s="155">
        <f t="shared" si="23"/>
        <v>17</v>
      </c>
      <c r="N37" s="155">
        <f t="shared" si="23"/>
        <v>1525.6042707292793</v>
      </c>
      <c r="O37" s="158">
        <f t="shared" si="23"/>
        <v>89.889475584329048</v>
      </c>
      <c r="P37" s="159">
        <f>M37-J37</f>
        <v>0</v>
      </c>
      <c r="Q37" s="160">
        <f>N37-K37</f>
        <v>-98.562395937387464</v>
      </c>
      <c r="R37" s="161">
        <f>O37/L37</f>
        <v>0.93829710144310718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-98.562395937387464</v>
      </c>
      <c r="AG37" s="124">
        <f>N37/K37</f>
        <v>0.93931509742182406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2434</v>
      </c>
      <c r="H38" s="134">
        <f>F38*G38</f>
        <v>121480.93999999999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1659.5454545454577</v>
      </c>
      <c r="O38" s="141">
        <f>N38/M38</f>
        <v>110.63636363636384</v>
      </c>
      <c r="P38" s="142">
        <f>M38-J38</f>
        <v>0</v>
      </c>
      <c r="Q38" s="143">
        <f>O38-L38</f>
        <v>-3.6303030303028265</v>
      </c>
      <c r="R38" s="144">
        <f>O38/L38</f>
        <v>0.96822955341041872</v>
      </c>
      <c r="S38" s="490">
        <f>R48</f>
        <v>0.89592200799320021</v>
      </c>
      <c r="T38" s="191">
        <v>0.33333333333333298</v>
      </c>
      <c r="U38" s="191">
        <v>0.39444444444444399</v>
      </c>
      <c r="V38" s="192"/>
      <c r="W38" s="193">
        <f t="shared" si="4"/>
        <v>87.999999999999844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-54.454545454542313</v>
      </c>
      <c r="AG38" s="195">
        <f>N38/K38</f>
        <v>0.96822955341041872</v>
      </c>
      <c r="AH38" s="480">
        <f>AG48</f>
        <v>0.89030037183962429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2414</v>
      </c>
      <c r="H39" s="91">
        <f>F39*G39</f>
        <v>106940.2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1105.6488549618225</v>
      </c>
      <c r="O39" s="203">
        <f>N39/M39</f>
        <v>61.424936386767918</v>
      </c>
      <c r="P39" s="97">
        <f>M39-J39</f>
        <v>0</v>
      </c>
      <c r="Q39" s="98">
        <f>O39-L39</f>
        <v>-29.463952502120968</v>
      </c>
      <c r="R39" s="99">
        <f>O39/L39</f>
        <v>0.67582448347299673</v>
      </c>
      <c r="S39" s="491"/>
      <c r="T39" s="20">
        <v>0.406944444444444</v>
      </c>
      <c r="U39" s="20">
        <v>0.49791666666666701</v>
      </c>
      <c r="V39" s="92">
        <f>(T39-U38)*24*60</f>
        <v>18.000000000000014</v>
      </c>
      <c r="W39" s="205">
        <f t="shared" si="4"/>
        <v>131.00000000000114</v>
      </c>
      <c r="X39" s="22"/>
      <c r="Y39" s="84"/>
      <c r="Z39" s="90">
        <v>1</v>
      </c>
      <c r="AA39" s="90">
        <v>35</v>
      </c>
      <c r="AB39" s="483" t="s">
        <v>156</v>
      </c>
      <c r="AC39" s="483"/>
      <c r="AD39" s="200"/>
      <c r="AE39" s="200"/>
      <c r="AF39" s="314">
        <f>N39-K39</f>
        <v>-530.35114503817749</v>
      </c>
      <c r="AG39" s="206">
        <f>N39/K39</f>
        <v>0.67582448347299662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2933</v>
      </c>
      <c r="H40" s="91">
        <f t="shared" ref="H40:H41" si="24">F40*G40</f>
        <v>129931.9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 t="shared" ref="L40:L41" si="25">K40/J40</f>
        <v>90.888888888888886</v>
      </c>
      <c r="M40" s="201">
        <v>18</v>
      </c>
      <c r="N40" s="202">
        <f t="shared" ref="N40:N41" si="26">G40/W40*60</f>
        <v>1599.8181818181806</v>
      </c>
      <c r="O40" s="203">
        <f t="shared" ref="O40:O41" si="27">N40/M40</f>
        <v>88.878787878787818</v>
      </c>
      <c r="P40" s="97">
        <f t="shared" ref="P40:P41" si="28">M40-J40</f>
        <v>0</v>
      </c>
      <c r="Q40" s="98">
        <f t="shared" ref="Q40:Q41" si="29">O40-L40</f>
        <v>-2.0101010101010672</v>
      </c>
      <c r="R40" s="99">
        <f t="shared" ref="R40:R41" si="30">O40/L40</f>
        <v>0.97788397421649187</v>
      </c>
      <c r="S40" s="413"/>
      <c r="T40" s="20">
        <v>0.55208333333333304</v>
      </c>
      <c r="U40" s="210">
        <v>0.62847222222222199</v>
      </c>
      <c r="V40" s="92">
        <f>(T40-U39)*24*60</f>
        <v>77.999999999999091</v>
      </c>
      <c r="W40" s="205">
        <f t="shared" si="4"/>
        <v>110.00000000000009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-36.181818181819381</v>
      </c>
      <c r="AG40" s="206">
        <f>N40/K40</f>
        <v>0.97788397421649187</v>
      </c>
      <c r="AH40" s="481"/>
    </row>
    <row r="41" spans="1:34" ht="15" customHeight="1">
      <c r="A41" s="488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800</v>
      </c>
      <c r="H41" s="91">
        <f t="shared" si="24"/>
        <v>39928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si="25"/>
        <v>114.26666666666667</v>
      </c>
      <c r="M41" s="201">
        <v>15</v>
      </c>
      <c r="N41" s="202">
        <f t="shared" si="26"/>
        <v>1600.0000000000227</v>
      </c>
      <c r="O41" s="203">
        <f t="shared" si="27"/>
        <v>106.66666666666818</v>
      </c>
      <c r="P41" s="97">
        <f t="shared" si="28"/>
        <v>0</v>
      </c>
      <c r="Q41" s="98">
        <f t="shared" si="29"/>
        <v>-7.599999999998488</v>
      </c>
      <c r="R41" s="99">
        <f t="shared" si="30"/>
        <v>0.93348891481914975</v>
      </c>
      <c r="S41" s="413"/>
      <c r="T41" s="210">
        <v>0.63541666666666696</v>
      </c>
      <c r="U41" s="210">
        <v>0.65625</v>
      </c>
      <c r="V41" s="92">
        <f>(T41-U40)*24*60</f>
        <v>10.000000000000764</v>
      </c>
      <c r="W41" s="205">
        <f t="shared" si="4"/>
        <v>29.999999999999574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-113.99999999997726</v>
      </c>
      <c r="AG41" s="206">
        <f>N41/K41</f>
        <v>0.93348891481914975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31">AVERAGE(J38:J47)</f>
        <v>16.5</v>
      </c>
      <c r="K48" s="155">
        <f t="shared" si="31"/>
        <v>1675</v>
      </c>
      <c r="L48" s="158">
        <f t="shared" si="31"/>
        <v>102.57777777777778</v>
      </c>
      <c r="M48" s="155">
        <f t="shared" si="31"/>
        <v>16.5</v>
      </c>
      <c r="N48" s="155">
        <f t="shared" si="31"/>
        <v>1491.2531228313708</v>
      </c>
      <c r="O48" s="158">
        <f t="shared" si="31"/>
        <v>91.901688642146937</v>
      </c>
      <c r="P48" s="221">
        <f>M48-J48</f>
        <v>0</v>
      </c>
      <c r="Q48" s="222">
        <f>N48-K48</f>
        <v>-183.74687716862923</v>
      </c>
      <c r="R48" s="223">
        <f>O48/L48</f>
        <v>0.89592200799320021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1</v>
      </c>
      <c r="AA48" s="334">
        <f>SUM(AA38:AA47)</f>
        <v>35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32">N48-K48</f>
        <v>-183.74687716862923</v>
      </c>
      <c r="AG48" s="162">
        <f t="shared" ref="AG48:AG53" si="33">N48/K48</f>
        <v>0.89030037183962429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2319</v>
      </c>
      <c r="H49" s="134">
        <f>F49*G49</f>
        <v>114836.88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1636.941176470611</v>
      </c>
      <c r="O49" s="141">
        <f>N49/M49</f>
        <v>96.290657439447713</v>
      </c>
      <c r="P49" s="229">
        <f>M49-J49</f>
        <v>0</v>
      </c>
      <c r="Q49" s="230">
        <f>O49-L49</f>
        <v>-9.5916955017287506</v>
      </c>
      <c r="R49" s="52">
        <f>O49/L49</f>
        <v>0.90941176470589513</v>
      </c>
      <c r="S49" s="412">
        <f>R58</f>
        <v>0.91281862302098449</v>
      </c>
      <c r="T49" s="191">
        <v>0.29166666666666702</v>
      </c>
      <c r="U49" s="21">
        <v>0.35069444444444398</v>
      </c>
      <c r="V49" s="55"/>
      <c r="W49" s="193">
        <f t="shared" si="4"/>
        <v>84.99999999999882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32"/>
        <v>-163.05882352938897</v>
      </c>
      <c r="AG49" s="52">
        <f t="shared" si="33"/>
        <v>0.90941176470589502</v>
      </c>
      <c r="AH49" s="457">
        <f>AG58</f>
        <v>0.9129376706771587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2250</v>
      </c>
      <c r="H50" s="231">
        <f>F50*G50</f>
        <v>113150.25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1516.8539325842587</v>
      </c>
      <c r="O50" s="235">
        <f>N50/M50</f>
        <v>89.226701916721098</v>
      </c>
      <c r="P50" s="74">
        <f>M50-J50</f>
        <v>0</v>
      </c>
      <c r="Q50" s="83">
        <f>O50-L50</f>
        <v>-7.0085922009259605</v>
      </c>
      <c r="R50" s="72">
        <f>O50/L50</f>
        <v>0.92717233043047598</v>
      </c>
      <c r="S50" s="413"/>
      <c r="T50" s="21">
        <v>0.35069444444444398</v>
      </c>
      <c r="U50" s="19">
        <v>0.41249999999999998</v>
      </c>
      <c r="V50" s="30">
        <f>(T50-U49)*24*60</f>
        <v>0</v>
      </c>
      <c r="W50" s="236">
        <f t="shared" si="4"/>
        <v>89.000000000000639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32"/>
        <v>-119.1460674157413</v>
      </c>
      <c r="AG50" s="72">
        <f t="shared" si="33"/>
        <v>0.92717233043047598</v>
      </c>
      <c r="AH50" s="458"/>
    </row>
    <row r="51" spans="1:34" ht="15" customHeight="1">
      <c r="A51" s="485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1745</v>
      </c>
      <c r="H51" s="231">
        <f t="shared" ref="H51:H53" si="34">F51*G51</f>
        <v>87197.65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3" si="35">K51/J51</f>
        <v>112.5</v>
      </c>
      <c r="M51" s="233">
        <v>16</v>
      </c>
      <c r="N51" s="234">
        <f t="shared" ref="N51:N53" si="36">G51/W51*60</f>
        <v>1586.3636363636133</v>
      </c>
      <c r="O51" s="235">
        <f t="shared" ref="O51:O53" si="37">N51/M51</f>
        <v>99.147727272725831</v>
      </c>
      <c r="P51" s="74">
        <f t="shared" ref="P51:P53" si="38">M51-J51</f>
        <v>0</v>
      </c>
      <c r="Q51" s="83">
        <f t="shared" ref="Q51:Q53" si="39">O51-L51</f>
        <v>-13.352272727274169</v>
      </c>
      <c r="R51" s="72">
        <f t="shared" ref="R51:R53" si="40">O51/L51</f>
        <v>0.8813131313131185</v>
      </c>
      <c r="S51" s="413"/>
      <c r="T51" s="21">
        <v>0.41944444444444401</v>
      </c>
      <c r="U51" s="21">
        <v>0.46527777777777801</v>
      </c>
      <c r="V51" s="30">
        <f>(T51-U50)*24*60</f>
        <v>9.9999999999994049</v>
      </c>
      <c r="W51" s="236">
        <f t="shared" si="4"/>
        <v>66.000000000000966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32"/>
        <v>-213.6363636363867</v>
      </c>
      <c r="AG51" s="72">
        <f t="shared" si="33"/>
        <v>0.8813131313131185</v>
      </c>
      <c r="AH51" s="458"/>
    </row>
    <row r="52" spans="1:34" ht="15" customHeight="1">
      <c r="A52" s="485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4124</v>
      </c>
      <c r="H52" s="231">
        <f t="shared" si="34"/>
        <v>206076.28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35"/>
        <v>112.5</v>
      </c>
      <c r="M52" s="108">
        <v>16</v>
      </c>
      <c r="N52" s="234">
        <f t="shared" si="36"/>
        <v>1683.2653061224548</v>
      </c>
      <c r="O52" s="235">
        <f t="shared" si="37"/>
        <v>105.20408163265343</v>
      </c>
      <c r="P52" s="74">
        <f t="shared" si="38"/>
        <v>0</v>
      </c>
      <c r="Q52" s="83">
        <f t="shared" si="39"/>
        <v>-7.2959183673465731</v>
      </c>
      <c r="R52" s="72">
        <f t="shared" si="40"/>
        <v>0.93514739229025268</v>
      </c>
      <c r="S52" s="413"/>
      <c r="T52" s="21">
        <v>0.52430555555555602</v>
      </c>
      <c r="U52" s="21">
        <v>0.62638888888888899</v>
      </c>
      <c r="V52" s="30">
        <f>(T52-U51)*24*60</f>
        <v>85.000000000000341</v>
      </c>
      <c r="W52" s="236">
        <f t="shared" si="4"/>
        <v>146.99999999999949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32"/>
        <v>-116.73469387754517</v>
      </c>
      <c r="AG52" s="72">
        <f t="shared" si="33"/>
        <v>0.93514739229025268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697</v>
      </c>
      <c r="H53" s="231">
        <f t="shared" si="34"/>
        <v>35051.433000000005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35"/>
        <v>96.235294117647058</v>
      </c>
      <c r="M53" s="108">
        <v>17</v>
      </c>
      <c r="N53" s="234">
        <f t="shared" si="36"/>
        <v>1493.5714285713827</v>
      </c>
      <c r="O53" s="235">
        <f t="shared" si="37"/>
        <v>87.857142857140161</v>
      </c>
      <c r="P53" s="74">
        <f t="shared" si="38"/>
        <v>0</v>
      </c>
      <c r="Q53" s="83">
        <f t="shared" si="39"/>
        <v>-8.3781512605068968</v>
      </c>
      <c r="R53" s="72">
        <f t="shared" si="40"/>
        <v>0.91294097100940264</v>
      </c>
      <c r="S53" s="413"/>
      <c r="T53" s="21">
        <v>0.63333333333333297</v>
      </c>
      <c r="U53" s="21">
        <v>0.65277777777777801</v>
      </c>
      <c r="V53" s="30">
        <f>(T53-U52)*24*60</f>
        <v>9.999999999999325</v>
      </c>
      <c r="W53" s="236">
        <f t="shared" si="4"/>
        <v>28.00000000000086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32"/>
        <v>-142.42857142861726</v>
      </c>
      <c r="AG53" s="72">
        <f t="shared" si="33"/>
        <v>0.91294097100940264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41">AVERAGE(J49:J57)</f>
        <v>16.600000000000001</v>
      </c>
      <c r="K58" s="120">
        <f t="shared" si="41"/>
        <v>1734.4</v>
      </c>
      <c r="L58" s="117">
        <f t="shared" si="41"/>
        <v>104.67058823529412</v>
      </c>
      <c r="M58" s="120">
        <f t="shared" si="41"/>
        <v>16.600000000000001</v>
      </c>
      <c r="N58" s="120">
        <f t="shared" si="41"/>
        <v>1583.3990960224642</v>
      </c>
      <c r="O58" s="117">
        <f t="shared" si="41"/>
        <v>95.545262223737637</v>
      </c>
      <c r="P58" s="121">
        <f>M58-J58</f>
        <v>0</v>
      </c>
      <c r="Q58" s="122">
        <f>N58-K58</f>
        <v>-151.00090397753593</v>
      </c>
      <c r="R58" s="123">
        <f>O58/L58</f>
        <v>0.91281862302098449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-151.00090397753593</v>
      </c>
      <c r="AG58" s="124">
        <f>N58/K58</f>
        <v>0.9129376706771587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2822</v>
      </c>
      <c r="H59" s="243">
        <f>F59*G59</f>
        <v>76165.78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1539.2727272727248</v>
      </c>
      <c r="O59" s="138">
        <f>N59/M59</f>
        <v>102.61818181818165</v>
      </c>
      <c r="P59" s="56">
        <f>M59-J59</f>
        <v>0</v>
      </c>
      <c r="Q59" s="230">
        <f>O59-L59</f>
        <v>-6.448484848485009</v>
      </c>
      <c r="R59" s="52">
        <f>O59/L59</f>
        <v>0.94087575016670222</v>
      </c>
      <c r="S59" s="412">
        <f>R69</f>
        <v>0.92246018576755417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-96.727272727275249</v>
      </c>
      <c r="AG59" s="246">
        <f>N59/K59</f>
        <v>0.94087575016670222</v>
      </c>
      <c r="AH59" s="457">
        <f>AG69</f>
        <v>0.92233724360949731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1798</v>
      </c>
      <c r="H60" s="78">
        <f>F60*G60</f>
        <v>50811.48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1610.1492537313354</v>
      </c>
      <c r="O60" s="81">
        <f>N60/M60</f>
        <v>146.37720488466687</v>
      </c>
      <c r="P60" s="74">
        <f>M60-J60</f>
        <v>0</v>
      </c>
      <c r="Q60" s="83">
        <f>O60-L60</f>
        <v>-2.3500678426058528</v>
      </c>
      <c r="R60" s="72">
        <f>O60/L60</f>
        <v>0.98419881034922718</v>
      </c>
      <c r="S60" s="502"/>
      <c r="T60" s="22">
        <v>0.375</v>
      </c>
      <c r="U60" s="22">
        <v>0.421527777777778</v>
      </c>
      <c r="V60" s="30">
        <f>(T60-U59)*24*60</f>
        <v>9.999999999999325</v>
      </c>
      <c r="W60" s="248">
        <f t="shared" si="4"/>
        <v>67.000000000000327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-25.850746268664579</v>
      </c>
      <c r="AG60" s="249">
        <f>N60/K60</f>
        <v>0.98419881034922707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1998</v>
      </c>
      <c r="H61" s="254">
        <f>F61*G61</f>
        <v>56463.48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1410.35294117649</v>
      </c>
      <c r="O61" s="238">
        <f>N61/M61</f>
        <v>128.21390374331727</v>
      </c>
      <c r="P61" s="111">
        <f>M61-J61</f>
        <v>0</v>
      </c>
      <c r="Q61" s="255">
        <f>O61-L61</f>
        <v>-20.513368983955445</v>
      </c>
      <c r="R61" s="85">
        <f>O61/L61</f>
        <v>0.86207392492450496</v>
      </c>
      <c r="S61" s="413"/>
      <c r="T61" s="22">
        <v>0.43055555555555602</v>
      </c>
      <c r="U61" s="22">
        <v>0.48958333333333298</v>
      </c>
      <c r="V61" s="30">
        <f>(T61-U60)*24*60</f>
        <v>13.000000000000353</v>
      </c>
      <c r="W61" s="256">
        <f t="shared" si="4"/>
        <v>84.99999999999882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-225.64705882350995</v>
      </c>
      <c r="AG61" s="247">
        <f>N61/K61</f>
        <v>0.86207392492450496</v>
      </c>
      <c r="AH61" s="458"/>
    </row>
    <row r="62" spans="1:34" ht="15" customHeight="1">
      <c r="A62" s="500"/>
      <c r="B62" s="250" t="s">
        <v>136</v>
      </c>
      <c r="C62" s="251"/>
      <c r="D62" s="257" t="s">
        <v>137</v>
      </c>
      <c r="E62" s="253"/>
      <c r="F62" s="250">
        <f>VLOOKUP(D62,廠價表!$C$1:$E$43,3,0)</f>
        <v>26.99</v>
      </c>
      <c r="G62" s="38">
        <v>1107</v>
      </c>
      <c r="H62" s="254">
        <f>F62*G62</f>
        <v>29877.929999999997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>K62/J62</f>
        <v>109.06666666666666</v>
      </c>
      <c r="M62" s="108">
        <v>15</v>
      </c>
      <c r="N62" s="107">
        <f>G62/W62*60</f>
        <v>1476</v>
      </c>
      <c r="O62" s="238">
        <f>N62/M62</f>
        <v>98.4</v>
      </c>
      <c r="P62" s="111">
        <f>M62-J62</f>
        <v>0</v>
      </c>
      <c r="Q62" s="255">
        <f>O62-L62</f>
        <v>-10.666666666666657</v>
      </c>
      <c r="R62" s="85">
        <f>O62/L62</f>
        <v>0.90220048899755512</v>
      </c>
      <c r="S62" s="413"/>
      <c r="T62" s="22">
        <v>0.54166666666666696</v>
      </c>
      <c r="U62" s="22">
        <v>0.57291666666666696</v>
      </c>
      <c r="V62" s="30">
        <f>(T62-U61)*24*60</f>
        <v>75.000000000000938</v>
      </c>
      <c r="W62" s="248">
        <f t="shared" si="4"/>
        <v>45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-160</v>
      </c>
      <c r="AG62" s="247">
        <f>N62/K62</f>
        <v>0.90220048899755501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2">AVERAGE(J59:J68)</f>
        <v>13</v>
      </c>
      <c r="K69" s="240">
        <f t="shared" si="42"/>
        <v>1636</v>
      </c>
      <c r="L69" s="268">
        <f t="shared" si="42"/>
        <v>128.89696969696968</v>
      </c>
      <c r="M69" s="240">
        <f t="shared" si="42"/>
        <v>13</v>
      </c>
      <c r="N69" s="240">
        <f t="shared" si="42"/>
        <v>1508.9437305451377</v>
      </c>
      <c r="O69" s="268">
        <f t="shared" si="42"/>
        <v>118.90232261154145</v>
      </c>
      <c r="P69" s="269">
        <f>M69-J69</f>
        <v>0</v>
      </c>
      <c r="Q69" s="222">
        <f>N69-K69</f>
        <v>-127.05626945486233</v>
      </c>
      <c r="R69" s="123">
        <f>O69/L69</f>
        <v>0.92246018576755417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-127.05626945486233</v>
      </c>
      <c r="AG69" s="124">
        <f>N69/K69</f>
        <v>0.92233724360949731</v>
      </c>
      <c r="AH69" s="460"/>
    </row>
    <row r="70" spans="1:36" ht="15" customHeight="1">
      <c r="A70" s="494" t="s">
        <v>55</v>
      </c>
      <c r="B70" s="75" t="s">
        <v>136</v>
      </c>
      <c r="C70" s="76"/>
      <c r="D70" s="59" t="s">
        <v>140</v>
      </c>
      <c r="E70" s="77"/>
      <c r="F70" s="250">
        <f>VLOOKUP(D70,廠價表!$C$1:$E$43,3,0)</f>
        <v>28.26</v>
      </c>
      <c r="G70" s="202">
        <v>1787</v>
      </c>
      <c r="H70" s="254">
        <f t="shared" ref="H70:H72" si="43">F70*G70</f>
        <v>50500.62</v>
      </c>
      <c r="I70" s="182"/>
      <c r="J70" s="106">
        <f>VLOOKUP(D70,產線配置圖!$A$3:$C$40,2,0)</f>
        <v>11</v>
      </c>
      <c r="K70" s="107">
        <f>VLOOKUP(D70,產線配置圖!$A$3:$C$40,3,0)</f>
        <v>1636</v>
      </c>
      <c r="L70" s="238">
        <f t="shared" ref="L70:L72" si="44">K70/J70</f>
        <v>148.72727272727272</v>
      </c>
      <c r="M70" s="82">
        <v>11</v>
      </c>
      <c r="N70" s="107">
        <f t="shared" ref="N70:N72" si="45">G70/W70*60</f>
        <v>1340.2499999999886</v>
      </c>
      <c r="O70" s="238">
        <f t="shared" ref="O70:O72" si="46">N70/M70</f>
        <v>121.84090909090806</v>
      </c>
      <c r="P70" s="111">
        <f t="shared" ref="P70:P72" si="47">M70-J70</f>
        <v>0</v>
      </c>
      <c r="Q70" s="255">
        <f t="shared" ref="Q70:Q72" si="48">O70-L70</f>
        <v>-26.886363636364663</v>
      </c>
      <c r="R70" s="85">
        <f t="shared" ref="R70:R72" si="49">O70/L70</f>
        <v>0.81922371638141123</v>
      </c>
      <c r="S70" s="412">
        <f>R79</f>
        <v>0.75928887973495995</v>
      </c>
      <c r="T70" s="22">
        <v>0.29861111111111099</v>
      </c>
      <c r="U70" s="22">
        <v>0.35416666666666702</v>
      </c>
      <c r="V70" s="55"/>
      <c r="W70" s="54">
        <f t="shared" si="4"/>
        <v>80.000000000000682</v>
      </c>
      <c r="X70" s="270"/>
      <c r="Y70" s="292"/>
      <c r="Z70" s="169"/>
      <c r="AA70" s="169"/>
      <c r="AB70" s="464" t="s">
        <v>157</v>
      </c>
      <c r="AC70" s="464"/>
      <c r="AD70" s="135"/>
      <c r="AE70" s="135"/>
      <c r="AF70" s="310">
        <f>N70-K70</f>
        <v>-295.75000000001137</v>
      </c>
      <c r="AG70" s="246">
        <f>N70/K70</f>
        <v>0.81922371638141112</v>
      </c>
      <c r="AH70" s="457">
        <f>AG79</f>
        <v>0.67614771585280597</v>
      </c>
    </row>
    <row r="71" spans="1:36" ht="15" customHeight="1">
      <c r="A71" s="495"/>
      <c r="B71" s="75" t="s">
        <v>81</v>
      </c>
      <c r="C71" s="86"/>
      <c r="D71" s="59" t="s">
        <v>119</v>
      </c>
      <c r="E71" s="87"/>
      <c r="F71" s="250">
        <f>VLOOKUP(D71,廠價表!$C$1:$E$43,3,0)</f>
        <v>57.21</v>
      </c>
      <c r="G71" s="202">
        <v>1839</v>
      </c>
      <c r="H71" s="254">
        <f t="shared" si="43"/>
        <v>105209.19</v>
      </c>
      <c r="I71" s="182"/>
      <c r="J71" s="106">
        <f>VLOOKUP(D71,產線配置圖!$A$3:$C$40,2,0)</f>
        <v>17</v>
      </c>
      <c r="K71" s="107">
        <f>VLOOKUP(D71,產線配置圖!$A$3:$C$40,3,0)</f>
        <v>2250</v>
      </c>
      <c r="L71" s="238">
        <f t="shared" si="44"/>
        <v>132.35294117647058</v>
      </c>
      <c r="M71" s="82">
        <v>13</v>
      </c>
      <c r="N71" s="107">
        <f t="shared" si="45"/>
        <v>935.08474576271647</v>
      </c>
      <c r="O71" s="238">
        <f t="shared" si="46"/>
        <v>71.929595827901267</v>
      </c>
      <c r="P71" s="111">
        <f t="shared" si="47"/>
        <v>-4</v>
      </c>
      <c r="Q71" s="255">
        <f t="shared" si="48"/>
        <v>-60.423345348569313</v>
      </c>
      <c r="R71" s="85">
        <f t="shared" si="49"/>
        <v>0.54346805736636516</v>
      </c>
      <c r="S71" s="413"/>
      <c r="T71" s="22">
        <v>0.37916666666666698</v>
      </c>
      <c r="U71" s="22">
        <v>0.46111111111111103</v>
      </c>
      <c r="V71" s="30">
        <f>(T71-U70)*24*60</f>
        <v>35.99999999999995</v>
      </c>
      <c r="W71" s="73">
        <f t="shared" si="4"/>
        <v>117.99999999999942</v>
      </c>
      <c r="X71" s="271"/>
      <c r="Y71" s="293"/>
      <c r="Z71" s="90"/>
      <c r="AA71" s="90"/>
      <c r="AB71" s="483" t="s">
        <v>158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136</v>
      </c>
      <c r="C72" s="76"/>
      <c r="D72" s="59" t="s">
        <v>140</v>
      </c>
      <c r="E72" s="77"/>
      <c r="F72" s="250">
        <f>VLOOKUP(D72,廠價表!$C$1:$E$43,3,0)</f>
        <v>28.26</v>
      </c>
      <c r="G72" s="30">
        <v>2066</v>
      </c>
      <c r="H72" s="254">
        <f t="shared" si="43"/>
        <v>58385.16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si="44"/>
        <v>148.72727272727272</v>
      </c>
      <c r="M72" s="82">
        <v>11</v>
      </c>
      <c r="N72" s="107">
        <f t="shared" si="45"/>
        <v>1458.3529411764898</v>
      </c>
      <c r="O72" s="238">
        <f t="shared" si="46"/>
        <v>132.57754010695362</v>
      </c>
      <c r="P72" s="111">
        <f t="shared" si="47"/>
        <v>0</v>
      </c>
      <c r="Q72" s="255">
        <f t="shared" si="48"/>
        <v>-16.149732620319099</v>
      </c>
      <c r="R72" s="85">
        <f t="shared" si="49"/>
        <v>0.89141377822523837</v>
      </c>
      <c r="S72" s="413"/>
      <c r="T72" s="22">
        <v>0.52430555555555602</v>
      </c>
      <c r="U72" s="22">
        <v>0.58333333333333304</v>
      </c>
      <c r="V72" s="30">
        <f>(T72-U71)*24*60</f>
        <v>91.000000000000796</v>
      </c>
      <c r="W72" s="73">
        <f t="shared" si="4"/>
        <v>84.999999999998892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50">AVERAGE(J70:J78)</f>
        <v>13</v>
      </c>
      <c r="K79" s="240">
        <f t="shared" si="50"/>
        <v>1840.6666666666667</v>
      </c>
      <c r="L79" s="268">
        <f t="shared" si="50"/>
        <v>143.26916221033866</v>
      </c>
      <c r="M79" s="240">
        <f t="shared" si="50"/>
        <v>11.666666666666666</v>
      </c>
      <c r="N79" s="240">
        <f t="shared" si="50"/>
        <v>1244.562562313065</v>
      </c>
      <c r="O79" s="268">
        <f t="shared" si="50"/>
        <v>108.78268167525431</v>
      </c>
      <c r="P79" s="269">
        <f>M79-J79</f>
        <v>-1.3333333333333339</v>
      </c>
      <c r="Q79" s="222">
        <f>N79-K79</f>
        <v>-596.10410435360177</v>
      </c>
      <c r="R79" s="223">
        <f>O79/L79</f>
        <v>0.75928887973495995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-596.10410435360177</v>
      </c>
      <c r="AG79" s="124">
        <f>N79/K79</f>
        <v>0.67614771585280597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79:E79"/>
    <mergeCell ref="AB79:AC79"/>
    <mergeCell ref="A70:A79"/>
    <mergeCell ref="S70:S79"/>
    <mergeCell ref="AB70:AC70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D58:E58"/>
    <mergeCell ref="A59:A69"/>
    <mergeCell ref="S59:S69"/>
    <mergeCell ref="AB59:AC59"/>
    <mergeCell ref="D69:E69"/>
    <mergeCell ref="AB69:AC69"/>
    <mergeCell ref="A49:A58"/>
    <mergeCell ref="S49:S58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H16:AH26"/>
    <mergeCell ref="AB17:AC17"/>
    <mergeCell ref="AB18:AC18"/>
    <mergeCell ref="AB14:AC14"/>
    <mergeCell ref="D15:E15"/>
    <mergeCell ref="AB15:AC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F1:AH2"/>
    <mergeCell ref="M3:M4"/>
    <mergeCell ref="AH5:AH15"/>
    <mergeCell ref="AB6:AC6"/>
    <mergeCell ref="A5:A15"/>
    <mergeCell ref="S5:S15"/>
    <mergeCell ref="AB5:AC5"/>
    <mergeCell ref="AB8:AC8"/>
    <mergeCell ref="AB9:AC9"/>
    <mergeCell ref="AB10:AC10"/>
    <mergeCell ref="AB11:AC11"/>
    <mergeCell ref="AB12:AC12"/>
    <mergeCell ref="AB13:AC13"/>
    <mergeCell ref="H3:H4"/>
    <mergeCell ref="I3:I4"/>
    <mergeCell ref="J3:J4"/>
    <mergeCell ref="AG3:AG4"/>
    <mergeCell ref="AH3:AH4"/>
    <mergeCell ref="S3:S4"/>
    <mergeCell ref="P3:P4"/>
    <mergeCell ref="Q3:Q4"/>
    <mergeCell ref="R3:R4"/>
    <mergeCell ref="AD3:AE3"/>
    <mergeCell ref="AF3:AF4"/>
    <mergeCell ref="T3:U3"/>
    <mergeCell ref="V3:V4"/>
    <mergeCell ref="W3:W4"/>
    <mergeCell ref="X3:Y3"/>
    <mergeCell ref="Z3:AA3"/>
    <mergeCell ref="AB3:AC4"/>
    <mergeCell ref="AB7:AC7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N3:N4"/>
    <mergeCell ref="O3:O4"/>
    <mergeCell ref="K3:K4"/>
    <mergeCell ref="L3:L4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K77" sqref="K7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46211</v>
      </c>
      <c r="E3" s="379"/>
      <c r="F3" s="3" t="s">
        <v>72</v>
      </c>
      <c r="G3" s="380">
        <f>'0708'!E1</f>
        <v>65372</v>
      </c>
      <c r="H3" s="380"/>
      <c r="I3" s="3" t="s">
        <v>2</v>
      </c>
      <c r="J3" s="381">
        <f>'0708'!G1</f>
        <v>3042102.5159999994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125.74345824743484</v>
      </c>
      <c r="G6" s="386"/>
      <c r="H6" s="387">
        <f>AVERAGE(D13:H13)</f>
        <v>121.3772170663137</v>
      </c>
      <c r="I6" s="387"/>
      <c r="J6" s="387">
        <f>AVERAGE(I13:J13)</f>
        <v>136.65906120023766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113.40986253707958</v>
      </c>
      <c r="G7" s="410"/>
      <c r="H7" s="411">
        <f>AVERAGE(D14:H14)</f>
        <v>109.87999514421067</v>
      </c>
      <c r="I7" s="411"/>
      <c r="J7" s="411">
        <f>AVERAGE(I14:J14)</f>
        <v>122.23453101925186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0.90191461343392099</v>
      </c>
      <c r="G8" s="383"/>
      <c r="H8" s="383">
        <f>H7/H6</f>
        <v>0.90527693582048763</v>
      </c>
      <c r="I8" s="383"/>
      <c r="J8" s="383">
        <f>J7/J6</f>
        <v>0.89444878331301814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VALUE('0708'!L15)</f>
        <v>145.3125</v>
      </c>
      <c r="E13" s="13">
        <f>VALUE('0708'!L26)</f>
        <v>159.6546310832025</v>
      </c>
      <c r="F13" s="13">
        <f>VALUE('0708'!L37)</f>
        <v>96.458061002178667</v>
      </c>
      <c r="G13" s="13">
        <f>VALUE('0708'!L48)</f>
        <v>98.681481481481498</v>
      </c>
      <c r="H13" s="13">
        <f>VALUE('0708'!L58)</f>
        <v>106.77941176470588</v>
      </c>
      <c r="I13" s="13">
        <f>VALUE('0708'!L69)</f>
        <v>135.50707070707071</v>
      </c>
      <c r="J13" s="13">
        <f>'0708'!L79</f>
        <v>137.81105169340461</v>
      </c>
    </row>
    <row r="14" spans="2:15" ht="39.950000000000003" customHeight="1">
      <c r="B14" s="404"/>
      <c r="C14" s="12" t="s">
        <v>100</v>
      </c>
      <c r="D14" s="13">
        <f>VALUE('0708'!O15)</f>
        <v>133.95511402683508</v>
      </c>
      <c r="E14" s="13">
        <f>VALUE('0708'!O26)</f>
        <v>138.93612789866404</v>
      </c>
      <c r="F14" s="13">
        <f>VALUE('0708'!O37)</f>
        <v>87.849972344113326</v>
      </c>
      <c r="G14" s="13">
        <f>VALUE('0708'!O48)</f>
        <v>92.097078444904227</v>
      </c>
      <c r="H14" s="13">
        <f>VALUE('0708'!O58)</f>
        <v>96.561683006536612</v>
      </c>
      <c r="I14" s="13">
        <f>VALUE('0708'!O69)</f>
        <v>121.1988539038898</v>
      </c>
      <c r="J14" s="13">
        <f>'0708'!O79</f>
        <v>123.27020813461392</v>
      </c>
    </row>
    <row r="15" spans="2:15" ht="39.950000000000003" customHeight="1">
      <c r="B15" s="405"/>
      <c r="C15" s="10" t="s">
        <v>26</v>
      </c>
      <c r="D15" s="14">
        <f t="shared" ref="D15:I15" si="1">D14/D13</f>
        <v>0.9218416449158543</v>
      </c>
      <c r="E15" s="14">
        <f t="shared" si="1"/>
        <v>0.87022923767403149</v>
      </c>
      <c r="F15" s="14">
        <f t="shared" si="1"/>
        <v>0.91075822415846708</v>
      </c>
      <c r="G15" s="14">
        <f t="shared" si="1"/>
        <v>0.93327620402807898</v>
      </c>
      <c r="H15" s="14">
        <f t="shared" si="1"/>
        <v>0.90430993588272823</v>
      </c>
      <c r="I15" s="14">
        <f t="shared" si="1"/>
        <v>0.89440981397855346</v>
      </c>
      <c r="J15" s="15">
        <f>'0708'!S70</f>
        <v>0.89448710114236374</v>
      </c>
    </row>
    <row r="16" spans="2:15" ht="17.25" customHeight="1">
      <c r="B16" s="406" t="s">
        <v>101</v>
      </c>
      <c r="C16" s="10" t="s">
        <v>34</v>
      </c>
      <c r="D16" s="16">
        <f>'0708'!T5</f>
        <v>0.34375</v>
      </c>
      <c r="E16" s="16">
        <f>'0708'!T16</f>
        <v>0.29305555555555601</v>
      </c>
      <c r="F16" s="16">
        <f>'0708'!T27</f>
        <v>0.28958333333333303</v>
      </c>
      <c r="G16" s="16">
        <f>'0708'!T38</f>
        <v>0.33333333333333298</v>
      </c>
      <c r="H16" s="16">
        <f>'0708'!T49</f>
        <v>0.29166666666666702</v>
      </c>
      <c r="I16" s="16">
        <f>'0708'!T59</f>
        <v>0.29236111111111102</v>
      </c>
      <c r="J16" s="16">
        <f>'0708'!T70</f>
        <v>0.29375000000000001</v>
      </c>
    </row>
    <row r="17" spans="2:10" ht="17.25" customHeight="1">
      <c r="B17" s="407"/>
      <c r="C17" s="10" t="s">
        <v>35</v>
      </c>
      <c r="D17" s="16">
        <v>0.63958333333333295</v>
      </c>
      <c r="E17" s="19">
        <v>0.66666666666666696</v>
      </c>
      <c r="F17" s="19">
        <v>0.67013888888888895</v>
      </c>
      <c r="G17" s="20">
        <v>0.61805555555555602</v>
      </c>
      <c r="H17" s="19">
        <v>0.61458333333333304</v>
      </c>
      <c r="I17" s="22">
        <v>0.51041666666666696</v>
      </c>
      <c r="J17" s="22">
        <v>0.53263888888888899</v>
      </c>
    </row>
    <row r="18" spans="2:10" ht="17.25" customHeight="1">
      <c r="B18" s="408" t="s">
        <v>102</v>
      </c>
      <c r="C18" s="330" t="s">
        <v>36</v>
      </c>
      <c r="D18" s="357">
        <f>'0708'!Z15</f>
        <v>0</v>
      </c>
      <c r="E18" s="358">
        <f>'0708'!Z26</f>
        <v>0</v>
      </c>
      <c r="F18" s="358">
        <f>'0708'!Z37</f>
        <v>0</v>
      </c>
      <c r="G18" s="359">
        <f>'0708'!Z48</f>
        <v>0</v>
      </c>
      <c r="H18" s="359">
        <f>'0708'!Z58</f>
        <v>0</v>
      </c>
      <c r="I18" s="358">
        <f>'0708'!Z69</f>
        <v>0</v>
      </c>
      <c r="J18" s="358">
        <f>'0708'!AA79</f>
        <v>0</v>
      </c>
    </row>
    <row r="19" spans="2:10" ht="17.25" customHeight="1">
      <c r="B19" s="409"/>
      <c r="C19" s="330" t="s">
        <v>37</v>
      </c>
      <c r="D19" s="357">
        <f>'0708'!AA15</f>
        <v>0</v>
      </c>
      <c r="E19" s="358">
        <f>'0708'!AA26</f>
        <v>0</v>
      </c>
      <c r="F19" s="358">
        <f>'0708'!AA37</f>
        <v>0</v>
      </c>
      <c r="G19" s="359">
        <f>'0708'!AA48</f>
        <v>0</v>
      </c>
      <c r="H19" s="359">
        <f>'0708'!AA58</f>
        <v>0</v>
      </c>
      <c r="I19" s="358">
        <f>'0708'!AA69</f>
        <v>0</v>
      </c>
      <c r="J19" s="358">
        <f>'0708'!AB79</f>
        <v>0</v>
      </c>
    </row>
    <row r="20" spans="2:10" ht="17.25" customHeight="1">
      <c r="B20" s="408" t="s">
        <v>103</v>
      </c>
      <c r="C20" s="330" t="s">
        <v>36</v>
      </c>
      <c r="D20" s="357">
        <f>'0708'!AD15</f>
        <v>0</v>
      </c>
      <c r="E20" s="358">
        <f>'0708'!AD26</f>
        <v>0</v>
      </c>
      <c r="F20" s="358">
        <f>'0708'!AD37</f>
        <v>0</v>
      </c>
      <c r="G20" s="359">
        <f>'0708'!AD48</f>
        <v>0</v>
      </c>
      <c r="H20" s="359">
        <f>'0708'!AD58</f>
        <v>0</v>
      </c>
      <c r="I20" s="358">
        <f>'0708'!AD69</f>
        <v>0</v>
      </c>
      <c r="J20" s="358">
        <f>'0708'!AD79</f>
        <v>0</v>
      </c>
    </row>
    <row r="21" spans="2:10" ht="17.25" customHeight="1">
      <c r="B21" s="409"/>
      <c r="C21" s="330" t="s">
        <v>85</v>
      </c>
      <c r="D21" s="357">
        <f>'0708'!AE15</f>
        <v>0</v>
      </c>
      <c r="E21" s="358">
        <f>'0708'!AE26</f>
        <v>0</v>
      </c>
      <c r="F21" s="358">
        <f>'0708'!AE37</f>
        <v>0</v>
      </c>
      <c r="G21" s="359">
        <f>'0708'!AE48</f>
        <v>0</v>
      </c>
      <c r="H21" s="359">
        <f>'0708'!AE58</f>
        <v>0</v>
      </c>
      <c r="I21" s="358">
        <f>'0708'!AE69</f>
        <v>0</v>
      </c>
      <c r="J21" s="358">
        <f>'0708'!AE79</f>
        <v>0</v>
      </c>
    </row>
    <row r="22" spans="2:10" ht="17.25" customHeight="1">
      <c r="B22" s="392" t="s">
        <v>104</v>
      </c>
      <c r="C22" s="393"/>
      <c r="D22" s="23">
        <f>VALUE('0708'!M15)</f>
        <v>15.5</v>
      </c>
      <c r="E22" s="23">
        <f>VALUE('0708'!M26)</f>
        <v>14.142857142857142</v>
      </c>
      <c r="F22" s="23">
        <f>VALUE('0708'!M37)</f>
        <v>17.666666666666668</v>
      </c>
      <c r="G22" s="23">
        <f>VALUE('0708'!M48)</f>
        <v>17</v>
      </c>
      <c r="H22" s="23">
        <f>VALUE('0708'!M58)</f>
        <v>16.5</v>
      </c>
      <c r="I22" s="23">
        <f>VALUE('0708'!M69)</f>
        <v>12.333333333333334</v>
      </c>
      <c r="J22" s="23">
        <f>'0708'!M79</f>
        <v>13.333333333333334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K77" sqref="K77"/>
      <selection pane="topRight" activeCell="K77" sqref="K77"/>
      <selection pane="bottomLeft" activeCell="K77" sqref="K77"/>
      <selection pane="bottomRight" activeCell="K77" sqref="K7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65372</v>
      </c>
      <c r="F1" s="30" t="s">
        <v>2</v>
      </c>
      <c r="G1" s="31">
        <f>SUM(H5:H79)</f>
        <v>3042102.5159999994</v>
      </c>
      <c r="H1" s="32" t="s">
        <v>3</v>
      </c>
      <c r="I1" s="33">
        <f>M15+M26+M48+M58+M69+M79+M37</f>
        <v>106.47619047619047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159</v>
      </c>
      <c r="B2" s="418"/>
      <c r="C2" s="28"/>
      <c r="D2" s="28" t="s">
        <v>14</v>
      </c>
      <c r="E2" s="35">
        <f>AVERAGE(O15,O26,O37,O48,O58,O69,O79)</f>
        <v>113.40986253707958</v>
      </c>
      <c r="F2" s="36" t="s">
        <v>15</v>
      </c>
      <c r="G2" s="37">
        <f>G1/E1</f>
        <v>46.535252340451557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3748</v>
      </c>
      <c r="H5" s="43">
        <f>F5*G5</f>
        <v>189911.16</v>
      </c>
      <c r="I5" s="44"/>
      <c r="J5" s="45"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2141.7142857142753</v>
      </c>
      <c r="O5" s="47">
        <f>N5/M5</f>
        <v>133.85714285714221</v>
      </c>
      <c r="P5" s="49">
        <f>M5-J5</f>
        <v>0</v>
      </c>
      <c r="Q5" s="50">
        <f>O5-L5</f>
        <v>-6.7678571428577925</v>
      </c>
      <c r="R5" s="51">
        <f>O5/L5</f>
        <v>0.95187301587301121</v>
      </c>
      <c r="S5" s="412">
        <f>R15</f>
        <v>0.9218416449158543</v>
      </c>
      <c r="T5" s="319">
        <v>0.34375</v>
      </c>
      <c r="U5" s="320">
        <v>0.41666666666666702</v>
      </c>
      <c r="V5" s="53"/>
      <c r="W5" s="54">
        <f t="shared" ref="W5:W14" si="0">(U5-T5)*24*60</f>
        <v>105.00000000000051</v>
      </c>
      <c r="X5" s="55"/>
      <c r="Y5" s="290"/>
      <c r="Z5" s="169"/>
      <c r="AA5" s="169"/>
      <c r="AB5" s="464" t="s">
        <v>160</v>
      </c>
      <c r="AC5" s="464"/>
      <c r="AD5" s="135"/>
      <c r="AE5" s="135"/>
      <c r="AF5" s="229">
        <f t="shared" ref="AF5:AF11" si="1">N5-K5</f>
        <v>-108.28571428572468</v>
      </c>
      <c r="AG5" s="52">
        <f t="shared" ref="AG5:AG11" si="2">N5/K5</f>
        <v>0.95187301587301121</v>
      </c>
      <c r="AH5" s="457">
        <f>AG15</f>
        <v>0.9221284208606596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2793</v>
      </c>
      <c r="H6" s="63">
        <f>F6*G6</f>
        <v>137248.01999999999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2148.461538461524</v>
      </c>
      <c r="O6" s="67">
        <f>N6/M6</f>
        <v>143.23076923076826</v>
      </c>
      <c r="P6" s="69">
        <f>M6-J6</f>
        <v>0</v>
      </c>
      <c r="Q6" s="70">
        <f>O6-L6</f>
        <v>-6.7692307692317399</v>
      </c>
      <c r="R6" s="71">
        <f>O6/L6</f>
        <v>0.95487179487178842</v>
      </c>
      <c r="S6" s="413"/>
      <c r="T6" s="16">
        <v>0.42847222222222198</v>
      </c>
      <c r="U6" s="16">
        <v>0.48263888888888901</v>
      </c>
      <c r="V6" s="30">
        <f>(T6-U5)*24*60</f>
        <v>16.99999999999914</v>
      </c>
      <c r="W6" s="73">
        <f t="shared" si="0"/>
        <v>78.000000000000526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-101.53846153847599</v>
      </c>
      <c r="AG6" s="72">
        <f t="shared" si="2"/>
        <v>0.95487179487178842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1765</v>
      </c>
      <c r="H7" s="78">
        <f>F7*G7</f>
        <v>86732.1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1961.1111111111122</v>
      </c>
      <c r="O7" s="81">
        <f>N7/M7</f>
        <v>130.74074074074082</v>
      </c>
      <c r="P7" s="74">
        <f>M7-J7</f>
        <v>0</v>
      </c>
      <c r="Q7" s="83">
        <f>O7-L7</f>
        <v>-19.259259259259181</v>
      </c>
      <c r="R7" s="72">
        <f>O7/L7</f>
        <v>0.87160493827160546</v>
      </c>
      <c r="S7" s="413"/>
      <c r="T7" s="18">
        <v>0.54930555555555605</v>
      </c>
      <c r="U7" s="18">
        <v>0.58680555555555602</v>
      </c>
      <c r="V7" s="30">
        <f>(T7-U6)*24*60</f>
        <v>96.00000000000054</v>
      </c>
      <c r="W7" s="73">
        <f t="shared" si="0"/>
        <v>53.999999999999972</v>
      </c>
      <c r="X7" s="22"/>
      <c r="Y7" s="84"/>
      <c r="Z7" s="90"/>
      <c r="AA7" s="90"/>
      <c r="AB7" s="462" t="s">
        <v>161</v>
      </c>
      <c r="AC7" s="462"/>
      <c r="AD7" s="92"/>
      <c r="AE7" s="92"/>
      <c r="AF7" s="307">
        <f t="shared" si="1"/>
        <v>-288.88888888888778</v>
      </c>
      <c r="AG7" s="72">
        <f t="shared" si="2"/>
        <v>0.87160493827160546</v>
      </c>
      <c r="AH7" s="458"/>
    </row>
    <row r="8" spans="1:34" ht="15" customHeight="1">
      <c r="A8" s="424"/>
      <c r="B8" s="75" t="s">
        <v>81</v>
      </c>
      <c r="C8" s="76"/>
      <c r="D8" s="59" t="s">
        <v>153</v>
      </c>
      <c r="E8" s="77"/>
      <c r="F8" s="75">
        <f>VLOOKUP(D8,廠價表!$C$1:$E$43,3,0)</f>
        <v>50.67</v>
      </c>
      <c r="G8" s="66">
        <v>2082</v>
      </c>
      <c r="H8" s="78">
        <f>F8*G8</f>
        <v>105494.94</v>
      </c>
      <c r="I8" s="73"/>
      <c r="J8" s="79">
        <v>16</v>
      </c>
      <c r="K8" s="80">
        <f>VLOOKUP(D8,產線配置圖!$A$3:$C$40,3,0)</f>
        <v>2250</v>
      </c>
      <c r="L8" s="81">
        <f>K8/J8</f>
        <v>140.625</v>
      </c>
      <c r="M8" s="82">
        <v>16</v>
      </c>
      <c r="N8" s="80">
        <f>G8/W8*60</f>
        <v>2047.8688524590236</v>
      </c>
      <c r="O8" s="81">
        <f>N8/M8</f>
        <v>127.99180327868898</v>
      </c>
      <c r="P8" s="74">
        <f>M8-J8</f>
        <v>0</v>
      </c>
      <c r="Q8" s="83">
        <f>O8-L8</f>
        <v>-12.633196721311023</v>
      </c>
      <c r="R8" s="72">
        <f>O8/L8</f>
        <v>0.91016393442623278</v>
      </c>
      <c r="S8" s="413"/>
      <c r="T8" s="16">
        <v>0.59722222222222199</v>
      </c>
      <c r="U8" s="16">
        <v>0.63958333333333295</v>
      </c>
      <c r="V8" s="30">
        <f>(T8-U7)*24*60</f>
        <v>14.999999999998987</v>
      </c>
      <c r="W8" s="73">
        <f t="shared" si="0"/>
        <v>60.999999999999787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-202.13114754097637</v>
      </c>
      <c r="AG8" s="72">
        <f t="shared" si="2"/>
        <v>0.91016393442623278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15.5</v>
      </c>
      <c r="K15" s="120">
        <f t="shared" si="3"/>
        <v>2250</v>
      </c>
      <c r="L15" s="117">
        <f t="shared" si="3"/>
        <v>145.3125</v>
      </c>
      <c r="M15" s="120">
        <f t="shared" si="3"/>
        <v>15.5</v>
      </c>
      <c r="N15" s="120">
        <f t="shared" si="3"/>
        <v>2074.7889469364841</v>
      </c>
      <c r="O15" s="117">
        <f t="shared" si="3"/>
        <v>133.95511402683508</v>
      </c>
      <c r="P15" s="121">
        <f>M15-J15</f>
        <v>0</v>
      </c>
      <c r="Q15" s="122">
        <f>O15-L15</f>
        <v>-11.357385973164924</v>
      </c>
      <c r="R15" s="123">
        <f>O15/L15</f>
        <v>0.9218416449158543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-175.21105306351592</v>
      </c>
      <c r="AG15" s="124">
        <f>N15/K15</f>
        <v>0.9221284208606596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2293</v>
      </c>
      <c r="H16" s="134">
        <f>F16*G16</f>
        <v>116186.31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2149.6875000000209</v>
      </c>
      <c r="O16" s="141">
        <f>N16/M16</f>
        <v>153.54910714285865</v>
      </c>
      <c r="P16" s="142">
        <f>M16-J16</f>
        <v>0</v>
      </c>
      <c r="Q16" s="143">
        <f>O16-L16</f>
        <v>-7.1651785714270773</v>
      </c>
      <c r="R16" s="144">
        <f>O16/L16</f>
        <v>0.95541666666667602</v>
      </c>
      <c r="S16" s="468">
        <f>R26</f>
        <v>0.87022923767403149</v>
      </c>
      <c r="T16" s="145">
        <v>0.29305555555555601</v>
      </c>
      <c r="U16" s="145">
        <v>0.33750000000000002</v>
      </c>
      <c r="V16" s="135"/>
      <c r="W16" s="146">
        <f t="shared" ref="W16:W78" si="4">(U16-T16)*24*60</f>
        <v>63.999999999999375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-100.31249999997908</v>
      </c>
      <c r="AG16" s="52">
        <f>N16/K16</f>
        <v>0.95541666666667602</v>
      </c>
      <c r="AH16" s="457">
        <f>AG26</f>
        <v>0.86998229502083124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2999</v>
      </c>
      <c r="H17" s="78">
        <f>F17*G17</f>
        <v>170553.13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2068.2758620689538</v>
      </c>
      <c r="O17" s="96">
        <f>N17/M17</f>
        <v>137.88505747126359</v>
      </c>
      <c r="P17" s="97">
        <f>M17-J17</f>
        <v>0</v>
      </c>
      <c r="Q17" s="98">
        <f>O17-L17</f>
        <v>-12.114942528736407</v>
      </c>
      <c r="R17" s="99">
        <f>O17/L17</f>
        <v>0.91923371647509067</v>
      </c>
      <c r="S17" s="469"/>
      <c r="T17" s="19">
        <v>0.344444444444444</v>
      </c>
      <c r="U17" s="19">
        <v>0.40486111111111101</v>
      </c>
      <c r="V17" s="30">
        <f>(T17-U16)*24*60</f>
        <v>9.999999999999325</v>
      </c>
      <c r="W17" s="149">
        <f t="shared" si="4"/>
        <v>87.000000000000483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-181.72413793104624</v>
      </c>
      <c r="AG17" s="72">
        <f>N17/K17</f>
        <v>0.91923371647509056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1683</v>
      </c>
      <c r="H18" s="78">
        <f>F18*G18</f>
        <v>97900.11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2103.7500000000177</v>
      </c>
      <c r="O18" s="96">
        <f>N18/M18</f>
        <v>140.25000000000119</v>
      </c>
      <c r="P18" s="97">
        <f>M18-J18</f>
        <v>0</v>
      </c>
      <c r="Q18" s="98">
        <f>O18-L18</f>
        <v>-9.7499999999988063</v>
      </c>
      <c r="R18" s="99">
        <f>O18/L18</f>
        <v>0.93500000000000794</v>
      </c>
      <c r="S18" s="469"/>
      <c r="T18" s="19">
        <v>0.41249999999999998</v>
      </c>
      <c r="U18" s="19">
        <v>0.44583333333333303</v>
      </c>
      <c r="V18" s="30">
        <f>(T18-U17)*24*60</f>
        <v>11.000000000000121</v>
      </c>
      <c r="W18" s="149">
        <f t="shared" si="4"/>
        <v>47.999999999999588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-146.24999999998226</v>
      </c>
      <c r="AG18" s="72">
        <f>N18/K18</f>
        <v>0.93500000000000794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1464</v>
      </c>
      <c r="H19" s="78">
        <f t="shared" ref="H19:H22" si="5">F19*G19</f>
        <v>73770.960000000006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2" si="6">K19/J19</f>
        <v>173.07692307692307</v>
      </c>
      <c r="M19" s="148">
        <v>13</v>
      </c>
      <c r="N19" s="95">
        <f t="shared" ref="N19:N22" si="7">G19/W19*60</f>
        <v>2042.7906976744262</v>
      </c>
      <c r="O19" s="96">
        <f t="shared" ref="O19:O22" si="8">N19/M19</f>
        <v>157.13774597495586</v>
      </c>
      <c r="P19" s="97">
        <f t="shared" ref="P19:P22" si="9">M19-J19</f>
        <v>0</v>
      </c>
      <c r="Q19" s="98">
        <f t="shared" ref="Q19:Q22" si="10">O19-L19</f>
        <v>-15.939177101967203</v>
      </c>
      <c r="R19" s="99">
        <f t="shared" ref="R19:R22" si="11">O19/L19</f>
        <v>0.90790697674418952</v>
      </c>
      <c r="S19" s="469"/>
      <c r="T19" s="19">
        <v>0.452777777777778</v>
      </c>
      <c r="U19" s="19">
        <v>0.48263888888888901</v>
      </c>
      <c r="V19" s="30">
        <f>(T19-U18)*24*60</f>
        <v>10.000000000000764</v>
      </c>
      <c r="W19" s="149">
        <f t="shared" si="4"/>
        <v>42.999999999999844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-207.20930232557384</v>
      </c>
      <c r="AG19" s="72">
        <f>N19/K19</f>
        <v>0.90790697674418941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3318</v>
      </c>
      <c r="H20" s="78">
        <f t="shared" si="5"/>
        <v>167194.01999999999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1951.76470588236</v>
      </c>
      <c r="O20" s="96">
        <f t="shared" si="8"/>
        <v>150.13574660633537</v>
      </c>
      <c r="P20" s="97">
        <f t="shared" si="9"/>
        <v>0</v>
      </c>
      <c r="Q20" s="98">
        <f t="shared" si="10"/>
        <v>-22.941176470587692</v>
      </c>
      <c r="R20" s="99">
        <f t="shared" si="11"/>
        <v>0.86745098039215995</v>
      </c>
      <c r="S20" s="469"/>
      <c r="T20" s="19">
        <v>0.54166666666666696</v>
      </c>
      <c r="U20" s="19">
        <v>0.61250000000000004</v>
      </c>
      <c r="V20" s="30">
        <f>(T20-U19)*24*60</f>
        <v>85.000000000000256</v>
      </c>
      <c r="W20" s="149">
        <f t="shared" si="4"/>
        <v>101.99999999999963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607</v>
      </c>
      <c r="H21" s="78">
        <f t="shared" si="5"/>
        <v>35309.19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6"/>
        <v>150</v>
      </c>
      <c r="M21" s="148">
        <v>15</v>
      </c>
      <c r="N21" s="95">
        <f t="shared" si="7"/>
        <v>1734.2857142856412</v>
      </c>
      <c r="O21" s="96">
        <f t="shared" si="8"/>
        <v>115.61904761904275</v>
      </c>
      <c r="P21" s="97">
        <f t="shared" si="9"/>
        <v>0</v>
      </c>
      <c r="Q21" s="98">
        <f t="shared" si="10"/>
        <v>-34.380952380957254</v>
      </c>
      <c r="R21" s="99">
        <f t="shared" si="11"/>
        <v>0.77079365079361828</v>
      </c>
      <c r="S21" s="469"/>
      <c r="T21" s="19">
        <v>0.62083333333333302</v>
      </c>
      <c r="U21" s="19">
        <v>0.63541666666666696</v>
      </c>
      <c r="V21" s="30">
        <f t="shared" ref="V21:V22" si="12">(T21-U20)*24*60</f>
        <v>11.999999999999478</v>
      </c>
      <c r="W21" s="149">
        <f t="shared" si="4"/>
        <v>21.000000000000885</v>
      </c>
      <c r="X21" s="92"/>
      <c r="Y21" s="298"/>
      <c r="Z21" s="90"/>
      <c r="AA21" s="90"/>
      <c r="AB21" s="462" t="s">
        <v>143</v>
      </c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 t="s">
        <v>81</v>
      </c>
      <c r="C22" s="151"/>
      <c r="D22" s="59" t="s">
        <v>118</v>
      </c>
      <c r="E22" s="87"/>
      <c r="F22" s="75">
        <f>VLOOKUP(D22,廠價表!$C$1:$E$43,3,0)</f>
        <v>50.67</v>
      </c>
      <c r="G22" s="95">
        <v>991</v>
      </c>
      <c r="H22" s="78">
        <f t="shared" si="5"/>
        <v>50213.97</v>
      </c>
      <c r="I22" s="30"/>
      <c r="J22" s="79">
        <f>VLOOKUP(D22,產線配置圖!$A$3:$C$40,2,0)</f>
        <v>14</v>
      </c>
      <c r="K22" s="80">
        <f>VLOOKUP(D22,產線配置圖!$A$3:$C$40,3,0)</f>
        <v>2250</v>
      </c>
      <c r="L22" s="81">
        <f t="shared" si="6"/>
        <v>160.71428571428572</v>
      </c>
      <c r="M22" s="148">
        <v>14</v>
      </c>
      <c r="N22" s="95">
        <f t="shared" si="7"/>
        <v>1651.6666666666724</v>
      </c>
      <c r="O22" s="96">
        <f t="shared" si="8"/>
        <v>117.97619047619089</v>
      </c>
      <c r="P22" s="97">
        <f t="shared" si="9"/>
        <v>0</v>
      </c>
      <c r="Q22" s="98">
        <f t="shared" si="10"/>
        <v>-42.738095238094829</v>
      </c>
      <c r="R22" s="99">
        <f t="shared" si="11"/>
        <v>0.73407407407407665</v>
      </c>
      <c r="S22" s="469"/>
      <c r="T22" s="19">
        <v>0.64166666666666705</v>
      </c>
      <c r="U22" s="19">
        <v>0.66666666666666696</v>
      </c>
      <c r="V22" s="30">
        <f t="shared" si="12"/>
        <v>9.0000000000001279</v>
      </c>
      <c r="W22" s="149">
        <f t="shared" si="4"/>
        <v>35.999999999999872</v>
      </c>
      <c r="X22" s="92"/>
      <c r="Y22" s="298"/>
      <c r="Z22" s="90"/>
      <c r="AA22" s="90"/>
      <c r="AB22" s="462" t="s">
        <v>143</v>
      </c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9"/>
      <c r="U23" s="19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3">AVERAGE(J16:J25)</f>
        <v>14.142857142857142</v>
      </c>
      <c r="K26" s="155">
        <f t="shared" si="13"/>
        <v>2250</v>
      </c>
      <c r="L26" s="158">
        <f t="shared" si="13"/>
        <v>159.6546310832025</v>
      </c>
      <c r="M26" s="155">
        <f t="shared" si="13"/>
        <v>14.142857142857142</v>
      </c>
      <c r="N26" s="155">
        <f t="shared" si="13"/>
        <v>1957.4601637968703</v>
      </c>
      <c r="O26" s="158">
        <f t="shared" si="13"/>
        <v>138.93612789866404</v>
      </c>
      <c r="P26" s="159">
        <f>M26-J26</f>
        <v>0</v>
      </c>
      <c r="Q26" s="160">
        <f>O26-L26</f>
        <v>-20.718503184538463</v>
      </c>
      <c r="R26" s="161">
        <f>O26/L26</f>
        <v>0.87022923767403149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4">N26-K26</f>
        <v>-292.53983620312965</v>
      </c>
      <c r="AG26" s="124">
        <f t="shared" ref="AG26:AG31" si="15">N26/K26</f>
        <v>0.86998229502083124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1651</v>
      </c>
      <c r="H27" s="134">
        <f>F27*G27</f>
        <v>75384.659999999989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1572.3809523809541</v>
      </c>
      <c r="O27" s="141">
        <f>N27/M27</f>
        <v>92.49299719887965</v>
      </c>
      <c r="P27" s="142">
        <f>M27-J27</f>
        <v>0</v>
      </c>
      <c r="Q27" s="143">
        <f>O27-L27</f>
        <v>-3.7422969187674084</v>
      </c>
      <c r="R27" s="144">
        <f>O27/L27</f>
        <v>0.9611130515776003</v>
      </c>
      <c r="S27" s="468">
        <f>R37</f>
        <v>0.91075822415846708</v>
      </c>
      <c r="T27" s="171">
        <v>0.28958333333333303</v>
      </c>
      <c r="U27" s="171">
        <v>0.33333333333333298</v>
      </c>
      <c r="V27" s="135"/>
      <c r="W27" s="146">
        <f t="shared" si="4"/>
        <v>62.999999999999936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4"/>
        <v>-63.619047619045887</v>
      </c>
      <c r="AG27" s="172">
        <f t="shared" si="15"/>
        <v>0.9611130515776003</v>
      </c>
      <c r="AH27" s="457">
        <f>AG37</f>
        <v>0.94827602124152988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1434</v>
      </c>
      <c r="H28" s="91">
        <f>F28*G28</f>
        <v>66451.56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18</v>
      </c>
      <c r="N28" s="95">
        <f>G28/W28*60</f>
        <v>1509.4736842105403</v>
      </c>
      <c r="O28" s="96">
        <f>N28/M28</f>
        <v>83.859649122807795</v>
      </c>
      <c r="P28" s="97">
        <f>M28-J28</f>
        <v>2</v>
      </c>
      <c r="Q28" s="98">
        <f>O28-L28</f>
        <v>-18.390350877192205</v>
      </c>
      <c r="R28" s="99">
        <f>O28/L28</f>
        <v>0.82014326770472168</v>
      </c>
      <c r="S28" s="469"/>
      <c r="T28" s="19">
        <v>0.33888888888888902</v>
      </c>
      <c r="U28" s="19">
        <v>0.37847222222222199</v>
      </c>
      <c r="V28" s="92">
        <f>(T28-U27)*24*60</f>
        <v>8.000000000000691</v>
      </c>
      <c r="W28" s="149">
        <f t="shared" si="4"/>
        <v>56.999999999999474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4"/>
        <v>-126.52631578945966</v>
      </c>
      <c r="AG28" s="99">
        <f t="shared" si="15"/>
        <v>0.92266117616781196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1094</v>
      </c>
      <c r="H29" s="91">
        <f>F29*G29</f>
        <v>62587.74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1562.8571428571813</v>
      </c>
      <c r="O29" s="96">
        <f>N29/M29</f>
        <v>86.825396825398968</v>
      </c>
      <c r="P29" s="97">
        <f>M29-J29</f>
        <v>0</v>
      </c>
      <c r="Q29" s="98">
        <f>O29-L29</f>
        <v>-4.0634920634899174</v>
      </c>
      <c r="R29" s="99">
        <f>O29/L29</f>
        <v>0.95529165211319167</v>
      </c>
      <c r="S29" s="469"/>
      <c r="T29" s="19">
        <v>0.38402777777777802</v>
      </c>
      <c r="U29" s="19">
        <v>0.41319444444444398</v>
      </c>
      <c r="V29" s="92">
        <f>(T29-U28)*24*60</f>
        <v>8.000000000000691</v>
      </c>
      <c r="W29" s="149">
        <f t="shared" si="4"/>
        <v>41.99999999999897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4"/>
        <v>-73.142857142818684</v>
      </c>
      <c r="AG29" s="99">
        <f t="shared" si="15"/>
        <v>0.95529165211319156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2166</v>
      </c>
      <c r="H30" s="91">
        <f t="shared" ref="H30:H32" si="16">F30*G30</f>
        <v>123916.86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7">K30/J30</f>
        <v>90.888888888888886</v>
      </c>
      <c r="M30" s="94">
        <v>18</v>
      </c>
      <c r="N30" s="95">
        <f t="shared" ref="N30:N32" si="18">G30/W30*60</f>
        <v>1528.9411764705821</v>
      </c>
      <c r="O30" s="96">
        <f t="shared" ref="O30:O32" si="19">N30/M30</f>
        <v>84.941176470587891</v>
      </c>
      <c r="P30" s="97">
        <f t="shared" ref="P30:P32" si="20">M30-J30</f>
        <v>0</v>
      </c>
      <c r="Q30" s="98">
        <f t="shared" ref="Q30:Q32" si="21">O30-L30</f>
        <v>-5.9477124183009948</v>
      </c>
      <c r="R30" s="99">
        <f t="shared" ref="R30:R32" si="22">O30/L30</f>
        <v>0.93456062131453677</v>
      </c>
      <c r="S30" s="469"/>
      <c r="T30" s="19">
        <v>0.41875000000000001</v>
      </c>
      <c r="U30" s="19">
        <v>0.47777777777777802</v>
      </c>
      <c r="V30" s="92">
        <f>(T30-U29)*24*60</f>
        <v>8.000000000000691</v>
      </c>
      <c r="W30" s="149">
        <f t="shared" si="4"/>
        <v>85.000000000000341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4"/>
        <v>-107.05882352941785</v>
      </c>
      <c r="AG30" s="99">
        <f t="shared" si="15"/>
        <v>0.93456062131453677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3200</v>
      </c>
      <c r="H31" s="91">
        <f t="shared" si="16"/>
        <v>148288</v>
      </c>
      <c r="I31" s="92"/>
      <c r="J31" s="79">
        <f>VLOOKUP(D31,產線配置圖!$A$3:$C$40,2,0)</f>
        <v>16</v>
      </c>
      <c r="K31" s="80">
        <v>1636</v>
      </c>
      <c r="L31" s="93">
        <f t="shared" si="17"/>
        <v>102.25</v>
      </c>
      <c r="M31" s="94">
        <v>18</v>
      </c>
      <c r="N31" s="95">
        <f t="shared" si="18"/>
        <v>1655.1724137930933</v>
      </c>
      <c r="O31" s="96">
        <f t="shared" si="19"/>
        <v>91.954022988505187</v>
      </c>
      <c r="P31" s="97">
        <f t="shared" si="20"/>
        <v>2</v>
      </c>
      <c r="Q31" s="98">
        <f t="shared" si="21"/>
        <v>-10.295977011494813</v>
      </c>
      <c r="R31" s="99">
        <f t="shared" si="22"/>
        <v>0.89930584829833926</v>
      </c>
      <c r="S31" s="469"/>
      <c r="T31" s="19">
        <v>0.53333333333333299</v>
      </c>
      <c r="U31" s="19">
        <v>0.61388888888888904</v>
      </c>
      <c r="V31" s="92">
        <f>(T31-U30)*24*60</f>
        <v>79.999999999999162</v>
      </c>
      <c r="W31" s="149">
        <f t="shared" si="4"/>
        <v>116.00000000000071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4"/>
        <v>19.172413793093256</v>
      </c>
      <c r="AG31" s="99">
        <f t="shared" si="15"/>
        <v>1.0117190793356317</v>
      </c>
      <c r="AH31" s="459"/>
    </row>
    <row r="32" spans="1:34" ht="15" customHeight="1">
      <c r="A32" s="466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1800</v>
      </c>
      <c r="H32" s="91">
        <f t="shared" si="16"/>
        <v>82188</v>
      </c>
      <c r="I32" s="92"/>
      <c r="J32" s="79">
        <f>VLOOKUP(D32,產線配置圖!$A$3:$C$40,2,0)</f>
        <v>17</v>
      </c>
      <c r="K32" s="80">
        <v>1636</v>
      </c>
      <c r="L32" s="93">
        <f t="shared" si="17"/>
        <v>96.235294117647058</v>
      </c>
      <c r="M32" s="94">
        <v>17</v>
      </c>
      <c r="N32" s="95">
        <f t="shared" si="18"/>
        <v>1479.4520547945065</v>
      </c>
      <c r="O32" s="96">
        <f t="shared" si="19"/>
        <v>87.026591458500377</v>
      </c>
      <c r="P32" s="97">
        <f t="shared" si="20"/>
        <v>0</v>
      </c>
      <c r="Q32" s="98">
        <f t="shared" si="21"/>
        <v>-9.208702659146681</v>
      </c>
      <c r="R32" s="99">
        <f t="shared" si="22"/>
        <v>0.90431054694040736</v>
      </c>
      <c r="S32" s="469"/>
      <c r="T32" s="19">
        <v>0.61944444444444402</v>
      </c>
      <c r="U32" s="19">
        <v>0.67013888888888895</v>
      </c>
      <c r="V32" s="92">
        <f>(T32-U31)*24*60</f>
        <v>7.9999999999991722</v>
      </c>
      <c r="W32" s="149">
        <f t="shared" si="4"/>
        <v>73.000000000000696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2" t="s">
        <v>162</v>
      </c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1636</v>
      </c>
      <c r="L37" s="158">
        <f t="shared" si="23"/>
        <v>96.458061002178667</v>
      </c>
      <c r="M37" s="155">
        <f t="shared" si="23"/>
        <v>17.666666666666668</v>
      </c>
      <c r="N37" s="155">
        <f t="shared" si="23"/>
        <v>1551.3795707511429</v>
      </c>
      <c r="O37" s="158">
        <f t="shared" si="23"/>
        <v>87.849972344113326</v>
      </c>
      <c r="P37" s="159">
        <f>M37-J37</f>
        <v>0.66666666666666785</v>
      </c>
      <c r="Q37" s="160">
        <f>N37-K37</f>
        <v>-84.620429248857135</v>
      </c>
      <c r="R37" s="161">
        <f>O37/L37</f>
        <v>0.91075822415846708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-84.620429248857135</v>
      </c>
      <c r="AG37" s="124">
        <f>N37/K37</f>
        <v>0.94827602124152988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2990</v>
      </c>
      <c r="H38" s="134">
        <f>F38*G38</f>
        <v>149230.9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1601.7857142857097</v>
      </c>
      <c r="O38" s="141">
        <f>N38/M38</f>
        <v>106.78571428571398</v>
      </c>
      <c r="P38" s="142">
        <f>M38-J38</f>
        <v>0</v>
      </c>
      <c r="Q38" s="143">
        <f>O38-L38</f>
        <v>-7.4809523809526866</v>
      </c>
      <c r="R38" s="144">
        <f>O38/L38</f>
        <v>0.9345307551258516</v>
      </c>
      <c r="S38" s="490">
        <f>R48</f>
        <v>0.93327620402807898</v>
      </c>
      <c r="T38" s="191">
        <v>0.33333333333333298</v>
      </c>
      <c r="U38" s="191">
        <v>0.41111111111111098</v>
      </c>
      <c r="V38" s="192"/>
      <c r="W38" s="193">
        <f t="shared" si="4"/>
        <v>112.00000000000033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-112.21428571429033</v>
      </c>
      <c r="AG38" s="195">
        <f>N38/K38</f>
        <v>0.9345307551258516</v>
      </c>
      <c r="AH38" s="480">
        <f>AG48</f>
        <v>0.93318995049492304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2303</v>
      </c>
      <c r="H39" s="91">
        <f>F39*G39</f>
        <v>102022.9</v>
      </c>
      <c r="I39" s="200"/>
      <c r="J39" s="148"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1501.956521739128</v>
      </c>
      <c r="O39" s="203">
        <f>N39/M39</f>
        <v>83.442028985507108</v>
      </c>
      <c r="P39" s="97">
        <f>M39-J39</f>
        <v>0</v>
      </c>
      <c r="Q39" s="98">
        <f>O39-L39</f>
        <v>-7.4468599033817782</v>
      </c>
      <c r="R39" s="99">
        <f>O39/L39</f>
        <v>0.91806633358137413</v>
      </c>
      <c r="S39" s="491"/>
      <c r="T39" s="20">
        <v>0.422222222222222</v>
      </c>
      <c r="U39" s="20">
        <v>0.48611111111111099</v>
      </c>
      <c r="V39" s="92">
        <f>(T39-U38)*24*60</f>
        <v>15.999999999999863</v>
      </c>
      <c r="W39" s="205">
        <f t="shared" si="4"/>
        <v>92.000000000000156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-134.04347826087201</v>
      </c>
      <c r="AG39" s="206">
        <f>N39/K39</f>
        <v>0.91806633358137413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2711</v>
      </c>
      <c r="H40" s="91">
        <f>F40*G40</f>
        <v>120097.29999999999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1549.1428571428485</v>
      </c>
      <c r="O40" s="203">
        <f>N40/M40</f>
        <v>86.06349206349158</v>
      </c>
      <c r="P40" s="97">
        <f>M40-J40</f>
        <v>0</v>
      </c>
      <c r="Q40" s="98">
        <f>O40-L40</f>
        <v>-4.8253968253973056</v>
      </c>
      <c r="R40" s="99">
        <f>O40/L40</f>
        <v>0.94690883688438177</v>
      </c>
      <c r="S40" s="413"/>
      <c r="T40" s="20">
        <v>0.54513888888888895</v>
      </c>
      <c r="U40" s="20">
        <v>0.61805555555555602</v>
      </c>
      <c r="V40" s="92">
        <f>(T40-U39)*24*60</f>
        <v>85.000000000000256</v>
      </c>
      <c r="W40" s="205">
        <f t="shared" si="4"/>
        <v>105.00000000000058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-86.85714285715153</v>
      </c>
      <c r="AG40" s="206">
        <f>N40/K40</f>
        <v>0.94690883688438165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1550.9616977225621</v>
      </c>
      <c r="O48" s="158">
        <f t="shared" si="24"/>
        <v>92.097078444904227</v>
      </c>
      <c r="P48" s="221">
        <f>M48-J48</f>
        <v>0</v>
      </c>
      <c r="Q48" s="222">
        <f>N48-K48</f>
        <v>-111.03830227743788</v>
      </c>
      <c r="R48" s="223">
        <f>O48/L48</f>
        <v>0.93327620402807898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-111.03830227743788</v>
      </c>
      <c r="AG48" s="162">
        <f t="shared" ref="AG48:AG53" si="26">N48/K48</f>
        <v>0.93318995049492304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2100</v>
      </c>
      <c r="H49" s="134">
        <f>F49*G49</f>
        <v>103992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1680.0000000000116</v>
      </c>
      <c r="O49" s="141">
        <f>N49/M49</f>
        <v>98.823529411765392</v>
      </c>
      <c r="P49" s="229">
        <f>M49-J49</f>
        <v>0</v>
      </c>
      <c r="Q49" s="230">
        <f>O49-L49</f>
        <v>-7.0588235294110717</v>
      </c>
      <c r="R49" s="52">
        <f>O49/L49</f>
        <v>0.9333333333333399</v>
      </c>
      <c r="S49" s="412">
        <f>R58</f>
        <v>0.90430993588272823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-119.9999999999884</v>
      </c>
      <c r="AG49" s="52">
        <f t="shared" si="26"/>
        <v>0.93333333333333979</v>
      </c>
      <c r="AH49" s="457">
        <f>AG58</f>
        <v>0.90512286021098465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2744</v>
      </c>
      <c r="H50" s="231">
        <f>F50*G50</f>
        <v>137993.016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1524.4444444444443</v>
      </c>
      <c r="O50" s="235">
        <f>N50/M50</f>
        <v>89.673202614379079</v>
      </c>
      <c r="P50" s="74">
        <f>M50-J50</f>
        <v>0</v>
      </c>
      <c r="Q50" s="83">
        <f>O50-L50</f>
        <v>-6.562091503267979</v>
      </c>
      <c r="R50" s="72">
        <f>O50/L50</f>
        <v>0.93181200760662863</v>
      </c>
      <c r="S50" s="413"/>
      <c r="T50" s="21">
        <v>0.35555555555555601</v>
      </c>
      <c r="U50" s="21">
        <v>0.43055555555555602</v>
      </c>
      <c r="V50" s="30">
        <f>(T50-U49)*24*60</f>
        <v>17.000000000000661</v>
      </c>
      <c r="W50" s="236">
        <f t="shared" si="4"/>
        <v>108.00000000000001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-111.55555555555566</v>
      </c>
      <c r="AG50" s="72">
        <f t="shared" si="26"/>
        <v>0.93181200760662852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1003</v>
      </c>
      <c r="H51" s="231">
        <f>F51*G51</f>
        <v>50119.909999999996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1543.0769230769411</v>
      </c>
      <c r="O51" s="235">
        <f>N51/M51</f>
        <v>96.442307692308816</v>
      </c>
      <c r="P51" s="74">
        <f>M51-J51</f>
        <v>0</v>
      </c>
      <c r="Q51" s="83">
        <f>O51-L51</f>
        <v>-16.057692307691184</v>
      </c>
      <c r="R51" s="72">
        <f>O51/L51</f>
        <v>0.85726495726496721</v>
      </c>
      <c r="S51" s="413"/>
      <c r="T51" s="21">
        <v>0.4375</v>
      </c>
      <c r="U51" s="19">
        <v>0.46458333333333302</v>
      </c>
      <c r="V51" s="30">
        <f>(T51-U50)*24*60</f>
        <v>9.999999999999325</v>
      </c>
      <c r="W51" s="236">
        <f t="shared" si="4"/>
        <v>38.999999999999545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-256.92307692305894</v>
      </c>
      <c r="AG51" s="72">
        <f t="shared" si="26"/>
        <v>0.85726495726496721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3512</v>
      </c>
      <c r="H52" s="231">
        <f>F52*G52</f>
        <v>175494.63999999998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1620.9230769230908</v>
      </c>
      <c r="O52" s="235">
        <f>N52/M52</f>
        <v>101.30769230769317</v>
      </c>
      <c r="P52" s="74">
        <f>M52-J52</f>
        <v>0</v>
      </c>
      <c r="Q52" s="83">
        <f>O52-L52</f>
        <v>-11.192307692306827</v>
      </c>
      <c r="R52" s="72">
        <f>O52/L52</f>
        <v>0.90051282051282822</v>
      </c>
      <c r="S52" s="413"/>
      <c r="T52" s="21">
        <v>0.52430555555555602</v>
      </c>
      <c r="U52" s="21">
        <v>0.61458333333333304</v>
      </c>
      <c r="V52" s="30">
        <f>(T52-U51)*24*60</f>
        <v>86.000000000001137</v>
      </c>
      <c r="W52" s="236">
        <f t="shared" si="4"/>
        <v>129.99999999999889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-179.07692307690922</v>
      </c>
      <c r="AG52" s="72">
        <f t="shared" si="26"/>
        <v>0.90051282051282822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1592.111111111122</v>
      </c>
      <c r="O58" s="117">
        <f t="shared" si="27"/>
        <v>96.561683006536612</v>
      </c>
      <c r="P58" s="121">
        <f>M58-J58</f>
        <v>0</v>
      </c>
      <c r="Q58" s="122">
        <f>N58-K58</f>
        <v>-166.888888888878</v>
      </c>
      <c r="R58" s="123">
        <f>O58/L58</f>
        <v>0.90430993588272823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-166.888888888878</v>
      </c>
      <c r="AG58" s="124">
        <f>N58/K58</f>
        <v>0.90512286021098465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3572</v>
      </c>
      <c r="H59" s="243">
        <f>F59*G59</f>
        <v>96408.28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1541.8705035971188</v>
      </c>
      <c r="O59" s="138">
        <f>N59/M59</f>
        <v>102.79136690647459</v>
      </c>
      <c r="P59" s="56">
        <f>M59-J59</f>
        <v>0</v>
      </c>
      <c r="Q59" s="230">
        <f>O59-L59</f>
        <v>-6.2752997601920697</v>
      </c>
      <c r="R59" s="52">
        <f>O59/L59</f>
        <v>0.9424636330055739</v>
      </c>
      <c r="S59" s="412">
        <f>R69</f>
        <v>0.89440981397855346</v>
      </c>
      <c r="T59" s="245">
        <v>0.29236111111111102</v>
      </c>
      <c r="U59" s="245">
        <v>0.38888888888888901</v>
      </c>
      <c r="V59" s="55"/>
      <c r="W59" s="54">
        <f t="shared" si="4"/>
        <v>139.00000000000031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-94.129496402881159</v>
      </c>
      <c r="AG59" s="246">
        <f>N59/K59</f>
        <v>0.9424636330055739</v>
      </c>
      <c r="AH59" s="457">
        <f>AG69</f>
        <v>0.89868126455873287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1709</v>
      </c>
      <c r="H60" s="78">
        <f>F60*G60</f>
        <v>48296.340000000004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1464.8571428571465</v>
      </c>
      <c r="O60" s="81">
        <f>N60/M60</f>
        <v>133.1688311688315</v>
      </c>
      <c r="P60" s="74">
        <f>M60-J60</f>
        <v>0</v>
      </c>
      <c r="Q60" s="83">
        <f>O60-L60</f>
        <v>-15.558441558441217</v>
      </c>
      <c r="R60" s="72">
        <f>O60/L60</f>
        <v>0.89538945162417272</v>
      </c>
      <c r="S60" s="502"/>
      <c r="T60" s="22">
        <v>0.39583333333333298</v>
      </c>
      <c r="U60" s="22">
        <v>0.44444444444444398</v>
      </c>
      <c r="V60" s="30">
        <f>(T60-U59)*24*60</f>
        <v>9.999999999999325</v>
      </c>
      <c r="W60" s="248">
        <f t="shared" si="4"/>
        <v>69.999999999999829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-171.14285714285347</v>
      </c>
      <c r="AG60" s="249">
        <f>N60/K60</f>
        <v>0.89538945162417272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1989</v>
      </c>
      <c r="H61" s="254">
        <f>F61*G61</f>
        <v>56209.140000000007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1403.9999999999959</v>
      </c>
      <c r="O61" s="238">
        <f>N61/M61</f>
        <v>127.63636363636327</v>
      </c>
      <c r="P61" s="111">
        <f>M61-J61</f>
        <v>0</v>
      </c>
      <c r="Q61" s="255">
        <f>O61-L61</f>
        <v>-21.090909090909449</v>
      </c>
      <c r="R61" s="85">
        <f>O61/L61</f>
        <v>0.85819070904645234</v>
      </c>
      <c r="S61" s="413"/>
      <c r="T61" s="22">
        <v>0.45138888888888901</v>
      </c>
      <c r="U61" s="22">
        <v>0.51041666666666696</v>
      </c>
      <c r="V61" s="30">
        <f>(T61-U60)*24*60</f>
        <v>10.000000000000844</v>
      </c>
      <c r="W61" s="256">
        <f t="shared" si="4"/>
        <v>85.000000000000256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-232.00000000000409</v>
      </c>
      <c r="AG61" s="247">
        <f>N61/K61</f>
        <v>0.85819070904645223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1470.242548818087</v>
      </c>
      <c r="O69" s="268">
        <f t="shared" si="28"/>
        <v>121.1988539038898</v>
      </c>
      <c r="P69" s="269">
        <f>M69-J69</f>
        <v>0</v>
      </c>
      <c r="Q69" s="222">
        <f>N69-K69</f>
        <v>-165.75745118191298</v>
      </c>
      <c r="R69" s="123">
        <f>O69/L69</f>
        <v>0.89440981397855346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-165.75745118191298</v>
      </c>
      <c r="AG69" s="124">
        <f>N69/K69</f>
        <v>0.89868126455873287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3813</v>
      </c>
      <c r="H70" s="243">
        <f>F70*G70</f>
        <v>107755.38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1292.5423728813525</v>
      </c>
      <c r="O70" s="138">
        <f>N70/M70</f>
        <v>143.61581920903916</v>
      </c>
      <c r="P70" s="56">
        <f>M70-J70</f>
        <v>-2</v>
      </c>
      <c r="Q70" s="230">
        <f>O70-L70</f>
        <v>-5.1114535182335601</v>
      </c>
      <c r="R70" s="52">
        <f>O70/L70</f>
        <v>0.96563203624659588</v>
      </c>
      <c r="S70" s="412">
        <f>R79</f>
        <v>0.89448710114236374</v>
      </c>
      <c r="T70" s="245">
        <v>0.29375000000000001</v>
      </c>
      <c r="U70" s="245">
        <v>0.41666666666666702</v>
      </c>
      <c r="V70" s="55"/>
      <c r="W70" s="54">
        <f t="shared" si="4"/>
        <v>177.00000000000048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-343.45762711864745</v>
      </c>
      <c r="AG70" s="246">
        <f>N70/K70</f>
        <v>0.79006257511085121</v>
      </c>
      <c r="AH70" s="457">
        <f>AG79</f>
        <v>0.78249242857113466</v>
      </c>
    </row>
    <row r="71" spans="1:36" ht="15" customHeight="1">
      <c r="A71" s="495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1158</v>
      </c>
      <c r="H71" s="78">
        <f>F71*G71</f>
        <v>66249.180000000008</v>
      </c>
      <c r="I71" s="30"/>
      <c r="J71" s="79">
        <f>VLOOKUP(D71,產線配置圖!$A$3:$C$40,2,0)</f>
        <v>17</v>
      </c>
      <c r="K71" s="80">
        <f>VLOOKUP(D71,產線配置圖!$A$3:$C$40,3,0)</f>
        <v>2250</v>
      </c>
      <c r="L71" s="81">
        <f>K71/J71</f>
        <v>132.35294117647058</v>
      </c>
      <c r="M71" s="82">
        <v>15</v>
      </c>
      <c r="N71" s="80">
        <f>G71/W71*60</f>
        <v>1654.2857142856949</v>
      </c>
      <c r="O71" s="81">
        <f>N71/M71</f>
        <v>110.285714285713</v>
      </c>
      <c r="P71" s="74">
        <f>M71-J71</f>
        <v>-2</v>
      </c>
      <c r="Q71" s="83">
        <f>O71-L71</f>
        <v>-22.067226890757581</v>
      </c>
      <c r="R71" s="72">
        <f>O71/L71</f>
        <v>0.83326984126983161</v>
      </c>
      <c r="S71" s="413"/>
      <c r="T71" s="22">
        <v>0.42361111111111099</v>
      </c>
      <c r="U71" s="22">
        <v>0.452777777777778</v>
      </c>
      <c r="V71" s="30">
        <f>(T71-U70)*24*60</f>
        <v>9.999999999999325</v>
      </c>
      <c r="W71" s="73">
        <f t="shared" si="4"/>
        <v>42.00000000000049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119</v>
      </c>
      <c r="E72" s="77"/>
      <c r="F72" s="250">
        <f>VLOOKUP(D72,廠價表!$C$1:$E$43,3,0)</f>
        <v>57.21</v>
      </c>
      <c r="G72" s="202">
        <v>680</v>
      </c>
      <c r="H72" s="254">
        <f>F72*G72</f>
        <v>38902.800000000003</v>
      </c>
      <c r="I72" s="182"/>
      <c r="J72" s="106">
        <f>VLOOKUP(D72,產線配置圖!$A$3:$C$40,2,0)</f>
        <v>17</v>
      </c>
      <c r="K72" s="107">
        <f>VLOOKUP(D72,產線配置圖!$A$3:$C$40,3,0)</f>
        <v>2250</v>
      </c>
      <c r="L72" s="238">
        <f>K72/J72</f>
        <v>132.35294117647058</v>
      </c>
      <c r="M72" s="82">
        <v>16</v>
      </c>
      <c r="N72" s="107">
        <f>G72/W72*60</f>
        <v>1854.545454545434</v>
      </c>
      <c r="O72" s="238">
        <f>N72/M72</f>
        <v>115.90909090908963</v>
      </c>
      <c r="P72" s="111">
        <f>M72-J72</f>
        <v>-1</v>
      </c>
      <c r="Q72" s="255">
        <f>O72-L72</f>
        <v>-16.443850267380952</v>
      </c>
      <c r="R72" s="85">
        <f>O72/L72</f>
        <v>0.87575757575756608</v>
      </c>
      <c r="S72" s="413"/>
      <c r="T72" s="22">
        <v>0.51736111111111105</v>
      </c>
      <c r="U72" s="22">
        <v>0.53263888888888899</v>
      </c>
      <c r="V72" s="30">
        <f>(T72-U71)*24*60</f>
        <v>92.999999999999588</v>
      </c>
      <c r="W72" s="73">
        <f t="shared" si="4"/>
        <v>22.000000000000242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29">AVERAGE(J70:J78)</f>
        <v>15</v>
      </c>
      <c r="K79" s="240">
        <f t="shared" si="29"/>
        <v>2045.3333333333333</v>
      </c>
      <c r="L79" s="268">
        <f t="shared" si="29"/>
        <v>137.81105169340461</v>
      </c>
      <c r="M79" s="240">
        <f t="shared" si="29"/>
        <v>13.333333333333334</v>
      </c>
      <c r="N79" s="240">
        <f t="shared" si="29"/>
        <v>1600.457847237494</v>
      </c>
      <c r="O79" s="268">
        <f t="shared" si="29"/>
        <v>123.27020813461392</v>
      </c>
      <c r="P79" s="269">
        <f>M79-J79</f>
        <v>-1.6666666666666661</v>
      </c>
      <c r="Q79" s="222">
        <f>N79-K79</f>
        <v>-444.87548609583928</v>
      </c>
      <c r="R79" s="223">
        <f>O79/L79</f>
        <v>0.89448710114236374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-444.87548609583928</v>
      </c>
      <c r="AG79" s="124">
        <f>N79/K79</f>
        <v>0.78249242857113466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35:AC35"/>
    <mergeCell ref="AB36:AC36"/>
    <mergeCell ref="AH16:AH26"/>
    <mergeCell ref="AB17:AC17"/>
    <mergeCell ref="AB18:AC18"/>
    <mergeCell ref="AH27:AH37"/>
    <mergeCell ref="AB30:AC30"/>
    <mergeCell ref="AB31:AC31"/>
    <mergeCell ref="AB32:AC32"/>
    <mergeCell ref="AB33:AC33"/>
    <mergeCell ref="AB34:AC34"/>
    <mergeCell ref="AB25:AC25"/>
    <mergeCell ref="AB28:AC28"/>
    <mergeCell ref="AB29:AC29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D15:E15"/>
    <mergeCell ref="A5:A15"/>
    <mergeCell ref="S5:S15"/>
    <mergeCell ref="AB5:AC5"/>
    <mergeCell ref="AB15:AC15"/>
    <mergeCell ref="AB8:AC8"/>
    <mergeCell ref="AB9:AC9"/>
    <mergeCell ref="AB10:AC10"/>
    <mergeCell ref="AB11:AC11"/>
    <mergeCell ref="AB12:AC12"/>
    <mergeCell ref="AB13:AC13"/>
    <mergeCell ref="AH5:AH15"/>
    <mergeCell ref="AB6:AC6"/>
    <mergeCell ref="AB7:AC7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AB14:AC14"/>
    <mergeCell ref="A2:B2"/>
    <mergeCell ref="A3:A4"/>
    <mergeCell ref="B3:B4"/>
    <mergeCell ref="D3:E4"/>
    <mergeCell ref="F3:F4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  <mergeCell ref="H3:H4"/>
    <mergeCell ref="I3:I4"/>
    <mergeCell ref="G3:G4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U22" sqref="U2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46212</v>
      </c>
      <c r="E3" s="379"/>
      <c r="F3" s="3" t="s">
        <v>72</v>
      </c>
      <c r="G3" s="380">
        <f>'0709'!E1</f>
        <v>71986</v>
      </c>
      <c r="H3" s="380"/>
      <c r="I3" s="3" t="s">
        <v>2</v>
      </c>
      <c r="J3" s="381">
        <f>'0709'!G1</f>
        <v>3352134.0159999994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124.67094547970149</v>
      </c>
      <c r="G6" s="386"/>
      <c r="H6" s="387">
        <f>AVERAGE(D13:H13)</f>
        <v>118.7840770881002</v>
      </c>
      <c r="I6" s="387"/>
      <c r="J6" s="387">
        <f>AVERAGE(I13:J13)</f>
        <v>139.3881164587047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112.20303704033029</v>
      </c>
      <c r="G7" s="410"/>
      <c r="H7" s="411">
        <f>AVERAGE(D14:H14)</f>
        <v>110.71696298697472</v>
      </c>
      <c r="I7" s="411"/>
      <c r="J7" s="411">
        <f>AVERAGE(I14:J14)</f>
        <v>115.91822217371922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0.89999347168341493</v>
      </c>
      <c r="G8" s="383"/>
      <c r="H8" s="383">
        <f>H7/H6</f>
        <v>0.93208589653693874</v>
      </c>
      <c r="I8" s="383"/>
      <c r="J8" s="383">
        <f>J7/J6</f>
        <v>0.83162198556618916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VALUE('0709'!L15)</f>
        <v>134.42777777777778</v>
      </c>
      <c r="E13" s="13">
        <f>VALUE('0709'!L26)</f>
        <v>159.6546310832025</v>
      </c>
      <c r="F13" s="13">
        <f>VALUE('0709'!L37)</f>
        <v>96.485906862745111</v>
      </c>
      <c r="G13" s="13">
        <f>VALUE('0709'!L48)</f>
        <v>98.681481481481498</v>
      </c>
      <c r="H13" s="13">
        <f>VALUE('0709'!L58)</f>
        <v>104.67058823529412</v>
      </c>
      <c r="I13" s="13">
        <f>VALUE('0709'!L69)</f>
        <v>135.50707070707071</v>
      </c>
      <c r="J13" s="13">
        <f>'0709'!L79</f>
        <v>143.26916221033866</v>
      </c>
    </row>
    <row r="14" spans="2:15" ht="39.950000000000003" customHeight="1">
      <c r="B14" s="404"/>
      <c r="C14" s="12" t="s">
        <v>100</v>
      </c>
      <c r="D14" s="13">
        <f>VALUE('0709'!O15)</f>
        <v>125.67506262089016</v>
      </c>
      <c r="E14" s="13">
        <f>VALUE('0709'!O26)</f>
        <v>153.2631154943563</v>
      </c>
      <c r="F14" s="13">
        <f>VALUE('0709'!O37)</f>
        <v>90.901162291445331</v>
      </c>
      <c r="G14" s="13">
        <f>VALUE('0709'!O48)</f>
        <v>91.396175899485925</v>
      </c>
      <c r="H14" s="13">
        <f>VALUE('0709'!O58)</f>
        <v>92.349298628695891</v>
      </c>
      <c r="I14" s="13">
        <f>VALUE('0709'!O69)</f>
        <v>128.43129878910713</v>
      </c>
      <c r="J14" s="13">
        <f>'0709'!O79</f>
        <v>103.40514555833128</v>
      </c>
    </row>
    <row r="15" spans="2:15" ht="39.950000000000003" customHeight="1">
      <c r="B15" s="405"/>
      <c r="C15" s="10" t="s">
        <v>26</v>
      </c>
      <c r="D15" s="14">
        <f t="shared" ref="D15:I15" si="1">D14/D13</f>
        <v>0.93488908838947926</v>
      </c>
      <c r="E15" s="14">
        <f t="shared" si="1"/>
        <v>0.95996661327340183</v>
      </c>
      <c r="F15" s="14">
        <f t="shared" si="1"/>
        <v>0.94211854608731316</v>
      </c>
      <c r="G15" s="14">
        <f t="shared" si="1"/>
        <v>0.92617352848150414</v>
      </c>
      <c r="H15" s="14">
        <f t="shared" si="1"/>
        <v>0.88228508299866815</v>
      </c>
      <c r="I15" s="14">
        <f t="shared" si="1"/>
        <v>0.94778300585318187</v>
      </c>
      <c r="J15" s="15">
        <f>'0709'!S70</f>
        <v>0.72175438149431226</v>
      </c>
    </row>
    <row r="16" spans="2:15" ht="17.25" customHeight="1">
      <c r="B16" s="406" t="s">
        <v>101</v>
      </c>
      <c r="C16" s="10" t="s">
        <v>34</v>
      </c>
      <c r="D16" s="16">
        <f>'0709'!T5</f>
        <v>0.29513888888888901</v>
      </c>
      <c r="E16" s="16">
        <f>'0709'!T16</f>
        <v>0.29166666666666702</v>
      </c>
      <c r="F16" s="16">
        <f>'0709'!T27</f>
        <v>0.28819444444444398</v>
      </c>
      <c r="G16" s="16">
        <f>'0709'!T38</f>
        <v>0.33333333333333298</v>
      </c>
      <c r="H16" s="16">
        <f>'0709'!T49</f>
        <v>0.29166666666666702</v>
      </c>
      <c r="I16" s="16">
        <f>'0709'!T59</f>
        <v>0.28819444444444398</v>
      </c>
      <c r="J16" s="16">
        <f>'0709'!T70</f>
        <v>0.29513888888888901</v>
      </c>
    </row>
    <row r="17" spans="2:10" ht="17.25" customHeight="1">
      <c r="B17" s="407"/>
      <c r="C17" s="10" t="s">
        <v>35</v>
      </c>
      <c r="D17" s="16">
        <v>0.69652777777777797</v>
      </c>
      <c r="E17" s="19">
        <v>0.67708333333333304</v>
      </c>
      <c r="F17" s="19">
        <v>0.71458333333333302</v>
      </c>
      <c r="G17" s="210">
        <v>0.59722222222222199</v>
      </c>
      <c r="H17" s="19">
        <v>0.66319444444444398</v>
      </c>
      <c r="I17" s="22">
        <v>0.51388888888888895</v>
      </c>
      <c r="J17" s="22">
        <v>0.59722222222222199</v>
      </c>
    </row>
    <row r="18" spans="2:10" ht="17.25" customHeight="1">
      <c r="B18" s="408" t="s">
        <v>102</v>
      </c>
      <c r="C18" s="330" t="s">
        <v>36</v>
      </c>
      <c r="D18" s="357">
        <f>'0709'!Z15</f>
        <v>0</v>
      </c>
      <c r="E18" s="358">
        <f>'0709'!Z26</f>
        <v>0</v>
      </c>
      <c r="F18" s="358">
        <f>'0709'!Z37</f>
        <v>0</v>
      </c>
      <c r="G18" s="359">
        <f>'0709'!Z48</f>
        <v>0</v>
      </c>
      <c r="H18" s="359">
        <f>'0709'!Z58</f>
        <v>0</v>
      </c>
      <c r="I18" s="358">
        <f>'0709'!Z69</f>
        <v>0</v>
      </c>
      <c r="J18" s="358">
        <f>'0709'!AA79</f>
        <v>0</v>
      </c>
    </row>
    <row r="19" spans="2:10" ht="17.25" customHeight="1">
      <c r="B19" s="409"/>
      <c r="C19" s="330" t="s">
        <v>37</v>
      </c>
      <c r="D19" s="357">
        <f>'0709'!AA15</f>
        <v>0</v>
      </c>
      <c r="E19" s="358">
        <f>'0709'!AA26</f>
        <v>0</v>
      </c>
      <c r="F19" s="358">
        <f>'0709'!AA37</f>
        <v>0</v>
      </c>
      <c r="G19" s="359">
        <f>'0709'!AA48</f>
        <v>0</v>
      </c>
      <c r="H19" s="359">
        <f>'0709'!AA58</f>
        <v>0</v>
      </c>
      <c r="I19" s="358">
        <f>'0709'!AA69</f>
        <v>0</v>
      </c>
      <c r="J19" s="358">
        <f>'0709'!AB79</f>
        <v>0</v>
      </c>
    </row>
    <row r="20" spans="2:10" ht="17.25" customHeight="1">
      <c r="B20" s="408" t="s">
        <v>103</v>
      </c>
      <c r="C20" s="330" t="s">
        <v>36</v>
      </c>
      <c r="D20" s="357">
        <f>'0709'!AD15</f>
        <v>0</v>
      </c>
      <c r="E20" s="358">
        <f>'0709'!AD26</f>
        <v>0</v>
      </c>
      <c r="F20" s="358">
        <f>'0709'!AD37</f>
        <v>0</v>
      </c>
      <c r="G20" s="359">
        <f>'0709'!AD48</f>
        <v>0</v>
      </c>
      <c r="H20" s="359">
        <f>'0709'!AD58</f>
        <v>0</v>
      </c>
      <c r="I20" s="358">
        <f>'0709'!AD69</f>
        <v>0</v>
      </c>
      <c r="J20" s="358">
        <f>'0709'!AD79</f>
        <v>0</v>
      </c>
    </row>
    <row r="21" spans="2:10" ht="17.25" customHeight="1">
      <c r="B21" s="409"/>
      <c r="C21" s="330" t="s">
        <v>85</v>
      </c>
      <c r="D21" s="357">
        <f>'0709'!AE15</f>
        <v>0</v>
      </c>
      <c r="E21" s="358">
        <f>'0709'!AE26</f>
        <v>0</v>
      </c>
      <c r="F21" s="358">
        <f>'0709'!AE37</f>
        <v>0</v>
      </c>
      <c r="G21" s="359">
        <f>'0709'!AE48</f>
        <v>0</v>
      </c>
      <c r="H21" s="359">
        <f>'0709'!AE58</f>
        <v>0</v>
      </c>
      <c r="I21" s="358">
        <f>'0709'!AE69</f>
        <v>0</v>
      </c>
      <c r="J21" s="358">
        <f>'0709'!AE79</f>
        <v>0</v>
      </c>
    </row>
    <row r="22" spans="2:10" ht="17.25" customHeight="1">
      <c r="B22" s="392" t="s">
        <v>104</v>
      </c>
      <c r="C22" s="393"/>
      <c r="D22" s="23">
        <f>VALUE('0709'!M15)</f>
        <v>15.6</v>
      </c>
      <c r="E22" s="23">
        <f>VALUE('0709'!M26)</f>
        <v>14</v>
      </c>
      <c r="F22" s="23">
        <f>VALUE('0709'!M37)</f>
        <v>16.5</v>
      </c>
      <c r="G22" s="23">
        <f>VALUE('0709'!M48)</f>
        <v>16.333333333333332</v>
      </c>
      <c r="H22" s="23">
        <f>VALUE('0709'!M58)</f>
        <v>16.600000000000001</v>
      </c>
      <c r="I22" s="23">
        <f>VALUE('0709'!M69)</f>
        <v>12.333333333333334</v>
      </c>
      <c r="J22" s="23">
        <f>'0709'!M79</f>
        <v>12.333333333333334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22" sqref="U22"/>
      <selection pane="topRight" activeCell="U22" sqref="U22"/>
      <selection pane="bottomLeft" activeCell="U22" sqref="U22"/>
      <selection pane="bottomRight" activeCell="U22" sqref="U2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71986</v>
      </c>
      <c r="F1" s="30" t="s">
        <v>2</v>
      </c>
      <c r="G1" s="31">
        <f>SUM(H5:H79)</f>
        <v>3352134.0159999994</v>
      </c>
      <c r="H1" s="32" t="s">
        <v>3</v>
      </c>
      <c r="I1" s="33">
        <f>M15+M26+M48+M58+M69+M79+M37</f>
        <v>103.7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163</v>
      </c>
      <c r="B2" s="418"/>
      <c r="C2" s="28"/>
      <c r="D2" s="28" t="s">
        <v>14</v>
      </c>
      <c r="E2" s="35">
        <f>AVERAGE(O15,O26,O37,O48,O58,O69,O79)</f>
        <v>112.20303704033029</v>
      </c>
      <c r="F2" s="36" t="s">
        <v>15</v>
      </c>
      <c r="G2" s="37">
        <f>G1/E1</f>
        <v>46.56647148056566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5451</v>
      </c>
      <c r="H5" s="43">
        <f>F5*G5</f>
        <v>276202.17</v>
      </c>
      <c r="I5" s="44"/>
      <c r="J5" s="45"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1982.1818181818244</v>
      </c>
      <c r="O5" s="47">
        <f>N5/M5</f>
        <v>123.88636363636402</v>
      </c>
      <c r="P5" s="49">
        <f>M5-J5</f>
        <v>0</v>
      </c>
      <c r="Q5" s="50">
        <f>O5-L5</f>
        <v>-16.738636363635976</v>
      </c>
      <c r="R5" s="51">
        <f>O5/L5</f>
        <v>0.88096969696969973</v>
      </c>
      <c r="S5" s="412">
        <f>R15</f>
        <v>0.93488908838947926</v>
      </c>
      <c r="T5" s="319">
        <v>0.29513888888888901</v>
      </c>
      <c r="U5" s="320">
        <v>0.40972222222222199</v>
      </c>
      <c r="V5" s="53"/>
      <c r="W5" s="54">
        <f t="shared" ref="W5:W14" si="0">(U5-T5)*24*60</f>
        <v>164.99999999999949</v>
      </c>
      <c r="X5" s="55"/>
      <c r="Y5" s="290"/>
      <c r="Z5" s="169"/>
      <c r="AA5" s="169"/>
      <c r="AB5" s="464" t="s">
        <v>164</v>
      </c>
      <c r="AC5" s="464"/>
      <c r="AD5" s="135"/>
      <c r="AE5" s="135"/>
      <c r="AF5" s="229">
        <f t="shared" ref="AF5:AF11" si="1">N5-K5</f>
        <v>-267.81818181817562</v>
      </c>
      <c r="AG5" s="52">
        <f t="shared" ref="AG5:AG11" si="2">N5/K5</f>
        <v>0.88096969696969973</v>
      </c>
      <c r="AH5" s="457">
        <f>AG15</f>
        <v>0.91835515562270842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3568</v>
      </c>
      <c r="H6" s="63">
        <f>F6*G6</f>
        <v>175331.52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2140.8000000000143</v>
      </c>
      <c r="O6" s="67">
        <f>N6/M6</f>
        <v>142.72000000000097</v>
      </c>
      <c r="P6" s="69">
        <f>M6-J6</f>
        <v>0</v>
      </c>
      <c r="Q6" s="70">
        <f>O6-L6</f>
        <v>-7.2799999999990348</v>
      </c>
      <c r="R6" s="71">
        <f>O6/L6</f>
        <v>0.95146666666667312</v>
      </c>
      <c r="S6" s="413"/>
      <c r="T6" s="16">
        <v>0.42013888888888901</v>
      </c>
      <c r="U6" s="16">
        <v>0.48958333333333298</v>
      </c>
      <c r="V6" s="30">
        <f>(T6-U5)*24*60</f>
        <v>15.000000000000506</v>
      </c>
      <c r="W6" s="73">
        <f t="shared" si="0"/>
        <v>99.999999999999318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-109.19999999998572</v>
      </c>
      <c r="AG6" s="72">
        <f t="shared" si="2"/>
        <v>0.95146666666667301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1688</v>
      </c>
      <c r="H7" s="78">
        <f>F7*G7</f>
        <v>82948.320000000007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2154.8936170212696</v>
      </c>
      <c r="O7" s="81">
        <f>N7/M7</f>
        <v>143.65957446808463</v>
      </c>
      <c r="P7" s="74">
        <f>M7-J7</f>
        <v>0</v>
      </c>
      <c r="Q7" s="83">
        <f>O7-L7</f>
        <v>-6.3404255319153719</v>
      </c>
      <c r="R7" s="72">
        <f>O7/L7</f>
        <v>0.95773049645389752</v>
      </c>
      <c r="S7" s="413"/>
      <c r="T7" s="18">
        <v>0.55763888888888902</v>
      </c>
      <c r="U7" s="18">
        <v>0.59027777777777801</v>
      </c>
      <c r="V7" s="30">
        <f>(T7-U6)*24*60</f>
        <v>98.000000000000696</v>
      </c>
      <c r="W7" s="73">
        <f t="shared" si="0"/>
        <v>47.000000000000156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-95.10638297873038</v>
      </c>
      <c r="AG7" s="72">
        <f t="shared" si="2"/>
        <v>0.95773049645389763</v>
      </c>
      <c r="AH7" s="458"/>
    </row>
    <row r="8" spans="1:34" ht="15" customHeight="1">
      <c r="A8" s="424"/>
      <c r="B8" s="75" t="s">
        <v>128</v>
      </c>
      <c r="C8" s="76"/>
      <c r="D8" s="59" t="s">
        <v>131</v>
      </c>
      <c r="E8" s="77"/>
      <c r="F8" s="75">
        <f>VLOOKUP(D8,廠價表!$C$1:$E$43,3,0)</f>
        <v>44.3</v>
      </c>
      <c r="G8" s="66">
        <v>2235</v>
      </c>
      <c r="H8" s="63">
        <f>F8*G8</f>
        <v>99010.5</v>
      </c>
      <c r="I8" s="64"/>
      <c r="J8" s="65">
        <f>VLOOKUP(D8,產線配置圖!$A$3:$C$40,2,0)</f>
        <v>18</v>
      </c>
      <c r="K8" s="66">
        <f>VLOOKUP(D8,產線配置圖!$A$3:$C$40,3,0)</f>
        <v>1636</v>
      </c>
      <c r="L8" s="67">
        <f>K8/J8</f>
        <v>90.888888888888886</v>
      </c>
      <c r="M8" s="82">
        <v>16</v>
      </c>
      <c r="N8" s="80">
        <f t="shared" ref="N8:N9" si="3">G8/W8*60</f>
        <v>1340.9999999999895</v>
      </c>
      <c r="O8" s="81">
        <f t="shared" ref="O8:O9" si="4">N8/M8</f>
        <v>83.812499999999346</v>
      </c>
      <c r="P8" s="74">
        <f t="shared" ref="P8:P9" si="5">M8-J8</f>
        <v>-2</v>
      </c>
      <c r="Q8" s="83">
        <f t="shared" ref="Q8:Q9" si="6">O8-L8</f>
        <v>-7.0763888888895394</v>
      </c>
      <c r="R8" s="72">
        <f t="shared" ref="R8:R9" si="7">O8/L8</f>
        <v>0.9221424205378902</v>
      </c>
      <c r="S8" s="413"/>
      <c r="T8" s="16">
        <v>0.59722222222222199</v>
      </c>
      <c r="U8" s="16">
        <v>0.66666666666666696</v>
      </c>
      <c r="V8" s="30">
        <f t="shared" ref="V8:V9" si="8">(T8-U7)*24*60</f>
        <v>9.999999999999325</v>
      </c>
      <c r="W8" s="73">
        <f t="shared" si="0"/>
        <v>100.00000000000077</v>
      </c>
      <c r="X8" s="22"/>
      <c r="Y8" s="84"/>
      <c r="Z8" s="90"/>
      <c r="AA8" s="90"/>
      <c r="AB8" s="461" t="s">
        <v>165</v>
      </c>
      <c r="AC8" s="461"/>
      <c r="AD8" s="149"/>
      <c r="AE8" s="149"/>
      <c r="AF8" s="307">
        <f t="shared" si="1"/>
        <v>-295.00000000001046</v>
      </c>
      <c r="AG8" s="72">
        <f t="shared" si="2"/>
        <v>0.81968215158923563</v>
      </c>
      <c r="AH8" s="458"/>
    </row>
    <row r="9" spans="1:34" ht="15" customHeight="1">
      <c r="A9" s="425"/>
      <c r="B9" s="75" t="s">
        <v>81</v>
      </c>
      <c r="C9" s="76"/>
      <c r="D9" s="59" t="s">
        <v>153</v>
      </c>
      <c r="E9" s="77"/>
      <c r="F9" s="75">
        <f>VLOOKUP(D9,廠價表!$C$1:$E$43,3,0)</f>
        <v>50.67</v>
      </c>
      <c r="G9" s="66">
        <v>573</v>
      </c>
      <c r="H9" s="78">
        <f>F9*G9</f>
        <v>29033.91</v>
      </c>
      <c r="I9" s="73"/>
      <c r="J9" s="79">
        <v>16</v>
      </c>
      <c r="K9" s="80">
        <f>VLOOKUP(D9,產線配置圖!$A$3:$C$40,3,0)</f>
        <v>2250</v>
      </c>
      <c r="L9" s="81">
        <f>K9/J9</f>
        <v>140.625</v>
      </c>
      <c r="M9" s="82">
        <v>16</v>
      </c>
      <c r="N9" s="80">
        <f t="shared" si="3"/>
        <v>2148.7500000000291</v>
      </c>
      <c r="O9" s="81">
        <f t="shared" si="4"/>
        <v>134.29687500000182</v>
      </c>
      <c r="P9" s="74">
        <f t="shared" si="5"/>
        <v>0</v>
      </c>
      <c r="Q9" s="83">
        <f t="shared" si="6"/>
        <v>-6.328124999998181</v>
      </c>
      <c r="R9" s="72">
        <f t="shared" si="7"/>
        <v>0.95500000000001295</v>
      </c>
      <c r="S9" s="414"/>
      <c r="T9" s="16">
        <v>0.68541666666666701</v>
      </c>
      <c r="U9" s="16">
        <v>0.69652777777777797</v>
      </c>
      <c r="V9" s="30">
        <f t="shared" si="8"/>
        <v>27.000000000000064</v>
      </c>
      <c r="W9" s="73">
        <f t="shared" si="0"/>
        <v>15.999999999999783</v>
      </c>
      <c r="X9" s="22"/>
      <c r="Y9" s="84"/>
      <c r="Z9" s="90"/>
      <c r="AA9" s="90"/>
      <c r="AB9" s="461" t="s">
        <v>166</v>
      </c>
      <c r="AC9" s="461"/>
      <c r="AD9" s="149"/>
      <c r="AE9" s="149"/>
      <c r="AF9" s="307">
        <f t="shared" si="1"/>
        <v>-101.2499999999709</v>
      </c>
      <c r="AG9" s="72">
        <f t="shared" si="2"/>
        <v>0.95500000000001295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9">AVERAGE(J5:J14)</f>
        <v>16</v>
      </c>
      <c r="K15" s="120">
        <f t="shared" si="9"/>
        <v>2127.1999999999998</v>
      </c>
      <c r="L15" s="117">
        <f t="shared" si="9"/>
        <v>134.42777777777778</v>
      </c>
      <c r="M15" s="120">
        <f t="shared" si="9"/>
        <v>15.6</v>
      </c>
      <c r="N15" s="120">
        <f t="shared" si="9"/>
        <v>1953.5250870406253</v>
      </c>
      <c r="O15" s="117">
        <f t="shared" si="9"/>
        <v>125.67506262089016</v>
      </c>
      <c r="P15" s="121">
        <f>M15-J15</f>
        <v>-0.40000000000000036</v>
      </c>
      <c r="Q15" s="122">
        <f>O15-L15</f>
        <v>-8.7527151568876178</v>
      </c>
      <c r="R15" s="123">
        <f>O15/L15</f>
        <v>0.93488908838947926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-173.67491295937452</v>
      </c>
      <c r="AG15" s="124">
        <f>N15/K15</f>
        <v>0.91835515562270842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2417</v>
      </c>
      <c r="H16" s="134">
        <f>F16*G16</f>
        <v>122469.39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2164.4776119403346</v>
      </c>
      <c r="O16" s="141">
        <f>N16/M16</f>
        <v>154.60554371002391</v>
      </c>
      <c r="P16" s="142">
        <f>M16-J16</f>
        <v>0</v>
      </c>
      <c r="Q16" s="143">
        <f>O16-L16</f>
        <v>-6.1087420042618135</v>
      </c>
      <c r="R16" s="144">
        <f>O16/L16</f>
        <v>0.96199004975125979</v>
      </c>
      <c r="S16" s="468">
        <f>R26</f>
        <v>0.95996661327340183</v>
      </c>
      <c r="T16" s="145">
        <v>0.29166666666666702</v>
      </c>
      <c r="U16" s="145">
        <v>0.33819444444444402</v>
      </c>
      <c r="V16" s="135"/>
      <c r="W16" s="146">
        <f t="shared" ref="W16:W78" si="10">(U16-T16)*24*60</f>
        <v>66.999999999998877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-85.522388059665445</v>
      </c>
      <c r="AG16" s="52">
        <f>N16/K16</f>
        <v>0.96199004975125979</v>
      </c>
      <c r="AH16" s="457">
        <f>AG26</f>
        <v>0.95101209858075708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3220</v>
      </c>
      <c r="H17" s="78">
        <f>F17*G17</f>
        <v>183121.4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2170.786516853952</v>
      </c>
      <c r="O17" s="96">
        <f>N17/M17</f>
        <v>144.7191011235968</v>
      </c>
      <c r="P17" s="97">
        <f>M17-J17</f>
        <v>0</v>
      </c>
      <c r="Q17" s="98">
        <f>O17-L17</f>
        <v>-5.2808988764031994</v>
      </c>
      <c r="R17" s="99">
        <f>O17/L17</f>
        <v>0.96479400749064537</v>
      </c>
      <c r="S17" s="469"/>
      <c r="T17" s="19">
        <v>0.34513888888888899</v>
      </c>
      <c r="U17" s="19">
        <v>0.406944444444444</v>
      </c>
      <c r="V17" s="30">
        <f>(T17-U16)*24*60</f>
        <v>10.000000000000764</v>
      </c>
      <c r="W17" s="149">
        <f t="shared" si="10"/>
        <v>88.999999999999204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-79.21348314604802</v>
      </c>
      <c r="AG17" s="72">
        <f>N17/K17</f>
        <v>0.96479400749064537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1386</v>
      </c>
      <c r="H18" s="78">
        <f>F18*G18</f>
        <v>80623.62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14</v>
      </c>
      <c r="N18" s="95">
        <f>G18/W18*60</f>
        <v>1979.999999999977</v>
      </c>
      <c r="O18" s="96">
        <f>N18/M18</f>
        <v>141.4285714285698</v>
      </c>
      <c r="P18" s="97">
        <f>M18-J18</f>
        <v>-1</v>
      </c>
      <c r="Q18" s="98">
        <f>O18-L18</f>
        <v>-8.5714285714302036</v>
      </c>
      <c r="R18" s="99">
        <f>O18/L18</f>
        <v>0.94285714285713196</v>
      </c>
      <c r="S18" s="469"/>
      <c r="T18" s="19">
        <v>0.41388888888888897</v>
      </c>
      <c r="U18" s="19">
        <v>0.44305555555555598</v>
      </c>
      <c r="V18" s="30">
        <f>(T18-U17)*24*60</f>
        <v>10.000000000000764</v>
      </c>
      <c r="W18" s="149">
        <f t="shared" si="10"/>
        <v>42.00000000000049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-270.00000000002296</v>
      </c>
      <c r="AG18" s="72">
        <f>N18/K18</f>
        <v>0.87999999999998979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1870</v>
      </c>
      <c r="H19" s="78">
        <f t="shared" ref="H19:H22" si="11">F19*G19</f>
        <v>94229.3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2" si="12">K19/J19</f>
        <v>173.07692307692307</v>
      </c>
      <c r="M19" s="148">
        <v>13</v>
      </c>
      <c r="N19" s="95">
        <f t="shared" ref="N19:N22" si="13">G19/W19*60</f>
        <v>2116.9811320755048</v>
      </c>
      <c r="O19" s="96">
        <f t="shared" ref="O19:O22" si="14">N19/M19</f>
        <v>162.84470246734651</v>
      </c>
      <c r="P19" s="97">
        <f t="shared" ref="P19:P22" si="15">M19-J19</f>
        <v>0</v>
      </c>
      <c r="Q19" s="98">
        <f t="shared" ref="Q19:Q22" si="16">O19-L19</f>
        <v>-10.232220609576558</v>
      </c>
      <c r="R19" s="99">
        <f t="shared" ref="R19:R22" si="17">O19/L19</f>
        <v>0.94088050314466876</v>
      </c>
      <c r="S19" s="469"/>
      <c r="T19" s="19">
        <v>0.45138888888888901</v>
      </c>
      <c r="U19" s="19">
        <v>0.48819444444444399</v>
      </c>
      <c r="V19" s="30">
        <f>(T19-U18)*24*60</f>
        <v>11.999999999999558</v>
      </c>
      <c r="W19" s="149">
        <f t="shared" si="10"/>
        <v>52.999999999999176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-133.01886792449523</v>
      </c>
      <c r="AG19" s="72">
        <f>N19/K19</f>
        <v>0.94088050314466876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3178</v>
      </c>
      <c r="H20" s="78">
        <f t="shared" si="11"/>
        <v>160139.42000000001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2"/>
        <v>173.07692307692307</v>
      </c>
      <c r="M20" s="148">
        <v>13</v>
      </c>
      <c r="N20" s="95">
        <f t="shared" si="13"/>
        <v>2191.7241379310585</v>
      </c>
      <c r="O20" s="96">
        <f t="shared" si="14"/>
        <v>168.59416445623526</v>
      </c>
      <c r="P20" s="97">
        <f t="shared" si="15"/>
        <v>0</v>
      </c>
      <c r="Q20" s="98">
        <f t="shared" si="16"/>
        <v>-4.4827586206878038</v>
      </c>
      <c r="R20" s="99">
        <f t="shared" si="17"/>
        <v>0.9740996168582482</v>
      </c>
      <c r="S20" s="469"/>
      <c r="T20" s="19">
        <v>0.55416666666666703</v>
      </c>
      <c r="U20" s="19">
        <v>0.61458333333333304</v>
      </c>
      <c r="V20" s="30">
        <f t="shared" ref="V20:V22" si="18">(T20-U19)*24*60</f>
        <v>95.00000000000118</v>
      </c>
      <c r="W20" s="149">
        <f t="shared" si="10"/>
        <v>86.999999999999048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1163</v>
      </c>
      <c r="H21" s="78">
        <f t="shared" si="11"/>
        <v>67651.710000000006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12"/>
        <v>150</v>
      </c>
      <c r="M21" s="148">
        <v>15</v>
      </c>
      <c r="N21" s="95">
        <f t="shared" si="13"/>
        <v>2180.6249999999209</v>
      </c>
      <c r="O21" s="96">
        <f t="shared" si="14"/>
        <v>145.37499999999471</v>
      </c>
      <c r="P21" s="97">
        <f t="shared" si="15"/>
        <v>0</v>
      </c>
      <c r="Q21" s="98">
        <f t="shared" si="16"/>
        <v>-4.6250000000052864</v>
      </c>
      <c r="R21" s="99">
        <f t="shared" si="17"/>
        <v>0.96916666666663143</v>
      </c>
      <c r="S21" s="469"/>
      <c r="T21" s="19">
        <v>0.62083333333333302</v>
      </c>
      <c r="U21" s="19">
        <v>0.64305555555555605</v>
      </c>
      <c r="V21" s="30">
        <f t="shared" si="18"/>
        <v>8.999999999999968</v>
      </c>
      <c r="W21" s="149">
        <f t="shared" si="10"/>
        <v>32.000000000001165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 t="s">
        <v>81</v>
      </c>
      <c r="C22" s="151"/>
      <c r="D22" s="59" t="s">
        <v>118</v>
      </c>
      <c r="E22" s="87"/>
      <c r="F22" s="75">
        <f>VLOOKUP(D22,廠價表!$C$1:$E$43,3,0)</f>
        <v>50.67</v>
      </c>
      <c r="G22" s="90">
        <v>1413</v>
      </c>
      <c r="H22" s="78">
        <f t="shared" si="11"/>
        <v>71596.710000000006</v>
      </c>
      <c r="I22" s="30"/>
      <c r="J22" s="79">
        <f>VLOOKUP(D22,產線配置圖!$A$3:$C$40,2,0)</f>
        <v>14</v>
      </c>
      <c r="K22" s="80">
        <f>VLOOKUP(D22,產線配置圖!$A$3:$C$40,3,0)</f>
        <v>2250</v>
      </c>
      <c r="L22" s="81">
        <f t="shared" si="12"/>
        <v>160.71428571428572</v>
      </c>
      <c r="M22" s="148">
        <v>14</v>
      </c>
      <c r="N22" s="95">
        <f t="shared" si="13"/>
        <v>2173.8461538461793</v>
      </c>
      <c r="O22" s="96">
        <f t="shared" si="14"/>
        <v>155.2747252747271</v>
      </c>
      <c r="P22" s="97">
        <f t="shared" si="15"/>
        <v>0</v>
      </c>
      <c r="Q22" s="98">
        <f t="shared" si="16"/>
        <v>-5.439560439558619</v>
      </c>
      <c r="R22" s="99">
        <f t="shared" si="17"/>
        <v>0.96615384615385747</v>
      </c>
      <c r="S22" s="469"/>
      <c r="T22" s="19">
        <v>0.65</v>
      </c>
      <c r="U22" s="19">
        <v>0.67708333333333304</v>
      </c>
      <c r="V22" s="30">
        <f t="shared" si="18"/>
        <v>9.999999999999325</v>
      </c>
      <c r="W22" s="149">
        <f t="shared" si="10"/>
        <v>38.999999999999545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10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10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10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9">AVERAGE(J16:J25)</f>
        <v>14.142857142857142</v>
      </c>
      <c r="K26" s="155">
        <f t="shared" si="19"/>
        <v>2250</v>
      </c>
      <c r="L26" s="158">
        <f t="shared" si="19"/>
        <v>159.6546310832025</v>
      </c>
      <c r="M26" s="155">
        <f t="shared" si="19"/>
        <v>14</v>
      </c>
      <c r="N26" s="155">
        <f t="shared" si="19"/>
        <v>2139.7772218067034</v>
      </c>
      <c r="O26" s="158">
        <f t="shared" si="19"/>
        <v>153.2631154943563</v>
      </c>
      <c r="P26" s="159">
        <f>M26-J26</f>
        <v>-0.14285714285714235</v>
      </c>
      <c r="Q26" s="160">
        <f>O26-L26</f>
        <v>-6.3915155888462039</v>
      </c>
      <c r="R26" s="161">
        <f>O26/L26</f>
        <v>0.95996661327340183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20">N26-K26</f>
        <v>-110.22277819329656</v>
      </c>
      <c r="AG26" s="124">
        <f t="shared" ref="AG26:AG31" si="21">N26/K26</f>
        <v>0.95101209858075708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1526</v>
      </c>
      <c r="H27" s="134">
        <f>F27*G27</f>
        <v>69677.159999999989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1551.8644067796308</v>
      </c>
      <c r="O27" s="141">
        <f>N27/M27</f>
        <v>91.286141575272396</v>
      </c>
      <c r="P27" s="142">
        <f>M27-J27</f>
        <v>0</v>
      </c>
      <c r="Q27" s="143">
        <f>O27-L27</f>
        <v>-4.9491525423746623</v>
      </c>
      <c r="R27" s="144">
        <f>O27/L27</f>
        <v>0.94857237578217035</v>
      </c>
      <c r="S27" s="468">
        <f>R37</f>
        <v>0.94211854608731316</v>
      </c>
      <c r="T27" s="171">
        <v>0.28819444444444398</v>
      </c>
      <c r="U27" s="171">
        <v>0.329166666666667</v>
      </c>
      <c r="V27" s="135"/>
      <c r="W27" s="146">
        <f t="shared" si="10"/>
        <v>59.000000000001151</v>
      </c>
      <c r="X27" s="135"/>
      <c r="Y27" s="300" t="s">
        <v>46</v>
      </c>
      <c r="Z27" s="169"/>
      <c r="AA27" s="169"/>
      <c r="AB27" s="464" t="s">
        <v>167</v>
      </c>
      <c r="AC27" s="464"/>
      <c r="AD27" s="135"/>
      <c r="AE27" s="135"/>
      <c r="AF27" s="310">
        <f t="shared" si="20"/>
        <v>-84.135593220369174</v>
      </c>
      <c r="AG27" s="172">
        <f t="shared" si="21"/>
        <v>0.94857237578217046</v>
      </c>
      <c r="AH27" s="457">
        <f>AG37</f>
        <v>0.91520591769641046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1417</v>
      </c>
      <c r="H28" s="91">
        <f>F28*G28</f>
        <v>65663.78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1574.444444444443</v>
      </c>
      <c r="O28" s="96">
        <f>N28/M28</f>
        <v>98.402777777777686</v>
      </c>
      <c r="P28" s="97">
        <f>M28-J28</f>
        <v>0</v>
      </c>
      <c r="Q28" s="98">
        <f>O28-L28</f>
        <v>-3.8472222222223138</v>
      </c>
      <c r="R28" s="99">
        <f>O28/L28</f>
        <v>0.96237435479489175</v>
      </c>
      <c r="S28" s="469"/>
      <c r="T28" s="19">
        <v>0.33472222222222198</v>
      </c>
      <c r="U28" s="19">
        <v>0.37222222222222201</v>
      </c>
      <c r="V28" s="92">
        <f>(T28-U27)*24*60</f>
        <v>7.9999999999991722</v>
      </c>
      <c r="W28" s="149">
        <f t="shared" si="10"/>
        <v>54.00000000000005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20"/>
        <v>-61.555555555557021</v>
      </c>
      <c r="AG28" s="99">
        <f t="shared" si="21"/>
        <v>0.96237435479489175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1150</v>
      </c>
      <c r="H29" s="91">
        <f>F29*G29</f>
        <v>65791.5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1379.9999999999695</v>
      </c>
      <c r="O29" s="96">
        <f>N29/M29</f>
        <v>86.249999999998096</v>
      </c>
      <c r="P29" s="97">
        <f>M29-J29</f>
        <v>-2</v>
      </c>
      <c r="Q29" s="98">
        <f>O29-L29</f>
        <v>-4.63888888889079</v>
      </c>
      <c r="R29" s="99">
        <f>O29/L29</f>
        <v>0.94896088019557812</v>
      </c>
      <c r="S29" s="469"/>
      <c r="T29" s="19">
        <v>0.37708333333333299</v>
      </c>
      <c r="U29" s="19">
        <v>0.41180555555555598</v>
      </c>
      <c r="V29" s="92">
        <f>(T29-U28)*24*60</f>
        <v>6.9999999999998153</v>
      </c>
      <c r="W29" s="149">
        <f t="shared" si="10"/>
        <v>50.000000000001101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20"/>
        <v>-256.00000000003047</v>
      </c>
      <c r="AG29" s="99">
        <f t="shared" si="21"/>
        <v>0.84352078239606942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1937</v>
      </c>
      <c r="H30" s="91">
        <f t="shared" ref="H30:H34" si="22">F30*G30</f>
        <v>110815.77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23">K30/J30</f>
        <v>90.888888888888886</v>
      </c>
      <c r="M30" s="94">
        <v>16</v>
      </c>
      <c r="N30" s="95">
        <f t="shared" ref="N30:N34" si="24">G30/W30*60</f>
        <v>1400.24096385542</v>
      </c>
      <c r="O30" s="96">
        <f t="shared" ref="O30:O34" si="25">N30/M30</f>
        <v>87.515060240963749</v>
      </c>
      <c r="P30" s="97">
        <f t="shared" ref="P30:P34" si="26">M30-J30</f>
        <v>-2</v>
      </c>
      <c r="Q30" s="98">
        <f t="shared" ref="Q30:Q34" si="27">O30-L30</f>
        <v>-3.3738286479251371</v>
      </c>
      <c r="R30" s="99">
        <f t="shared" ref="R30:R34" si="28">O30/L30</f>
        <v>0.96287963590302417</v>
      </c>
      <c r="S30" s="469"/>
      <c r="T30" s="19">
        <v>0.41666666666666702</v>
      </c>
      <c r="U30" s="19">
        <v>0.47430555555555598</v>
      </c>
      <c r="V30" s="92">
        <f>(T30-U29)*24*60</f>
        <v>6.9999999999998952</v>
      </c>
      <c r="W30" s="149">
        <f t="shared" si="10"/>
        <v>83.000000000000099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20"/>
        <v>-235.75903614458002</v>
      </c>
      <c r="AG30" s="99">
        <f t="shared" si="21"/>
        <v>0.855893009691577</v>
      </c>
      <c r="AH30" s="479"/>
    </row>
    <row r="31" spans="1:34" ht="15" customHeight="1">
      <c r="A31" s="466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521</v>
      </c>
      <c r="H31" s="91">
        <f t="shared" si="22"/>
        <v>29806.41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23"/>
        <v>90.888888888888886</v>
      </c>
      <c r="M31" s="94">
        <v>18</v>
      </c>
      <c r="N31" s="95">
        <f t="shared" si="24"/>
        <v>1488.5714285714678</v>
      </c>
      <c r="O31" s="96">
        <f t="shared" si="25"/>
        <v>82.69841269841487</v>
      </c>
      <c r="P31" s="97">
        <f t="shared" si="26"/>
        <v>0</v>
      </c>
      <c r="Q31" s="98">
        <f t="shared" si="27"/>
        <v>-8.1904761904740155</v>
      </c>
      <c r="R31" s="99">
        <f t="shared" si="28"/>
        <v>0.90988473629062816</v>
      </c>
      <c r="S31" s="469"/>
      <c r="T31" s="19">
        <v>0.52916666666666701</v>
      </c>
      <c r="U31" s="19">
        <v>0.54374999999999996</v>
      </c>
      <c r="V31" s="92">
        <f t="shared" ref="V31:V34" si="29">(T31-U30)*24*60</f>
        <v>78.999999999999886</v>
      </c>
      <c r="W31" s="149">
        <f t="shared" si="10"/>
        <v>20.999999999999446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20"/>
        <v>-147.42857142853222</v>
      </c>
      <c r="AG31" s="99">
        <f t="shared" si="21"/>
        <v>0.90988473629062827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2400</v>
      </c>
      <c r="H32" s="91">
        <f t="shared" si="22"/>
        <v>111216.00000000001</v>
      </c>
      <c r="I32" s="92"/>
      <c r="J32" s="79">
        <f>VLOOKUP(D32,產線配置圖!$A$3:$C$40,2,0)</f>
        <v>16</v>
      </c>
      <c r="K32" s="80">
        <v>1636</v>
      </c>
      <c r="L32" s="93">
        <f t="shared" si="23"/>
        <v>102.25</v>
      </c>
      <c r="M32" s="94">
        <v>16</v>
      </c>
      <c r="N32" s="95">
        <f t="shared" si="24"/>
        <v>1617.9775280899021</v>
      </c>
      <c r="O32" s="96">
        <f t="shared" si="25"/>
        <v>101.12359550561888</v>
      </c>
      <c r="P32" s="97">
        <f t="shared" si="26"/>
        <v>0</v>
      </c>
      <c r="Q32" s="98">
        <f t="shared" si="27"/>
        <v>-1.12640449438112</v>
      </c>
      <c r="R32" s="99">
        <f t="shared" si="28"/>
        <v>0.98898381912585698</v>
      </c>
      <c r="S32" s="469"/>
      <c r="T32" s="19">
        <v>0.54930555555555605</v>
      </c>
      <c r="U32" s="19">
        <v>0.61111111111111105</v>
      </c>
      <c r="V32" s="92">
        <f t="shared" si="29"/>
        <v>8.0000000000007709</v>
      </c>
      <c r="W32" s="149">
        <f t="shared" si="10"/>
        <v>88.999999999999204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7"/>
      <c r="D33" s="59" t="s">
        <v>123</v>
      </c>
      <c r="E33" s="178"/>
      <c r="F33" s="75">
        <f>VLOOKUP(D33,廠價表!$C$1:$E$43,3,0)</f>
        <v>45.66</v>
      </c>
      <c r="G33" s="90">
        <v>2100</v>
      </c>
      <c r="H33" s="91">
        <f t="shared" si="22"/>
        <v>95886</v>
      </c>
      <c r="I33" s="92"/>
      <c r="J33" s="79">
        <f>VLOOKUP(D33,產線配置圖!$A$3:$C$40,2,0)</f>
        <v>17</v>
      </c>
      <c r="K33" s="80">
        <v>1636</v>
      </c>
      <c r="L33" s="93">
        <f t="shared" si="23"/>
        <v>96.235294117647058</v>
      </c>
      <c r="M33" s="94">
        <v>17</v>
      </c>
      <c r="N33" s="95">
        <f t="shared" si="24"/>
        <v>1465.1162790697729</v>
      </c>
      <c r="O33" s="96">
        <f t="shared" si="25"/>
        <v>86.18331053351605</v>
      </c>
      <c r="P33" s="97">
        <f t="shared" si="26"/>
        <v>0</v>
      </c>
      <c r="Q33" s="98">
        <f t="shared" si="27"/>
        <v>-10.051983584131008</v>
      </c>
      <c r="R33" s="99">
        <f t="shared" si="28"/>
        <v>0.89554784784215946</v>
      </c>
      <c r="S33" s="469"/>
      <c r="T33" s="19">
        <v>0.61597222222222203</v>
      </c>
      <c r="U33" s="19">
        <v>0.67569444444444404</v>
      </c>
      <c r="V33" s="92">
        <f t="shared" si="29"/>
        <v>6.9999999999998153</v>
      </c>
      <c r="W33" s="149">
        <f t="shared" si="10"/>
        <v>85.999999999999687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 t="s">
        <v>81</v>
      </c>
      <c r="C34" s="173"/>
      <c r="D34" s="59" t="s">
        <v>141</v>
      </c>
      <c r="E34" s="104"/>
      <c r="F34" s="75">
        <f>VLOOKUP(D34,廠價表!$C$1:$E$43,3,0)</f>
        <v>46.34</v>
      </c>
      <c r="G34" s="90">
        <v>1200</v>
      </c>
      <c r="H34" s="91">
        <f t="shared" si="22"/>
        <v>55608.000000000007</v>
      </c>
      <c r="I34" s="92"/>
      <c r="J34" s="79">
        <f>VLOOKUP(D34,產線配置圖!$A$3:$C$40,2,0)</f>
        <v>16</v>
      </c>
      <c r="K34" s="80">
        <v>1636</v>
      </c>
      <c r="L34" s="93">
        <f t="shared" si="23"/>
        <v>102.25</v>
      </c>
      <c r="M34" s="94">
        <v>16</v>
      </c>
      <c r="N34" s="95">
        <f t="shared" si="24"/>
        <v>1500.0000000000155</v>
      </c>
      <c r="O34" s="96">
        <f t="shared" si="25"/>
        <v>93.750000000000966</v>
      </c>
      <c r="P34" s="97">
        <f t="shared" si="26"/>
        <v>0</v>
      </c>
      <c r="Q34" s="98">
        <f t="shared" si="27"/>
        <v>-8.4999999999990337</v>
      </c>
      <c r="R34" s="99">
        <f t="shared" si="28"/>
        <v>0.91687041564793126</v>
      </c>
      <c r="S34" s="469"/>
      <c r="T34" s="19">
        <v>0.68125000000000002</v>
      </c>
      <c r="U34" s="19">
        <v>0.71458333333333302</v>
      </c>
      <c r="V34" s="92">
        <f t="shared" si="29"/>
        <v>8.0000000000006111</v>
      </c>
      <c r="W34" s="149">
        <f t="shared" si="10"/>
        <v>47.99999999999951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9"/>
      <c r="U35" s="19"/>
      <c r="V35" s="92"/>
      <c r="W35" s="149">
        <f t="shared" si="10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10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30">AVERAGE(J27:J36)</f>
        <v>17</v>
      </c>
      <c r="K37" s="155">
        <f t="shared" si="30"/>
        <v>1636</v>
      </c>
      <c r="L37" s="158">
        <f t="shared" si="30"/>
        <v>96.485906862745111</v>
      </c>
      <c r="M37" s="155">
        <f t="shared" si="30"/>
        <v>16.5</v>
      </c>
      <c r="N37" s="155">
        <f t="shared" si="30"/>
        <v>1497.2768813513276</v>
      </c>
      <c r="O37" s="158">
        <f t="shared" si="30"/>
        <v>90.901162291445331</v>
      </c>
      <c r="P37" s="159">
        <f>M37-J37</f>
        <v>-0.5</v>
      </c>
      <c r="Q37" s="160">
        <f>N37-K37</f>
        <v>-138.72311864867243</v>
      </c>
      <c r="R37" s="161">
        <f>O37/L37</f>
        <v>0.94211854608731316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-138.72311864867243</v>
      </c>
      <c r="AG37" s="124">
        <f>N37/K37</f>
        <v>0.91520591769641046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362"/>
      <c r="F38" s="39">
        <f>VLOOKUP(D38,廠價表!$C$1:$E$43,3,0)</f>
        <v>49.91</v>
      </c>
      <c r="G38" s="186">
        <v>3291</v>
      </c>
      <c r="H38" s="134">
        <f>F38*G38</f>
        <v>164253.81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1579.6799999999914</v>
      </c>
      <c r="O38" s="141">
        <f>N38/M38</f>
        <v>105.31199999999943</v>
      </c>
      <c r="P38" s="142">
        <f>M38-J38</f>
        <v>0</v>
      </c>
      <c r="Q38" s="143">
        <f>O38-L38</f>
        <v>-8.9546666666672365</v>
      </c>
      <c r="R38" s="144">
        <f>O38/L38</f>
        <v>0.92163360560092855</v>
      </c>
      <c r="S38" s="490">
        <f>R48</f>
        <v>0.92617352848150414</v>
      </c>
      <c r="T38" s="191">
        <v>0.33333333333333298</v>
      </c>
      <c r="U38" s="191">
        <v>0.42013888888888901</v>
      </c>
      <c r="V38" s="192"/>
      <c r="W38" s="193">
        <f t="shared" si="10"/>
        <v>125.00000000000068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-134.32000000000858</v>
      </c>
      <c r="AG38" s="195">
        <f>N38/K38</f>
        <v>0.92163360560092844</v>
      </c>
      <c r="AH38" s="480">
        <f>AG48</f>
        <v>0.89261551762410418</v>
      </c>
    </row>
    <row r="39" spans="1:34" ht="15" customHeight="1">
      <c r="A39" s="488"/>
      <c r="B39" s="75" t="s">
        <v>128</v>
      </c>
      <c r="C39" s="207"/>
      <c r="D39" s="198" t="s">
        <v>131</v>
      </c>
      <c r="E39" s="178"/>
      <c r="F39" s="75">
        <f>VLOOKUP(D39,廠價表!$C$1:$E$43,3,0)</f>
        <v>44.3</v>
      </c>
      <c r="G39" s="199">
        <v>2512</v>
      </c>
      <c r="H39" s="91">
        <f>F39*G39</f>
        <v>111281.59999999999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1463.3009708737825</v>
      </c>
      <c r="O39" s="203">
        <f>N39/M39</f>
        <v>86.076527698457795</v>
      </c>
      <c r="P39" s="97">
        <f>M39-J39</f>
        <v>-1</v>
      </c>
      <c r="Q39" s="98">
        <f>O39-L39</f>
        <v>-4.8123611904310906</v>
      </c>
      <c r="R39" s="99">
        <f>O39/L39</f>
        <v>0.94705226074097826</v>
      </c>
      <c r="S39" s="491"/>
      <c r="T39" s="20">
        <v>0.43402777777777801</v>
      </c>
      <c r="U39" s="20">
        <v>0.50555555555555598</v>
      </c>
      <c r="V39" s="92">
        <f>(T39-U38)*24*60</f>
        <v>20.000000000000171</v>
      </c>
      <c r="W39" s="205">
        <f t="shared" si="10"/>
        <v>103.00000000000027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-172.69902912621751</v>
      </c>
      <c r="AG39" s="206">
        <f>N39/K39</f>
        <v>0.89443824625536827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1173</v>
      </c>
      <c r="H40" s="91">
        <f>F40*G40</f>
        <v>51963.899999999994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1407.6000000000097</v>
      </c>
      <c r="O40" s="203">
        <f>N40/M40</f>
        <v>82.800000000000566</v>
      </c>
      <c r="P40" s="97">
        <f>M40-J40</f>
        <v>-1</v>
      </c>
      <c r="Q40" s="98">
        <f>O40-L40</f>
        <v>-8.0888888888883201</v>
      </c>
      <c r="R40" s="99">
        <f>O40/L40</f>
        <v>0.91100244498778127</v>
      </c>
      <c r="S40" s="413"/>
      <c r="T40" s="20">
        <v>0.5625</v>
      </c>
      <c r="U40" s="210">
        <v>0.59722222222222199</v>
      </c>
      <c r="V40" s="92">
        <f>(T40-U39)*24*60</f>
        <v>81.999999999999389</v>
      </c>
      <c r="W40" s="205">
        <f t="shared" si="10"/>
        <v>49.999999999999659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-228.39999999999031</v>
      </c>
      <c r="AG40" s="206">
        <f>N40/K40</f>
        <v>0.86039119804401565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10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10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10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10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10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10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10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31">AVERAGE(J38:J47)</f>
        <v>17</v>
      </c>
      <c r="K48" s="155">
        <f t="shared" si="31"/>
        <v>1662</v>
      </c>
      <c r="L48" s="158">
        <f t="shared" si="31"/>
        <v>98.681481481481498</v>
      </c>
      <c r="M48" s="155">
        <f t="shared" si="31"/>
        <v>16.333333333333332</v>
      </c>
      <c r="N48" s="155">
        <f t="shared" si="31"/>
        <v>1483.5269902912612</v>
      </c>
      <c r="O48" s="158">
        <f t="shared" si="31"/>
        <v>91.396175899485925</v>
      </c>
      <c r="P48" s="221">
        <f>M48-J48</f>
        <v>-0.66666666666666785</v>
      </c>
      <c r="Q48" s="222">
        <f>N48-K48</f>
        <v>-178.4730097087388</v>
      </c>
      <c r="R48" s="223">
        <f>O48/L48</f>
        <v>0.92617352848150414</v>
      </c>
      <c r="S48" s="416"/>
      <c r="T48" s="224"/>
      <c r="U48" s="224"/>
      <c r="V48" s="225"/>
      <c r="W48" s="226">
        <f t="shared" si="10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32">N48-K48</f>
        <v>-178.4730097087388</v>
      </c>
      <c r="AG48" s="162">
        <f t="shared" ref="AG48:AG53" si="33">N48/K48</f>
        <v>0.89261551762410418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2395</v>
      </c>
      <c r="H49" s="134">
        <f>F49*G49</f>
        <v>118600.40000000001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1632.9545454545485</v>
      </c>
      <c r="O49" s="141">
        <f>N49/M49</f>
        <v>96.056149732620497</v>
      </c>
      <c r="P49" s="229">
        <f>M49-J49</f>
        <v>0</v>
      </c>
      <c r="Q49" s="230">
        <f>O49-L49</f>
        <v>-9.8262032085559667</v>
      </c>
      <c r="R49" s="52">
        <f>O49/L49</f>
        <v>0.90719696969697139</v>
      </c>
      <c r="S49" s="412">
        <f>R58</f>
        <v>0.88228508299866815</v>
      </c>
      <c r="T49" s="191">
        <v>0.29166666666666702</v>
      </c>
      <c r="U49" s="191">
        <v>0.35277777777777802</v>
      </c>
      <c r="V49" s="55"/>
      <c r="W49" s="193">
        <f t="shared" si="10"/>
        <v>87.999999999999844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32"/>
        <v>-167.04545454545155</v>
      </c>
      <c r="AG49" s="52">
        <f t="shared" si="33"/>
        <v>0.90719696969697139</v>
      </c>
      <c r="AH49" s="457">
        <f>AG58</f>
        <v>0.88265844417562955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2226</v>
      </c>
      <c r="H50" s="231">
        <f>F50*G50</f>
        <v>111943.314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1500.6741573033601</v>
      </c>
      <c r="O50" s="235">
        <f>N50/M50</f>
        <v>88.274950429609419</v>
      </c>
      <c r="P50" s="74">
        <f>M50-J50</f>
        <v>0</v>
      </c>
      <c r="Q50" s="83">
        <f>O50-L50</f>
        <v>-7.9603436880376393</v>
      </c>
      <c r="R50" s="72">
        <f>O50/L50</f>
        <v>0.91728249223921765</v>
      </c>
      <c r="S50" s="413"/>
      <c r="T50" s="21">
        <v>0.359722222222222</v>
      </c>
      <c r="U50" s="21">
        <v>0.421527777777778</v>
      </c>
      <c r="V50" s="30">
        <f>(T50-U49)*24*60</f>
        <v>9.999999999999325</v>
      </c>
      <c r="W50" s="236">
        <f t="shared" si="10"/>
        <v>89.000000000000639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32"/>
        <v>-135.32584269663994</v>
      </c>
      <c r="AG50" s="72">
        <f t="shared" si="33"/>
        <v>0.91728249223921765</v>
      </c>
      <c r="AH50" s="458"/>
    </row>
    <row r="51" spans="1:34" ht="15" customHeight="1">
      <c r="A51" s="485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936</v>
      </c>
      <c r="H51" s="231">
        <f t="shared" ref="H51:H53" si="34">F51*G51</f>
        <v>46771.92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3" si="35">K51/J51</f>
        <v>112.5</v>
      </c>
      <c r="M51" s="233">
        <v>16</v>
      </c>
      <c r="N51" s="234">
        <f t="shared" ref="N51:N53" si="36">G51/W51*60</f>
        <v>1517.837837837804</v>
      </c>
      <c r="O51" s="235">
        <f t="shared" ref="O51:O53" si="37">N51/M51</f>
        <v>94.864864864862753</v>
      </c>
      <c r="P51" s="74">
        <f t="shared" ref="P51:P53" si="38">M51-J51</f>
        <v>0</v>
      </c>
      <c r="Q51" s="83">
        <f t="shared" ref="Q51:Q53" si="39">O51-L51</f>
        <v>-17.635135135137247</v>
      </c>
      <c r="R51" s="72">
        <f t="shared" ref="R51:R53" si="40">O51/L51</f>
        <v>0.84324324324322442</v>
      </c>
      <c r="S51" s="413"/>
      <c r="T51" s="21">
        <v>0.43611111111111101</v>
      </c>
      <c r="U51" s="21">
        <v>0.46180555555555602</v>
      </c>
      <c r="V51" s="30">
        <f>(T51-U50)*24*60</f>
        <v>20.999999999999524</v>
      </c>
      <c r="W51" s="236">
        <f t="shared" si="10"/>
        <v>37.000000000000824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32"/>
        <v>-282.16216216219595</v>
      </c>
      <c r="AG51" s="72">
        <f t="shared" si="33"/>
        <v>0.84324324324322442</v>
      </c>
      <c r="AH51" s="458"/>
    </row>
    <row r="52" spans="1:34" ht="15" customHeight="1">
      <c r="A52" s="485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4311</v>
      </c>
      <c r="H52" s="231">
        <f t="shared" si="34"/>
        <v>215420.66999999998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35"/>
        <v>112.5</v>
      </c>
      <c r="M52" s="108">
        <v>16</v>
      </c>
      <c r="N52" s="234">
        <f t="shared" si="36"/>
        <v>1606.5838509316718</v>
      </c>
      <c r="O52" s="235">
        <f t="shared" si="37"/>
        <v>100.41149068322949</v>
      </c>
      <c r="P52" s="74">
        <f t="shared" si="38"/>
        <v>0</v>
      </c>
      <c r="Q52" s="83">
        <f t="shared" si="39"/>
        <v>-12.088509316770512</v>
      </c>
      <c r="R52" s="72">
        <f t="shared" si="40"/>
        <v>0.89254658385092878</v>
      </c>
      <c r="S52" s="413"/>
      <c r="T52" s="21">
        <v>0.52222222222222203</v>
      </c>
      <c r="U52" s="21">
        <v>0.63402777777777797</v>
      </c>
      <c r="V52" s="30">
        <f>(T52-U51)*24*60</f>
        <v>86.999999999999048</v>
      </c>
      <c r="W52" s="236">
        <f t="shared" si="10"/>
        <v>161.00000000000054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32"/>
        <v>-193.4161490683282</v>
      </c>
      <c r="AG52" s="72">
        <f t="shared" si="33"/>
        <v>0.89254658385092878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768</v>
      </c>
      <c r="H53" s="231">
        <f t="shared" si="34"/>
        <v>38621.952000000005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35"/>
        <v>96.235294117647058</v>
      </c>
      <c r="M53" s="108">
        <v>17</v>
      </c>
      <c r="N53" s="234">
        <f t="shared" si="36"/>
        <v>1396.3636363636751</v>
      </c>
      <c r="O53" s="235">
        <f t="shared" si="37"/>
        <v>82.139037433157355</v>
      </c>
      <c r="P53" s="74">
        <f t="shared" si="38"/>
        <v>0</v>
      </c>
      <c r="Q53" s="83">
        <f t="shared" si="39"/>
        <v>-14.096256684489703</v>
      </c>
      <c r="R53" s="72">
        <f t="shared" si="40"/>
        <v>0.85352300511227086</v>
      </c>
      <c r="S53" s="413"/>
      <c r="T53" s="21">
        <v>0.64027777777777795</v>
      </c>
      <c r="U53" s="21">
        <v>0.66319444444444398</v>
      </c>
      <c r="V53" s="30">
        <f>(T53-U52)*24*60</f>
        <v>8.999999999999968</v>
      </c>
      <c r="W53" s="236">
        <f t="shared" si="10"/>
        <v>32.999999999999083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32"/>
        <v>-239.63636363632486</v>
      </c>
      <c r="AG53" s="72">
        <f t="shared" si="33"/>
        <v>0.85352300511227086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10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10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10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10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41">AVERAGE(J49:J57)</f>
        <v>16.600000000000001</v>
      </c>
      <c r="K58" s="120">
        <f t="shared" si="41"/>
        <v>1734.4</v>
      </c>
      <c r="L58" s="117">
        <f t="shared" si="41"/>
        <v>104.67058823529412</v>
      </c>
      <c r="M58" s="120">
        <f t="shared" si="41"/>
        <v>16.600000000000001</v>
      </c>
      <c r="N58" s="120">
        <f t="shared" si="41"/>
        <v>1530.8828055782119</v>
      </c>
      <c r="O58" s="117">
        <f t="shared" si="41"/>
        <v>92.349298628695891</v>
      </c>
      <c r="P58" s="121">
        <f>M58-J58</f>
        <v>0</v>
      </c>
      <c r="Q58" s="122">
        <f>N58-K58</f>
        <v>-203.51719442178819</v>
      </c>
      <c r="R58" s="123">
        <f>O58/L58</f>
        <v>0.88228508299866815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-203.51719442178819</v>
      </c>
      <c r="AG58" s="124">
        <f>N58/K58</f>
        <v>0.88265844417562955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3800</v>
      </c>
      <c r="H59" s="243">
        <f>F59*G59</f>
        <v>102562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1572.413793103439</v>
      </c>
      <c r="O59" s="138">
        <f>N59/M59</f>
        <v>104.82758620689593</v>
      </c>
      <c r="P59" s="56">
        <f>M59-J59</f>
        <v>0</v>
      </c>
      <c r="Q59" s="230">
        <f>O59-L59</f>
        <v>-4.239080459770733</v>
      </c>
      <c r="R59" s="52">
        <f>O59/L59</f>
        <v>0.96113312536885021</v>
      </c>
      <c r="S59" s="412">
        <f>R69</f>
        <v>0.94778300585318187</v>
      </c>
      <c r="T59" s="245">
        <v>0.28819444444444398</v>
      </c>
      <c r="U59" s="245">
        <v>0.38888888888888901</v>
      </c>
      <c r="V59" s="55"/>
      <c r="W59" s="54">
        <f t="shared" si="10"/>
        <v>145.00000000000085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-63.586206896560952</v>
      </c>
      <c r="AG59" s="246">
        <f>N59/K59</f>
        <v>0.96113312536885032</v>
      </c>
      <c r="AH59" s="457">
        <f>AG69</f>
        <v>0.94896968314346364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1902</v>
      </c>
      <c r="H60" s="78">
        <f>F60*G60</f>
        <v>53750.520000000004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1521.5999999999794</v>
      </c>
      <c r="O60" s="81">
        <f>N60/M60</f>
        <v>138.32727272727087</v>
      </c>
      <c r="P60" s="74">
        <f>M60-J60</f>
        <v>0</v>
      </c>
      <c r="Q60" s="83">
        <f>O60-L60</f>
        <v>-10.400000000001853</v>
      </c>
      <c r="R60" s="72">
        <f>O60/L60</f>
        <v>0.9300733496332394</v>
      </c>
      <c r="S60" s="502"/>
      <c r="T60" s="22">
        <v>0.39583333333333298</v>
      </c>
      <c r="U60" s="22">
        <v>0.44791666666666702</v>
      </c>
      <c r="V60" s="30">
        <f>(T60-U59)*24*60</f>
        <v>9.999999999999325</v>
      </c>
      <c r="W60" s="248">
        <f t="shared" si="10"/>
        <v>75.000000000001009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-114.40000000002055</v>
      </c>
      <c r="AG60" s="249">
        <f>N60/K60</f>
        <v>0.93007334963323929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2215</v>
      </c>
      <c r="H61" s="254">
        <f>F61*G61</f>
        <v>62595.9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1563.5294117647011</v>
      </c>
      <c r="O61" s="238">
        <f>N61/M61</f>
        <v>142.13903743315464</v>
      </c>
      <c r="P61" s="111">
        <f>M61-J61</f>
        <v>0</v>
      </c>
      <c r="Q61" s="255">
        <f>O61-L61</f>
        <v>-6.5882352941180784</v>
      </c>
      <c r="R61" s="85">
        <f>O61/L61</f>
        <v>0.95570257442830142</v>
      </c>
      <c r="S61" s="413"/>
      <c r="T61" s="22">
        <v>0.45486111111111099</v>
      </c>
      <c r="U61" s="22">
        <v>0.51388888888888895</v>
      </c>
      <c r="V61" s="30">
        <f>(T61-U60)*24*60</f>
        <v>9.999999999999325</v>
      </c>
      <c r="W61" s="256">
        <f t="shared" si="10"/>
        <v>85.000000000000256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-72.470588235298919</v>
      </c>
      <c r="AG61" s="247">
        <f>N61/K61</f>
        <v>0.95570257442830142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10"/>
        <v>0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10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10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10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10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10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10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2">AVERAGE(J59:J68)</f>
        <v>12.333333333333334</v>
      </c>
      <c r="K69" s="240">
        <f t="shared" si="42"/>
        <v>1636</v>
      </c>
      <c r="L69" s="268">
        <f t="shared" si="42"/>
        <v>135.50707070707071</v>
      </c>
      <c r="M69" s="240">
        <f t="shared" si="42"/>
        <v>12.333333333333334</v>
      </c>
      <c r="N69" s="240">
        <f t="shared" si="42"/>
        <v>1552.5144016227066</v>
      </c>
      <c r="O69" s="268">
        <f t="shared" si="42"/>
        <v>128.43129878910713</v>
      </c>
      <c r="P69" s="269">
        <f>M69-J69</f>
        <v>0</v>
      </c>
      <c r="Q69" s="222">
        <f>N69-K69</f>
        <v>-83.4855983772934</v>
      </c>
      <c r="R69" s="123">
        <f>O69/L69</f>
        <v>0.94778300585318187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-83.4855983772934</v>
      </c>
      <c r="AG69" s="124">
        <f>N69/K69</f>
        <v>0.94896968314346364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2736</v>
      </c>
      <c r="H70" s="243">
        <f>F70*G70</f>
        <v>77319.360000000001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1262.7692307692275</v>
      </c>
      <c r="O70" s="138">
        <f>N70/M70</f>
        <v>114.7972027972025</v>
      </c>
      <c r="P70" s="56">
        <f>M70-J70</f>
        <v>0</v>
      </c>
      <c r="Q70" s="230">
        <f>O70-L70</f>
        <v>-33.930069930070218</v>
      </c>
      <c r="R70" s="52">
        <f>O70/L70</f>
        <v>0.77186383298852546</v>
      </c>
      <c r="S70" s="412">
        <f>R79</f>
        <v>0.72175438149431226</v>
      </c>
      <c r="T70" s="245">
        <v>0.29513888888888901</v>
      </c>
      <c r="U70" s="245">
        <v>0.38541666666666702</v>
      </c>
      <c r="V70" s="55"/>
      <c r="W70" s="54">
        <f t="shared" si="10"/>
        <v>130.00000000000034</v>
      </c>
      <c r="X70" s="270"/>
      <c r="Y70" s="292"/>
      <c r="Z70" s="169"/>
      <c r="AA70" s="169"/>
      <c r="AB70" s="483" t="s">
        <v>168</v>
      </c>
      <c r="AC70" s="483"/>
      <c r="AD70" s="135"/>
      <c r="AE70" s="135"/>
      <c r="AF70" s="310">
        <f>N70-K70</f>
        <v>-373.23076923077247</v>
      </c>
      <c r="AG70" s="246">
        <f>N70/K70</f>
        <v>0.77186383298852534</v>
      </c>
      <c r="AH70" s="457">
        <f>AG79</f>
        <v>0.66267637400999591</v>
      </c>
    </row>
    <row r="71" spans="1:36" ht="15" customHeight="1">
      <c r="A71" s="495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1960</v>
      </c>
      <c r="H71" s="78">
        <f t="shared" ref="H71:H72" si="43">F71*G71</f>
        <v>112131.6</v>
      </c>
      <c r="I71" s="30"/>
      <c r="J71" s="79">
        <f>VLOOKUP(D71,產線配置圖!$A$3:$C$40,2,0)</f>
        <v>17</v>
      </c>
      <c r="K71" s="80">
        <f>VLOOKUP(D71,產線配置圖!$A$3:$C$40,3,0)</f>
        <v>2250</v>
      </c>
      <c r="L71" s="81">
        <f t="shared" ref="L71:L72" si="44">K71/J71</f>
        <v>132.35294117647058</v>
      </c>
      <c r="M71" s="82">
        <v>15</v>
      </c>
      <c r="N71" s="80">
        <f t="shared" ref="N71:N72" si="45">G71/W71*60</f>
        <v>925.98425196849792</v>
      </c>
      <c r="O71" s="81">
        <f t="shared" ref="O71:O72" si="46">N71/M71</f>
        <v>61.732283464566528</v>
      </c>
      <c r="P71" s="74">
        <f t="shared" ref="P71:P72" si="47">M71-J71</f>
        <v>-2</v>
      </c>
      <c r="Q71" s="83">
        <f t="shared" ref="Q71:Q72" si="48">O71-L71</f>
        <v>-70.620657711904045</v>
      </c>
      <c r="R71" s="72">
        <f t="shared" ref="R71:R72" si="49">O71/L71</f>
        <v>0.466421697287836</v>
      </c>
      <c r="S71" s="413"/>
      <c r="T71" s="22">
        <v>0.40833333333333299</v>
      </c>
      <c r="U71" s="22">
        <v>0.49652777777777801</v>
      </c>
      <c r="V71" s="30">
        <f>(T71-U70)*24*60</f>
        <v>32.999999999999005</v>
      </c>
      <c r="W71" s="73">
        <f t="shared" si="10"/>
        <v>127.00000000000082</v>
      </c>
      <c r="X71" s="271"/>
      <c r="Y71" s="293"/>
      <c r="Z71" s="90"/>
      <c r="AA71" s="90"/>
      <c r="AB71" s="483" t="s">
        <v>168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136</v>
      </c>
      <c r="C72" s="58"/>
      <c r="D72" s="259" t="s">
        <v>140</v>
      </c>
      <c r="E72" s="60"/>
      <c r="F72" s="75">
        <f>VLOOKUP(D72,廠價表!$C$1:$E$43,3,0)</f>
        <v>28.26</v>
      </c>
      <c r="G72" s="273">
        <v>1348</v>
      </c>
      <c r="H72" s="78">
        <f t="shared" si="43"/>
        <v>38094.480000000003</v>
      </c>
      <c r="I72" s="30"/>
      <c r="J72" s="79">
        <f>VLOOKUP(D72,產線配置圖!$A$3:$C$40,2,0)</f>
        <v>11</v>
      </c>
      <c r="K72" s="80">
        <f>VLOOKUP(D72,產線配置圖!$A$3:$C$40,3,0)</f>
        <v>1636</v>
      </c>
      <c r="L72" s="81">
        <f t="shared" si="44"/>
        <v>148.72727272727272</v>
      </c>
      <c r="M72" s="94">
        <v>11</v>
      </c>
      <c r="N72" s="80">
        <f t="shared" si="45"/>
        <v>1470.5454545454727</v>
      </c>
      <c r="O72" s="81">
        <f t="shared" si="46"/>
        <v>133.68595041322479</v>
      </c>
      <c r="P72" s="74">
        <f t="shared" si="47"/>
        <v>0</v>
      </c>
      <c r="Q72" s="83">
        <f t="shared" si="48"/>
        <v>-15.041322314047932</v>
      </c>
      <c r="R72" s="72">
        <f t="shared" si="49"/>
        <v>0.89886641475884643</v>
      </c>
      <c r="S72" s="413"/>
      <c r="T72" s="22">
        <v>0.55902777777777801</v>
      </c>
      <c r="U72" s="22">
        <v>0.59722222222222199</v>
      </c>
      <c r="V72" s="30">
        <f>(T72-U71)*24*60</f>
        <v>90</v>
      </c>
      <c r="W72" s="73">
        <f t="shared" si="10"/>
        <v>54.999999999999325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/>
      <c r="C73" s="102"/>
      <c r="D73" s="103"/>
      <c r="E73" s="104"/>
      <c r="F73" s="75"/>
      <c r="G73" s="30"/>
      <c r="H73" s="78"/>
      <c r="I73" s="30"/>
      <c r="J73" s="79"/>
      <c r="K73" s="80"/>
      <c r="L73" s="81"/>
      <c r="M73" s="108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10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10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10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10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10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10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50">AVERAGE(J70:J78)</f>
        <v>13</v>
      </c>
      <c r="K79" s="240">
        <f t="shared" si="50"/>
        <v>1840.6666666666667</v>
      </c>
      <c r="L79" s="268">
        <f t="shared" si="50"/>
        <v>143.26916221033866</v>
      </c>
      <c r="M79" s="240">
        <f t="shared" si="50"/>
        <v>12.333333333333334</v>
      </c>
      <c r="N79" s="240">
        <f t="shared" si="50"/>
        <v>1219.7663124277326</v>
      </c>
      <c r="O79" s="268">
        <f t="shared" si="50"/>
        <v>103.40514555833128</v>
      </c>
      <c r="P79" s="269">
        <f>M79-J79</f>
        <v>-0.66666666666666607</v>
      </c>
      <c r="Q79" s="222">
        <f>N79-K79</f>
        <v>-620.90035423893414</v>
      </c>
      <c r="R79" s="223">
        <f>O79/L79</f>
        <v>0.72175438149431226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-620.90035423893414</v>
      </c>
      <c r="AG79" s="124">
        <f>N79/K79</f>
        <v>0.66267637400999591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35:AC35"/>
    <mergeCell ref="AB36:AC36"/>
    <mergeCell ref="AH16:AH26"/>
    <mergeCell ref="AB17:AC17"/>
    <mergeCell ref="AB18:AC18"/>
    <mergeCell ref="AH27:AH37"/>
    <mergeCell ref="AB30:AC30"/>
    <mergeCell ref="AB31:AC31"/>
    <mergeCell ref="AB32:AC32"/>
    <mergeCell ref="AB33:AC33"/>
    <mergeCell ref="AB34:AC34"/>
    <mergeCell ref="AB25:AC25"/>
    <mergeCell ref="AB28:AC28"/>
    <mergeCell ref="AB29:AC29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D15:E15"/>
    <mergeCell ref="A5:A15"/>
    <mergeCell ref="S5:S15"/>
    <mergeCell ref="AB5:AC5"/>
    <mergeCell ref="AB15:AC15"/>
    <mergeCell ref="AB8:AC8"/>
    <mergeCell ref="AB9:AC9"/>
    <mergeCell ref="AB10:AC10"/>
    <mergeCell ref="AB11:AC11"/>
    <mergeCell ref="AB12:AC12"/>
    <mergeCell ref="AB13:AC13"/>
    <mergeCell ref="AH5:AH15"/>
    <mergeCell ref="AB6:AC6"/>
    <mergeCell ref="AB7:AC7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AB14:AC14"/>
    <mergeCell ref="A2:B2"/>
    <mergeCell ref="A3:A4"/>
    <mergeCell ref="B3:B4"/>
    <mergeCell ref="D3:E4"/>
    <mergeCell ref="F3:F4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  <mergeCell ref="H3:H4"/>
    <mergeCell ref="I3:I4"/>
    <mergeCell ref="G3:G4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O84" sqref="O8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46213</v>
      </c>
      <c r="E3" s="379"/>
      <c r="F3" s="3" t="s">
        <v>72</v>
      </c>
      <c r="G3" s="380">
        <f>'0710'!E1</f>
        <v>49267</v>
      </c>
      <c r="H3" s="380"/>
      <c r="I3" s="3" t="s">
        <v>2</v>
      </c>
      <c r="J3" s="381">
        <f>'0710'!G1</f>
        <v>2276711.1160000004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121.50345997761964</v>
      </c>
      <c r="G6" s="386"/>
      <c r="H6" s="387">
        <f>AVERAGE(D13:H13)</f>
        <v>118.92482020158491</v>
      </c>
      <c r="I6" s="387"/>
      <c r="J6" s="387">
        <f>AVERAGE(I13:J13)</f>
        <v>127.95005941770648</v>
      </c>
      <c r="K6" s="387"/>
      <c r="L6" s="503">
        <f>SUM(D18:J18)</f>
        <v>1</v>
      </c>
      <c r="M6" s="390">
        <f>SUM(D19:J19)</f>
        <v>10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110.11298413541287</v>
      </c>
      <c r="G7" s="410"/>
      <c r="H7" s="411">
        <f>AVERAGE(D14:H14)</f>
        <v>107.57298785605474</v>
      </c>
      <c r="I7" s="411"/>
      <c r="J7" s="411">
        <f>AVERAGE(I14:J14)</f>
        <v>116.46297483380823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0.90625389726099292</v>
      </c>
      <c r="G8" s="383"/>
      <c r="H8" s="383">
        <f>H7/H6</f>
        <v>0.90454614666401756</v>
      </c>
      <c r="I8" s="383"/>
      <c r="J8" s="383">
        <f>J7/J6</f>
        <v>0.91022212388040047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VALUE('0710'!L15)</f>
        <v>127.1712962962963</v>
      </c>
      <c r="E13" s="13">
        <f>VALUE('0710'!L26)</f>
        <v>161.37362637362637</v>
      </c>
      <c r="F13" s="13">
        <f>VALUE('0710'!L37)</f>
        <v>96.721988795518214</v>
      </c>
      <c r="G13" s="13">
        <f>VALUE('0710'!L48)</f>
        <v>102.57777777777778</v>
      </c>
      <c r="H13" s="13">
        <f>VALUE('0710'!L58)</f>
        <v>106.77941176470588</v>
      </c>
      <c r="I13" s="13">
        <f>VALUE('0710'!L69)</f>
        <v>135.50707070707071</v>
      </c>
      <c r="J13" s="13">
        <f>'0710'!L79</f>
        <v>120.39304812834224</v>
      </c>
    </row>
    <row r="14" spans="2:15" ht="39.950000000000003" customHeight="1">
      <c r="B14" s="404"/>
      <c r="C14" s="12" t="s">
        <v>100</v>
      </c>
      <c r="D14" s="13">
        <f>VALUE('0710'!O15)</f>
        <v>118.99951890210615</v>
      </c>
      <c r="E14" s="13">
        <f>VALUE('0710'!O26)</f>
        <v>146.79135958642047</v>
      </c>
      <c r="F14" s="13">
        <f>VALUE('0710'!O37)</f>
        <v>89.214603328695389</v>
      </c>
      <c r="G14" s="13">
        <f>VALUE('0710'!O48)</f>
        <v>88.139672760995921</v>
      </c>
      <c r="H14" s="13">
        <f>VALUE('0710'!O58)</f>
        <v>94.71978470205579</v>
      </c>
      <c r="I14" s="13">
        <f>VALUE('0710'!O69)</f>
        <v>125.25833333333355</v>
      </c>
      <c r="J14" s="13">
        <f>'0710'!O79</f>
        <v>107.66761633428291</v>
      </c>
    </row>
    <row r="15" spans="2:15" ht="39.950000000000003" customHeight="1">
      <c r="B15" s="405"/>
      <c r="C15" s="10" t="s">
        <v>26</v>
      </c>
      <c r="D15" s="14">
        <f t="shared" ref="D15:I15" si="1">D14/D13</f>
        <v>0.93574196668444154</v>
      </c>
      <c r="E15" s="14">
        <f t="shared" si="1"/>
        <v>0.90963661711707611</v>
      </c>
      <c r="F15" s="14">
        <f t="shared" si="1"/>
        <v>0.92238181244707107</v>
      </c>
      <c r="G15" s="14">
        <f t="shared" si="1"/>
        <v>0.85924724312062739</v>
      </c>
      <c r="H15" s="14">
        <f t="shared" si="1"/>
        <v>0.88706037181377129</v>
      </c>
      <c r="I15" s="14">
        <f t="shared" si="1"/>
        <v>0.92436750849782501</v>
      </c>
      <c r="J15" s="15">
        <f>'0710'!S70</f>
        <v>0.89430094185759235</v>
      </c>
    </row>
    <row r="16" spans="2:15" ht="17.25" customHeight="1">
      <c r="B16" s="406" t="s">
        <v>101</v>
      </c>
      <c r="C16" s="10" t="s">
        <v>34</v>
      </c>
      <c r="D16" s="16">
        <f>'0710'!T5</f>
        <v>0.29513888888888901</v>
      </c>
      <c r="E16" s="16">
        <f>'0710'!T16</f>
        <v>0.28819444444444398</v>
      </c>
      <c r="F16" s="16">
        <f>'0710'!T27</f>
        <v>0.29166666666666702</v>
      </c>
      <c r="G16" s="16">
        <f>'0710'!T38</f>
        <v>0.33333333333333298</v>
      </c>
      <c r="H16" s="16">
        <f>'0710'!T49</f>
        <v>0.29166666666666702</v>
      </c>
      <c r="I16" s="16">
        <f>'0710'!T59</f>
        <v>0.29513888888888901</v>
      </c>
      <c r="J16" s="16">
        <f>'0710'!T70</f>
        <v>0.29861111111111099</v>
      </c>
    </row>
    <row r="17" spans="2:10" ht="17.25" customHeight="1">
      <c r="B17" s="407"/>
      <c r="C17" s="10" t="s">
        <v>35</v>
      </c>
      <c r="D17" s="18">
        <v>0.59861111111111098</v>
      </c>
      <c r="E17" s="19">
        <v>0.56597222222222199</v>
      </c>
      <c r="F17" s="19">
        <v>0.62152777777777801</v>
      </c>
      <c r="G17" s="210">
        <v>0.45833333333333298</v>
      </c>
      <c r="H17" s="21">
        <v>0.57083333333333297</v>
      </c>
      <c r="I17" s="22">
        <v>0.46527777777777801</v>
      </c>
      <c r="J17" s="22">
        <v>0.44791666666666702</v>
      </c>
    </row>
    <row r="18" spans="2:10" ht="17.25" customHeight="1">
      <c r="B18" s="408" t="s">
        <v>102</v>
      </c>
      <c r="C18" s="330" t="s">
        <v>36</v>
      </c>
      <c r="D18" s="357">
        <f>'0710'!Z15</f>
        <v>0</v>
      </c>
      <c r="E18" s="358">
        <f>'0710'!Z26</f>
        <v>0</v>
      </c>
      <c r="F18" s="358">
        <f>'0710'!Z37</f>
        <v>0</v>
      </c>
      <c r="G18" s="359">
        <f>'0710'!Z48</f>
        <v>0</v>
      </c>
      <c r="H18" s="359">
        <f>'0710'!Z58</f>
        <v>1</v>
      </c>
      <c r="I18" s="358">
        <f>'0710'!Z69</f>
        <v>0</v>
      </c>
      <c r="J18" s="358">
        <f>'0710'!AA79</f>
        <v>0</v>
      </c>
    </row>
    <row r="19" spans="2:10" ht="17.25" customHeight="1">
      <c r="B19" s="409"/>
      <c r="C19" s="330" t="s">
        <v>37</v>
      </c>
      <c r="D19" s="357">
        <f>'0710'!AA15</f>
        <v>0</v>
      </c>
      <c r="E19" s="358">
        <f>'0710'!AA26</f>
        <v>0</v>
      </c>
      <c r="F19" s="358">
        <f>'0710'!AA37</f>
        <v>0</v>
      </c>
      <c r="G19" s="359">
        <f>'0710'!AA48</f>
        <v>0</v>
      </c>
      <c r="H19" s="359">
        <f>'0710'!AA58</f>
        <v>10</v>
      </c>
      <c r="I19" s="358">
        <f>'0710'!AA69</f>
        <v>0</v>
      </c>
      <c r="J19" s="358">
        <f>'0710'!AB79</f>
        <v>0</v>
      </c>
    </row>
    <row r="20" spans="2:10" ht="17.25" customHeight="1">
      <c r="B20" s="408" t="s">
        <v>103</v>
      </c>
      <c r="C20" s="330" t="s">
        <v>36</v>
      </c>
      <c r="D20" s="357">
        <f>'0710'!AD15</f>
        <v>0</v>
      </c>
      <c r="E20" s="358">
        <f>'0710'!AD26</f>
        <v>0</v>
      </c>
      <c r="F20" s="358">
        <f>'0710'!AD37</f>
        <v>0</v>
      </c>
      <c r="G20" s="359">
        <f>'0710'!AD48</f>
        <v>0</v>
      </c>
      <c r="H20" s="359">
        <f>'0710'!AD58</f>
        <v>0</v>
      </c>
      <c r="I20" s="358">
        <f>'0710'!AD69</f>
        <v>0</v>
      </c>
      <c r="J20" s="358">
        <f>'0710'!AD79</f>
        <v>0</v>
      </c>
    </row>
    <row r="21" spans="2:10" ht="17.25" customHeight="1">
      <c r="B21" s="409"/>
      <c r="C21" s="330" t="s">
        <v>85</v>
      </c>
      <c r="D21" s="357">
        <f>'0710'!AE15</f>
        <v>0</v>
      </c>
      <c r="E21" s="358">
        <f>'0710'!AE26</f>
        <v>0</v>
      </c>
      <c r="F21" s="358">
        <f>'0710'!AE37</f>
        <v>0</v>
      </c>
      <c r="G21" s="359">
        <f>'0710'!AE48</f>
        <v>0</v>
      </c>
      <c r="H21" s="359">
        <f>'0710'!AE58</f>
        <v>0</v>
      </c>
      <c r="I21" s="358">
        <f>'0710'!AE69</f>
        <v>0</v>
      </c>
      <c r="J21" s="358">
        <f>'0710'!AE79</f>
        <v>0</v>
      </c>
    </row>
    <row r="22" spans="2:10" ht="17.25" customHeight="1">
      <c r="B22" s="392" t="s">
        <v>104</v>
      </c>
      <c r="C22" s="393"/>
      <c r="D22" s="23">
        <f>VALUE('0710'!M15)</f>
        <v>15.666666666666666</v>
      </c>
      <c r="E22" s="23">
        <f>VALUE('0710'!M26)</f>
        <v>14</v>
      </c>
      <c r="F22" s="23">
        <f>VALUE('0710'!M37)</f>
        <v>16.714285714285715</v>
      </c>
      <c r="G22" s="23">
        <f>VALUE('0710'!M48)</f>
        <v>16</v>
      </c>
      <c r="H22" s="23">
        <f>VALUE('0710'!M58)</f>
        <v>16.5</v>
      </c>
      <c r="I22" s="23">
        <f>VALUE('0710'!M69)</f>
        <v>13.333333333333334</v>
      </c>
      <c r="J22" s="23">
        <f>'0710'!M79</f>
        <v>12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O84" sqref="O84"/>
      <selection pane="topRight" activeCell="O84" sqref="O84"/>
      <selection pane="bottomLeft" activeCell="O84" sqref="O84"/>
      <selection pane="bottomRight" activeCell="O84" sqref="O8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49267</v>
      </c>
      <c r="F1" s="30" t="s">
        <v>2</v>
      </c>
      <c r="G1" s="31">
        <f>SUM(H5:H79)</f>
        <v>2276711.1160000004</v>
      </c>
      <c r="H1" s="32" t="s">
        <v>3</v>
      </c>
      <c r="I1" s="33">
        <f>M15+M26+M48+M58+M69+M79+M37</f>
        <v>104.21428571428572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169</v>
      </c>
      <c r="B2" s="418"/>
      <c r="C2" s="28"/>
      <c r="D2" s="28" t="s">
        <v>14</v>
      </c>
      <c r="E2" s="35">
        <f>AVERAGE(O15,O26,O37,O48,O58,O69,O79)</f>
        <v>110.11298413541287</v>
      </c>
      <c r="F2" s="36" t="s">
        <v>15</v>
      </c>
      <c r="G2" s="37">
        <f>G1/E1</f>
        <v>46.211685631355685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</v>
      </c>
      <c r="AA2" s="339">
        <f>AA15+AA26+AA37+AA48+AA58+AA69+AA79</f>
        <v>10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2753</v>
      </c>
      <c r="H5" s="43">
        <f>F5*G5</f>
        <v>139494.51</v>
      </c>
      <c r="I5" s="44"/>
      <c r="J5" s="45">
        <f>VLOOKUP(D5,產線配置圖!$A$3:$C$40,2,0)</f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2064.7500000000218</v>
      </c>
      <c r="O5" s="47">
        <f>N5/M5</f>
        <v>129.04687500000136</v>
      </c>
      <c r="P5" s="49">
        <f>M5-J5</f>
        <v>0</v>
      </c>
      <c r="Q5" s="50">
        <f>O5-L5</f>
        <v>-11.578124999998636</v>
      </c>
      <c r="R5" s="51">
        <f>O5/L5</f>
        <v>0.9176666666666764</v>
      </c>
      <c r="S5" s="412">
        <f>R15</f>
        <v>0.93574196668444154</v>
      </c>
      <c r="T5" s="319">
        <v>0.29513888888888901</v>
      </c>
      <c r="U5" s="320">
        <v>0.35069444444444398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-185.24999999997817</v>
      </c>
      <c r="AG5" s="52">
        <f t="shared" ref="AG5:AG11" si="2">N5/K5</f>
        <v>0.9176666666666764</v>
      </c>
      <c r="AH5" s="457">
        <f>AG15</f>
        <v>0.90811369018143229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4019</v>
      </c>
      <c r="H6" s="63">
        <f>F6*G6</f>
        <v>197493.66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2096.8695652173947</v>
      </c>
      <c r="O6" s="67">
        <f>N6/M6</f>
        <v>139.7913043478263</v>
      </c>
      <c r="P6" s="69">
        <f>M6-J6</f>
        <v>0</v>
      </c>
      <c r="Q6" s="70">
        <f>O6-L6</f>
        <v>-10.208695652173702</v>
      </c>
      <c r="R6" s="71">
        <f>O6/L6</f>
        <v>0.9319420289855086</v>
      </c>
      <c r="S6" s="413"/>
      <c r="T6" s="16">
        <v>0.35763888888888901</v>
      </c>
      <c r="U6" s="16">
        <v>0.4375</v>
      </c>
      <c r="V6" s="30">
        <f>(T6-U5)*24*60</f>
        <v>10.000000000000844</v>
      </c>
      <c r="W6" s="73">
        <f t="shared" si="0"/>
        <v>114.99999999999983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-153.13043478260533</v>
      </c>
      <c r="AG6" s="72">
        <f t="shared" si="2"/>
        <v>0.93194202898550871</v>
      </c>
      <c r="AH6" s="458"/>
    </row>
    <row r="7" spans="1:34" ht="15" customHeight="1">
      <c r="A7" s="424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2492</v>
      </c>
      <c r="H7" s="78">
        <f>F7*G7</f>
        <v>110395.59999999999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16</v>
      </c>
      <c r="N7" s="80">
        <f>G7/W7*60</f>
        <v>1410.5660377358518</v>
      </c>
      <c r="O7" s="81">
        <f>N7/M7</f>
        <v>88.160377358490734</v>
      </c>
      <c r="P7" s="74">
        <f>M7-J7</f>
        <v>-2</v>
      </c>
      <c r="Q7" s="83">
        <f>O7-L7</f>
        <v>-2.7285115303981513</v>
      </c>
      <c r="R7" s="72">
        <f>O7/L7</f>
        <v>0.96997970198828443</v>
      </c>
      <c r="S7" s="413"/>
      <c r="T7" s="18">
        <v>0.52500000000000002</v>
      </c>
      <c r="U7" s="18">
        <v>0.59861111111111098</v>
      </c>
      <c r="V7" s="30">
        <f>(T7-U6)*24*60</f>
        <v>126.00000000000003</v>
      </c>
      <c r="W7" s="73">
        <f t="shared" si="0"/>
        <v>105.99999999999979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-225.43396226414825</v>
      </c>
      <c r="AG7" s="72">
        <f t="shared" si="2"/>
        <v>0.86220417954514161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16.333333333333332</v>
      </c>
      <c r="K15" s="120">
        <f t="shared" si="3"/>
        <v>2045.3333333333333</v>
      </c>
      <c r="L15" s="117">
        <f t="shared" si="3"/>
        <v>127.1712962962963</v>
      </c>
      <c r="M15" s="120">
        <f t="shared" si="3"/>
        <v>15.666666666666666</v>
      </c>
      <c r="N15" s="120">
        <f t="shared" si="3"/>
        <v>1857.3952009844227</v>
      </c>
      <c r="O15" s="117">
        <f t="shared" si="3"/>
        <v>118.99951890210615</v>
      </c>
      <c r="P15" s="121">
        <f>M15-J15</f>
        <v>-0.66666666666666607</v>
      </c>
      <c r="Q15" s="122">
        <f>O15-L15</f>
        <v>-8.1717773941901584</v>
      </c>
      <c r="R15" s="123">
        <f>O15/L15</f>
        <v>0.93574196668444154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-187.93813234891059</v>
      </c>
      <c r="AG15" s="124">
        <f>N15/K15</f>
        <v>0.90811369018143229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2846</v>
      </c>
      <c r="H16" s="134">
        <f>F16*G16</f>
        <v>144206.82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2134.4999999999818</v>
      </c>
      <c r="O16" s="141">
        <f>N16/M16</f>
        <v>152.46428571428442</v>
      </c>
      <c r="P16" s="142">
        <f>M16-J16</f>
        <v>0</v>
      </c>
      <c r="Q16" s="143">
        <f>O16-L16</f>
        <v>-8.2500000000013074</v>
      </c>
      <c r="R16" s="144">
        <f>O16/L16</f>
        <v>0.94866666666665855</v>
      </c>
      <c r="S16" s="468">
        <f>R26</f>
        <v>0.90963661711707611</v>
      </c>
      <c r="T16" s="145">
        <v>0.28819444444444398</v>
      </c>
      <c r="U16" s="145">
        <v>0.34375</v>
      </c>
      <c r="V16" s="135"/>
      <c r="W16" s="146">
        <f t="shared" ref="W16:W78" si="4">(U16-T16)*24*60</f>
        <v>80.000000000000682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-115.50000000001819</v>
      </c>
      <c r="AG16" s="52">
        <f>N16/K16</f>
        <v>0.94866666666665855</v>
      </c>
      <c r="AH16" s="457">
        <f>AG26</f>
        <v>0.91177518886432696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2071</v>
      </c>
      <c r="H17" s="78">
        <f>F17*G17</f>
        <v>117777.76999999999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2142.4137931034884</v>
      </c>
      <c r="O17" s="96">
        <f>N17/M17</f>
        <v>142.82758620689921</v>
      </c>
      <c r="P17" s="97">
        <f>M17-J17</f>
        <v>0</v>
      </c>
      <c r="Q17" s="98">
        <f>O17-L17</f>
        <v>-7.1724137931007874</v>
      </c>
      <c r="R17" s="99">
        <f>O17/L17</f>
        <v>0.95218390804599473</v>
      </c>
      <c r="S17" s="469"/>
      <c r="T17" s="19">
        <v>0.34930555555555598</v>
      </c>
      <c r="U17" s="19">
        <v>0.389583333333333</v>
      </c>
      <c r="V17" s="30">
        <f>(T17-U16)*24*60</f>
        <v>8.0000000000006111</v>
      </c>
      <c r="W17" s="149">
        <f t="shared" si="4"/>
        <v>57.999999999998913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-107.58620689651161</v>
      </c>
      <c r="AG17" s="72">
        <f>N17/K17</f>
        <v>0.95218390804599484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1598</v>
      </c>
      <c r="H18" s="78">
        <f>F18*G18</f>
        <v>92955.66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2084.3478260869856</v>
      </c>
      <c r="O18" s="96">
        <f>N18/M18</f>
        <v>138.95652173913237</v>
      </c>
      <c r="P18" s="97">
        <f>M18-J18</f>
        <v>0</v>
      </c>
      <c r="Q18" s="98">
        <f>O18-L18</f>
        <v>-11.04347826086763</v>
      </c>
      <c r="R18" s="99">
        <f>O18/L18</f>
        <v>0.92637681159421581</v>
      </c>
      <c r="S18" s="469"/>
      <c r="T18" s="19">
        <v>0.39513888888888898</v>
      </c>
      <c r="U18" s="19">
        <v>0.42708333333333298</v>
      </c>
      <c r="V18" s="30">
        <f>(T18-U17)*24*60</f>
        <v>8.0000000000006111</v>
      </c>
      <c r="W18" s="149">
        <f t="shared" si="4"/>
        <v>45.999999999999361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-165.65217391301439</v>
      </c>
      <c r="AG18" s="72">
        <f>N18/K18</f>
        <v>0.92637681159421581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2444</v>
      </c>
      <c r="H19" s="78">
        <f t="shared" ref="H19:H20" si="5">F19*G19</f>
        <v>123153.16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2065.3521126760379</v>
      </c>
      <c r="O19" s="96">
        <f t="shared" ref="O19:O20" si="8">N19/M19</f>
        <v>158.87323943661829</v>
      </c>
      <c r="P19" s="97">
        <f t="shared" ref="P19:P20" si="9">M19-J19</f>
        <v>0</v>
      </c>
      <c r="Q19" s="98">
        <f t="shared" ref="Q19:Q20" si="10">O19-L19</f>
        <v>-14.203683640304774</v>
      </c>
      <c r="R19" s="99">
        <f t="shared" ref="R19:R20" si="11">O19/L19</f>
        <v>0.91793427230046132</v>
      </c>
      <c r="S19" s="469"/>
      <c r="T19" s="19">
        <v>0.43125000000000002</v>
      </c>
      <c r="U19" s="19">
        <v>0.48055555555555601</v>
      </c>
      <c r="V19" s="30">
        <f>(T19-U18)*24*60</f>
        <v>6.0000000000005382</v>
      </c>
      <c r="W19" s="149">
        <f t="shared" si="4"/>
        <v>71.000000000000625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-184.6478873239621</v>
      </c>
      <c r="AG19" s="72">
        <f>N19/K19</f>
        <v>0.91793427230046132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1068</v>
      </c>
      <c r="H20" s="78">
        <f t="shared" si="5"/>
        <v>53816.520000000004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1830.8571428571831</v>
      </c>
      <c r="O20" s="96">
        <f t="shared" si="8"/>
        <v>140.83516483516794</v>
      </c>
      <c r="P20" s="97">
        <f t="shared" si="9"/>
        <v>0</v>
      </c>
      <c r="Q20" s="98">
        <f t="shared" si="10"/>
        <v>-32.241758241755122</v>
      </c>
      <c r="R20" s="99">
        <f t="shared" si="11"/>
        <v>0.81371428571430371</v>
      </c>
      <c r="S20" s="469"/>
      <c r="T20" s="19">
        <v>0.54166666666666696</v>
      </c>
      <c r="U20" s="19">
        <v>0.56597222222222199</v>
      </c>
      <c r="V20" s="30">
        <f>(T20-U19)*24*60</f>
        <v>87.999999999999773</v>
      </c>
      <c r="W20" s="149">
        <f t="shared" si="4"/>
        <v>34.999999999999233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161.37362637362637</v>
      </c>
      <c r="M26" s="155">
        <f t="shared" si="12"/>
        <v>14</v>
      </c>
      <c r="N26" s="155">
        <f t="shared" si="12"/>
        <v>2051.4941749447357</v>
      </c>
      <c r="O26" s="158">
        <f t="shared" si="12"/>
        <v>146.79135958642047</v>
      </c>
      <c r="P26" s="159">
        <f>M26-J26</f>
        <v>0</v>
      </c>
      <c r="Q26" s="160">
        <f>O26-L26</f>
        <v>-14.582266787205896</v>
      </c>
      <c r="R26" s="161">
        <f>O26/L26</f>
        <v>0.90963661711707611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-198.50582505526427</v>
      </c>
      <c r="AG26" s="124">
        <f t="shared" ref="AG26:AG31" si="14">N26/K26</f>
        <v>0.91177518886432696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1571</v>
      </c>
      <c r="H27" s="134">
        <f>F27*G27</f>
        <v>71731.86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1450.1538461538423</v>
      </c>
      <c r="O27" s="141">
        <f>N27/M27</f>
        <v>90.634615384615145</v>
      </c>
      <c r="P27" s="142">
        <f>M27-J27</f>
        <v>-1</v>
      </c>
      <c r="Q27" s="143">
        <f>O27-L27</f>
        <v>-5.6006787330319128</v>
      </c>
      <c r="R27" s="144">
        <f>O27/L27</f>
        <v>0.94180223810419161</v>
      </c>
      <c r="S27" s="468">
        <f>R37</f>
        <v>0.92238181244707107</v>
      </c>
      <c r="T27" s="171">
        <v>0.29166666666666702</v>
      </c>
      <c r="U27" s="171">
        <v>0.33680555555555602</v>
      </c>
      <c r="V27" s="135"/>
      <c r="W27" s="146">
        <f t="shared" si="4"/>
        <v>65.000000000000171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-185.84615384615768</v>
      </c>
      <c r="AG27" s="172">
        <f t="shared" si="14"/>
        <v>0.88640210645100381</v>
      </c>
      <c r="AH27" s="457">
        <f>AG37</f>
        <v>0.9155212793270685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1875</v>
      </c>
      <c r="H28" s="91">
        <f>F28*G28</f>
        <v>86887.5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1500.0000000000102</v>
      </c>
      <c r="O28" s="96">
        <f>N28/M28</f>
        <v>93.750000000000639</v>
      </c>
      <c r="P28" s="97">
        <f>M28-J28</f>
        <v>0</v>
      </c>
      <c r="Q28" s="98">
        <f>O28-L28</f>
        <v>-8.4999999999993605</v>
      </c>
      <c r="R28" s="99">
        <f>O28/L28</f>
        <v>0.91687041564792804</v>
      </c>
      <c r="S28" s="469"/>
      <c r="T28" s="19">
        <v>0.34375</v>
      </c>
      <c r="U28" s="19">
        <v>0.39583333333333298</v>
      </c>
      <c r="V28" s="92">
        <f>(T28-U27)*24*60</f>
        <v>9.999999999999325</v>
      </c>
      <c r="W28" s="149">
        <f t="shared" si="4"/>
        <v>74.999999999999488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-135.99999999998977</v>
      </c>
      <c r="AG28" s="99">
        <f t="shared" si="14"/>
        <v>0.91687041564792804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563</v>
      </c>
      <c r="H29" s="91">
        <f>F29*G29</f>
        <v>32209.23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1468.6956521738416</v>
      </c>
      <c r="O29" s="96">
        <f>N29/M29</f>
        <v>81.594202898546754</v>
      </c>
      <c r="P29" s="97">
        <f>M29-J29</f>
        <v>0</v>
      </c>
      <c r="Q29" s="98">
        <f>O29-L29</f>
        <v>-5.3502415458976884</v>
      </c>
      <c r="R29" s="99">
        <f>O29/L29</f>
        <v>0.93846367551044196</v>
      </c>
      <c r="S29" s="469"/>
      <c r="T29" s="19">
        <v>0.40069444444444402</v>
      </c>
      <c r="U29" s="19">
        <v>0.41666666666666702</v>
      </c>
      <c r="V29" s="92">
        <f>(T29-U28)*24*60</f>
        <v>6.9999999999998952</v>
      </c>
      <c r="W29" s="149">
        <f t="shared" si="4"/>
        <v>23.000000000001116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-96.304347826158391</v>
      </c>
      <c r="AG29" s="99">
        <f t="shared" si="14"/>
        <v>0.93846367551044196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1543</v>
      </c>
      <c r="H30" s="91">
        <f t="shared" ref="H30:H33" si="15">F30*G30</f>
        <v>88275.03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16">K30/J30</f>
        <v>90.888888888888886</v>
      </c>
      <c r="M30" s="94">
        <v>18</v>
      </c>
      <c r="N30" s="95">
        <f t="shared" ref="N30:N33" si="17">G30/W30*60</f>
        <v>1542.999999999987</v>
      </c>
      <c r="O30" s="96">
        <f t="shared" ref="O30:O33" si="18">N30/M30</f>
        <v>85.722222222221504</v>
      </c>
      <c r="P30" s="97">
        <f t="shared" ref="P30:P33" si="19">M30-J30</f>
        <v>0</v>
      </c>
      <c r="Q30" s="98">
        <f t="shared" ref="Q30:Q33" si="20">O30-L30</f>
        <v>-5.1666666666673819</v>
      </c>
      <c r="R30" s="99">
        <f t="shared" ref="R30:R33" si="21">O30/L30</f>
        <v>0.94315403422982103</v>
      </c>
      <c r="S30" s="469"/>
      <c r="T30" s="19">
        <v>0.422222222222222</v>
      </c>
      <c r="U30" s="19">
        <v>0.46388888888888902</v>
      </c>
      <c r="V30" s="92">
        <f>(T30-U29)*24*60</f>
        <v>7.9999999999991722</v>
      </c>
      <c r="W30" s="149">
        <f t="shared" si="4"/>
        <v>60.000000000000504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-93.00000000001296</v>
      </c>
      <c r="AG30" s="99">
        <f t="shared" si="14"/>
        <v>0.94315403422982091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1344</v>
      </c>
      <c r="H31" s="91">
        <f t="shared" si="15"/>
        <v>62280.960000000006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1521.5094339622465</v>
      </c>
      <c r="O31" s="96">
        <f t="shared" si="18"/>
        <v>95.094339622640405</v>
      </c>
      <c r="P31" s="97">
        <f t="shared" si="19"/>
        <v>0</v>
      </c>
      <c r="Q31" s="98">
        <f t="shared" si="20"/>
        <v>-7.1556603773595953</v>
      </c>
      <c r="R31" s="99">
        <f t="shared" si="21"/>
        <v>0.93001799141946606</v>
      </c>
      <c r="S31" s="469"/>
      <c r="T31" s="19">
        <v>0.52569444444444402</v>
      </c>
      <c r="U31" s="19">
        <v>0.5625</v>
      </c>
      <c r="V31" s="92">
        <f t="shared" ref="V31:V33" si="22">(T31-U30)*24*60</f>
        <v>88.999999999999204</v>
      </c>
      <c r="W31" s="149">
        <f t="shared" si="4"/>
        <v>53.000000000000611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-114.49056603775352</v>
      </c>
      <c r="AG31" s="99">
        <f t="shared" si="14"/>
        <v>0.93001799141946606</v>
      </c>
      <c r="AH31" s="459"/>
    </row>
    <row r="32" spans="1:34" ht="15" customHeight="1">
      <c r="A32" s="466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1000</v>
      </c>
      <c r="H32" s="91">
        <f t="shared" si="15"/>
        <v>45660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1578.9473684211046</v>
      </c>
      <c r="O32" s="96">
        <f t="shared" si="18"/>
        <v>92.87925696594732</v>
      </c>
      <c r="P32" s="97">
        <f t="shared" si="19"/>
        <v>0</v>
      </c>
      <c r="Q32" s="98">
        <f t="shared" si="20"/>
        <v>-3.3560371516997378</v>
      </c>
      <c r="R32" s="99">
        <f t="shared" si="21"/>
        <v>0.96512675331363351</v>
      </c>
      <c r="S32" s="469"/>
      <c r="T32" s="19">
        <v>0.56805555555555598</v>
      </c>
      <c r="U32" s="19">
        <v>0.594444444444444</v>
      </c>
      <c r="V32" s="92">
        <f t="shared" si="22"/>
        <v>8.0000000000006111</v>
      </c>
      <c r="W32" s="149">
        <f t="shared" si="4"/>
        <v>37.999999999998749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7"/>
      <c r="D33" s="59" t="s">
        <v>141</v>
      </c>
      <c r="E33" s="178"/>
      <c r="F33" s="75">
        <f>VLOOKUP(D33,廠價表!$C$1:$E$43,3,0)</f>
        <v>46.34</v>
      </c>
      <c r="G33" s="90">
        <v>656</v>
      </c>
      <c r="H33" s="91">
        <f t="shared" si="15"/>
        <v>30399.040000000001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16</v>
      </c>
      <c r="N33" s="95">
        <f t="shared" si="17"/>
        <v>1357.2413793103347</v>
      </c>
      <c r="O33" s="96">
        <f t="shared" si="18"/>
        <v>84.827586206895916</v>
      </c>
      <c r="P33" s="97">
        <f t="shared" si="19"/>
        <v>0</v>
      </c>
      <c r="Q33" s="98">
        <f t="shared" si="20"/>
        <v>-17.422413793104084</v>
      </c>
      <c r="R33" s="99">
        <f t="shared" si="21"/>
        <v>0.82960964505521673</v>
      </c>
      <c r="S33" s="469"/>
      <c r="T33" s="19">
        <v>0.60138888888888897</v>
      </c>
      <c r="U33" s="19">
        <v>0.62152777777777801</v>
      </c>
      <c r="V33" s="92">
        <f t="shared" si="22"/>
        <v>10.000000000000764</v>
      </c>
      <c r="W33" s="149">
        <f t="shared" si="4"/>
        <v>29.000000000000217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16.857142857142858</v>
      </c>
      <c r="K37" s="155">
        <f t="shared" si="23"/>
        <v>1625.8571428571429</v>
      </c>
      <c r="L37" s="158">
        <f t="shared" si="23"/>
        <v>96.721988795518214</v>
      </c>
      <c r="M37" s="155">
        <f t="shared" si="23"/>
        <v>16.714285714285715</v>
      </c>
      <c r="N37" s="155">
        <f t="shared" si="23"/>
        <v>1488.5068114316239</v>
      </c>
      <c r="O37" s="158">
        <f t="shared" si="23"/>
        <v>89.214603328695389</v>
      </c>
      <c r="P37" s="159">
        <f>M37-J37</f>
        <v>-0.14285714285714235</v>
      </c>
      <c r="Q37" s="160">
        <f>N37-K37</f>
        <v>-137.35033142551902</v>
      </c>
      <c r="R37" s="161">
        <f>O37/L37</f>
        <v>0.92238181244707107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-137.35033142551902</v>
      </c>
      <c r="AG37" s="124">
        <f>N37/K37</f>
        <v>0.9155212793270685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2437</v>
      </c>
      <c r="H38" s="134">
        <f>F38*G38</f>
        <v>121630.67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1523.1249999999914</v>
      </c>
      <c r="O38" s="141">
        <f>N38/M38</f>
        <v>101.54166666666609</v>
      </c>
      <c r="P38" s="142">
        <f>M38-J38</f>
        <v>0</v>
      </c>
      <c r="Q38" s="143">
        <f>O38-L38</f>
        <v>-12.725000000000577</v>
      </c>
      <c r="R38" s="144">
        <f>O38/L38</f>
        <v>0.88863768961493073</v>
      </c>
      <c r="S38" s="490">
        <f>R48</f>
        <v>0.85924724312062739</v>
      </c>
      <c r="T38" s="191">
        <v>0.33333333333333298</v>
      </c>
      <c r="U38" s="191">
        <v>0.4</v>
      </c>
      <c r="V38" s="192"/>
      <c r="W38" s="193">
        <f t="shared" si="4"/>
        <v>96.00000000000054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-190.87500000000864</v>
      </c>
      <c r="AG38" s="195">
        <f>N38/K38</f>
        <v>0.88863768961493084</v>
      </c>
      <c r="AH38" s="480">
        <f>AG48</f>
        <v>0.83393001210165063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1567</v>
      </c>
      <c r="H39" s="91">
        <f>F39*G39</f>
        <v>69418.099999999991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1270.5405405405381</v>
      </c>
      <c r="O39" s="203">
        <f>N39/M39</f>
        <v>74.737678855325768</v>
      </c>
      <c r="P39" s="97">
        <f>M39-J39</f>
        <v>-1</v>
      </c>
      <c r="Q39" s="98">
        <f>O39-L39</f>
        <v>-16.151210033563117</v>
      </c>
      <c r="R39" s="99">
        <f>O39/L39</f>
        <v>0.82229720011972118</v>
      </c>
      <c r="S39" s="491"/>
      <c r="T39" s="20">
        <v>0.406944444444444</v>
      </c>
      <c r="U39" s="20">
        <v>0.45833333333333298</v>
      </c>
      <c r="V39" s="92">
        <f>(T39-U38)*24*60</f>
        <v>9.999999999999325</v>
      </c>
      <c r="W39" s="205">
        <f t="shared" si="4"/>
        <v>74.000000000000142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-365.45945945946187</v>
      </c>
      <c r="AG39" s="206">
        <f>N39/K39</f>
        <v>0.77661402233529231</v>
      </c>
      <c r="AH39" s="481"/>
    </row>
    <row r="40" spans="1:34" ht="15" customHeight="1">
      <c r="A40" s="48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0</v>
      </c>
      <c r="AG40" s="206" t="e">
        <f>N40/K40</f>
        <v>#DIV/0!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16.5</v>
      </c>
      <c r="K48" s="155">
        <f t="shared" si="24"/>
        <v>1675</v>
      </c>
      <c r="L48" s="158">
        <f t="shared" si="24"/>
        <v>102.57777777777778</v>
      </c>
      <c r="M48" s="155">
        <f t="shared" si="24"/>
        <v>16</v>
      </c>
      <c r="N48" s="155">
        <f t="shared" si="24"/>
        <v>1396.8327702702647</v>
      </c>
      <c r="O48" s="158">
        <f t="shared" si="24"/>
        <v>88.139672760995921</v>
      </c>
      <c r="P48" s="221">
        <f>M48-J48</f>
        <v>-0.5</v>
      </c>
      <c r="Q48" s="222">
        <f>N48-K48</f>
        <v>-278.16722972973525</v>
      </c>
      <c r="R48" s="223">
        <f>O48/L48</f>
        <v>0.85924724312062739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-278.16722972973525</v>
      </c>
      <c r="AG48" s="162">
        <f t="shared" ref="AG48:AG53" si="26">N48/K48</f>
        <v>0.83393001210165063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1714</v>
      </c>
      <c r="H49" s="134">
        <f>F49*G49</f>
        <v>84877.28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1428.3333333333337</v>
      </c>
      <c r="O49" s="141">
        <f>N49/M49</f>
        <v>84.01960784313728</v>
      </c>
      <c r="P49" s="229">
        <f>M49-J49</f>
        <v>0</v>
      </c>
      <c r="Q49" s="230">
        <f>O49-L49</f>
        <v>-21.862745098039184</v>
      </c>
      <c r="R49" s="52">
        <f>O49/L49</f>
        <v>0.79351851851851885</v>
      </c>
      <c r="S49" s="412">
        <f>R58</f>
        <v>0.88706037181377129</v>
      </c>
      <c r="T49" s="191">
        <v>0.29166666666666702</v>
      </c>
      <c r="U49" s="191">
        <v>0.34166666666666701</v>
      </c>
      <c r="V49" s="55"/>
      <c r="W49" s="193">
        <f t="shared" si="4"/>
        <v>71.999999999999986</v>
      </c>
      <c r="X49" s="55"/>
      <c r="Y49" s="290"/>
      <c r="Z49" s="169">
        <v>1</v>
      </c>
      <c r="AA49" s="169">
        <v>10</v>
      </c>
      <c r="AB49" s="464" t="s">
        <v>170</v>
      </c>
      <c r="AC49" s="464"/>
      <c r="AD49" s="135"/>
      <c r="AE49" s="135"/>
      <c r="AF49" s="229">
        <f t="shared" si="25"/>
        <v>-371.66666666666629</v>
      </c>
      <c r="AG49" s="52">
        <f t="shared" si="26"/>
        <v>0.79351851851851873</v>
      </c>
      <c r="AH49" s="457">
        <f>AG58</f>
        <v>0.88672256202697075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1974</v>
      </c>
      <c r="H50" s="231">
        <f>F50*G50</f>
        <v>99270.486000000004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1579.1999999999787</v>
      </c>
      <c r="O50" s="235">
        <f>N50/M50</f>
        <v>92.89411764705757</v>
      </c>
      <c r="P50" s="74">
        <f>M50-J50</f>
        <v>0</v>
      </c>
      <c r="Q50" s="83">
        <f>O50-L50</f>
        <v>-3.3411764705894882</v>
      </c>
      <c r="R50" s="72">
        <f>O50/L50</f>
        <v>0.96528117359411902</v>
      </c>
      <c r="S50" s="413"/>
      <c r="T50" s="21">
        <v>0.34722222222222199</v>
      </c>
      <c r="U50" s="21">
        <v>0.39930555555555602</v>
      </c>
      <c r="V50" s="30">
        <f>(T50-U49)*24*60</f>
        <v>7.9999999999991722</v>
      </c>
      <c r="W50" s="236">
        <f t="shared" si="4"/>
        <v>75.000000000001009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-56.800000000021328</v>
      </c>
      <c r="AG50" s="72">
        <f t="shared" si="26"/>
        <v>0.96528117359411902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2117</v>
      </c>
      <c r="H51" s="231">
        <f>F51*G51</f>
        <v>105786.48999999999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1628.4615384615593</v>
      </c>
      <c r="O51" s="235">
        <f>N51/M51</f>
        <v>101.77884615384745</v>
      </c>
      <c r="P51" s="74">
        <f>M51-J51</f>
        <v>0</v>
      </c>
      <c r="Q51" s="83">
        <f>O51-L51</f>
        <v>-10.721153846152546</v>
      </c>
      <c r="R51" s="72">
        <f>O51/L51</f>
        <v>0.90470085470086625</v>
      </c>
      <c r="S51" s="413"/>
      <c r="T51" s="21">
        <v>0.40416666666666701</v>
      </c>
      <c r="U51" s="19">
        <v>0.45833333333333298</v>
      </c>
      <c r="V51" s="30">
        <f>(T51-U50)*24*60</f>
        <v>6.9999999999998153</v>
      </c>
      <c r="W51" s="236">
        <f t="shared" si="4"/>
        <v>77.999999999999005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-171.53846153844074</v>
      </c>
      <c r="AG51" s="72">
        <f t="shared" si="26"/>
        <v>0.90470085470086625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1790</v>
      </c>
      <c r="H52" s="231">
        <f>F52*G52</f>
        <v>89446.3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1602.9850746268942</v>
      </c>
      <c r="O52" s="235">
        <f>N52/M52</f>
        <v>100.18656716418089</v>
      </c>
      <c r="P52" s="74">
        <f>M52-J52</f>
        <v>0</v>
      </c>
      <c r="Q52" s="83">
        <f>O52-L52</f>
        <v>-12.313432835819114</v>
      </c>
      <c r="R52" s="72">
        <f>O52/L52</f>
        <v>0.89054726368160786</v>
      </c>
      <c r="S52" s="413"/>
      <c r="T52" s="21">
        <v>0.52430555555555602</v>
      </c>
      <c r="U52" s="21">
        <v>0.57083333333333297</v>
      </c>
      <c r="V52" s="30">
        <f>(T52-U51)*24*60</f>
        <v>95.00000000000118</v>
      </c>
      <c r="W52" s="236">
        <f t="shared" si="4"/>
        <v>66.999999999998806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25"/>
        <v>-197.01492537310583</v>
      </c>
      <c r="AG52" s="72">
        <f t="shared" si="26"/>
        <v>0.89054726368160786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1559.7449866054415</v>
      </c>
      <c r="O58" s="117">
        <f t="shared" si="27"/>
        <v>94.71978470205579</v>
      </c>
      <c r="P58" s="121">
        <f>M58-J58</f>
        <v>0</v>
      </c>
      <c r="Q58" s="122">
        <f>N58-K58</f>
        <v>-199.25501339455855</v>
      </c>
      <c r="R58" s="123">
        <f>O58/L58</f>
        <v>0.88706037181377129</v>
      </c>
      <c r="S58" s="416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-199.25501339455855</v>
      </c>
      <c r="AG58" s="124">
        <f>N58/K58</f>
        <v>0.88672256202697075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2814</v>
      </c>
      <c r="H59" s="243">
        <f>F59*G59</f>
        <v>75949.86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16</v>
      </c>
      <c r="N59" s="137">
        <f>G59/W59*60</f>
        <v>1688.4000000000115</v>
      </c>
      <c r="O59" s="138">
        <f>N59/M59</f>
        <v>105.52500000000072</v>
      </c>
      <c r="P59" s="56">
        <f>M59-J59</f>
        <v>1</v>
      </c>
      <c r="Q59" s="230">
        <f>O59-L59</f>
        <v>-3.5416666666659467</v>
      </c>
      <c r="R59" s="52">
        <f>O59/L59</f>
        <v>0.96752750611247607</v>
      </c>
      <c r="S59" s="412">
        <f>R69</f>
        <v>0.92436750849782501</v>
      </c>
      <c r="T59" s="245">
        <v>0.29513888888888901</v>
      </c>
      <c r="U59" s="245">
        <v>0.36458333333333298</v>
      </c>
      <c r="V59" s="55"/>
      <c r="W59" s="54">
        <f t="shared" si="4"/>
        <v>99.999999999999318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52.40000000001146</v>
      </c>
      <c r="AG59" s="246">
        <f>N59/K59</f>
        <v>1.0320293398533078</v>
      </c>
      <c r="AH59" s="457">
        <f>AG69</f>
        <v>1.0047677261613714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1455</v>
      </c>
      <c r="H60" s="78">
        <f>F60*G60</f>
        <v>41118.300000000003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12</v>
      </c>
      <c r="N60" s="80">
        <f>G60/W60*60</f>
        <v>1746.0000000000118</v>
      </c>
      <c r="O60" s="81">
        <f>N60/M60</f>
        <v>145.50000000000099</v>
      </c>
      <c r="P60" s="74">
        <f>M60-J60</f>
        <v>1</v>
      </c>
      <c r="Q60" s="83">
        <f>O60-L60</f>
        <v>-3.2272727272717248</v>
      </c>
      <c r="R60" s="72">
        <f>O60/L60</f>
        <v>0.97830073349633928</v>
      </c>
      <c r="S60" s="502"/>
      <c r="T60" s="22">
        <v>0.37847222222222199</v>
      </c>
      <c r="U60" s="22">
        <v>0.41319444444444398</v>
      </c>
      <c r="V60" s="30">
        <f>(T60-U59)*24*60</f>
        <v>20.000000000000171</v>
      </c>
      <c r="W60" s="248">
        <f t="shared" si="4"/>
        <v>49.999999999999659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110.00000000001182</v>
      </c>
      <c r="AG60" s="249">
        <f>N60/K60</f>
        <v>1.0672371638141882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1497</v>
      </c>
      <c r="H61" s="254">
        <f>F61*G61</f>
        <v>42305.22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12</v>
      </c>
      <c r="N61" s="107">
        <f>G61/W61*60</f>
        <v>1496.9999999999873</v>
      </c>
      <c r="O61" s="238">
        <f>N61/M61</f>
        <v>124.74999999999893</v>
      </c>
      <c r="P61" s="111">
        <f>M61-J61</f>
        <v>1</v>
      </c>
      <c r="Q61" s="255">
        <f>O61-L61</f>
        <v>-23.977272727273785</v>
      </c>
      <c r="R61" s="85">
        <f>O61/L61</f>
        <v>0.83878361858189998</v>
      </c>
      <c r="S61" s="413"/>
      <c r="T61" s="22">
        <v>0.42361111111111099</v>
      </c>
      <c r="U61" s="22">
        <v>0.46527777777777801</v>
      </c>
      <c r="V61" s="30">
        <f>(T61-U60)*24*60</f>
        <v>15.000000000000506</v>
      </c>
      <c r="W61" s="256">
        <f t="shared" si="4"/>
        <v>60.000000000000504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-139.00000000001273</v>
      </c>
      <c r="AG61" s="247">
        <f>N61/K61</f>
        <v>0.9150366748166181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2" t="s">
        <v>171</v>
      </c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13.333333333333334</v>
      </c>
      <c r="N69" s="240">
        <f t="shared" si="28"/>
        <v>1643.8000000000036</v>
      </c>
      <c r="O69" s="268">
        <f t="shared" si="28"/>
        <v>125.25833333333355</v>
      </c>
      <c r="P69" s="269">
        <f>M69-J69</f>
        <v>1</v>
      </c>
      <c r="Q69" s="222">
        <f>N69-K69</f>
        <v>7.8000000000035925</v>
      </c>
      <c r="R69" s="123">
        <f>O69/L69</f>
        <v>0.92436750849782501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7.8000000000035925</v>
      </c>
      <c r="AG69" s="124">
        <f>N69/K69</f>
        <v>1.0047677261613714</v>
      </c>
      <c r="AH69" s="460"/>
    </row>
    <row r="70" spans="1:36" ht="15" customHeight="1">
      <c r="A70" s="494" t="s">
        <v>55</v>
      </c>
      <c r="B70" s="129" t="s">
        <v>81</v>
      </c>
      <c r="C70" s="129"/>
      <c r="D70" s="131" t="s">
        <v>119</v>
      </c>
      <c r="E70" s="132"/>
      <c r="F70" s="129">
        <f>VLOOKUP(D70,廠價表!$C$1:$E$43,3,0)</f>
        <v>57.21</v>
      </c>
      <c r="G70" s="55">
        <v>1225</v>
      </c>
      <c r="H70" s="243">
        <f>F70*G70</f>
        <v>70082.25</v>
      </c>
      <c r="I70" s="55"/>
      <c r="J70" s="136">
        <f>VLOOKUP(D70,產線配置圖!$A$3:$C$40,2,0)</f>
        <v>17</v>
      </c>
      <c r="K70" s="137">
        <v>1565</v>
      </c>
      <c r="L70" s="138">
        <f>K70/J70</f>
        <v>92.058823529411768</v>
      </c>
      <c r="M70" s="244">
        <v>15</v>
      </c>
      <c r="N70" s="137">
        <f>G70/W70*60</f>
        <v>1130.7692307692278</v>
      </c>
      <c r="O70" s="138">
        <f>N70/M70</f>
        <v>75.384615384615188</v>
      </c>
      <c r="P70" s="56">
        <f>M70-J70</f>
        <v>-2</v>
      </c>
      <c r="Q70" s="230">
        <f>O70-L70</f>
        <v>-16.67420814479658</v>
      </c>
      <c r="R70" s="52">
        <f>O70/L70</f>
        <v>0.81887441631850366</v>
      </c>
      <c r="S70" s="412">
        <f>R79</f>
        <v>0.89430094185759235</v>
      </c>
      <c r="T70" s="245">
        <v>0.29861111111111099</v>
      </c>
      <c r="U70" s="245">
        <v>0.34375</v>
      </c>
      <c r="V70" s="55"/>
      <c r="W70" s="54">
        <f t="shared" si="4"/>
        <v>65.000000000000171</v>
      </c>
      <c r="X70" s="270"/>
      <c r="Y70" s="292"/>
      <c r="Z70" s="169"/>
      <c r="AA70" s="169"/>
      <c r="AB70" s="464" t="s">
        <v>172</v>
      </c>
      <c r="AC70" s="464"/>
      <c r="AD70" s="135"/>
      <c r="AE70" s="135"/>
      <c r="AF70" s="310">
        <f>N70-K70</f>
        <v>-434.23076923077224</v>
      </c>
      <c r="AG70" s="246">
        <f>N70/K70</f>
        <v>0.72253624969279728</v>
      </c>
      <c r="AH70" s="457">
        <f>AG79</f>
        <v>0.74674313849571494</v>
      </c>
    </row>
    <row r="71" spans="1:36" ht="15" customHeight="1">
      <c r="A71" s="495"/>
      <c r="B71" s="75" t="s">
        <v>136</v>
      </c>
      <c r="C71" s="76"/>
      <c r="D71" s="59" t="s">
        <v>140</v>
      </c>
      <c r="E71" s="77"/>
      <c r="F71" s="75">
        <f>VLOOKUP(D71,廠價表!$C$1:$E$43,3,0)</f>
        <v>28.26</v>
      </c>
      <c r="G71" s="30">
        <v>2834</v>
      </c>
      <c r="H71" s="78">
        <f>F71*G71</f>
        <v>80088.840000000011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9</v>
      </c>
      <c r="N71" s="80">
        <f>G71/W71*60</f>
        <v>1259.5555555555557</v>
      </c>
      <c r="O71" s="81">
        <f>N71/M71</f>
        <v>139.95061728395063</v>
      </c>
      <c r="P71" s="74">
        <f>M71-J71</f>
        <v>-2</v>
      </c>
      <c r="Q71" s="83">
        <f>O71-L71</f>
        <v>-8.7766554433220847</v>
      </c>
      <c r="R71" s="72">
        <f>O71/L71</f>
        <v>0.94098825802167307</v>
      </c>
      <c r="S71" s="413"/>
      <c r="T71" s="22">
        <v>0.35416666666666702</v>
      </c>
      <c r="U71" s="22">
        <v>0.44791666666666702</v>
      </c>
      <c r="V71" s="30">
        <f>(T71-U70)*24*60</f>
        <v>15.000000000000506</v>
      </c>
      <c r="W71" s="73">
        <f t="shared" si="4"/>
        <v>135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30"/>
      <c r="C72" s="151"/>
      <c r="D72" s="59"/>
      <c r="E72" s="87"/>
      <c r="F72" s="250"/>
      <c r="G72" s="30"/>
      <c r="H72" s="369"/>
      <c r="I72" s="179"/>
      <c r="J72" s="106"/>
      <c r="K72" s="107"/>
      <c r="L72" s="238"/>
      <c r="M72" s="108"/>
      <c r="N72" s="107"/>
      <c r="O72" s="238"/>
      <c r="P72" s="111"/>
      <c r="Q72" s="255"/>
      <c r="R72" s="85"/>
      <c r="S72" s="41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29">AVERAGE(J70:J78)</f>
        <v>14</v>
      </c>
      <c r="K79" s="240">
        <f t="shared" si="29"/>
        <v>1600.5</v>
      </c>
      <c r="L79" s="268">
        <f t="shared" si="29"/>
        <v>120.39304812834224</v>
      </c>
      <c r="M79" s="240">
        <f t="shared" si="29"/>
        <v>12</v>
      </c>
      <c r="N79" s="240">
        <f t="shared" si="29"/>
        <v>1195.1623931623917</v>
      </c>
      <c r="O79" s="268">
        <f t="shared" si="29"/>
        <v>107.66761633428291</v>
      </c>
      <c r="P79" s="269">
        <f>M79-J79</f>
        <v>-2</v>
      </c>
      <c r="Q79" s="222">
        <f>N79-K79</f>
        <v>-405.33760683760829</v>
      </c>
      <c r="R79" s="223">
        <f>O79/L79</f>
        <v>0.89430094185759235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-405.33760683760829</v>
      </c>
      <c r="AG79" s="124">
        <f>N79/K79</f>
        <v>0.74674313849571494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38:AH48"/>
    <mergeCell ref="AB39:AC39"/>
    <mergeCell ref="AB40:AC40"/>
    <mergeCell ref="AB41:AC41"/>
    <mergeCell ref="AB42:AC42"/>
    <mergeCell ref="AB43:AC43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16:A26"/>
    <mergeCell ref="S16:S26"/>
    <mergeCell ref="AB16:AC16"/>
    <mergeCell ref="D26:E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26:AC26"/>
    <mergeCell ref="AB18:AC18"/>
    <mergeCell ref="AB19:AC19"/>
    <mergeCell ref="AB20:AC20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44:AC44"/>
    <mergeCell ref="AB45:AC45"/>
    <mergeCell ref="AB46:AC46"/>
    <mergeCell ref="AB47:AC47"/>
    <mergeCell ref="AB35:AC35"/>
    <mergeCell ref="AB36:AC36"/>
    <mergeCell ref="AF1:AH2"/>
    <mergeCell ref="AB10:AC10"/>
    <mergeCell ref="AB11:AC11"/>
    <mergeCell ref="AB12:AC12"/>
    <mergeCell ref="AB13:AC13"/>
    <mergeCell ref="AG3:AG4"/>
    <mergeCell ref="AH3:AH4"/>
    <mergeCell ref="D37:E37"/>
    <mergeCell ref="AB37:AC37"/>
    <mergeCell ref="AH16:AH26"/>
    <mergeCell ref="AB17:AC17"/>
    <mergeCell ref="AB21:AC21"/>
    <mergeCell ref="AB22:AC22"/>
    <mergeCell ref="AB23:AC23"/>
    <mergeCell ref="AB24:AC24"/>
    <mergeCell ref="AH5:AH15"/>
    <mergeCell ref="AB6:AC6"/>
    <mergeCell ref="AB7:AC7"/>
    <mergeCell ref="AD3:AE3"/>
    <mergeCell ref="AF3:AF4"/>
    <mergeCell ref="T3:U3"/>
    <mergeCell ref="V3:V4"/>
    <mergeCell ref="W3:W4"/>
    <mergeCell ref="X3:Y3"/>
    <mergeCell ref="D15:E15"/>
    <mergeCell ref="AB15:AC15"/>
    <mergeCell ref="AB8:AC8"/>
    <mergeCell ref="AB9:AC9"/>
    <mergeCell ref="A5:A15"/>
    <mergeCell ref="S5:S15"/>
    <mergeCell ref="AB5:AC5"/>
    <mergeCell ref="G3:G4"/>
    <mergeCell ref="J3:J4"/>
    <mergeCell ref="AB14:AC14"/>
    <mergeCell ref="A2:B2"/>
    <mergeCell ref="A3:A4"/>
    <mergeCell ref="B3:B4"/>
    <mergeCell ref="D3:E4"/>
    <mergeCell ref="F3:F4"/>
    <mergeCell ref="J1:L2"/>
    <mergeCell ref="T1:Y2"/>
    <mergeCell ref="AB1:AC2"/>
    <mergeCell ref="K3:K4"/>
    <mergeCell ref="L3:L4"/>
    <mergeCell ref="M3:M4"/>
    <mergeCell ref="S3:S4"/>
    <mergeCell ref="Q3:Q4"/>
    <mergeCell ref="R3:R4"/>
    <mergeCell ref="M1:O2"/>
    <mergeCell ref="N3:N4"/>
    <mergeCell ref="O3:O4"/>
    <mergeCell ref="P3:P4"/>
    <mergeCell ref="P1:S2"/>
    <mergeCell ref="Z3:AA3"/>
    <mergeCell ref="AB3:AC4"/>
    <mergeCell ref="H3:H4"/>
    <mergeCell ref="I3:I4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K71" sqref="K7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46214</v>
      </c>
      <c r="E3" s="379"/>
      <c r="F3" s="3" t="s">
        <v>72</v>
      </c>
      <c r="G3" s="380">
        <f>'0711'!E1</f>
        <v>59028</v>
      </c>
      <c r="H3" s="380"/>
      <c r="I3" s="3" t="s">
        <v>2</v>
      </c>
      <c r="J3" s="381">
        <f>'0711'!G1</f>
        <v>2733940.9620000008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124.53292177787978</v>
      </c>
      <c r="G6" s="386"/>
      <c r="H6" s="387">
        <f>AVERAGE(D13:H13)</f>
        <v>122.50505662093899</v>
      </c>
      <c r="I6" s="387"/>
      <c r="J6" s="387">
        <f>AVERAGE(I13:J13)</f>
        <v>129.60258467023172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114.89052032444029</v>
      </c>
      <c r="G7" s="410"/>
      <c r="H7" s="411">
        <f>AVERAGE(D14:H14)</f>
        <v>113.36849689867518</v>
      </c>
      <c r="I7" s="411"/>
      <c r="J7" s="411">
        <f>AVERAGE(I14:J14)</f>
        <v>118.69557888885306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0.92257146691990466</v>
      </c>
      <c r="G8" s="383"/>
      <c r="H8" s="383">
        <f>H7/H6</f>
        <v>0.92541891759999273</v>
      </c>
      <c r="I8" s="383"/>
      <c r="J8" s="383">
        <f>J7/J6</f>
        <v>0.91584268315997652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VALUE('0711'!L15)</f>
        <v>150</v>
      </c>
      <c r="E13" s="13">
        <f>VALUE('0711'!L26)</f>
        <v>161.26373626373626</v>
      </c>
      <c r="F13" s="13">
        <f>VALUE('0711'!L37)</f>
        <v>95.800653594771248</v>
      </c>
      <c r="G13" s="13">
        <f>VALUE('0711'!L48)</f>
        <v>98.681481481481498</v>
      </c>
      <c r="H13" s="13">
        <f>VALUE('0711'!L58)</f>
        <v>106.77941176470588</v>
      </c>
      <c r="I13" s="13">
        <f>VALUE('0711'!L69)</f>
        <v>138.81212121212121</v>
      </c>
      <c r="J13" s="13">
        <f>'0711'!L79</f>
        <v>120.39304812834224</v>
      </c>
    </row>
    <row r="14" spans="2:15" ht="39.950000000000003" customHeight="1">
      <c r="B14" s="404"/>
      <c r="C14" s="12" t="s">
        <v>100</v>
      </c>
      <c r="D14" s="13">
        <f>VALUE('0711'!O15)</f>
        <v>139.47907907907938</v>
      </c>
      <c r="E14" s="13">
        <f>VALUE('0711'!O26)</f>
        <v>148.23983885178504</v>
      </c>
      <c r="F14" s="13">
        <f>VALUE('0711'!O37)</f>
        <v>89.845896439986532</v>
      </c>
      <c r="G14" s="13">
        <f>VALUE('0711'!O48)</f>
        <v>93.092391304347288</v>
      </c>
      <c r="H14" s="13">
        <f>VALUE('0711'!O58)</f>
        <v>96.185278818177665</v>
      </c>
      <c r="I14" s="13">
        <f>VALUE('0711'!O69)</f>
        <v>131.3226093906093</v>
      </c>
      <c r="J14" s="13">
        <f>'0711'!O79</f>
        <v>106.06854838709683</v>
      </c>
    </row>
    <row r="15" spans="2:15" ht="39.950000000000003" customHeight="1">
      <c r="B15" s="405"/>
      <c r="C15" s="10" t="s">
        <v>26</v>
      </c>
      <c r="D15" s="14">
        <f t="shared" ref="D15:I15" si="1">D14/D13</f>
        <v>0.92986052719386258</v>
      </c>
      <c r="E15" s="14">
        <f t="shared" si="1"/>
        <v>0.91923852371464654</v>
      </c>
      <c r="F15" s="14">
        <f t="shared" si="1"/>
        <v>0.93784220742404489</v>
      </c>
      <c r="G15" s="14">
        <f t="shared" si="1"/>
        <v>0.94336231992845532</v>
      </c>
      <c r="H15" s="14">
        <f t="shared" si="1"/>
        <v>0.90078487255695927</v>
      </c>
      <c r="I15" s="14">
        <f t="shared" si="1"/>
        <v>0.94604569286808138</v>
      </c>
      <c r="J15" s="15">
        <f>'0711'!S70</f>
        <v>0.88101887971159998</v>
      </c>
    </row>
    <row r="16" spans="2:15" ht="17.25" customHeight="1">
      <c r="B16" s="406" t="s">
        <v>101</v>
      </c>
      <c r="C16" s="10" t="s">
        <v>34</v>
      </c>
      <c r="D16" s="16">
        <f>'0711'!T5</f>
        <v>0.29027777777777802</v>
      </c>
      <c r="E16" s="16">
        <f>'0711'!T16</f>
        <v>0.29166666666666702</v>
      </c>
      <c r="F16" s="16">
        <f>'0711'!T27</f>
        <v>0.29166666666666702</v>
      </c>
      <c r="G16" s="16">
        <f>'0711'!T38</f>
        <v>0.33333333333333298</v>
      </c>
      <c r="H16" s="16">
        <f>'0711'!T49</f>
        <v>0.29166666666666702</v>
      </c>
      <c r="I16" s="16">
        <f>'0711'!T59</f>
        <v>0.28819444444444398</v>
      </c>
      <c r="J16" s="16">
        <f>'0711'!T70</f>
        <v>0.3125</v>
      </c>
    </row>
    <row r="17" spans="2:10" ht="17.25" customHeight="1">
      <c r="B17" s="407"/>
      <c r="C17" s="10" t="s">
        <v>35</v>
      </c>
      <c r="D17" s="16">
        <v>0.468055555555556</v>
      </c>
      <c r="E17" s="19">
        <v>0.62361111111111101</v>
      </c>
      <c r="F17" s="19">
        <v>0.65277777777777801</v>
      </c>
      <c r="G17" s="210">
        <v>0.61458333333333304</v>
      </c>
      <c r="H17" s="21">
        <v>0.60416666666666696</v>
      </c>
      <c r="I17" s="22">
        <v>0.59375</v>
      </c>
      <c r="J17" s="22">
        <v>0.48611111111111099</v>
      </c>
    </row>
    <row r="18" spans="2:10" ht="17.25" customHeight="1">
      <c r="B18" s="408" t="s">
        <v>102</v>
      </c>
      <c r="C18" s="330" t="s">
        <v>36</v>
      </c>
      <c r="D18" s="357">
        <f>'0711'!Z15</f>
        <v>0</v>
      </c>
      <c r="E18" s="358">
        <f>'0711'!Z26</f>
        <v>0</v>
      </c>
      <c r="F18" s="358">
        <f>'0711'!Z37</f>
        <v>0</v>
      </c>
      <c r="G18" s="359">
        <f>'0711'!Z48</f>
        <v>0</v>
      </c>
      <c r="H18" s="359">
        <f>'0711'!Z58</f>
        <v>0</v>
      </c>
      <c r="I18" s="358">
        <f>'0711'!Z69</f>
        <v>0</v>
      </c>
      <c r="J18" s="358">
        <f>'0711'!AA79</f>
        <v>0</v>
      </c>
    </row>
    <row r="19" spans="2:10" ht="17.25" customHeight="1">
      <c r="B19" s="409"/>
      <c r="C19" s="330" t="s">
        <v>37</v>
      </c>
      <c r="D19" s="357">
        <f>'0711'!AA15</f>
        <v>0</v>
      </c>
      <c r="E19" s="358">
        <f>'0711'!AA26</f>
        <v>0</v>
      </c>
      <c r="F19" s="358">
        <f>'0711'!AA37</f>
        <v>0</v>
      </c>
      <c r="G19" s="359">
        <f>'0711'!AA48</f>
        <v>0</v>
      </c>
      <c r="H19" s="359">
        <f>'0711'!AA58</f>
        <v>0</v>
      </c>
      <c r="I19" s="358">
        <f>'0711'!AA69</f>
        <v>0</v>
      </c>
      <c r="J19" s="358">
        <f>'0711'!AB79</f>
        <v>0</v>
      </c>
    </row>
    <row r="20" spans="2:10" ht="17.25" customHeight="1">
      <c r="B20" s="408" t="s">
        <v>103</v>
      </c>
      <c r="C20" s="330" t="s">
        <v>36</v>
      </c>
      <c r="D20" s="357">
        <f>'0711'!AD15</f>
        <v>0</v>
      </c>
      <c r="E20" s="358">
        <f>'0711'!AD26</f>
        <v>0</v>
      </c>
      <c r="F20" s="358">
        <f>'0711'!AD37</f>
        <v>0</v>
      </c>
      <c r="G20" s="359">
        <f>'0711'!AD48</f>
        <v>0</v>
      </c>
      <c r="H20" s="359">
        <f>'0711'!AD58</f>
        <v>0</v>
      </c>
      <c r="I20" s="358">
        <f>'0711'!AD69</f>
        <v>0</v>
      </c>
      <c r="J20" s="358">
        <f>'0711'!AD79</f>
        <v>0</v>
      </c>
    </row>
    <row r="21" spans="2:10" ht="17.25" customHeight="1">
      <c r="B21" s="409"/>
      <c r="C21" s="330" t="s">
        <v>85</v>
      </c>
      <c r="D21" s="357">
        <f>'0711'!AE15</f>
        <v>0</v>
      </c>
      <c r="E21" s="358">
        <f>'0711'!AE26</f>
        <v>0</v>
      </c>
      <c r="F21" s="358">
        <f>'0711'!AE37</f>
        <v>0</v>
      </c>
      <c r="G21" s="359">
        <f>'0711'!AE48</f>
        <v>0</v>
      </c>
      <c r="H21" s="359">
        <f>'0711'!AE58</f>
        <v>0</v>
      </c>
      <c r="I21" s="358">
        <f>'0711'!AE69</f>
        <v>0</v>
      </c>
      <c r="J21" s="358">
        <f>'0711'!AE79</f>
        <v>0</v>
      </c>
    </row>
    <row r="22" spans="2:10" ht="17.25" customHeight="1">
      <c r="B22" s="392" t="s">
        <v>104</v>
      </c>
      <c r="C22" s="393"/>
      <c r="D22" s="23">
        <f>VALUE('0711'!M15)</f>
        <v>15</v>
      </c>
      <c r="E22" s="23">
        <f>VALUE('0711'!M26)</f>
        <v>14</v>
      </c>
      <c r="F22" s="23">
        <f>VALUE('0711'!M37)</f>
        <v>16.666666666666668</v>
      </c>
      <c r="G22" s="23">
        <f>VALUE('0711'!M48)</f>
        <v>15.666666666666666</v>
      </c>
      <c r="H22" s="23">
        <f>VALUE('0711'!M58)</f>
        <v>16.5</v>
      </c>
      <c r="I22" s="23">
        <f>VALUE('0711'!M69)</f>
        <v>12</v>
      </c>
      <c r="J22" s="23">
        <f>'0711'!M79</f>
        <v>8.5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0" activePane="bottomRight" state="frozen"/>
      <selection activeCell="K71" sqref="K71"/>
      <selection pane="topRight" activeCell="K71" sqref="K71"/>
      <selection pane="bottomLeft" activeCell="K71" sqref="K71"/>
      <selection pane="bottomRight" activeCell="K71" sqref="K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59028</v>
      </c>
      <c r="F1" s="30" t="s">
        <v>2</v>
      </c>
      <c r="G1" s="31">
        <f>SUM(H5:H79)</f>
        <v>2733940.9620000008</v>
      </c>
      <c r="H1" s="32" t="s">
        <v>3</v>
      </c>
      <c r="I1" s="33">
        <f>M15+M26+M48+M58+M69+M79+M37</f>
        <v>98.333333333333329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173</v>
      </c>
      <c r="B2" s="418"/>
      <c r="C2" s="28"/>
      <c r="D2" s="28" t="s">
        <v>14</v>
      </c>
      <c r="E2" s="35">
        <f>AVERAGE(O15,O26,O37,O48,O58,O69,O79)</f>
        <v>114.89052032444029</v>
      </c>
      <c r="F2" s="36" t="s">
        <v>15</v>
      </c>
      <c r="G2" s="37">
        <f>G1/E1</f>
        <v>46.316001931286863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3764</v>
      </c>
      <c r="H5" s="43">
        <f>F5*G5</f>
        <v>190721.88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2034.5945945946032</v>
      </c>
      <c r="O5" s="47">
        <f>N5/M5</f>
        <v>135.63963963964022</v>
      </c>
      <c r="P5" s="49">
        <f>M5-J5</f>
        <v>0</v>
      </c>
      <c r="Q5" s="50">
        <f>O5-L5</f>
        <v>-14.360360360359778</v>
      </c>
      <c r="R5" s="51">
        <f>O5/L5</f>
        <v>0.9042642642642682</v>
      </c>
      <c r="S5" s="412">
        <f>R15</f>
        <v>0.92986052719386258</v>
      </c>
      <c r="T5" s="319">
        <v>0.29027777777777802</v>
      </c>
      <c r="U5" s="320">
        <v>0.36736111111111103</v>
      </c>
      <c r="V5" s="53"/>
      <c r="W5" s="54">
        <f t="shared" ref="W5:W14" si="0">(U5-T5)*24*60</f>
        <v>110.99999999999953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-215.40540540539678</v>
      </c>
      <c r="AG5" s="52">
        <f t="shared" ref="AG5:AG11" si="2">N5/K5</f>
        <v>0.90426426426426809</v>
      </c>
      <c r="AH5" s="457">
        <f>AG15</f>
        <v>0.92986052719386258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4837</v>
      </c>
      <c r="H6" s="63">
        <f>F6*G6</f>
        <v>237690.18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2149.7777777777778</v>
      </c>
      <c r="O6" s="67">
        <f>N6/M6</f>
        <v>143.31851851851852</v>
      </c>
      <c r="P6" s="69">
        <f>M6-J6</f>
        <v>0</v>
      </c>
      <c r="Q6" s="70">
        <f>O6-L6</f>
        <v>-6.6814814814814838</v>
      </c>
      <c r="R6" s="71">
        <f>O6/L6</f>
        <v>0.95545679012345675</v>
      </c>
      <c r="S6" s="413"/>
      <c r="T6" s="16">
        <v>0.374305555555556</v>
      </c>
      <c r="U6" s="16">
        <v>0.468055555555556</v>
      </c>
      <c r="V6" s="30">
        <f>(T6-U5)*24*60</f>
        <v>10.000000000000764</v>
      </c>
      <c r="W6" s="73">
        <f t="shared" si="0"/>
        <v>135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-100.22222222222217</v>
      </c>
      <c r="AG6" s="72">
        <f t="shared" si="2"/>
        <v>0.95545679012345686</v>
      </c>
      <c r="AH6" s="458"/>
    </row>
    <row r="7" spans="1:34" ht="15" customHeight="1">
      <c r="A7" s="42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13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0</v>
      </c>
      <c r="AG7" s="72" t="e">
        <f t="shared" si="2"/>
        <v>#DIV/0!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2092.1861861861908</v>
      </c>
      <c r="O15" s="117">
        <f t="shared" si="3"/>
        <v>139.47907907907938</v>
      </c>
      <c r="P15" s="121">
        <f>M15-J15</f>
        <v>0</v>
      </c>
      <c r="Q15" s="122">
        <f>O15-L15</f>
        <v>-10.520920920920616</v>
      </c>
      <c r="R15" s="123">
        <f>O15/L15</f>
        <v>0.92986052719386258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-157.81381381380925</v>
      </c>
      <c r="AG15" s="124">
        <f>N15/K15</f>
        <v>0.92986052719386258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2310</v>
      </c>
      <c r="H16" s="134">
        <f>F16*G16</f>
        <v>117047.7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2165.6250000000214</v>
      </c>
      <c r="O16" s="141">
        <f>N16/M16</f>
        <v>154.68750000000153</v>
      </c>
      <c r="P16" s="142">
        <f>M16-J16</f>
        <v>0</v>
      </c>
      <c r="Q16" s="143">
        <f>O16-L16</f>
        <v>-6.0267857142841876</v>
      </c>
      <c r="R16" s="144">
        <f>O16/L16</f>
        <v>0.96250000000000946</v>
      </c>
      <c r="S16" s="468">
        <f>R26</f>
        <v>0.91923852371464654</v>
      </c>
      <c r="T16" s="145">
        <v>0.29166666666666702</v>
      </c>
      <c r="U16" s="145">
        <v>0.33611111111111103</v>
      </c>
      <c r="V16" s="135"/>
      <c r="W16" s="146">
        <f t="shared" ref="W16:W78" si="4">(U16-T16)*24*60</f>
        <v>63.999999999999375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-84.374999999978627</v>
      </c>
      <c r="AG16" s="52">
        <f>N16/K16</f>
        <v>0.96250000000000946</v>
      </c>
      <c r="AH16" s="457">
        <f>AG26</f>
        <v>0.92008584467895571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2540</v>
      </c>
      <c r="H17" s="78">
        <f>F17*G17</f>
        <v>144449.79999999999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2208.695652173898</v>
      </c>
      <c r="O17" s="96">
        <f>N17/M17</f>
        <v>147.24637681159319</v>
      </c>
      <c r="P17" s="97">
        <f>M17-J17</f>
        <v>0</v>
      </c>
      <c r="Q17" s="98">
        <f>O17-L17</f>
        <v>-2.7536231884068059</v>
      </c>
      <c r="R17" s="99">
        <f>O17/L17</f>
        <v>0.98164251207728792</v>
      </c>
      <c r="S17" s="469"/>
      <c r="T17" s="19">
        <v>0.34236111111111101</v>
      </c>
      <c r="U17" s="19">
        <v>0.390277777777778</v>
      </c>
      <c r="V17" s="30">
        <f>(T17-U16)*24*60</f>
        <v>8.999999999999968</v>
      </c>
      <c r="W17" s="149">
        <f t="shared" si="4"/>
        <v>69.000000000000469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-41.304347826102003</v>
      </c>
      <c r="AG17" s="72">
        <f>N17/K17</f>
        <v>0.98164251207728803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1907</v>
      </c>
      <c r="H18" s="78">
        <f>F18*G18</f>
        <v>110930.19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2080.363636363662</v>
      </c>
      <c r="O18" s="96">
        <f>N18/M18</f>
        <v>138.69090909091079</v>
      </c>
      <c r="P18" s="97">
        <f>M18-J18</f>
        <v>0</v>
      </c>
      <c r="Q18" s="98">
        <f>O18-L18</f>
        <v>-11.309090909089207</v>
      </c>
      <c r="R18" s="99">
        <f>O18/L18</f>
        <v>0.92460606060607198</v>
      </c>
      <c r="S18" s="469"/>
      <c r="T18" s="19">
        <v>0.39930555555555602</v>
      </c>
      <c r="U18" s="19">
        <v>0.4375</v>
      </c>
      <c r="V18" s="30">
        <f>(T18-U17)*24*60</f>
        <v>13.000000000000353</v>
      </c>
      <c r="W18" s="149">
        <f t="shared" si="4"/>
        <v>54.999999999999325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-169.63636363633805</v>
      </c>
      <c r="AG18" s="72">
        <f>N18/K18</f>
        <v>0.92460606060607198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1670</v>
      </c>
      <c r="H19" s="78">
        <f t="shared" ref="H19:H21" si="5">F19*G19</f>
        <v>84151.3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2131.9148936170141</v>
      </c>
      <c r="O19" s="96">
        <f t="shared" ref="O19:O21" si="8">N19/M19</f>
        <v>163.99345335515494</v>
      </c>
      <c r="P19" s="97">
        <f t="shared" ref="P19:P21" si="9">M19-J19</f>
        <v>0</v>
      </c>
      <c r="Q19" s="98">
        <f t="shared" ref="Q19:Q21" si="10">O19-L19</f>
        <v>-9.0834697217681253</v>
      </c>
      <c r="R19" s="99">
        <f t="shared" ref="R19:R21" si="11">O19/L19</f>
        <v>0.94751773049645083</v>
      </c>
      <c r="S19" s="469"/>
      <c r="T19" s="19">
        <v>0.44652777777777802</v>
      </c>
      <c r="U19" s="19">
        <v>0.47916666666666702</v>
      </c>
      <c r="V19" s="30">
        <f>(T19-U18)*24*60</f>
        <v>13.000000000000353</v>
      </c>
      <c r="W19" s="149">
        <f t="shared" si="4"/>
        <v>47.000000000000156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-118.08510638298594</v>
      </c>
      <c r="AG19" s="72">
        <f>N19/K19</f>
        <v>0.94751773049645072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2452</v>
      </c>
      <c r="H20" s="78">
        <f t="shared" si="5"/>
        <v>123556.28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1988.1081081081022</v>
      </c>
      <c r="O20" s="96">
        <f t="shared" si="8"/>
        <v>152.93139293139248</v>
      </c>
      <c r="P20" s="97">
        <f t="shared" si="9"/>
        <v>0</v>
      </c>
      <c r="Q20" s="98">
        <f t="shared" si="10"/>
        <v>-20.145530145530586</v>
      </c>
      <c r="R20" s="99">
        <f t="shared" si="11"/>
        <v>0.88360360360360102</v>
      </c>
      <c r="S20" s="469"/>
      <c r="T20" s="19">
        <v>0.54166666666666696</v>
      </c>
      <c r="U20" s="19">
        <v>0.593055555555556</v>
      </c>
      <c r="V20" s="30">
        <f>(T20-U19)*24*60</f>
        <v>89.999999999999915</v>
      </c>
      <c r="W20" s="149">
        <f t="shared" si="4"/>
        <v>74.000000000000213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954</v>
      </c>
      <c r="H21" s="78">
        <f t="shared" si="5"/>
        <v>48339.18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1846.4516129032038</v>
      </c>
      <c r="O21" s="96">
        <f t="shared" si="8"/>
        <v>131.88940092165743</v>
      </c>
      <c r="P21" s="97">
        <f t="shared" si="9"/>
        <v>0</v>
      </c>
      <c r="Q21" s="98">
        <f t="shared" si="10"/>
        <v>-28.824884792628296</v>
      </c>
      <c r="R21" s="99">
        <f t="shared" si="11"/>
        <v>0.82064516129031284</v>
      </c>
      <c r="S21" s="469"/>
      <c r="T21" s="19">
        <v>0.60208333333333297</v>
      </c>
      <c r="U21" s="19">
        <v>0.62361111111111101</v>
      </c>
      <c r="V21" s="30">
        <f>(T21-U20)*24*60</f>
        <v>12.999999999998835</v>
      </c>
      <c r="W21" s="149">
        <f t="shared" si="4"/>
        <v>31.000000000000369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161.26373626373626</v>
      </c>
      <c r="M26" s="155">
        <f t="shared" si="12"/>
        <v>14</v>
      </c>
      <c r="N26" s="155">
        <f t="shared" si="12"/>
        <v>2070.1931505276502</v>
      </c>
      <c r="O26" s="158">
        <f t="shared" si="12"/>
        <v>148.23983885178504</v>
      </c>
      <c r="P26" s="159">
        <f>M26-J26</f>
        <v>0</v>
      </c>
      <c r="Q26" s="160">
        <f>O26-L26</f>
        <v>-13.023897411951225</v>
      </c>
      <c r="R26" s="161">
        <f>O26/L26</f>
        <v>0.91923852371464654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-179.80684947234977</v>
      </c>
      <c r="AG26" s="124">
        <f t="shared" ref="AG26:AG31" si="14">N26/K26</f>
        <v>0.92008584467895571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1356</v>
      </c>
      <c r="H27" s="134">
        <f>F27*G27</f>
        <v>61914.959999999992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1535.0943396226653</v>
      </c>
      <c r="O27" s="141">
        <f>N27/M27</f>
        <v>90.299667036627369</v>
      </c>
      <c r="P27" s="142">
        <f>M27-J27</f>
        <v>0</v>
      </c>
      <c r="Q27" s="143">
        <f>O27-L27</f>
        <v>-5.9356270810196889</v>
      </c>
      <c r="R27" s="144">
        <f>O27/L27</f>
        <v>0.93832172348573673</v>
      </c>
      <c r="S27" s="468">
        <f>R37</f>
        <v>0.93784220742404489</v>
      </c>
      <c r="T27" s="171">
        <v>0.29166666666666702</v>
      </c>
      <c r="U27" s="171">
        <v>0.328472222222222</v>
      </c>
      <c r="V27" s="135"/>
      <c r="W27" s="146">
        <f t="shared" si="4"/>
        <v>52.999999999999176</v>
      </c>
      <c r="X27" s="135"/>
      <c r="Y27" s="300"/>
      <c r="Z27" s="169"/>
      <c r="AA27" s="169"/>
      <c r="AB27" s="464"/>
      <c r="AC27" s="464"/>
      <c r="AD27" s="135"/>
      <c r="AE27" s="135"/>
      <c r="AF27" s="310">
        <f t="shared" si="13"/>
        <v>-100.9056603773347</v>
      </c>
      <c r="AG27" s="172">
        <f t="shared" si="14"/>
        <v>0.93832172348573673</v>
      </c>
      <c r="AH27" s="457">
        <f>AG37</f>
        <v>0.92076111168396213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2195</v>
      </c>
      <c r="H28" s="91">
        <f>F28*G28</f>
        <v>101716.3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1549.4117647058763</v>
      </c>
      <c r="O28" s="96">
        <f>N28/M28</f>
        <v>96.838235294117268</v>
      </c>
      <c r="P28" s="97">
        <f>M28-J28</f>
        <v>0</v>
      </c>
      <c r="Q28" s="98">
        <f>O28-L28</f>
        <v>-5.4117647058827316</v>
      </c>
      <c r="R28" s="99">
        <f>O28/L28</f>
        <v>0.94707320581043786</v>
      </c>
      <c r="S28" s="469"/>
      <c r="T28" s="19">
        <v>0.33333333333333298</v>
      </c>
      <c r="U28" s="19">
        <v>0.39236111111111099</v>
      </c>
      <c r="V28" s="92">
        <f>(T28-U27)*24*60</f>
        <v>6.9999999999998153</v>
      </c>
      <c r="W28" s="149">
        <f t="shared" si="4"/>
        <v>85.000000000000341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-86.588235294123706</v>
      </c>
      <c r="AG28" s="99">
        <f t="shared" si="14"/>
        <v>0.94707320581043786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830</v>
      </c>
      <c r="H29" s="91">
        <f>F29*G29</f>
        <v>47484.3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1383.3333333333321</v>
      </c>
      <c r="O29" s="96">
        <f>N29/M29</f>
        <v>81.372549019607774</v>
      </c>
      <c r="P29" s="97">
        <f>M29-J29</f>
        <v>-1</v>
      </c>
      <c r="Q29" s="98">
        <f>O29-L29</f>
        <v>-5.5718954248366686</v>
      </c>
      <c r="R29" s="99">
        <f>O29/L29</f>
        <v>0.93591430182296487</v>
      </c>
      <c r="S29" s="469"/>
      <c r="T29" s="19">
        <v>0.39722222222222198</v>
      </c>
      <c r="U29" s="19">
        <v>0.422222222222222</v>
      </c>
      <c r="V29" s="92">
        <f>(T29-U28)*24*60</f>
        <v>6.9999999999998153</v>
      </c>
      <c r="W29" s="149">
        <f t="shared" si="4"/>
        <v>36.000000000000028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-181.66666666666788</v>
      </c>
      <c r="AG29" s="99">
        <f t="shared" si="14"/>
        <v>0.88391906283280008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1814</v>
      </c>
      <c r="H30" s="91">
        <f t="shared" ref="H30:H32" si="15">F30*G30</f>
        <v>103778.94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17</v>
      </c>
      <c r="N30" s="95">
        <f t="shared" ref="N30:N32" si="17">G30/W30*60</f>
        <v>1490.9589041095717</v>
      </c>
      <c r="O30" s="96">
        <f t="shared" ref="O30:O32" si="18">N30/M30</f>
        <v>87.703464947621868</v>
      </c>
      <c r="P30" s="97">
        <f t="shared" ref="P30:P32" si="19">M30-J30</f>
        <v>-1</v>
      </c>
      <c r="Q30" s="98">
        <f t="shared" ref="Q30:Q32" si="20">O30-L30</f>
        <v>-3.1854239412670182</v>
      </c>
      <c r="R30" s="99">
        <f t="shared" ref="R30:R32" si="21">O30/L30</f>
        <v>0.964952548323468</v>
      </c>
      <c r="S30" s="469"/>
      <c r="T30" s="19">
        <v>0.42708333333333298</v>
      </c>
      <c r="U30" s="19">
        <v>0.47777777777777802</v>
      </c>
      <c r="V30" s="92">
        <f t="shared" ref="V30:V32" si="22">(T30-U29)*24*60</f>
        <v>6.9999999999998153</v>
      </c>
      <c r="W30" s="149">
        <f t="shared" si="4"/>
        <v>73.000000000000853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-145.04109589042832</v>
      </c>
      <c r="AG30" s="99">
        <f t="shared" si="14"/>
        <v>0.91134407341660861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2700</v>
      </c>
      <c r="H31" s="91">
        <f t="shared" si="15"/>
        <v>125118.00000000001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1514.0186915887768</v>
      </c>
      <c r="O31" s="96">
        <f t="shared" si="18"/>
        <v>94.626168224298553</v>
      </c>
      <c r="P31" s="97">
        <f t="shared" si="19"/>
        <v>0</v>
      </c>
      <c r="Q31" s="98">
        <f t="shared" si="20"/>
        <v>-7.6238317757014471</v>
      </c>
      <c r="R31" s="99">
        <f t="shared" si="21"/>
        <v>0.92543929803714964</v>
      </c>
      <c r="S31" s="469"/>
      <c r="T31" s="19">
        <v>0.53125</v>
      </c>
      <c r="U31" s="19">
        <v>0.60555555555555596</v>
      </c>
      <c r="V31" s="92">
        <f t="shared" si="22"/>
        <v>76.999999999999645</v>
      </c>
      <c r="W31" s="149">
        <f t="shared" si="4"/>
        <v>107.00000000000058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-121.98130841122315</v>
      </c>
      <c r="AG31" s="99">
        <f t="shared" si="14"/>
        <v>0.92543929803714964</v>
      </c>
      <c r="AH31" s="459"/>
    </row>
    <row r="32" spans="1:34" ht="15" customHeight="1">
      <c r="A32" s="466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1500</v>
      </c>
      <c r="H32" s="91">
        <f t="shared" si="15"/>
        <v>68490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1499.9999999999893</v>
      </c>
      <c r="O32" s="96">
        <f t="shared" si="18"/>
        <v>88.235294117646433</v>
      </c>
      <c r="P32" s="97">
        <f t="shared" si="19"/>
        <v>0</v>
      </c>
      <c r="Q32" s="98">
        <f t="shared" si="20"/>
        <v>-8.0000000000006253</v>
      </c>
      <c r="R32" s="99">
        <f t="shared" si="21"/>
        <v>0.91687041564791527</v>
      </c>
      <c r="S32" s="469"/>
      <c r="T32" s="19">
        <v>0.61111111111111105</v>
      </c>
      <c r="U32" s="19">
        <v>0.65277777777777801</v>
      </c>
      <c r="V32" s="92">
        <f t="shared" si="22"/>
        <v>7.9999999999993321</v>
      </c>
      <c r="W32" s="149">
        <f t="shared" si="4"/>
        <v>60.000000000000426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1624.1666666666667</v>
      </c>
      <c r="L37" s="158">
        <f t="shared" si="23"/>
        <v>95.800653594771248</v>
      </c>
      <c r="M37" s="155">
        <f t="shared" si="23"/>
        <v>16.666666666666668</v>
      </c>
      <c r="N37" s="155">
        <f t="shared" si="23"/>
        <v>1495.4695055600353</v>
      </c>
      <c r="O37" s="158">
        <f t="shared" si="23"/>
        <v>89.845896439986532</v>
      </c>
      <c r="P37" s="159">
        <f>M37-J37</f>
        <v>-0.33333333333333215</v>
      </c>
      <c r="Q37" s="160">
        <f>N37-K37</f>
        <v>-128.69716110663148</v>
      </c>
      <c r="R37" s="161">
        <f>O37/L37</f>
        <v>0.93784220742404489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-128.69716110663148</v>
      </c>
      <c r="AG37" s="124">
        <f>N37/K37</f>
        <v>0.92076111168396213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2700</v>
      </c>
      <c r="H38" s="134">
        <f>F38*G38</f>
        <v>134757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1619.9999999999864</v>
      </c>
      <c r="O38" s="141">
        <f>N38/M38</f>
        <v>107.99999999999909</v>
      </c>
      <c r="P38" s="142">
        <f>M38-J38</f>
        <v>0</v>
      </c>
      <c r="Q38" s="143">
        <f>O38-L38</f>
        <v>-6.2666666666675752</v>
      </c>
      <c r="R38" s="144">
        <f>O38/L38</f>
        <v>0.94515752625436777</v>
      </c>
      <c r="S38" s="490">
        <f>R48</f>
        <v>0.94336231992845532</v>
      </c>
      <c r="T38" s="191">
        <v>0.33333333333333298</v>
      </c>
      <c r="U38" s="191">
        <v>0.40277777777777801</v>
      </c>
      <c r="V38" s="192"/>
      <c r="W38" s="193">
        <f t="shared" si="4"/>
        <v>100.00000000000084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-94.000000000013642</v>
      </c>
      <c r="AG38" s="195">
        <f>N38/K38</f>
        <v>0.94515752625436777</v>
      </c>
      <c r="AH38" s="480">
        <f>AG48</f>
        <v>0.87453565635954078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2714</v>
      </c>
      <c r="H39" s="91">
        <f>F39*G39</f>
        <v>120230.2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1379.9999999999909</v>
      </c>
      <c r="O39" s="203">
        <f>N39/M39</f>
        <v>86.249999999999432</v>
      </c>
      <c r="P39" s="97">
        <f>M39-J39</f>
        <v>-2</v>
      </c>
      <c r="Q39" s="98">
        <f>O39-L39</f>
        <v>-4.6388888888894542</v>
      </c>
      <c r="R39" s="99">
        <f>O39/L39</f>
        <v>0.94896088019559277</v>
      </c>
      <c r="S39" s="491"/>
      <c r="T39" s="20">
        <v>0.40972222222222199</v>
      </c>
      <c r="U39" s="20">
        <v>0.49166666666666697</v>
      </c>
      <c r="V39" s="92">
        <f>(T39-U38)*24*60</f>
        <v>9.999999999999325</v>
      </c>
      <c r="W39" s="205">
        <f t="shared" si="4"/>
        <v>118.00000000000078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-256.00000000000909</v>
      </c>
      <c r="AG39" s="206">
        <f>N39/K39</f>
        <v>0.84352078239608241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2086</v>
      </c>
      <c r="H40" s="91">
        <f>F40*G40</f>
        <v>92409.799999999988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1360.4347826086932</v>
      </c>
      <c r="O40" s="203">
        <f>N40/M40</f>
        <v>85.027173913043328</v>
      </c>
      <c r="P40" s="97">
        <f>M40-J40</f>
        <v>-2</v>
      </c>
      <c r="Q40" s="98">
        <f>O40-L40</f>
        <v>-5.8617149758455582</v>
      </c>
      <c r="R40" s="99">
        <f>O40/L40</f>
        <v>0.93550680344424197</v>
      </c>
      <c r="S40" s="413"/>
      <c r="T40" s="20">
        <v>0.55069444444444404</v>
      </c>
      <c r="U40" s="20">
        <v>0.61458333333333304</v>
      </c>
      <c r="V40" s="92">
        <f>(T40-U39)*24*60</f>
        <v>84.999999999998977</v>
      </c>
      <c r="W40" s="205">
        <f t="shared" si="4"/>
        <v>92.000000000000156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-275.56521739130676</v>
      </c>
      <c r="AG40" s="206">
        <f>N40/K40</f>
        <v>0.83156160306154847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15.666666666666666</v>
      </c>
      <c r="N48" s="155">
        <f t="shared" si="24"/>
        <v>1453.4782608695568</v>
      </c>
      <c r="O48" s="158">
        <f t="shared" si="24"/>
        <v>93.092391304347288</v>
      </c>
      <c r="P48" s="221">
        <f>M48-J48</f>
        <v>-1.3333333333333339</v>
      </c>
      <c r="Q48" s="222">
        <f>N48-K48</f>
        <v>-208.52173913044317</v>
      </c>
      <c r="R48" s="223">
        <f>O48/L48</f>
        <v>0.94336231992845532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-208.52173913044317</v>
      </c>
      <c r="AG48" s="162">
        <f t="shared" ref="AG48:AG53" si="26">N48/K48</f>
        <v>0.87453565635954078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1972</v>
      </c>
      <c r="H49" s="134">
        <f>F49*G49</f>
        <v>97653.440000000002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1765.9701492537611</v>
      </c>
      <c r="O49" s="141">
        <f>N49/M49</f>
        <v>103.88059701492712</v>
      </c>
      <c r="P49" s="229">
        <f>M49-J49</f>
        <v>0</v>
      </c>
      <c r="Q49" s="230">
        <f>O49-L49</f>
        <v>-2.001755926249345</v>
      </c>
      <c r="R49" s="52">
        <f>O49/L49</f>
        <v>0.98109452736320057</v>
      </c>
      <c r="S49" s="412">
        <f>R58</f>
        <v>0.90078487255695927</v>
      </c>
      <c r="T49" s="191">
        <v>0.29166666666666702</v>
      </c>
      <c r="U49" s="191">
        <v>0.33819444444444402</v>
      </c>
      <c r="V49" s="55"/>
      <c r="W49" s="193">
        <f t="shared" si="4"/>
        <v>66.999999999998877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-34.029850746238935</v>
      </c>
      <c r="AG49" s="52">
        <f t="shared" si="26"/>
        <v>0.98109452736320057</v>
      </c>
      <c r="AH49" s="457">
        <f>AG58</f>
        <v>0.90202209565505886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2388</v>
      </c>
      <c r="H50" s="231">
        <f>F50*G50</f>
        <v>120090.132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1477.1134020618586</v>
      </c>
      <c r="O50" s="235">
        <f>N50/M50</f>
        <v>86.889023650697567</v>
      </c>
      <c r="P50" s="74">
        <f>M50-J50</f>
        <v>0</v>
      </c>
      <c r="Q50" s="83">
        <f>O50-L50</f>
        <v>-9.3462704669494912</v>
      </c>
      <c r="R50" s="72">
        <f>O50/L50</f>
        <v>0.90288105260504803</v>
      </c>
      <c r="S50" s="413"/>
      <c r="T50" s="21">
        <v>0.34513888888888899</v>
      </c>
      <c r="U50" s="21">
        <v>0.41249999999999998</v>
      </c>
      <c r="V50" s="30">
        <f>(T50-U49)*24*60</f>
        <v>10.000000000000764</v>
      </c>
      <c r="W50" s="236">
        <f t="shared" si="4"/>
        <v>96.999999999999815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-158.88659793814145</v>
      </c>
      <c r="AG50" s="72">
        <f t="shared" si="26"/>
        <v>0.90288105260504803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1491</v>
      </c>
      <c r="H51" s="231">
        <f>F51*G51</f>
        <v>74505.27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1516.2711864406506</v>
      </c>
      <c r="O51" s="235">
        <f>N51/M51</f>
        <v>94.766949152540661</v>
      </c>
      <c r="P51" s="74">
        <f>M51-J51</f>
        <v>0</v>
      </c>
      <c r="Q51" s="83">
        <f>O51-L51</f>
        <v>-17.733050847459339</v>
      </c>
      <c r="R51" s="72">
        <f>O51/L51</f>
        <v>0.84237288135591704</v>
      </c>
      <c r="S51" s="413"/>
      <c r="T51" s="21">
        <v>0.41944444444444401</v>
      </c>
      <c r="U51" s="19">
        <v>0.46041666666666697</v>
      </c>
      <c r="V51" s="30">
        <f>(T51-U50)*24*60</f>
        <v>9.9999999999994049</v>
      </c>
      <c r="W51" s="236">
        <f t="shared" si="4"/>
        <v>59.000000000001066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-283.72881355934942</v>
      </c>
      <c r="AG51" s="72">
        <f t="shared" si="26"/>
        <v>0.84237288135591704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3201</v>
      </c>
      <c r="H52" s="231">
        <f>F52*G52</f>
        <v>159953.97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1587.2727272727245</v>
      </c>
      <c r="O52" s="235">
        <f>N52/M52</f>
        <v>99.204545454545283</v>
      </c>
      <c r="P52" s="74">
        <f>M52-J52</f>
        <v>0</v>
      </c>
      <c r="Q52" s="83">
        <f>O52-L52</f>
        <v>-13.295454545454717</v>
      </c>
      <c r="R52" s="72">
        <f>O52/L52</f>
        <v>0.88181818181818028</v>
      </c>
      <c r="S52" s="413"/>
      <c r="T52" s="21">
        <v>0.52013888888888904</v>
      </c>
      <c r="U52" s="21">
        <v>0.60416666666666696</v>
      </c>
      <c r="V52" s="30">
        <f>(T52-U51)*24*60</f>
        <v>85.999999999999773</v>
      </c>
      <c r="W52" s="236">
        <f t="shared" si="4"/>
        <v>121.00000000000021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-212.72727272727548</v>
      </c>
      <c r="AG52" s="72">
        <f t="shared" si="26"/>
        <v>0.88181818181818028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1586.6568662572486</v>
      </c>
      <c r="O58" s="117">
        <f t="shared" si="27"/>
        <v>96.185278818177665</v>
      </c>
      <c r="P58" s="121">
        <f>M58-J58</f>
        <v>0</v>
      </c>
      <c r="Q58" s="122">
        <f>N58-K58</f>
        <v>-172.34313374275143</v>
      </c>
      <c r="R58" s="123">
        <f>O58/L58</f>
        <v>0.90078487255695927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-172.34313374275143</v>
      </c>
      <c r="AG58" s="124">
        <f>N58/K58</f>
        <v>0.90202209565505886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3304</v>
      </c>
      <c r="H59" s="243">
        <f>F59*G59</f>
        <v>89174.959999999992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1585.9199999999914</v>
      </c>
      <c r="O59" s="138">
        <f>N59/M59</f>
        <v>105.72799999999943</v>
      </c>
      <c r="P59" s="56">
        <f>M59-J59</f>
        <v>0</v>
      </c>
      <c r="Q59" s="230">
        <f>O59-L59</f>
        <v>-3.3386666666672369</v>
      </c>
      <c r="R59" s="52">
        <f>O59/L59</f>
        <v>0.96938875305622951</v>
      </c>
      <c r="S59" s="412">
        <f>R69</f>
        <v>0.94604569286808138</v>
      </c>
      <c r="T59" s="245">
        <v>0.28819444444444398</v>
      </c>
      <c r="U59" s="245">
        <v>0.375</v>
      </c>
      <c r="V59" s="55"/>
      <c r="W59" s="54">
        <f t="shared" si="4"/>
        <v>125.00000000000068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-50.080000000008567</v>
      </c>
      <c r="AG59" s="246">
        <f>N59/K59</f>
        <v>0.96938875305622951</v>
      </c>
      <c r="AH59" s="457">
        <f>AG69</f>
        <v>0.94760189688062457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1643</v>
      </c>
      <c r="H60" s="78">
        <f>F60*G60</f>
        <v>46431.18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1516.6153846153807</v>
      </c>
      <c r="O60" s="81">
        <f>N60/M60</f>
        <v>137.87412587412553</v>
      </c>
      <c r="P60" s="74">
        <f>M60-J60</f>
        <v>0</v>
      </c>
      <c r="Q60" s="83">
        <f>O60-L60</f>
        <v>-10.853146853147194</v>
      </c>
      <c r="R60" s="72">
        <f>O60/L60</f>
        <v>0.92702651871355801</v>
      </c>
      <c r="S60" s="502"/>
      <c r="T60" s="22">
        <v>0.38194444444444398</v>
      </c>
      <c r="U60" s="22">
        <v>0.42708333333333298</v>
      </c>
      <c r="V60" s="30">
        <f>(T60-U59)*24*60</f>
        <v>9.999999999999325</v>
      </c>
      <c r="W60" s="248">
        <f t="shared" si="4"/>
        <v>65.000000000000171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-119.38461538461934</v>
      </c>
      <c r="AG60" s="249">
        <f>N60/K60</f>
        <v>0.9270265187135579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1822</v>
      </c>
      <c r="H61" s="254">
        <f>F61*G61</f>
        <v>51489.72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1561.7142857142896</v>
      </c>
      <c r="O61" s="238">
        <f>N61/M61</f>
        <v>141.97402597402632</v>
      </c>
      <c r="P61" s="111">
        <f>M61-J61</f>
        <v>0</v>
      </c>
      <c r="Q61" s="255">
        <f>O61-L61</f>
        <v>-6.7532467532464011</v>
      </c>
      <c r="R61" s="85">
        <f>O61/L61</f>
        <v>0.9545930841774386</v>
      </c>
      <c r="S61" s="413"/>
      <c r="T61" s="22">
        <v>0.43402777777777801</v>
      </c>
      <c r="U61" s="22">
        <v>0.48263888888888901</v>
      </c>
      <c r="V61" s="30">
        <f>(T61-U60)*24*60</f>
        <v>10.000000000000844</v>
      </c>
      <c r="W61" s="256">
        <f t="shared" si="4"/>
        <v>69.999999999999829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-74.285714285710355</v>
      </c>
      <c r="AG61" s="247">
        <f>N61/K61</f>
        <v>0.95459308417743871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1793</v>
      </c>
      <c r="H62" s="254">
        <f>F62*G62</f>
        <v>50670.18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1536.8571428571447</v>
      </c>
      <c r="O62" s="238">
        <f>N62/M62</f>
        <v>139.71428571428589</v>
      </c>
      <c r="P62" s="111">
        <f>M62-J62</f>
        <v>0</v>
      </c>
      <c r="Q62" s="255">
        <f>O62-L62</f>
        <v>-9.0129870129868266</v>
      </c>
      <c r="R62" s="85">
        <f>O62/L62</f>
        <v>0.93939923157527194</v>
      </c>
      <c r="S62" s="413"/>
      <c r="T62" s="22">
        <v>0.54513888888888895</v>
      </c>
      <c r="U62" s="22">
        <v>0.59375</v>
      </c>
      <c r="V62" s="30">
        <f>(T62-U61)*24*60</f>
        <v>89.999999999999915</v>
      </c>
      <c r="W62" s="248">
        <f t="shared" si="4"/>
        <v>69.999999999999915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-99.142857142855291</v>
      </c>
      <c r="AG62" s="247">
        <f>N62/K62</f>
        <v>0.93939923157527183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1550.2767032967017</v>
      </c>
      <c r="O69" s="268">
        <f t="shared" si="28"/>
        <v>131.3226093906093</v>
      </c>
      <c r="P69" s="269">
        <f>M69-J69</f>
        <v>0</v>
      </c>
      <c r="Q69" s="222">
        <f>N69-K69</f>
        <v>-85.723296703298274</v>
      </c>
      <c r="R69" s="123">
        <f>O69/L69</f>
        <v>0.94604569286808138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-85.723296703298274</v>
      </c>
      <c r="AG69" s="124">
        <f>N69/K69</f>
        <v>0.94760189688062457</v>
      </c>
      <c r="AH69" s="460"/>
    </row>
    <row r="70" spans="1:36" ht="15" customHeight="1">
      <c r="A70" s="494" t="s">
        <v>55</v>
      </c>
      <c r="B70" s="75" t="s">
        <v>136</v>
      </c>
      <c r="C70" s="76"/>
      <c r="D70" s="59" t="s">
        <v>140</v>
      </c>
      <c r="E70" s="77"/>
      <c r="F70" s="250">
        <f>VLOOKUP(D70,廠價表!$C$1:$E$43,3,0)</f>
        <v>28.26</v>
      </c>
      <c r="G70" s="30">
        <v>1565</v>
      </c>
      <c r="H70" s="370">
        <f>F70*G70</f>
        <v>44226.9</v>
      </c>
      <c r="I70" s="371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82">
        <v>8</v>
      </c>
      <c r="N70" s="107">
        <f t="shared" ref="N70:N71" si="29">G70/W70*60</f>
        <v>1043.3333333333333</v>
      </c>
      <c r="O70" s="238">
        <f t="shared" ref="O70:O71" si="30">N70/M70</f>
        <v>130.41666666666666</v>
      </c>
      <c r="P70" s="111">
        <f t="shared" ref="P70:P71" si="31">M70-J70</f>
        <v>-3</v>
      </c>
      <c r="Q70" s="255">
        <f t="shared" ref="Q70:Q71" si="32">O70-L70</f>
        <v>-18.310606060606062</v>
      </c>
      <c r="R70" s="85">
        <f t="shared" ref="R70:R71" si="33">O70/L70</f>
        <v>0.87688467807660964</v>
      </c>
      <c r="S70" s="412">
        <f>R79</f>
        <v>0.88101887971159998</v>
      </c>
      <c r="T70" s="22">
        <v>0.3125</v>
      </c>
      <c r="U70" s="22">
        <v>0.375</v>
      </c>
      <c r="V70" s="55"/>
      <c r="W70" s="54">
        <f t="shared" si="4"/>
        <v>90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-592.66666666666674</v>
      </c>
      <c r="AG70" s="246">
        <f>N70/K70</f>
        <v>0.63773431132844327</v>
      </c>
      <c r="AH70" s="457">
        <f>AG79</f>
        <v>0.55570671799471305</v>
      </c>
    </row>
    <row r="71" spans="1:36" ht="15" customHeight="1">
      <c r="A71" s="495"/>
      <c r="B71" s="75" t="s">
        <v>81</v>
      </c>
      <c r="C71" s="86"/>
      <c r="D71" s="59" t="s">
        <v>119</v>
      </c>
      <c r="E71" s="87"/>
      <c r="F71" s="250">
        <f>VLOOKUP(D71,廠價表!$C$1:$E$43,3,0)</f>
        <v>57.21</v>
      </c>
      <c r="G71" s="202">
        <v>1520</v>
      </c>
      <c r="H71" s="369">
        <f>F71*G71</f>
        <v>86959.2</v>
      </c>
      <c r="I71" s="372"/>
      <c r="J71" s="106">
        <f>VLOOKUP(D71,產線配置圖!$A$3:$C$40,2,0)</f>
        <v>17</v>
      </c>
      <c r="K71" s="107">
        <v>1565</v>
      </c>
      <c r="L71" s="238">
        <f>K71/J71</f>
        <v>92.058823529411768</v>
      </c>
      <c r="M71" s="82">
        <v>9</v>
      </c>
      <c r="N71" s="107">
        <f t="shared" si="29"/>
        <v>735.48387096774309</v>
      </c>
      <c r="O71" s="238">
        <f t="shared" si="30"/>
        <v>81.720430107527008</v>
      </c>
      <c r="P71" s="111">
        <f t="shared" si="31"/>
        <v>-8</v>
      </c>
      <c r="Q71" s="255">
        <f t="shared" si="32"/>
        <v>-10.33839342188476</v>
      </c>
      <c r="R71" s="85">
        <f t="shared" si="33"/>
        <v>0.88769796282936686</v>
      </c>
      <c r="S71" s="413"/>
      <c r="T71" s="22">
        <v>0.4</v>
      </c>
      <c r="U71" s="22">
        <v>0.48611111111111099</v>
      </c>
      <c r="V71" s="30">
        <f>(T71-U70)*24*60</f>
        <v>36.000000000000028</v>
      </c>
      <c r="W71" s="73">
        <f t="shared" si="4"/>
        <v>123.9999999999998</v>
      </c>
      <c r="X71" s="271"/>
      <c r="Y71" s="293"/>
      <c r="Z71" s="90"/>
      <c r="AA71" s="90"/>
      <c r="AB71" s="483" t="s">
        <v>172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4">AVERAGE(J70:J78)</f>
        <v>14</v>
      </c>
      <c r="K79" s="240">
        <f t="shared" si="34"/>
        <v>1600.5</v>
      </c>
      <c r="L79" s="268">
        <f t="shared" si="34"/>
        <v>120.39304812834224</v>
      </c>
      <c r="M79" s="240">
        <f t="shared" si="34"/>
        <v>8.5</v>
      </c>
      <c r="N79" s="240">
        <f t="shared" si="34"/>
        <v>889.40860215053817</v>
      </c>
      <c r="O79" s="268">
        <f t="shared" si="34"/>
        <v>106.06854838709683</v>
      </c>
      <c r="P79" s="269">
        <f>M79-J79</f>
        <v>-5.5</v>
      </c>
      <c r="Q79" s="222">
        <f>N79-K79</f>
        <v>-711.09139784946183</v>
      </c>
      <c r="R79" s="223">
        <f>O79/L79</f>
        <v>0.88101887971159998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-711.09139784946183</v>
      </c>
      <c r="AG79" s="124">
        <f>N79/K79</f>
        <v>0.55570671799471305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38:AH48"/>
    <mergeCell ref="AB39:AC39"/>
    <mergeCell ref="AB40:AC40"/>
    <mergeCell ref="AB41:AC41"/>
    <mergeCell ref="AB42:AC42"/>
    <mergeCell ref="AB43:AC43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16:A26"/>
    <mergeCell ref="S16:S26"/>
    <mergeCell ref="AB16:AC16"/>
    <mergeCell ref="D26:E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26:AC26"/>
    <mergeCell ref="AB18:AC18"/>
    <mergeCell ref="AB19:AC19"/>
    <mergeCell ref="AB20:AC20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44:AC44"/>
    <mergeCell ref="AB45:AC45"/>
    <mergeCell ref="AB46:AC46"/>
    <mergeCell ref="AB47:AC47"/>
    <mergeCell ref="AB35:AC35"/>
    <mergeCell ref="AB36:AC36"/>
    <mergeCell ref="AF1:AH2"/>
    <mergeCell ref="AB10:AC10"/>
    <mergeCell ref="AB11:AC11"/>
    <mergeCell ref="AB12:AC12"/>
    <mergeCell ref="AB13:AC13"/>
    <mergeCell ref="AG3:AG4"/>
    <mergeCell ref="AH3:AH4"/>
    <mergeCell ref="D37:E37"/>
    <mergeCell ref="AB37:AC37"/>
    <mergeCell ref="AH16:AH26"/>
    <mergeCell ref="AB17:AC17"/>
    <mergeCell ref="AB21:AC21"/>
    <mergeCell ref="AB22:AC22"/>
    <mergeCell ref="AB23:AC23"/>
    <mergeCell ref="AB24:AC24"/>
    <mergeCell ref="AH5:AH15"/>
    <mergeCell ref="AB6:AC6"/>
    <mergeCell ref="AB7:AC7"/>
    <mergeCell ref="AD3:AE3"/>
    <mergeCell ref="AF3:AF4"/>
    <mergeCell ref="T3:U3"/>
    <mergeCell ref="V3:V4"/>
    <mergeCell ref="W3:W4"/>
    <mergeCell ref="X3:Y3"/>
    <mergeCell ref="D15:E15"/>
    <mergeCell ref="AB15:AC15"/>
    <mergeCell ref="AB8:AC8"/>
    <mergeCell ref="AB9:AC9"/>
    <mergeCell ref="A5:A15"/>
    <mergeCell ref="S5:S15"/>
    <mergeCell ref="AB5:AC5"/>
    <mergeCell ref="G3:G4"/>
    <mergeCell ref="J3:J4"/>
    <mergeCell ref="AB14:AC14"/>
    <mergeCell ref="A2:B2"/>
    <mergeCell ref="A3:A4"/>
    <mergeCell ref="B3:B4"/>
    <mergeCell ref="D3:E4"/>
    <mergeCell ref="F3:F4"/>
    <mergeCell ref="J1:L2"/>
    <mergeCell ref="T1:Y2"/>
    <mergeCell ref="AB1:AC2"/>
    <mergeCell ref="K3:K4"/>
    <mergeCell ref="L3:L4"/>
    <mergeCell ref="M3:M4"/>
    <mergeCell ref="S3:S4"/>
    <mergeCell ref="Q3:Q4"/>
    <mergeCell ref="R3:R4"/>
    <mergeCell ref="M1:O2"/>
    <mergeCell ref="N3:N4"/>
    <mergeCell ref="O3:O4"/>
    <mergeCell ref="P3:P4"/>
    <mergeCell ref="P1:S2"/>
    <mergeCell ref="Z3:AA3"/>
    <mergeCell ref="AB3:AC4"/>
    <mergeCell ref="H3:H4"/>
    <mergeCell ref="I3:I4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U72" sqref="U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46215</v>
      </c>
      <c r="E3" s="379"/>
      <c r="F3" s="3" t="s">
        <v>72</v>
      </c>
      <c r="G3" s="380">
        <f>'0712'!E1</f>
        <v>72479</v>
      </c>
      <c r="H3" s="380"/>
      <c r="I3" s="3" t="s">
        <v>2</v>
      </c>
      <c r="J3" s="381">
        <f>'0712'!G1</f>
        <v>3364258.7990000001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124.61610423967566</v>
      </c>
      <c r="G6" s="386"/>
      <c r="H6" s="387">
        <f>AVERAGE(D13:H13)</f>
        <v>125.58753345782756</v>
      </c>
      <c r="I6" s="387"/>
      <c r="J6" s="387">
        <f>AVERAGE(I13:J13)</f>
        <v>122.18753119429589</v>
      </c>
      <c r="K6" s="387"/>
      <c r="L6" s="503">
        <f>SUM(D18:J18)</f>
        <v>13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113.9097855752027</v>
      </c>
      <c r="G7" s="410"/>
      <c r="H7" s="411">
        <f>AVERAGE(D14:H14)</f>
        <v>115.45971768450639</v>
      </c>
      <c r="I7" s="411"/>
      <c r="J7" s="411">
        <f>AVERAGE(I14:J14)</f>
        <v>110.03495530194346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0.9140855932722679</v>
      </c>
      <c r="G8" s="383"/>
      <c r="H8" s="383">
        <f>H7/H6</f>
        <v>0.91935651975582344</v>
      </c>
      <c r="I8" s="383"/>
      <c r="J8" s="383">
        <f>J7/J6</f>
        <v>0.90054160376619707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VALUE('0712'!L15)</f>
        <v>158.03571428571428</v>
      </c>
      <c r="E13" s="13">
        <f>VALUE('0712'!L26)</f>
        <v>169.64285714285714</v>
      </c>
      <c r="F13" s="13">
        <f>VALUE('0712'!L37)</f>
        <v>94.798202614379093</v>
      </c>
      <c r="G13" s="13">
        <f>VALUE('0712'!L48)</f>
        <v>98.681481481481498</v>
      </c>
      <c r="H13" s="13">
        <f>VALUE('0712'!L58)</f>
        <v>106.77941176470588</v>
      </c>
      <c r="I13" s="13">
        <f>VALUE('0712'!L69)</f>
        <v>132.86303030303029</v>
      </c>
      <c r="J13" s="13">
        <f>'0712'!L79</f>
        <v>111.51203208556149</v>
      </c>
    </row>
    <row r="14" spans="2:15" ht="39.950000000000003" customHeight="1">
      <c r="B14" s="404"/>
      <c r="C14" s="12" t="s">
        <v>100</v>
      </c>
      <c r="D14" s="13">
        <f>VALUE('0712'!O15)</f>
        <v>147.85433729006849</v>
      </c>
      <c r="E14" s="13">
        <f>VALUE('0712'!O26)</f>
        <v>154.49460201852438</v>
      </c>
      <c r="F14" s="13">
        <f>VALUE('0712'!O37)</f>
        <v>88.56737446435551</v>
      </c>
      <c r="G14" s="13">
        <f>VALUE('0712'!O48)</f>
        <v>90.818939393939544</v>
      </c>
      <c r="H14" s="13">
        <f>VALUE('0712'!O58)</f>
        <v>95.563335255643992</v>
      </c>
      <c r="I14" s="13">
        <f>VALUE('0712'!O69)</f>
        <v>122.46905275059176</v>
      </c>
      <c r="J14" s="13">
        <f>'0712'!O79</f>
        <v>97.600857853295167</v>
      </c>
    </row>
    <row r="15" spans="2:15" ht="39.950000000000003" customHeight="1">
      <c r="B15" s="405"/>
      <c r="C15" s="10" t="s">
        <v>26</v>
      </c>
      <c r="D15" s="14">
        <f t="shared" ref="D15:I15" si="1">D14/D13</f>
        <v>0.93557546759817356</v>
      </c>
      <c r="E15" s="14">
        <f t="shared" si="1"/>
        <v>0.91070502242498585</v>
      </c>
      <c r="F15" s="14">
        <f t="shared" si="1"/>
        <v>0.93427271848845705</v>
      </c>
      <c r="G15" s="14">
        <f t="shared" si="1"/>
        <v>0.92032403679491337</v>
      </c>
      <c r="H15" s="14">
        <f t="shared" si="1"/>
        <v>0.89496030813714245</v>
      </c>
      <c r="I15" s="14">
        <f t="shared" si="1"/>
        <v>0.92176922708497444</v>
      </c>
      <c r="J15" s="15">
        <f>'0712'!S70</f>
        <v>0.87524956749427285</v>
      </c>
    </row>
    <row r="16" spans="2:15" ht="17.25" customHeight="1">
      <c r="B16" s="406" t="s">
        <v>101</v>
      </c>
      <c r="C16" s="10" t="s">
        <v>34</v>
      </c>
      <c r="D16" s="16">
        <f>'0712'!T5</f>
        <v>0.29375000000000001</v>
      </c>
      <c r="E16" s="16">
        <f>'0712'!T16</f>
        <v>0.28819444444444398</v>
      </c>
      <c r="F16" s="16">
        <f>'0712'!T27</f>
        <v>0.28819444444444398</v>
      </c>
      <c r="G16" s="16">
        <f>'0712'!T38</f>
        <v>0.33333333333333298</v>
      </c>
      <c r="H16" s="16">
        <f>'0712'!T49</f>
        <v>0.29166666666666702</v>
      </c>
      <c r="I16" s="16">
        <f>'0712'!T59</f>
        <v>0.29236111111111102</v>
      </c>
      <c r="J16" s="16">
        <f>'0712'!T70</f>
        <v>0.29861111111111099</v>
      </c>
    </row>
    <row r="17" spans="2:10" ht="17.25" customHeight="1">
      <c r="B17" s="407"/>
      <c r="C17" s="10" t="s">
        <v>35</v>
      </c>
      <c r="D17" s="16">
        <v>0.63611111111111096</v>
      </c>
      <c r="E17" s="19">
        <v>0.655555555555556</v>
      </c>
      <c r="F17" s="19">
        <v>0.60763888888888895</v>
      </c>
      <c r="G17" s="20">
        <v>0.66666666666666696</v>
      </c>
      <c r="H17" s="21">
        <v>0.64583333333333304</v>
      </c>
      <c r="I17" s="22">
        <v>0.62847222222222199</v>
      </c>
      <c r="J17" s="22">
        <v>0.61458333333333304</v>
      </c>
    </row>
    <row r="18" spans="2:10" ht="17.25" customHeight="1">
      <c r="B18" s="408" t="s">
        <v>102</v>
      </c>
      <c r="C18" s="330" t="s">
        <v>36</v>
      </c>
      <c r="D18" s="357">
        <f>'0712'!Z15</f>
        <v>0</v>
      </c>
      <c r="E18" s="358">
        <f>'0712'!Z26</f>
        <v>0</v>
      </c>
      <c r="F18" s="358">
        <f>'0712'!Z37</f>
        <v>0</v>
      </c>
      <c r="G18" s="359">
        <f>'0712'!Z48</f>
        <v>0</v>
      </c>
      <c r="H18" s="359">
        <f>'0712'!Z58</f>
        <v>0</v>
      </c>
      <c r="I18" s="358">
        <f>'0712'!Z69</f>
        <v>0</v>
      </c>
      <c r="J18" s="358">
        <f>'0712'!AA79</f>
        <v>13</v>
      </c>
    </row>
    <row r="19" spans="2:10" ht="17.25" customHeight="1">
      <c r="B19" s="409"/>
      <c r="C19" s="330" t="s">
        <v>37</v>
      </c>
      <c r="D19" s="357">
        <f>'0712'!AA15</f>
        <v>0</v>
      </c>
      <c r="E19" s="358">
        <f>'0712'!AA26</f>
        <v>0</v>
      </c>
      <c r="F19" s="358">
        <f>'0712'!AA37</f>
        <v>0</v>
      </c>
      <c r="G19" s="359">
        <f>'0712'!AA48</f>
        <v>0</v>
      </c>
      <c r="H19" s="359">
        <f>'0712'!AA58</f>
        <v>0</v>
      </c>
      <c r="I19" s="358">
        <f>'0712'!AA69</f>
        <v>0</v>
      </c>
      <c r="J19" s="358">
        <f>'0712'!AB79</f>
        <v>0</v>
      </c>
    </row>
    <row r="20" spans="2:10" ht="17.25" customHeight="1">
      <c r="B20" s="408" t="s">
        <v>103</v>
      </c>
      <c r="C20" s="330" t="s">
        <v>36</v>
      </c>
      <c r="D20" s="357">
        <f>'0712'!AD15</f>
        <v>0</v>
      </c>
      <c r="E20" s="358">
        <f>'0712'!AD26</f>
        <v>0</v>
      </c>
      <c r="F20" s="358">
        <f>'0712'!AD37</f>
        <v>0</v>
      </c>
      <c r="G20" s="359">
        <f>'0712'!AD48</f>
        <v>0</v>
      </c>
      <c r="H20" s="359">
        <f>'0712'!AD58</f>
        <v>0</v>
      </c>
      <c r="I20" s="358">
        <f>'0712'!AD69</f>
        <v>0</v>
      </c>
      <c r="J20" s="358">
        <f>'0712'!AD79</f>
        <v>0</v>
      </c>
    </row>
    <row r="21" spans="2:10" ht="17.25" customHeight="1">
      <c r="B21" s="409"/>
      <c r="C21" s="330" t="s">
        <v>85</v>
      </c>
      <c r="D21" s="357">
        <f>'0712'!AE15</f>
        <v>0</v>
      </c>
      <c r="E21" s="358">
        <f>'0712'!AE26</f>
        <v>0</v>
      </c>
      <c r="F21" s="358">
        <f>'0712'!AE37</f>
        <v>0</v>
      </c>
      <c r="G21" s="359">
        <f>'0712'!AE48</f>
        <v>0</v>
      </c>
      <c r="H21" s="359">
        <f>'0712'!AE58</f>
        <v>0</v>
      </c>
      <c r="I21" s="358">
        <f>'0712'!AE69</f>
        <v>0</v>
      </c>
      <c r="J21" s="358">
        <f>'0712'!AE79</f>
        <v>0</v>
      </c>
    </row>
    <row r="22" spans="2:10" ht="17.25" customHeight="1">
      <c r="B22" s="392" t="s">
        <v>104</v>
      </c>
      <c r="C22" s="393"/>
      <c r="D22" s="23">
        <f>VALUE('0712'!M15)</f>
        <v>14.25</v>
      </c>
      <c r="E22" s="23">
        <f>VALUE('0712'!M26)</f>
        <v>13.333333333333334</v>
      </c>
      <c r="F22" s="23">
        <f>VALUE('0712'!M37)</f>
        <v>16.833333333333332</v>
      </c>
      <c r="G22" s="23">
        <f>VALUE('0712'!M48)</f>
        <v>17</v>
      </c>
      <c r="H22" s="23">
        <f>VALUE('0712'!M58)</f>
        <v>16.5</v>
      </c>
      <c r="I22" s="23">
        <f>VALUE('0712'!M69)</f>
        <v>12.6</v>
      </c>
      <c r="J22" s="23">
        <f>'0712'!M79</f>
        <v>4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U72" sqref="U72"/>
      <selection pane="topRight" activeCell="U72" sqref="U72"/>
      <selection pane="bottomLeft" activeCell="U72" sqref="U72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72479</v>
      </c>
      <c r="F1" s="30" t="s">
        <v>2</v>
      </c>
      <c r="G1" s="31">
        <f>SUM(H5:H79)</f>
        <v>3364258.7990000001</v>
      </c>
      <c r="H1" s="32" t="s">
        <v>3</v>
      </c>
      <c r="I1" s="33">
        <f>M15+M26+M48+M58+M69+M79+M37</f>
        <v>94.516666666666666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174</v>
      </c>
      <c r="B2" s="418"/>
      <c r="C2" s="28"/>
      <c r="D2" s="28" t="s">
        <v>14</v>
      </c>
      <c r="E2" s="35">
        <f>AVERAGE(O15,O26,O37,O48,O58,O69,O79)</f>
        <v>113.9097855752027</v>
      </c>
      <c r="F2" s="36" t="s">
        <v>15</v>
      </c>
      <c r="G2" s="37">
        <f>G1/E1</f>
        <v>46.417014569737439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</v>
      </c>
      <c r="AA2" s="339">
        <f>AA15+AA26+AA37+AA48+AA58+AA69+AA79</f>
        <v>13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5733</v>
      </c>
      <c r="H5" s="43">
        <f>F5*G5</f>
        <v>290491.11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2163.3962264150878</v>
      </c>
      <c r="O5" s="47">
        <f>N5/M5</f>
        <v>144.22641509433919</v>
      </c>
      <c r="P5" s="49">
        <f>M5-J5</f>
        <v>0</v>
      </c>
      <c r="Q5" s="50">
        <f>O5-L5</f>
        <v>-5.7735849056608117</v>
      </c>
      <c r="R5" s="51">
        <f>O5/L5</f>
        <v>0.9615094339622613</v>
      </c>
      <c r="S5" s="412">
        <f>R15</f>
        <v>0.93557546759817356</v>
      </c>
      <c r="T5" s="319">
        <v>0.29375000000000001</v>
      </c>
      <c r="U5" s="320">
        <v>0.40416666666666701</v>
      </c>
      <c r="V5" s="53"/>
      <c r="W5" s="54">
        <f t="shared" ref="W5:W14" si="0">(U5-T5)*24*60</f>
        <v>159.00000000000048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-86.603773584912233</v>
      </c>
      <c r="AG5" s="52">
        <f t="shared" ref="AG5:AG11" si="2">N5/K5</f>
        <v>0.96150943396226118</v>
      </c>
      <c r="AH5" s="457">
        <f>AG15</f>
        <v>0.93600770037090819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3150</v>
      </c>
      <c r="H6" s="63">
        <f>F6*G6</f>
        <v>154791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2100</v>
      </c>
      <c r="O6" s="67">
        <f>N6/M6</f>
        <v>150</v>
      </c>
      <c r="P6" s="69">
        <f>M6-J6</f>
        <v>0</v>
      </c>
      <c r="Q6" s="70">
        <f>O6-L6</f>
        <v>-10.714285714285722</v>
      </c>
      <c r="R6" s="71">
        <f>O6/L6</f>
        <v>0.93333333333333324</v>
      </c>
      <c r="S6" s="413"/>
      <c r="T6" s="16">
        <v>0.41666666666666702</v>
      </c>
      <c r="U6" s="16">
        <v>0.47916666666666702</v>
      </c>
      <c r="V6" s="30">
        <f>(T6-U5)*24*60</f>
        <v>18.000000000000014</v>
      </c>
      <c r="W6" s="73">
        <f t="shared" si="0"/>
        <v>90</v>
      </c>
      <c r="X6" s="22"/>
      <c r="Y6" s="84"/>
      <c r="Z6" s="90"/>
      <c r="AA6" s="90"/>
      <c r="AB6" s="461" t="s">
        <v>175</v>
      </c>
      <c r="AC6" s="461"/>
      <c r="AD6" s="149"/>
      <c r="AE6" s="149"/>
      <c r="AF6" s="307">
        <f t="shared" si="1"/>
        <v>-150</v>
      </c>
      <c r="AG6" s="72">
        <f t="shared" si="2"/>
        <v>0.93333333333333335</v>
      </c>
      <c r="AH6" s="458"/>
    </row>
    <row r="7" spans="1:34" ht="15" customHeight="1">
      <c r="A7" s="42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1595</v>
      </c>
      <c r="H7" s="78">
        <f>F7*G7</f>
        <v>92781.150000000009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1993.7500000000202</v>
      </c>
      <c r="O7" s="81">
        <f>N7/M7</f>
        <v>142.41071428571573</v>
      </c>
      <c r="P7" s="74">
        <f>M7-J7</f>
        <v>0</v>
      </c>
      <c r="Q7" s="83">
        <f>O7-L7</f>
        <v>-18.303571428569995</v>
      </c>
      <c r="R7" s="72">
        <f>O7/L7</f>
        <v>0.88611111111112006</v>
      </c>
      <c r="S7" s="413"/>
      <c r="T7" s="18">
        <v>0.54305555555555596</v>
      </c>
      <c r="U7" s="18">
        <v>0.57638888888888895</v>
      </c>
      <c r="V7" s="30">
        <f>(T7-U6)*24*60</f>
        <v>92.000000000000071</v>
      </c>
      <c r="W7" s="73">
        <f t="shared" si="0"/>
        <v>47.99999999999951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-256.24999999997976</v>
      </c>
      <c r="AG7" s="72">
        <f t="shared" si="2"/>
        <v>0.88611111111112006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2817</v>
      </c>
      <c r="H8" s="78">
        <f>F8*G8</f>
        <v>138427.38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2166.9230769230667</v>
      </c>
      <c r="O8" s="81">
        <f>N8/M8</f>
        <v>154.78021978021906</v>
      </c>
      <c r="P8" s="74">
        <f>M8-J8</f>
        <v>0</v>
      </c>
      <c r="Q8" s="83">
        <f>O8-L8</f>
        <v>-5.9340659340666662</v>
      </c>
      <c r="R8" s="72">
        <f>O8/L8</f>
        <v>0.9630769230769185</v>
      </c>
      <c r="S8" s="413"/>
      <c r="T8" s="16">
        <v>0.58194444444444404</v>
      </c>
      <c r="U8" s="16">
        <v>0.63611111111111096</v>
      </c>
      <c r="V8" s="30">
        <f>(T8-U7)*24*60</f>
        <v>7.9999999999993321</v>
      </c>
      <c r="W8" s="73">
        <f t="shared" si="0"/>
        <v>78.000000000000369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-83.076923076933326</v>
      </c>
      <c r="AG8" s="72">
        <f t="shared" si="2"/>
        <v>0.9630769230769185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14.25</v>
      </c>
      <c r="N15" s="120">
        <f t="shared" si="3"/>
        <v>2106.0173258345435</v>
      </c>
      <c r="O15" s="117">
        <f t="shared" si="3"/>
        <v>147.85433729006849</v>
      </c>
      <c r="P15" s="121">
        <f>M15-J15</f>
        <v>0</v>
      </c>
      <c r="Q15" s="122">
        <f>O15-L15</f>
        <v>-10.181376995645792</v>
      </c>
      <c r="R15" s="123">
        <f>O15/L15</f>
        <v>0.93557546759817356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-143.9826741654565</v>
      </c>
      <c r="AG15" s="124">
        <f>N15/K15</f>
        <v>0.93600770037090819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2462</v>
      </c>
      <c r="H16" s="134">
        <f>F16*G16</f>
        <v>124749.54000000001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2140.8695652173742</v>
      </c>
      <c r="O16" s="141">
        <f>N16/M16</f>
        <v>152.91925465838386</v>
      </c>
      <c r="P16" s="142">
        <f>M16-J16</f>
        <v>0</v>
      </c>
      <c r="Q16" s="143">
        <f>O16-L16</f>
        <v>-7.795031055901859</v>
      </c>
      <c r="R16" s="144">
        <f>O16/L16</f>
        <v>0.95149758454105515</v>
      </c>
      <c r="S16" s="468">
        <f>R26</f>
        <v>0.91070502242498585</v>
      </c>
      <c r="T16" s="145">
        <v>0.28819444444444398</v>
      </c>
      <c r="U16" s="145">
        <v>0.33611111111111103</v>
      </c>
      <c r="V16" s="135"/>
      <c r="W16" s="146">
        <f t="shared" ref="W16:W78" si="4">(U16-T16)*24*60</f>
        <v>69.000000000000554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-109.1304347826258</v>
      </c>
      <c r="AG16" s="52">
        <f>N16/K16</f>
        <v>0.95149758454105515</v>
      </c>
      <c r="AH16" s="457">
        <f>AG26</f>
        <v>0.90878772510031847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3196</v>
      </c>
      <c r="H17" s="78">
        <f>F17*G17</f>
        <v>181756.52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2061.9354838709787</v>
      </c>
      <c r="O17" s="96">
        <f>N17/M17</f>
        <v>147.2811059907842</v>
      </c>
      <c r="P17" s="97">
        <f>M17-J17</f>
        <v>0</v>
      </c>
      <c r="Q17" s="98">
        <f>O17-L17</f>
        <v>-13.433179723501524</v>
      </c>
      <c r="R17" s="99">
        <f>O17/L17</f>
        <v>0.91641577060932389</v>
      </c>
      <c r="S17" s="469"/>
      <c r="T17" s="19">
        <v>0.34166666666666701</v>
      </c>
      <c r="U17" s="19">
        <v>0.40625</v>
      </c>
      <c r="V17" s="30">
        <f>(T17-U16)*24*60</f>
        <v>8.0000000000006111</v>
      </c>
      <c r="W17" s="149">
        <f t="shared" si="4"/>
        <v>92.999999999999517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-188.06451612902129</v>
      </c>
      <c r="AG17" s="72">
        <f>N17/K17</f>
        <v>0.91641577060932389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832</v>
      </c>
      <c r="H18" s="78">
        <f>F18*G18</f>
        <v>48397.440000000002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1996.7999999998922</v>
      </c>
      <c r="O18" s="96">
        <f>N18/M18</f>
        <v>142.62857142856373</v>
      </c>
      <c r="P18" s="97">
        <f>M18-J18</f>
        <v>0</v>
      </c>
      <c r="Q18" s="98">
        <f>O18-L18</f>
        <v>-18.085714285721991</v>
      </c>
      <c r="R18" s="99">
        <f>O18/L18</f>
        <v>0.88746666666661878</v>
      </c>
      <c r="S18" s="469"/>
      <c r="T18" s="19">
        <v>0.41319444444444398</v>
      </c>
      <c r="U18" s="19">
        <v>0.43055555555555602</v>
      </c>
      <c r="V18" s="30">
        <f>(T18-U17)*24*60</f>
        <v>9.999999999999325</v>
      </c>
      <c r="W18" s="149">
        <f t="shared" si="4"/>
        <v>25.00000000000135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-253.20000000010782</v>
      </c>
      <c r="AG18" s="72">
        <f>N18/K18</f>
        <v>0.88746666666661878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2023</v>
      </c>
      <c r="H19" s="78">
        <f t="shared" ref="H19:H21" si="5">F19*G19</f>
        <v>101938.97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2129.4736842104894</v>
      </c>
      <c r="O19" s="96">
        <f t="shared" ref="O19:O21" si="8">N19/M19</f>
        <v>177.45614035087411</v>
      </c>
      <c r="P19" s="97">
        <f t="shared" ref="P19:P21" si="9">M19-J19</f>
        <v>0</v>
      </c>
      <c r="Q19" s="98">
        <f t="shared" ref="Q19:Q21" si="10">O19-L19</f>
        <v>-10.043859649125892</v>
      </c>
      <c r="R19" s="99">
        <f t="shared" ref="R19:R21" si="11">O19/L19</f>
        <v>0.94643274853799519</v>
      </c>
      <c r="S19" s="469"/>
      <c r="T19" s="19">
        <v>0.43958333333333299</v>
      </c>
      <c r="U19" s="19">
        <v>0.47916666666666702</v>
      </c>
      <c r="V19" s="30">
        <f>(T19-U18)*24*60</f>
        <v>12.999999999998835</v>
      </c>
      <c r="W19" s="149">
        <f t="shared" si="4"/>
        <v>57.000000000000995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-120.52631578951059</v>
      </c>
      <c r="AG19" s="72">
        <f>N19/K19</f>
        <v>0.94643274853799531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3363</v>
      </c>
      <c r="H20" s="78">
        <f t="shared" si="5"/>
        <v>169461.57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2124.0000000000077</v>
      </c>
      <c r="O20" s="96">
        <f t="shared" si="8"/>
        <v>177.00000000000065</v>
      </c>
      <c r="P20" s="97">
        <f t="shared" si="9"/>
        <v>0</v>
      </c>
      <c r="Q20" s="98">
        <f t="shared" si="10"/>
        <v>-10.499999999999346</v>
      </c>
      <c r="R20" s="99">
        <f t="shared" si="11"/>
        <v>0.9440000000000035</v>
      </c>
      <c r="S20" s="469"/>
      <c r="T20" s="19">
        <v>0.54166666666666696</v>
      </c>
      <c r="U20" s="19">
        <v>0.60763888888888895</v>
      </c>
      <c r="V20" s="30">
        <f>(T20-U19)*24*60</f>
        <v>89.999999999999915</v>
      </c>
      <c r="W20" s="149">
        <f t="shared" si="4"/>
        <v>94.999999999999659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1634</v>
      </c>
      <c r="H21" s="78">
        <f t="shared" si="5"/>
        <v>82794.78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1815.5555555555563</v>
      </c>
      <c r="O21" s="96">
        <f t="shared" si="8"/>
        <v>129.68253968253973</v>
      </c>
      <c r="P21" s="97">
        <f t="shared" si="9"/>
        <v>0</v>
      </c>
      <c r="Q21" s="98">
        <f t="shared" si="10"/>
        <v>-31.031746031745996</v>
      </c>
      <c r="R21" s="99">
        <f t="shared" si="11"/>
        <v>0.80691358024691384</v>
      </c>
      <c r="S21" s="469"/>
      <c r="T21" s="19">
        <v>0.61805555555555602</v>
      </c>
      <c r="U21" s="19">
        <v>0.655555555555556</v>
      </c>
      <c r="V21" s="30">
        <f>(T21-U20)*24*60</f>
        <v>15.000000000000586</v>
      </c>
      <c r="W21" s="149">
        <f t="shared" si="4"/>
        <v>53.999999999999972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13.333333333333334</v>
      </c>
      <c r="K26" s="155">
        <f t="shared" si="12"/>
        <v>2250</v>
      </c>
      <c r="L26" s="158">
        <f t="shared" si="12"/>
        <v>169.64285714285714</v>
      </c>
      <c r="M26" s="155">
        <f t="shared" si="12"/>
        <v>13.333333333333334</v>
      </c>
      <c r="N26" s="155">
        <f t="shared" si="12"/>
        <v>2044.7723814757164</v>
      </c>
      <c r="O26" s="158">
        <f t="shared" si="12"/>
        <v>154.49460201852438</v>
      </c>
      <c r="P26" s="159">
        <f>M26-J26</f>
        <v>0</v>
      </c>
      <c r="Q26" s="160">
        <f>O26-L26</f>
        <v>-15.148255124332763</v>
      </c>
      <c r="R26" s="161">
        <f>O26/L26</f>
        <v>0.91070502242498585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-205.22761852428357</v>
      </c>
      <c r="AG26" s="124">
        <f t="shared" ref="AG26:AG31" si="14">N26/K26</f>
        <v>0.90878772510031847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1419</v>
      </c>
      <c r="H27" s="134">
        <f>F27*G27</f>
        <v>64791.539999999994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1467.9310344827495</v>
      </c>
      <c r="O27" s="141">
        <f>N27/M27</f>
        <v>91.745689655171844</v>
      </c>
      <c r="P27" s="142">
        <f>M27-J27</f>
        <v>-1</v>
      </c>
      <c r="Q27" s="143">
        <f>O27-L27</f>
        <v>-4.4896044624752136</v>
      </c>
      <c r="R27" s="144">
        <f>O27/L27</f>
        <v>0.95334763089114993</v>
      </c>
      <c r="S27" s="468">
        <f>R37</f>
        <v>0.93427271848845705</v>
      </c>
      <c r="T27" s="171">
        <v>0.28819444444444398</v>
      </c>
      <c r="U27" s="171">
        <v>0.328472222222222</v>
      </c>
      <c r="V27" s="135"/>
      <c r="W27" s="146">
        <f t="shared" si="4"/>
        <v>58.000000000000355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-168.06896551725049</v>
      </c>
      <c r="AG27" s="172">
        <f t="shared" si="14"/>
        <v>0.89726835848578823</v>
      </c>
      <c r="AH27" s="457">
        <f>AG37</f>
        <v>0.91627247572576975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1636</v>
      </c>
      <c r="H28" s="91">
        <f>F28*G28</f>
        <v>75812.240000000005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1583.2258064515961</v>
      </c>
      <c r="O28" s="96">
        <f>N28/M28</f>
        <v>98.951612903224756</v>
      </c>
      <c r="P28" s="97">
        <f>M28-J28</f>
        <v>0</v>
      </c>
      <c r="Q28" s="98">
        <f>O28-L28</f>
        <v>-3.2983870967752438</v>
      </c>
      <c r="R28" s="99">
        <f>O28/L28</f>
        <v>0.96774193548386067</v>
      </c>
      <c r="S28" s="469"/>
      <c r="T28" s="19">
        <v>0.33333333333333298</v>
      </c>
      <c r="U28" s="19">
        <v>0.37638888888888899</v>
      </c>
      <c r="V28" s="92">
        <f>(T28-U27)*24*60</f>
        <v>6.9999999999998153</v>
      </c>
      <c r="W28" s="149">
        <f t="shared" si="4"/>
        <v>62.000000000000661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-52.7741935484039</v>
      </c>
      <c r="AG28" s="99">
        <f t="shared" si="14"/>
        <v>0.96774193548386067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758</v>
      </c>
      <c r="H29" s="91">
        <f>F29*G29</f>
        <v>43365.18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1421.2500000000121</v>
      </c>
      <c r="O29" s="96">
        <f>N29/M29</f>
        <v>83.60294117647129</v>
      </c>
      <c r="P29" s="97">
        <f>M29-J29</f>
        <v>-1</v>
      </c>
      <c r="Q29" s="98">
        <f>O29-L29</f>
        <v>-3.3415032679731524</v>
      </c>
      <c r="R29" s="99">
        <f>O29/L29</f>
        <v>0.96156737455366337</v>
      </c>
      <c r="S29" s="469"/>
      <c r="T29" s="19">
        <v>0.38055555555555598</v>
      </c>
      <c r="U29" s="19">
        <v>0.40277777777777801</v>
      </c>
      <c r="V29" s="92">
        <f>(T29-U28)*24*60</f>
        <v>6.0000000000004583</v>
      </c>
      <c r="W29" s="149">
        <f t="shared" si="4"/>
        <v>31.999999999999726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-143.74999999998795</v>
      </c>
      <c r="AG29" s="99">
        <f t="shared" si="14"/>
        <v>0.90814696485623769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2242</v>
      </c>
      <c r="H30" s="91">
        <f t="shared" ref="H30:H32" si="15">F30*G30</f>
        <v>128264.82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18</v>
      </c>
      <c r="N30" s="95">
        <f t="shared" ref="N30:N32" si="17">G30/W30*60</f>
        <v>1546.2068965517155</v>
      </c>
      <c r="O30" s="96">
        <f t="shared" ref="O30:O32" si="18">N30/M30</f>
        <v>85.900383141761978</v>
      </c>
      <c r="P30" s="97">
        <f t="shared" ref="P30:P32" si="19">M30-J30</f>
        <v>0</v>
      </c>
      <c r="Q30" s="98">
        <f t="shared" ref="Q30:Q32" si="20">O30-L30</f>
        <v>-4.9885057471269079</v>
      </c>
      <c r="R30" s="99">
        <f t="shared" ref="R30:R32" si="21">O30/L30</f>
        <v>0.94511423994603649</v>
      </c>
      <c r="S30" s="469"/>
      <c r="T30" s="19">
        <v>0.40833333333333299</v>
      </c>
      <c r="U30" s="19">
        <v>0.46875</v>
      </c>
      <c r="V30" s="92">
        <f>(T30-U29)*24*60</f>
        <v>7.9999999999991722</v>
      </c>
      <c r="W30" s="149">
        <f t="shared" si="4"/>
        <v>87.000000000000483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13"/>
        <v>-89.793103448284455</v>
      </c>
      <c r="AG30" s="99">
        <f t="shared" si="14"/>
        <v>0.94511423994603638</v>
      </c>
      <c r="AH30" s="479"/>
    </row>
    <row r="31" spans="1:34" ht="15" customHeight="1">
      <c r="A31" s="466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2000</v>
      </c>
      <c r="H31" s="91">
        <f t="shared" si="15"/>
        <v>91320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1538.4615384615281</v>
      </c>
      <c r="O31" s="96">
        <f t="shared" si="18"/>
        <v>90.49773755656048</v>
      </c>
      <c r="P31" s="97">
        <f t="shared" si="19"/>
        <v>0</v>
      </c>
      <c r="Q31" s="98">
        <f t="shared" si="20"/>
        <v>-5.7375565610865777</v>
      </c>
      <c r="R31" s="99">
        <f t="shared" si="21"/>
        <v>0.94037991348504169</v>
      </c>
      <c r="S31" s="469"/>
      <c r="T31" s="19">
        <v>0.52638888888888902</v>
      </c>
      <c r="U31" s="19">
        <v>0.58055555555555605</v>
      </c>
      <c r="V31" s="92">
        <f t="shared" ref="V31:V32" si="22">(T31-U30)*24*60</f>
        <v>83.000000000000185</v>
      </c>
      <c r="W31" s="149">
        <f t="shared" si="4"/>
        <v>78.000000000000526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-97.538461538471893</v>
      </c>
      <c r="AG31" s="99">
        <f t="shared" si="14"/>
        <v>0.94037991348504169</v>
      </c>
      <c r="AH31" s="459"/>
    </row>
    <row r="32" spans="1:34" ht="15" customHeight="1">
      <c r="A32" s="466"/>
      <c r="B32" s="75" t="s">
        <v>81</v>
      </c>
      <c r="C32" s="102"/>
      <c r="D32" s="175" t="s">
        <v>135</v>
      </c>
      <c r="E32" s="176"/>
      <c r="F32" s="75">
        <f>VLOOKUP(D32,廠價表!$C$1:$E$43,3,0)</f>
        <v>50.289000000000001</v>
      </c>
      <c r="G32" s="90">
        <v>686</v>
      </c>
      <c r="H32" s="91">
        <f t="shared" si="15"/>
        <v>34498.254000000001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6"/>
        <v>96.235294117647058</v>
      </c>
      <c r="M32" s="94">
        <v>17</v>
      </c>
      <c r="N32" s="95">
        <f t="shared" si="17"/>
        <v>1372.0000000000268</v>
      </c>
      <c r="O32" s="96">
        <f t="shared" si="18"/>
        <v>80.705882352942751</v>
      </c>
      <c r="P32" s="97">
        <f t="shared" si="19"/>
        <v>0</v>
      </c>
      <c r="Q32" s="98">
        <f t="shared" si="20"/>
        <v>-15.529411764704307</v>
      </c>
      <c r="R32" s="99">
        <f t="shared" si="21"/>
        <v>0.83863080684598212</v>
      </c>
      <c r="S32" s="469"/>
      <c r="T32" s="19">
        <v>0.58680555555555602</v>
      </c>
      <c r="U32" s="19">
        <v>0.60763888888888895</v>
      </c>
      <c r="V32" s="92">
        <f t="shared" si="22"/>
        <v>8.999999999999968</v>
      </c>
      <c r="W32" s="149">
        <f t="shared" si="4"/>
        <v>29.999999999999414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1624.1666666666667</v>
      </c>
      <c r="L37" s="158">
        <f t="shared" si="23"/>
        <v>94.798202614379093</v>
      </c>
      <c r="M37" s="155">
        <f t="shared" si="23"/>
        <v>16.833333333333332</v>
      </c>
      <c r="N37" s="155">
        <f t="shared" si="23"/>
        <v>1488.1792126579378</v>
      </c>
      <c r="O37" s="158">
        <f t="shared" si="23"/>
        <v>88.56737446435551</v>
      </c>
      <c r="P37" s="159">
        <f>M37-J37</f>
        <v>-0.3333333333333357</v>
      </c>
      <c r="Q37" s="160">
        <f>N37-K37</f>
        <v>-135.98745400872895</v>
      </c>
      <c r="R37" s="161">
        <f>O37/L37</f>
        <v>0.93427271848845705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-135.98745400872895</v>
      </c>
      <c r="AG37" s="124">
        <f>N37/K37</f>
        <v>0.91627247572576975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3396</v>
      </c>
      <c r="H38" s="134">
        <f>F38*G38</f>
        <v>169494.36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1509.3333333333333</v>
      </c>
      <c r="O38" s="141">
        <f>N38/M38</f>
        <v>100.62222222222222</v>
      </c>
      <c r="P38" s="142">
        <f>M38-J38</f>
        <v>0</v>
      </c>
      <c r="Q38" s="143">
        <f>O38-L38</f>
        <v>-13.644444444444446</v>
      </c>
      <c r="R38" s="144">
        <f>O38/L38</f>
        <v>0.88059120964605209</v>
      </c>
      <c r="S38" s="490">
        <f>R48</f>
        <v>0.92032403679491337</v>
      </c>
      <c r="T38" s="191">
        <v>0.33333333333333298</v>
      </c>
      <c r="U38" s="191">
        <v>0.42708333333333298</v>
      </c>
      <c r="V38" s="192"/>
      <c r="W38" s="193">
        <f t="shared" si="4"/>
        <v>135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-204.66666666666674</v>
      </c>
      <c r="AG38" s="195">
        <f>N38/K38</f>
        <v>0.88059120964605209</v>
      </c>
      <c r="AH38" s="480">
        <f>AG48</f>
        <v>0.92305576827237656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2061</v>
      </c>
      <c r="H39" s="91">
        <f>F39*G39</f>
        <v>91302.299999999988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1545.7500000000161</v>
      </c>
      <c r="O39" s="203">
        <f>N39/M39</f>
        <v>85.875000000000895</v>
      </c>
      <c r="P39" s="97">
        <f>M39-J39</f>
        <v>0</v>
      </c>
      <c r="Q39" s="98">
        <f>O39-L39</f>
        <v>-5.0138888888879904</v>
      </c>
      <c r="R39" s="99">
        <f>O39/L39</f>
        <v>0.94483496332519323</v>
      </c>
      <c r="S39" s="491"/>
      <c r="T39" s="20">
        <v>0.43402777777777801</v>
      </c>
      <c r="U39" s="20">
        <v>0.48958333333333298</v>
      </c>
      <c r="V39" s="92">
        <f>(T39-U38)*24*60</f>
        <v>10.000000000000844</v>
      </c>
      <c r="W39" s="205">
        <f t="shared" si="4"/>
        <v>79.999999999999162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-90.249999999983856</v>
      </c>
      <c r="AG39" s="206">
        <f>N39/K39</f>
        <v>0.94483496332519323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4255</v>
      </c>
      <c r="H40" s="91">
        <f>F40*G40</f>
        <v>188496.5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1547.2727272727193</v>
      </c>
      <c r="O40" s="203">
        <f>N40/M40</f>
        <v>85.959595959595518</v>
      </c>
      <c r="P40" s="97">
        <f>M40-J40</f>
        <v>0</v>
      </c>
      <c r="Q40" s="98">
        <f>O40-L40</f>
        <v>-4.9292929292933678</v>
      </c>
      <c r="R40" s="99">
        <f>O40/L40</f>
        <v>0.94576572571682116</v>
      </c>
      <c r="S40" s="413"/>
      <c r="T40" s="20">
        <v>0.55208333333333304</v>
      </c>
      <c r="U40" s="20">
        <v>0.66666666666666696</v>
      </c>
      <c r="V40" s="92">
        <f>(T40-U39)*24*60</f>
        <v>90.000000000000085</v>
      </c>
      <c r="W40" s="205">
        <f t="shared" si="4"/>
        <v>165.00000000000085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-88.727272727280706</v>
      </c>
      <c r="AG40" s="206">
        <f>N40/K40</f>
        <v>0.94576572571682105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1534.1186868686898</v>
      </c>
      <c r="O48" s="158">
        <f t="shared" si="24"/>
        <v>90.818939393939544</v>
      </c>
      <c r="P48" s="221">
        <f>M48-J48</f>
        <v>0</v>
      </c>
      <c r="Q48" s="222">
        <f>N48-K48</f>
        <v>-127.88131313131021</v>
      </c>
      <c r="R48" s="223">
        <f>O48/L48</f>
        <v>0.92032403679491337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-127.88131313131021</v>
      </c>
      <c r="AG48" s="162">
        <f t="shared" ref="AG48:AG53" si="26">N48/K48</f>
        <v>0.92305576827237656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2397</v>
      </c>
      <c r="H49" s="134">
        <f>F49*G49</f>
        <v>118699.44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1563.2608695652148</v>
      </c>
      <c r="O49" s="141">
        <f>N49/M49</f>
        <v>91.956521739130281</v>
      </c>
      <c r="P49" s="229">
        <f>M49-J49</f>
        <v>0</v>
      </c>
      <c r="Q49" s="230">
        <f>O49-L49</f>
        <v>-13.925831202046183</v>
      </c>
      <c r="R49" s="52">
        <f>O49/L49</f>
        <v>0.86847826086956381</v>
      </c>
      <c r="S49" s="412">
        <f>R58</f>
        <v>0.89496030813714245</v>
      </c>
      <c r="T49" s="191">
        <v>0.29166666666666702</v>
      </c>
      <c r="U49" s="191">
        <v>0.35555555555555601</v>
      </c>
      <c r="V49" s="55"/>
      <c r="W49" s="193">
        <f t="shared" si="4"/>
        <v>92.000000000000156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-236.73913043478524</v>
      </c>
      <c r="AG49" s="52">
        <f t="shared" si="26"/>
        <v>0.86847826086956381</v>
      </c>
      <c r="AH49" s="457">
        <f>AG58</f>
        <v>0.89411648260053167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2375</v>
      </c>
      <c r="H50" s="231">
        <f>F50*G50</f>
        <v>119436.375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1410.8910891089081</v>
      </c>
      <c r="O50" s="235">
        <f>N50/M50</f>
        <v>82.99359347699459</v>
      </c>
      <c r="P50" s="74">
        <f>M50-J50</f>
        <v>0</v>
      </c>
      <c r="Q50" s="83">
        <f>O50-L50</f>
        <v>-13.241700640652468</v>
      </c>
      <c r="R50" s="72">
        <f>O50/L50</f>
        <v>0.86240286620348905</v>
      </c>
      <c r="S50" s="413"/>
      <c r="T50" s="21">
        <v>0.36249999999999999</v>
      </c>
      <c r="U50" s="21">
        <v>0.43263888888888902</v>
      </c>
      <c r="V50" s="30">
        <f>(T50-U49)*24*60</f>
        <v>9.999999999999325</v>
      </c>
      <c r="W50" s="236">
        <f t="shared" si="4"/>
        <v>101.0000000000002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-225.10891089109191</v>
      </c>
      <c r="AG50" s="72">
        <f t="shared" si="26"/>
        <v>0.86240286620348905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1691</v>
      </c>
      <c r="H51" s="231">
        <f>F51*G51</f>
        <v>84499.27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1636.4516129032083</v>
      </c>
      <c r="O51" s="235">
        <f>N51/M51</f>
        <v>102.27822580645052</v>
      </c>
      <c r="P51" s="74">
        <f>M51-J51</f>
        <v>0</v>
      </c>
      <c r="Q51" s="83">
        <f>O51-L51</f>
        <v>-10.221774193549479</v>
      </c>
      <c r="R51" s="72">
        <f>O51/L51</f>
        <v>0.90913978494622683</v>
      </c>
      <c r="S51" s="413"/>
      <c r="T51" s="21">
        <v>0.4375</v>
      </c>
      <c r="U51" s="19">
        <v>0.48055555555555601</v>
      </c>
      <c r="V51" s="30">
        <f>(T51-U50)*24*60</f>
        <v>6.9999999999998153</v>
      </c>
      <c r="W51" s="236">
        <f t="shared" si="4"/>
        <v>62.000000000000661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-163.54838709679166</v>
      </c>
      <c r="AG51" s="72">
        <f t="shared" si="26"/>
        <v>0.90913978494622683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4201</v>
      </c>
      <c r="H52" s="231">
        <f>F52*G52</f>
        <v>209923.97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1680.4000000000096</v>
      </c>
      <c r="O52" s="235">
        <f>N52/M52</f>
        <v>105.0250000000006</v>
      </c>
      <c r="P52" s="74">
        <f>M52-J52</f>
        <v>0</v>
      </c>
      <c r="Q52" s="83">
        <f>O52-L52</f>
        <v>-7.4749999999993975</v>
      </c>
      <c r="R52" s="72">
        <f>O52/L52</f>
        <v>0.93355555555556091</v>
      </c>
      <c r="S52" s="413"/>
      <c r="T52" s="21">
        <v>0.54166666666666696</v>
      </c>
      <c r="U52" s="21">
        <v>0.64583333333333304</v>
      </c>
      <c r="V52" s="30">
        <f>(T52-U51)*24*60</f>
        <v>87.999999999999773</v>
      </c>
      <c r="W52" s="236">
        <f t="shared" si="4"/>
        <v>149.99999999999915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-119.59999999999036</v>
      </c>
      <c r="AG52" s="72">
        <f t="shared" si="26"/>
        <v>0.93355555555556091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1572.7508928943353</v>
      </c>
      <c r="O58" s="117">
        <f t="shared" si="27"/>
        <v>95.563335255643992</v>
      </c>
      <c r="P58" s="121">
        <f>M58-J58</f>
        <v>0</v>
      </c>
      <c r="Q58" s="122">
        <f>N58-K58</f>
        <v>-186.24910710566473</v>
      </c>
      <c r="R58" s="123">
        <f>O58/L58</f>
        <v>0.89496030813714245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-186.24910710566473</v>
      </c>
      <c r="AG58" s="124">
        <f>N58/K58</f>
        <v>0.89411648260053167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2544</v>
      </c>
      <c r="H59" s="243">
        <f>F59*G59</f>
        <v>68662.559999999998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1541.8181818181824</v>
      </c>
      <c r="O59" s="138">
        <f>N59/M59</f>
        <v>102.78787878787882</v>
      </c>
      <c r="P59" s="56">
        <f>M59-J59</f>
        <v>0</v>
      </c>
      <c r="Q59" s="230">
        <f>O59-L59</f>
        <v>-6.2787878787878384</v>
      </c>
      <c r="R59" s="52">
        <f>O59/L59</f>
        <v>0.94243165147810659</v>
      </c>
      <c r="S59" s="412">
        <f>R69</f>
        <v>0.92176922708497444</v>
      </c>
      <c r="T59" s="245">
        <v>0.29236111111111102</v>
      </c>
      <c r="U59" s="245">
        <v>0.36111111111111099</v>
      </c>
      <c r="V59" s="55"/>
      <c r="W59" s="54">
        <f t="shared" si="4"/>
        <v>98.999999999999972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-94.181818181817562</v>
      </c>
      <c r="AG59" s="246">
        <f>N59/K59</f>
        <v>0.94243165147810659</v>
      </c>
      <c r="AH59" s="457">
        <f>AG69</f>
        <v>0.92481832916419182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1930</v>
      </c>
      <c r="H60" s="78">
        <f>F60*G60</f>
        <v>54541.8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1544.0000000000105</v>
      </c>
      <c r="O60" s="81">
        <f>N60/M60</f>
        <v>140.36363636363731</v>
      </c>
      <c r="P60" s="74">
        <f>M60-J60</f>
        <v>0</v>
      </c>
      <c r="Q60" s="83">
        <f>O60-L60</f>
        <v>-8.3636363636354076</v>
      </c>
      <c r="R60" s="72">
        <f>O60/L60</f>
        <v>0.94376528117360059</v>
      </c>
      <c r="S60" s="502"/>
      <c r="T60" s="22">
        <v>0.36805555555555602</v>
      </c>
      <c r="U60" s="22">
        <v>0.42013888888888901</v>
      </c>
      <c r="V60" s="30">
        <f>(T60-U59)*24*60</f>
        <v>10.000000000000844</v>
      </c>
      <c r="W60" s="248">
        <f t="shared" si="4"/>
        <v>74.999999999999488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-91.999999999989541</v>
      </c>
      <c r="AG60" s="249">
        <f>N60/K60</f>
        <v>0.94376528117360048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2172</v>
      </c>
      <c r="H61" s="254">
        <f>F61*G61</f>
        <v>61380.72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1570.1204819277073</v>
      </c>
      <c r="O61" s="238">
        <f>N61/M61</f>
        <v>142.73822562979157</v>
      </c>
      <c r="P61" s="111">
        <f>M61-J61</f>
        <v>0</v>
      </c>
      <c r="Q61" s="255">
        <f>O61-L61</f>
        <v>-5.9890470974811478</v>
      </c>
      <c r="R61" s="85">
        <f>O61/L61</f>
        <v>0.95973134592158149</v>
      </c>
      <c r="S61" s="413"/>
      <c r="T61" s="22">
        <v>0.42708333333333298</v>
      </c>
      <c r="U61" s="22">
        <v>0.484722222222222</v>
      </c>
      <c r="V61" s="30">
        <f>(T61-U60)*24*60</f>
        <v>9.999999999999325</v>
      </c>
      <c r="W61" s="256">
        <f t="shared" si="4"/>
        <v>83.000000000000185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-65.87951807229274</v>
      </c>
      <c r="AG61" s="247">
        <f>N61/K61</f>
        <v>0.95973134592158149</v>
      </c>
      <c r="AH61" s="458"/>
    </row>
    <row r="62" spans="1:34" ht="15" customHeight="1">
      <c r="A62" s="500"/>
      <c r="B62" s="250" t="s">
        <v>136</v>
      </c>
      <c r="C62" s="251"/>
      <c r="D62" s="257" t="s">
        <v>137</v>
      </c>
      <c r="E62" s="253"/>
      <c r="F62" s="250">
        <f>VLOOKUP(D62,廠價表!$C$1:$E$43,3,0)</f>
        <v>26.99</v>
      </c>
      <c r="G62" s="38">
        <v>1620</v>
      </c>
      <c r="H62" s="78">
        <f>F62*G62</f>
        <v>43723.799999999996</v>
      </c>
      <c r="I62" s="30"/>
      <c r="J62" s="79">
        <f>VLOOKUP(D62,產線配置圖!$A$3:$C$40,2,0)</f>
        <v>15</v>
      </c>
      <c r="K62" s="80">
        <f>VLOOKUP(D62,產線配置圖!$A$3:$C$40,3,0)</f>
        <v>1636</v>
      </c>
      <c r="L62" s="81">
        <f>K62/J62</f>
        <v>109.06666666666666</v>
      </c>
      <c r="M62" s="108">
        <v>15</v>
      </c>
      <c r="N62" s="107">
        <f t="shared" ref="N62:N63" si="28">G62/W62*60</f>
        <v>1567.7419354838562</v>
      </c>
      <c r="O62" s="238">
        <f t="shared" ref="O62:O63" si="29">N62/M62</f>
        <v>104.51612903225708</v>
      </c>
      <c r="P62" s="111">
        <f t="shared" ref="P62:P63" si="30">M62-J62</f>
        <v>0</v>
      </c>
      <c r="Q62" s="255">
        <f t="shared" ref="Q62:Q63" si="31">O62-L62</f>
        <v>-4.5505376344095794</v>
      </c>
      <c r="R62" s="85">
        <f t="shared" ref="R62:R63" si="32">O62/L62</f>
        <v>0.95827746667717373</v>
      </c>
      <c r="S62" s="413"/>
      <c r="T62" s="22">
        <v>0.54722222222222205</v>
      </c>
      <c r="U62" s="22">
        <v>0.59027777777777801</v>
      </c>
      <c r="V62" s="30">
        <f t="shared" ref="V62:V63" si="33">(T62-U61)*24*60</f>
        <v>90.000000000000085</v>
      </c>
      <c r="W62" s="248">
        <f t="shared" si="4"/>
        <v>62.000000000000583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-68.258064516143804</v>
      </c>
      <c r="AG62" s="247">
        <f>N62/K62</f>
        <v>0.95827746667717373</v>
      </c>
      <c r="AH62" s="458"/>
    </row>
    <row r="63" spans="1:34" ht="15" customHeight="1">
      <c r="A63" s="500"/>
      <c r="B63" s="258" t="s">
        <v>136</v>
      </c>
      <c r="C63" s="58"/>
      <c r="D63" s="259" t="s">
        <v>140</v>
      </c>
      <c r="E63" s="60"/>
      <c r="F63" s="250">
        <f>VLOOKUP(D63,廠價表!$C$1:$E$43,3,0)</f>
        <v>28.26</v>
      </c>
      <c r="G63" s="260">
        <v>1006</v>
      </c>
      <c r="H63" s="254">
        <f>F63*G63</f>
        <v>28429.56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>K63/J63</f>
        <v>148.72727272727272</v>
      </c>
      <c r="M63" s="68">
        <v>11</v>
      </c>
      <c r="N63" s="107">
        <f t="shared" si="28"/>
        <v>1341.3333333333333</v>
      </c>
      <c r="O63" s="238">
        <f t="shared" si="29"/>
        <v>121.93939393939394</v>
      </c>
      <c r="P63" s="111">
        <f t="shared" si="30"/>
        <v>0</v>
      </c>
      <c r="Q63" s="255">
        <f t="shared" si="31"/>
        <v>-26.787878787878782</v>
      </c>
      <c r="R63" s="85">
        <f t="shared" si="32"/>
        <v>0.81988590057049715</v>
      </c>
      <c r="S63" s="413"/>
      <c r="T63" s="22">
        <v>0.59722222222222199</v>
      </c>
      <c r="U63" s="22">
        <v>0.62847222222222199</v>
      </c>
      <c r="V63" s="30">
        <f t="shared" si="33"/>
        <v>9.999999999999325</v>
      </c>
      <c r="W63" s="248">
        <f t="shared" si="4"/>
        <v>45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34">AVERAGE(J59:J68)</f>
        <v>12.6</v>
      </c>
      <c r="K69" s="240">
        <f t="shared" si="34"/>
        <v>1636</v>
      </c>
      <c r="L69" s="268">
        <f t="shared" si="34"/>
        <v>132.86303030303029</v>
      </c>
      <c r="M69" s="240">
        <f t="shared" si="34"/>
        <v>12.6</v>
      </c>
      <c r="N69" s="240">
        <f t="shared" si="34"/>
        <v>1513.0027865126178</v>
      </c>
      <c r="O69" s="268">
        <f t="shared" si="34"/>
        <v>122.46905275059176</v>
      </c>
      <c r="P69" s="269">
        <f>M69-J69</f>
        <v>0</v>
      </c>
      <c r="Q69" s="222">
        <f>N69-K69</f>
        <v>-122.99721348738217</v>
      </c>
      <c r="R69" s="123">
        <f>O69/L69</f>
        <v>0.92176922708497444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-122.99721348738217</v>
      </c>
      <c r="AG69" s="124">
        <f>N69/K69</f>
        <v>0.92481832916419182</v>
      </c>
      <c r="AH69" s="460"/>
    </row>
    <row r="70" spans="1:36" ht="15" customHeight="1">
      <c r="A70" s="494" t="s">
        <v>55</v>
      </c>
      <c r="B70" s="129" t="s">
        <v>81</v>
      </c>
      <c r="C70" s="129"/>
      <c r="D70" s="131" t="s">
        <v>119</v>
      </c>
      <c r="E70" s="132"/>
      <c r="F70" s="129">
        <f>VLOOKUP(D70,廠價表!$C$1:$E$43,3,0)</f>
        <v>57.21</v>
      </c>
      <c r="G70" s="55">
        <v>1785</v>
      </c>
      <c r="H70" s="243">
        <f>F70*G70</f>
        <v>102119.85</v>
      </c>
      <c r="I70" s="55"/>
      <c r="J70" s="136">
        <f>VLOOKUP(D70,產線配置圖!$A$3:$C$40,2,0)</f>
        <v>17</v>
      </c>
      <c r="K70" s="137">
        <v>1565</v>
      </c>
      <c r="L70" s="138">
        <f>K70/J70</f>
        <v>92.058823529411768</v>
      </c>
      <c r="M70" s="244">
        <v>16</v>
      </c>
      <c r="N70" s="137">
        <f>G70/W70*60</f>
        <v>1127.3684210526358</v>
      </c>
      <c r="O70" s="138">
        <f>N70/M70</f>
        <v>70.460526315789735</v>
      </c>
      <c r="P70" s="56">
        <f>M70-J70</f>
        <v>-1</v>
      </c>
      <c r="Q70" s="230">
        <f>O70-L70</f>
        <v>-21.598297213622033</v>
      </c>
      <c r="R70" s="52">
        <f>O70/L70</f>
        <v>0.76538590886161373</v>
      </c>
      <c r="S70" s="412">
        <f>R79</f>
        <v>0.87524956749427285</v>
      </c>
      <c r="T70" s="245">
        <v>0.29861111111111099</v>
      </c>
      <c r="U70" s="245">
        <v>0.36458333333333298</v>
      </c>
      <c r="V70" s="55"/>
      <c r="W70" s="54">
        <f t="shared" si="4"/>
        <v>94.999999999999659</v>
      </c>
      <c r="X70" s="270"/>
      <c r="Y70" s="292"/>
      <c r="Z70" s="169">
        <v>1</v>
      </c>
      <c r="AA70" s="169">
        <v>13</v>
      </c>
      <c r="AB70" s="464" t="s">
        <v>176</v>
      </c>
      <c r="AC70" s="464"/>
      <c r="AD70" s="135"/>
      <c r="AE70" s="135"/>
      <c r="AF70" s="310">
        <f>N70-K70</f>
        <v>-437.63157894736423</v>
      </c>
      <c r="AG70" s="246">
        <f>N70/K70</f>
        <v>0.7203632083403424</v>
      </c>
      <c r="AH70" s="457">
        <f>AG79</f>
        <v>0.79650901797353668</v>
      </c>
    </row>
    <row r="71" spans="1:36" ht="15" customHeight="1">
      <c r="A71" s="495"/>
      <c r="B71" s="75" t="s">
        <v>136</v>
      </c>
      <c r="C71" s="76"/>
      <c r="D71" s="59" t="s">
        <v>140</v>
      </c>
      <c r="E71" s="77"/>
      <c r="F71" s="250">
        <f>VLOOKUP(D71,廠價表!$C$1:$E$43,3,0)</f>
        <v>28.26</v>
      </c>
      <c r="G71" s="202">
        <v>3040</v>
      </c>
      <c r="H71" s="78">
        <f>F71*G71</f>
        <v>85910.400000000009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10</v>
      </c>
      <c r="N71" s="107">
        <f t="shared" ref="N71:N72" si="35">G71/W71*60</f>
        <v>1436.2204724409528</v>
      </c>
      <c r="O71" s="238">
        <f t="shared" ref="O71:O72" si="36">N71/M71</f>
        <v>143.62204724409528</v>
      </c>
      <c r="P71" s="111">
        <f t="shared" ref="P71:P72" si="37">M71-J71</f>
        <v>-1</v>
      </c>
      <c r="Q71" s="255">
        <f t="shared" ref="Q71:Q72" si="38">O71-L71</f>
        <v>-5.1052254831774349</v>
      </c>
      <c r="R71" s="85">
        <f t="shared" ref="R71:R72" si="39">O71/L71</f>
        <v>0.96567391178792683</v>
      </c>
      <c r="S71" s="413"/>
      <c r="T71" s="22">
        <v>0.37013888888888902</v>
      </c>
      <c r="U71" s="22">
        <v>0.45833333333333298</v>
      </c>
      <c r="V71" s="30">
        <f t="shared" ref="V71:V72" si="40">(T71-U70)*24*60</f>
        <v>8.000000000000691</v>
      </c>
      <c r="W71" s="73">
        <f t="shared" si="4"/>
        <v>126.9999999999993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30" t="s">
        <v>81</v>
      </c>
      <c r="C72" s="151"/>
      <c r="D72" s="59" t="s">
        <v>141</v>
      </c>
      <c r="E72" s="87"/>
      <c r="F72" s="250">
        <f>VLOOKUP(D72,廠價表!$C$1:$E$43,3,0)</f>
        <v>46.34</v>
      </c>
      <c r="G72" s="30">
        <v>2460</v>
      </c>
      <c r="H72" s="369">
        <f>F72*G72</f>
        <v>113996.40000000001</v>
      </c>
      <c r="I72" s="179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82">
        <v>15</v>
      </c>
      <c r="N72" s="107">
        <f t="shared" si="35"/>
        <v>1180.8000000000072</v>
      </c>
      <c r="O72" s="238">
        <f t="shared" si="36"/>
        <v>78.720000000000482</v>
      </c>
      <c r="P72" s="111">
        <f t="shared" si="37"/>
        <v>-1</v>
      </c>
      <c r="Q72" s="255">
        <f t="shared" si="38"/>
        <v>-15.029999999999518</v>
      </c>
      <c r="R72" s="85">
        <f t="shared" si="39"/>
        <v>0.83968000000000509</v>
      </c>
      <c r="S72" s="413"/>
      <c r="T72" s="22">
        <v>0.52777777777777801</v>
      </c>
      <c r="U72" s="22">
        <v>0.61458333333333304</v>
      </c>
      <c r="V72" s="30">
        <f t="shared" si="40"/>
        <v>100.00000000000084</v>
      </c>
      <c r="W72" s="73">
        <f t="shared" si="4"/>
        <v>124.99999999999923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 t="s">
        <v>126</v>
      </c>
      <c r="C79" s="153" t="s">
        <v>56</v>
      </c>
      <c r="D79" s="433"/>
      <c r="E79" s="433"/>
      <c r="F79" s="116"/>
      <c r="G79" s="117"/>
      <c r="H79" s="282"/>
      <c r="I79" s="268"/>
      <c r="J79" s="240">
        <f t="shared" ref="J79:O79" si="41">AVERAGE(J70:J78)</f>
        <v>14.666666666666666</v>
      </c>
      <c r="K79" s="240">
        <f t="shared" si="41"/>
        <v>1567</v>
      </c>
      <c r="L79" s="268">
        <f t="shared" si="41"/>
        <v>111.51203208556149</v>
      </c>
      <c r="M79" s="240">
        <v>4</v>
      </c>
      <c r="N79" s="240">
        <f t="shared" si="41"/>
        <v>1248.1296311645319</v>
      </c>
      <c r="O79" s="268">
        <f t="shared" si="41"/>
        <v>97.600857853295167</v>
      </c>
      <c r="P79" s="269">
        <f>M79-J79</f>
        <v>-10.666666666666666</v>
      </c>
      <c r="Q79" s="222">
        <f>N79-K79</f>
        <v>-318.87036883546807</v>
      </c>
      <c r="R79" s="223">
        <f>O79/L79</f>
        <v>0.87524956749427285</v>
      </c>
      <c r="S79" s="416"/>
      <c r="T79" s="365"/>
      <c r="U79" s="365"/>
      <c r="V79" s="126"/>
      <c r="W79" s="242"/>
      <c r="X79" s="128"/>
      <c r="Y79" s="295"/>
      <c r="Z79" s="334">
        <f>SUM(Z70:Z78)</f>
        <v>1</v>
      </c>
      <c r="AA79" s="334">
        <f>SUM(AA70:AA78)</f>
        <v>13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-318.87036883546807</v>
      </c>
      <c r="AG79" s="124">
        <f>N79/K79</f>
        <v>0.79650901797353668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  <mergeCell ref="AD3:AE3"/>
    <mergeCell ref="AF3:AF4"/>
    <mergeCell ref="AG3:AG4"/>
    <mergeCell ref="AH3:AH4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46216</v>
      </c>
      <c r="E3" s="379"/>
      <c r="F3" s="3" t="s">
        <v>72</v>
      </c>
      <c r="G3" s="380">
        <f>'0713'!E1</f>
        <v>73749</v>
      </c>
      <c r="H3" s="380"/>
      <c r="I3" s="3" t="s">
        <v>2</v>
      </c>
      <c r="J3" s="381">
        <f>'0713'!G1</f>
        <v>3422215.781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127.58024410074827</v>
      </c>
      <c r="G6" s="386"/>
      <c r="H6" s="387">
        <f>AVERAGE(D13:H13)</f>
        <v>126.37470181234885</v>
      </c>
      <c r="I6" s="387"/>
      <c r="J6" s="387">
        <f>AVERAGE(I13:J13)</f>
        <v>130.59409982174688</v>
      </c>
      <c r="K6" s="387"/>
      <c r="L6" s="503">
        <f>SUM(D18:J18)</f>
        <v>1</v>
      </c>
      <c r="M6" s="390">
        <f>SUM(D19:J19)</f>
        <v>19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115.77269705095765</v>
      </c>
      <c r="G7" s="410"/>
      <c r="H7" s="411">
        <f>AVERAGE(D14:H14)</f>
        <v>115.29909694048301</v>
      </c>
      <c r="I7" s="411"/>
      <c r="J7" s="411">
        <f>AVERAGE(I14:J14)</f>
        <v>116.95669732714421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0.90745003559903537</v>
      </c>
      <c r="G8" s="383"/>
      <c r="H8" s="383">
        <f>H7/H6</f>
        <v>0.91235900292519168</v>
      </c>
      <c r="I8" s="383"/>
      <c r="J8" s="383">
        <f>J7/J6</f>
        <v>0.89557412997052011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VALUE('0713'!L15)</f>
        <v>158.03571428571428</v>
      </c>
      <c r="E13" s="13">
        <f>VALUE('0713'!L26)</f>
        <v>173.76373626373626</v>
      </c>
      <c r="F13" s="13">
        <f>VALUE('0713'!L37)</f>
        <v>96.721988795518214</v>
      </c>
      <c r="G13" s="13">
        <f>VALUE('0713'!L48)</f>
        <v>98.681481481481498</v>
      </c>
      <c r="H13" s="13">
        <f>VALUE('0713'!L58)</f>
        <v>104.67058823529412</v>
      </c>
      <c r="I13" s="13">
        <f>VALUE('0713'!L69)</f>
        <v>140.79515151515153</v>
      </c>
      <c r="J13" s="13">
        <f>'0713'!L79</f>
        <v>120.39304812834224</v>
      </c>
    </row>
    <row r="14" spans="2:15" ht="39.950000000000003" customHeight="1">
      <c r="B14" s="404"/>
      <c r="C14" s="12" t="s">
        <v>100</v>
      </c>
      <c r="D14" s="13">
        <f>VALUE('0713'!O15)</f>
        <v>145.53941676710849</v>
      </c>
      <c r="E14" s="13">
        <f>VALUE('0713'!O26)</f>
        <v>162.56564957174683</v>
      </c>
      <c r="F14" s="13">
        <f>VALUE('0713'!O37)</f>
        <v>88.629448034049986</v>
      </c>
      <c r="G14" s="13">
        <f>VALUE('0713'!O48)</f>
        <v>88.922793638002659</v>
      </c>
      <c r="H14" s="13">
        <f>VALUE('0713'!O58)</f>
        <v>90.838176691507144</v>
      </c>
      <c r="I14" s="13">
        <f>VALUE('0713'!O69)</f>
        <v>133.39507404360228</v>
      </c>
      <c r="J14" s="13">
        <f>'0713'!O79</f>
        <v>100.51832061068616</v>
      </c>
    </row>
    <row r="15" spans="2:15" ht="39.950000000000003" customHeight="1">
      <c r="B15" s="405"/>
      <c r="C15" s="10" t="s">
        <v>26</v>
      </c>
      <c r="D15" s="14">
        <f t="shared" ref="D15:I15" si="1">D14/D13</f>
        <v>0.92092738293311593</v>
      </c>
      <c r="E15" s="14">
        <f t="shared" si="1"/>
        <v>0.93555567500578418</v>
      </c>
      <c r="F15" s="14">
        <f t="shared" si="1"/>
        <v>0.91633194413964314</v>
      </c>
      <c r="G15" s="14">
        <f t="shared" si="1"/>
        <v>0.90110922842894137</v>
      </c>
      <c r="H15" s="14">
        <f t="shared" si="1"/>
        <v>0.86784815317276687</v>
      </c>
      <c r="I15" s="14">
        <f t="shared" si="1"/>
        <v>0.94744082170505073</v>
      </c>
      <c r="J15" s="15">
        <f>'0713'!S70</f>
        <v>0.83491798050939714</v>
      </c>
    </row>
    <row r="16" spans="2:15" ht="17.25" customHeight="1">
      <c r="B16" s="406" t="s">
        <v>101</v>
      </c>
      <c r="C16" s="10" t="s">
        <v>34</v>
      </c>
      <c r="D16" s="16">
        <f>'0713'!T5</f>
        <v>0.29166666666666702</v>
      </c>
      <c r="E16" s="16">
        <f>'0713'!T16</f>
        <v>0.28819444444444398</v>
      </c>
      <c r="F16" s="16">
        <f>'0713'!T27</f>
        <v>0.28819444444444398</v>
      </c>
      <c r="G16" s="16">
        <f>'0713'!T38</f>
        <v>0.33611111111111103</v>
      </c>
      <c r="H16" s="16">
        <f>'0713'!T49</f>
        <v>0.29166666666666702</v>
      </c>
      <c r="I16" s="16">
        <f>'0713'!T59</f>
        <v>0.28819444444444398</v>
      </c>
      <c r="J16" s="16">
        <f>'0713'!T70</f>
        <v>0.29444444444444401</v>
      </c>
    </row>
    <row r="17" spans="2:10" ht="17.25" customHeight="1">
      <c r="B17" s="407"/>
      <c r="C17" s="10" t="s">
        <v>35</v>
      </c>
      <c r="D17" s="16">
        <v>0.61041666666666705</v>
      </c>
      <c r="E17" s="19">
        <v>0.65486111111111101</v>
      </c>
      <c r="F17" s="19">
        <v>0.6875</v>
      </c>
      <c r="G17" s="20">
        <v>0.67361111111111105</v>
      </c>
      <c r="H17" s="21">
        <v>0.68888888888888899</v>
      </c>
      <c r="I17" s="22">
        <v>0.63888888888888895</v>
      </c>
      <c r="J17" s="22">
        <v>0.46180555555555602</v>
      </c>
    </row>
    <row r="18" spans="2:10" ht="17.25" customHeight="1">
      <c r="B18" s="408" t="s">
        <v>102</v>
      </c>
      <c r="C18" s="330" t="s">
        <v>36</v>
      </c>
      <c r="D18" s="357">
        <f>'0713'!Z15</f>
        <v>0</v>
      </c>
      <c r="E18" s="358">
        <f>'0713'!Z26</f>
        <v>0</v>
      </c>
      <c r="F18" s="358">
        <f>'0713'!Z37</f>
        <v>0</v>
      </c>
      <c r="G18" s="359">
        <f>'0713'!Z48</f>
        <v>0</v>
      </c>
      <c r="H18" s="359">
        <f>'0713'!Z58</f>
        <v>1</v>
      </c>
      <c r="I18" s="358">
        <f>'0713'!Z69</f>
        <v>0</v>
      </c>
      <c r="J18" s="358">
        <f>'0713'!AA79</f>
        <v>0</v>
      </c>
    </row>
    <row r="19" spans="2:10" ht="17.25" customHeight="1">
      <c r="B19" s="409"/>
      <c r="C19" s="330" t="s">
        <v>37</v>
      </c>
      <c r="D19" s="357">
        <f>'0713'!AA15</f>
        <v>0</v>
      </c>
      <c r="E19" s="358">
        <f>'0713'!AA26</f>
        <v>0</v>
      </c>
      <c r="F19" s="358">
        <f>'0713'!AA37</f>
        <v>0</v>
      </c>
      <c r="G19" s="359">
        <f>'0713'!AA48</f>
        <v>0</v>
      </c>
      <c r="H19" s="359">
        <f>'0713'!AA58</f>
        <v>19</v>
      </c>
      <c r="I19" s="358">
        <f>'0713'!AA69</f>
        <v>0</v>
      </c>
      <c r="J19" s="358">
        <f>'0713'!AB79</f>
        <v>0</v>
      </c>
    </row>
    <row r="20" spans="2:10" ht="17.25" customHeight="1">
      <c r="B20" s="408" t="s">
        <v>103</v>
      </c>
      <c r="C20" s="330" t="s">
        <v>36</v>
      </c>
      <c r="D20" s="357">
        <f>'0713'!AD15</f>
        <v>0</v>
      </c>
      <c r="E20" s="358">
        <f>'0713'!AD26</f>
        <v>0</v>
      </c>
      <c r="F20" s="358">
        <f>'0713'!AD37</f>
        <v>0</v>
      </c>
      <c r="G20" s="359">
        <f>'0713'!AD48</f>
        <v>0</v>
      </c>
      <c r="H20" s="359">
        <f>'0713'!AD58</f>
        <v>0</v>
      </c>
      <c r="I20" s="358">
        <f>'0713'!AD69</f>
        <v>0</v>
      </c>
      <c r="J20" s="358">
        <f>'0713'!AD79</f>
        <v>0</v>
      </c>
    </row>
    <row r="21" spans="2:10" ht="17.25" customHeight="1">
      <c r="B21" s="409"/>
      <c r="C21" s="330" t="s">
        <v>85</v>
      </c>
      <c r="D21" s="357">
        <f>'0713'!AE15</f>
        <v>0</v>
      </c>
      <c r="E21" s="358">
        <f>'0713'!AE26</f>
        <v>0</v>
      </c>
      <c r="F21" s="358">
        <f>'0713'!AE37</f>
        <v>0</v>
      </c>
      <c r="G21" s="359">
        <f>'0713'!AE48</f>
        <v>0</v>
      </c>
      <c r="H21" s="359">
        <f>'0713'!AE58</f>
        <v>0</v>
      </c>
      <c r="I21" s="358">
        <f>'0713'!AE69</f>
        <v>0</v>
      </c>
      <c r="J21" s="358">
        <f>'0713'!AE79</f>
        <v>0</v>
      </c>
    </row>
    <row r="22" spans="2:10" ht="17.25" customHeight="1">
      <c r="B22" s="392" t="s">
        <v>104</v>
      </c>
      <c r="C22" s="393"/>
      <c r="D22" s="23">
        <f>VALUE('0713'!M15)</f>
        <v>14.25</v>
      </c>
      <c r="E22" s="23">
        <f>VALUE('0713'!M26)</f>
        <v>13</v>
      </c>
      <c r="F22" s="23">
        <f>VALUE('0713'!M37)</f>
        <v>16.571428571428573</v>
      </c>
      <c r="G22" s="23">
        <f>VALUE('0713'!M48)</f>
        <v>16.666666666666668</v>
      </c>
      <c r="H22" s="23">
        <f>VALUE('0713'!M58)</f>
        <v>16.600000000000001</v>
      </c>
      <c r="I22" s="23">
        <f>VALUE('0713'!M69)</f>
        <v>11.8</v>
      </c>
      <c r="J22" s="23">
        <f>'0713'!M79</f>
        <v>13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64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73749</v>
      </c>
      <c r="F1" s="30" t="s">
        <v>2</v>
      </c>
      <c r="G1" s="31">
        <f>SUM(H5:H79)</f>
        <v>3422215.781</v>
      </c>
      <c r="H1" s="32" t="s">
        <v>3</v>
      </c>
      <c r="I1" s="33">
        <f>M15+M26+M48+M58+M69+M79+M37</f>
        <v>101.88809523809525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177</v>
      </c>
      <c r="B2" s="418"/>
      <c r="C2" s="28"/>
      <c r="D2" s="28" t="s">
        <v>14</v>
      </c>
      <c r="E2" s="35">
        <f>AVERAGE(O15,O26,O37,O48,O58,O69,O79)</f>
        <v>115.77269705095765</v>
      </c>
      <c r="F2" s="36" t="s">
        <v>15</v>
      </c>
      <c r="G2" s="37">
        <f>G1/E1</f>
        <v>46.403555044814169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</v>
      </c>
      <c r="AA2" s="339">
        <f>AA15+AA26+AA37+AA48+AA58+AA69+AA79</f>
        <v>19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4007</v>
      </c>
      <c r="H5" s="43">
        <f>F5*G5</f>
        <v>203034.69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2003.5000000000084</v>
      </c>
      <c r="O5" s="47">
        <f>N5/M5</f>
        <v>133.56666666666723</v>
      </c>
      <c r="P5" s="49">
        <f>M5-J5</f>
        <v>0</v>
      </c>
      <c r="Q5" s="50">
        <f>O5-L5</f>
        <v>-16.433333333332769</v>
      </c>
      <c r="R5" s="51">
        <f>O5/L5</f>
        <v>0.89044444444444826</v>
      </c>
      <c r="S5" s="412">
        <f>R15</f>
        <v>0.92092738293311593</v>
      </c>
      <c r="T5" s="319">
        <v>0.29166666666666702</v>
      </c>
      <c r="U5" s="320">
        <v>0.375</v>
      </c>
      <c r="V5" s="53"/>
      <c r="W5" s="54">
        <f t="shared" ref="W5:W14" si="0">(U5-T5)*24*60</f>
        <v>119.99999999999949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-246.49999999999159</v>
      </c>
      <c r="AG5" s="52">
        <f t="shared" ref="AG5:AG11" si="2">N5/K5</f>
        <v>0.89044444444444815</v>
      </c>
      <c r="AH5" s="457">
        <f>AG15</f>
        <v>0.92041933395830466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4806</v>
      </c>
      <c r="H6" s="63">
        <f>F6*G6</f>
        <v>236166.84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2201.2213740457823</v>
      </c>
      <c r="O6" s="67">
        <f>N6/M6</f>
        <v>157.23009814612732</v>
      </c>
      <c r="P6" s="69">
        <f>M6-J6</f>
        <v>0</v>
      </c>
      <c r="Q6" s="70">
        <f>O6-L6</f>
        <v>-3.4841875681584042</v>
      </c>
      <c r="R6" s="71">
        <f>O6/L6</f>
        <v>0.97832061068701437</v>
      </c>
      <c r="S6" s="413"/>
      <c r="T6" s="16">
        <v>0.38819444444444401</v>
      </c>
      <c r="U6" s="16">
        <v>0.47916666666666702</v>
      </c>
      <c r="V6" s="30">
        <f>(T6-U5)*24*60</f>
        <v>18.999999999999375</v>
      </c>
      <c r="W6" s="73">
        <f t="shared" si="0"/>
        <v>131.00000000000114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-48.778625954217659</v>
      </c>
      <c r="AG6" s="72">
        <f t="shared" si="2"/>
        <v>0.97832061068701437</v>
      </c>
      <c r="AH6" s="458"/>
    </row>
    <row r="7" spans="1:34" ht="15" customHeight="1">
      <c r="A7" s="42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1690</v>
      </c>
      <c r="H7" s="78">
        <f>F7*G7</f>
        <v>98307.3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2028.0000000000139</v>
      </c>
      <c r="O7" s="81">
        <f>N7/M7</f>
        <v>144.85714285714386</v>
      </c>
      <c r="P7" s="74">
        <f>M7-J7</f>
        <v>0</v>
      </c>
      <c r="Q7" s="83">
        <f>O7-L7</f>
        <v>-15.857142857141866</v>
      </c>
      <c r="R7" s="72">
        <f>O7/L7</f>
        <v>0.90133333333333954</v>
      </c>
      <c r="S7" s="413"/>
      <c r="T7" s="18">
        <v>0.54305555555555596</v>
      </c>
      <c r="U7" s="18">
        <v>0.57777777777777795</v>
      </c>
      <c r="V7" s="30">
        <f>(T7-U6)*24*60</f>
        <v>92.000000000000071</v>
      </c>
      <c r="W7" s="73">
        <f t="shared" si="0"/>
        <v>49.999999999999659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-221.99999999998613</v>
      </c>
      <c r="AG7" s="72">
        <f t="shared" si="2"/>
        <v>0.90133333333333954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1299</v>
      </c>
      <c r="H8" s="78">
        <f>F8*G8</f>
        <v>63832.86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2051.0526315789375</v>
      </c>
      <c r="O8" s="81">
        <f>N8/M8</f>
        <v>146.50375939849553</v>
      </c>
      <c r="P8" s="74">
        <f>M8-J8</f>
        <v>0</v>
      </c>
      <c r="Q8" s="83">
        <f>O8-L8</f>
        <v>-14.21052631579019</v>
      </c>
      <c r="R8" s="72">
        <f>O8/L8</f>
        <v>0.9115789473684166</v>
      </c>
      <c r="S8" s="413"/>
      <c r="T8" s="16">
        <v>0.58402777777777803</v>
      </c>
      <c r="U8" s="16">
        <v>0.61041666666666705</v>
      </c>
      <c r="V8" s="30">
        <f>(T8-U7)*24*60</f>
        <v>9.0000000000001279</v>
      </c>
      <c r="W8" s="73">
        <f t="shared" si="0"/>
        <v>38.000000000000185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-198.94736842106249</v>
      </c>
      <c r="AG8" s="72">
        <f t="shared" si="2"/>
        <v>0.91157894736841671</v>
      </c>
      <c r="AH8" s="458"/>
    </row>
    <row r="9" spans="1:34" ht="15" customHeight="1">
      <c r="A9" s="425"/>
      <c r="B9" s="75" t="s">
        <v>126</v>
      </c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14.25</v>
      </c>
      <c r="N15" s="120">
        <f t="shared" si="3"/>
        <v>2070.9435014061855</v>
      </c>
      <c r="O15" s="117">
        <f t="shared" si="3"/>
        <v>145.53941676710849</v>
      </c>
      <c r="P15" s="121">
        <f>M15-J15</f>
        <v>0</v>
      </c>
      <c r="Q15" s="122">
        <f>O15-L15</f>
        <v>-12.496297518605786</v>
      </c>
      <c r="R15" s="123">
        <f>O15/L15</f>
        <v>0.92092738293311593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-179.05649859381447</v>
      </c>
      <c r="AG15" s="124">
        <f>N15/K15</f>
        <v>0.92041933395830466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2741</v>
      </c>
      <c r="H16" s="134">
        <f>F16*G16</f>
        <v>138886.47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2135.8441558441236</v>
      </c>
      <c r="O16" s="141">
        <f>N16/M16</f>
        <v>164.29570429570182</v>
      </c>
      <c r="P16" s="142">
        <f>M16-J16</f>
        <v>0</v>
      </c>
      <c r="Q16" s="143">
        <f>O16-L16</f>
        <v>-8.7812187812212414</v>
      </c>
      <c r="R16" s="144">
        <f>O16/L16</f>
        <v>0.94926406926405504</v>
      </c>
      <c r="S16" s="468">
        <f>R26</f>
        <v>0.93555567500578418</v>
      </c>
      <c r="T16" s="145">
        <v>0.28819444444444398</v>
      </c>
      <c r="U16" s="145">
        <v>0.34166666666666701</v>
      </c>
      <c r="V16" s="135"/>
      <c r="W16" s="146">
        <f t="shared" ref="W16:W78" si="4">(U16-T16)*24*60</f>
        <v>77.000000000001165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-114.15584415587637</v>
      </c>
      <c r="AG16" s="52">
        <f>N16/K16</f>
        <v>0.94926406926405493</v>
      </c>
      <c r="AH16" s="457">
        <f>AG26</f>
        <v>0.93625237795427307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3518</v>
      </c>
      <c r="H17" s="78">
        <f>F17*G17</f>
        <v>200068.66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2132.1212121212111</v>
      </c>
      <c r="O17" s="96">
        <f>N17/M17</f>
        <v>152.29437229437221</v>
      </c>
      <c r="P17" s="97">
        <f>M17-J17</f>
        <v>0</v>
      </c>
      <c r="Q17" s="98">
        <f>O17-L17</f>
        <v>-8.4199134199135131</v>
      </c>
      <c r="R17" s="99">
        <f>O17/L17</f>
        <v>0.94760942760942701</v>
      </c>
      <c r="S17" s="469"/>
      <c r="T17" s="19">
        <v>0.34583333333333299</v>
      </c>
      <c r="U17" s="19">
        <v>0.41458333333333303</v>
      </c>
      <c r="V17" s="30">
        <f>(T17-U16)*24*60</f>
        <v>5.9999999999990195</v>
      </c>
      <c r="W17" s="149">
        <f t="shared" si="4"/>
        <v>99.000000000000043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-117.8787878787889</v>
      </c>
      <c r="AG17" s="72">
        <f>N17/K17</f>
        <v>0.94760942760942712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946</v>
      </c>
      <c r="H18" s="78">
        <f>F18*G18</f>
        <v>55028.82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2102.2222222222231</v>
      </c>
      <c r="O18" s="96">
        <f>N18/M18</f>
        <v>150.15873015873021</v>
      </c>
      <c r="P18" s="97">
        <f>M18-J18</f>
        <v>0</v>
      </c>
      <c r="Q18" s="98">
        <f>O18-L18</f>
        <v>-10.555555555555515</v>
      </c>
      <c r="R18" s="99">
        <f>O18/L18</f>
        <v>0.93432098765432126</v>
      </c>
      <c r="S18" s="469"/>
      <c r="T18" s="19">
        <v>0.41875000000000001</v>
      </c>
      <c r="U18" s="19">
        <v>0.4375</v>
      </c>
      <c r="V18" s="30">
        <f>(T18-U17)*24*60</f>
        <v>6.0000000000004583</v>
      </c>
      <c r="W18" s="149">
        <f t="shared" si="4"/>
        <v>26.999999999999986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-147.77777777777692</v>
      </c>
      <c r="AG18" s="72">
        <f>N18/K18</f>
        <v>0.93432098765432137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1854</v>
      </c>
      <c r="H19" s="78">
        <f t="shared" ref="H19:H21" si="5">F19*G19</f>
        <v>93423.06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2059.9999999999982</v>
      </c>
      <c r="O19" s="96">
        <f t="shared" ref="O19:O21" si="8">N19/M19</f>
        <v>171.66666666666652</v>
      </c>
      <c r="P19" s="97">
        <f t="shared" ref="P19:P21" si="9">M19-J19</f>
        <v>0</v>
      </c>
      <c r="Q19" s="98">
        <f t="shared" ref="Q19:Q21" si="10">O19-L19</f>
        <v>-15.833333333333485</v>
      </c>
      <c r="R19" s="99">
        <f t="shared" ref="R19:R21" si="11">O19/L19</f>
        <v>0.91555555555555479</v>
      </c>
      <c r="S19" s="469"/>
      <c r="T19" s="19">
        <v>0.44166666666666698</v>
      </c>
      <c r="U19" s="19">
        <v>0.47916666666666702</v>
      </c>
      <c r="V19" s="30">
        <f>(T19-U18)*24*60</f>
        <v>6.0000000000004583</v>
      </c>
      <c r="W19" s="149">
        <f t="shared" si="4"/>
        <v>54.00000000000005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-190.00000000000182</v>
      </c>
      <c r="AG19" s="72">
        <f>N19/K19</f>
        <v>0.91555555555555479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3773</v>
      </c>
      <c r="H20" s="78">
        <f t="shared" si="5"/>
        <v>190121.47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2057.999999999995</v>
      </c>
      <c r="O20" s="96">
        <f t="shared" si="8"/>
        <v>171.49999999999957</v>
      </c>
      <c r="P20" s="97">
        <f t="shared" si="9"/>
        <v>0</v>
      </c>
      <c r="Q20" s="98">
        <f t="shared" si="10"/>
        <v>-16.000000000000426</v>
      </c>
      <c r="R20" s="99">
        <f t="shared" si="11"/>
        <v>0.91466666666666441</v>
      </c>
      <c r="S20" s="469"/>
      <c r="T20" s="19">
        <v>0.54166666666666696</v>
      </c>
      <c r="U20" s="19">
        <v>0.61805555555555602</v>
      </c>
      <c r="V20" s="30">
        <f>(T20-U19)*24*60</f>
        <v>89.999999999999915</v>
      </c>
      <c r="W20" s="149">
        <f t="shared" si="4"/>
        <v>110.00000000000026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1470</v>
      </c>
      <c r="H21" s="78">
        <f t="shared" si="5"/>
        <v>74484.900000000009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2151.2195121951381</v>
      </c>
      <c r="O21" s="96">
        <f t="shared" si="8"/>
        <v>165.47842401501063</v>
      </c>
      <c r="P21" s="97">
        <f t="shared" si="9"/>
        <v>0</v>
      </c>
      <c r="Q21" s="98">
        <f t="shared" si="10"/>
        <v>-7.5984990619124346</v>
      </c>
      <c r="R21" s="99">
        <f t="shared" si="11"/>
        <v>0.95609756097561704</v>
      </c>
      <c r="S21" s="469"/>
      <c r="T21" s="19">
        <v>0.62638888888888899</v>
      </c>
      <c r="U21" s="19">
        <v>0.65486111111111101</v>
      </c>
      <c r="V21" s="30">
        <f>(T21-U20)*24*60</f>
        <v>11.999999999999478</v>
      </c>
      <c r="W21" s="149">
        <f t="shared" si="4"/>
        <v>40.999999999999694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2106.5678503971144</v>
      </c>
      <c r="O26" s="158">
        <f t="shared" si="12"/>
        <v>162.56564957174683</v>
      </c>
      <c r="P26" s="159">
        <f>M26-J26</f>
        <v>0</v>
      </c>
      <c r="Q26" s="160">
        <f>O26-L26</f>
        <v>-11.198086691989431</v>
      </c>
      <c r="R26" s="161">
        <f>O26/L26</f>
        <v>0.93555567500578418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-143.4321496028856</v>
      </c>
      <c r="AG26" s="124">
        <f t="shared" ref="AG26:AG31" si="14">N26/K26</f>
        <v>0.93625237795427307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1308</v>
      </c>
      <c r="H27" s="134">
        <f>F27*G27</f>
        <v>59723.28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1509.2307692307304</v>
      </c>
      <c r="O27" s="141">
        <f>N27/M27</f>
        <v>88.778280542984135</v>
      </c>
      <c r="P27" s="142">
        <f>M27-J27</f>
        <v>0</v>
      </c>
      <c r="Q27" s="143">
        <f>O27-L27</f>
        <v>-7.4570135746629234</v>
      </c>
      <c r="R27" s="144">
        <f>O27/L27</f>
        <v>0.92251269512880829</v>
      </c>
      <c r="S27" s="468">
        <f>R37</f>
        <v>0.91633194413964314</v>
      </c>
      <c r="T27" s="171">
        <v>0.28819444444444398</v>
      </c>
      <c r="U27" s="171">
        <v>0.32430555555555601</v>
      </c>
      <c r="V27" s="135"/>
      <c r="W27" s="146">
        <f t="shared" si="4"/>
        <v>52.000000000001336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-126.7692307692696</v>
      </c>
      <c r="AG27" s="172">
        <f t="shared" si="14"/>
        <v>0.92251269512880829</v>
      </c>
      <c r="AH27" s="457">
        <f>AG37</f>
        <v>0.90117011416800974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1332</v>
      </c>
      <c r="H28" s="91">
        <f>F28*G28</f>
        <v>61724.880000000005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1567.0588235294417</v>
      </c>
      <c r="O28" s="96">
        <f>N28/M28</f>
        <v>97.941176470590108</v>
      </c>
      <c r="P28" s="97">
        <f>M28-J28</f>
        <v>0</v>
      </c>
      <c r="Q28" s="98">
        <f>O28-L28</f>
        <v>-4.3088235294098922</v>
      </c>
      <c r="R28" s="99">
        <f>O28/L28</f>
        <v>0.95785991658278835</v>
      </c>
      <c r="S28" s="469"/>
      <c r="T28" s="19">
        <v>0.33055555555555599</v>
      </c>
      <c r="U28" s="19">
        <v>0.36597222222222198</v>
      </c>
      <c r="V28" s="92">
        <f>(T28-U27)*24*60</f>
        <v>8.999999999999968</v>
      </c>
      <c r="W28" s="149">
        <f t="shared" si="4"/>
        <v>50.999999999999019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-68.941176470558275</v>
      </c>
      <c r="AG28" s="99">
        <f t="shared" si="14"/>
        <v>0.95785991658278835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1044</v>
      </c>
      <c r="H29" s="91">
        <f t="shared" ref="H29:H33" si="15">F29*G29</f>
        <v>59727.24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 t="shared" ref="L29:L33" si="16">K29/J29</f>
        <v>86.944444444444443</v>
      </c>
      <c r="M29" s="94">
        <v>18</v>
      </c>
      <c r="N29" s="95">
        <f t="shared" ref="N29:N33" si="17">G29/W29*60</f>
        <v>1423.6363636363428</v>
      </c>
      <c r="O29" s="96">
        <f t="shared" ref="O29:O33" si="18">N29/M29</f>
        <v>79.090909090907928</v>
      </c>
      <c r="P29" s="97">
        <f t="shared" ref="P29:P33" si="19">M29-J29</f>
        <v>0</v>
      </c>
      <c r="Q29" s="98">
        <f t="shared" ref="Q29:Q33" si="20">O29-L29</f>
        <v>-7.8535353535365147</v>
      </c>
      <c r="R29" s="99">
        <f t="shared" ref="R29:R33" si="21">O29/L29</f>
        <v>0.90967179785069818</v>
      </c>
      <c r="S29" s="469"/>
      <c r="T29" s="19">
        <v>0.37083333333333302</v>
      </c>
      <c r="U29" s="19">
        <v>0.40138888888888902</v>
      </c>
      <c r="V29" s="92">
        <f>(T29-U28)*24*60</f>
        <v>6.9999999999998952</v>
      </c>
      <c r="W29" s="149">
        <f t="shared" si="4"/>
        <v>44.000000000000639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-141.36363636365718</v>
      </c>
      <c r="AG29" s="99">
        <f t="shared" si="14"/>
        <v>0.90967179785069829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2498</v>
      </c>
      <c r="H30" s="91">
        <f t="shared" si="15"/>
        <v>142910.58000000002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6"/>
        <v>90.888888888888886</v>
      </c>
      <c r="M30" s="94">
        <v>18</v>
      </c>
      <c r="N30" s="95">
        <f t="shared" si="17"/>
        <v>1577.6842105263215</v>
      </c>
      <c r="O30" s="96">
        <f t="shared" si="18"/>
        <v>87.649122807017861</v>
      </c>
      <c r="P30" s="97">
        <f t="shared" si="19"/>
        <v>0</v>
      </c>
      <c r="Q30" s="98">
        <f t="shared" si="20"/>
        <v>-3.239766081871025</v>
      </c>
      <c r="R30" s="99">
        <f t="shared" si="21"/>
        <v>0.96435465191095449</v>
      </c>
      <c r="S30" s="469"/>
      <c r="T30" s="19">
        <v>0.40625</v>
      </c>
      <c r="U30" s="19">
        <v>0.47222222222222199</v>
      </c>
      <c r="V30" s="92">
        <f t="shared" ref="V30:V33" si="22">(T30-U29)*24*60</f>
        <v>6.9999999999998153</v>
      </c>
      <c r="W30" s="149">
        <f t="shared" si="4"/>
        <v>94.999999999999659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-58.315789473678478</v>
      </c>
      <c r="AG30" s="99">
        <f t="shared" si="14"/>
        <v>0.96435465191095449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2300</v>
      </c>
      <c r="H31" s="91">
        <f t="shared" si="15"/>
        <v>106582.00000000001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1516.4835164835272</v>
      </c>
      <c r="O31" s="96">
        <f t="shared" si="18"/>
        <v>94.780219780220449</v>
      </c>
      <c r="P31" s="97">
        <f t="shared" si="19"/>
        <v>0</v>
      </c>
      <c r="Q31" s="98">
        <f t="shared" si="20"/>
        <v>-7.4697802197795511</v>
      </c>
      <c r="R31" s="99">
        <f t="shared" si="21"/>
        <v>0.92694591472098242</v>
      </c>
      <c r="S31" s="469"/>
      <c r="T31" s="19">
        <v>0.53125</v>
      </c>
      <c r="U31" s="19">
        <v>0.594444444444444</v>
      </c>
      <c r="V31" s="92">
        <f t="shared" si="22"/>
        <v>85.000000000000341</v>
      </c>
      <c r="W31" s="149">
        <f t="shared" si="4"/>
        <v>90.999999999999361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-119.51648351647282</v>
      </c>
      <c r="AG31" s="99">
        <f t="shared" si="14"/>
        <v>0.92694591472098242</v>
      </c>
      <c r="AH31" s="459"/>
    </row>
    <row r="32" spans="1:34" ht="15" customHeight="1">
      <c r="A32" s="466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1950</v>
      </c>
      <c r="H32" s="91">
        <f t="shared" si="15"/>
        <v>89037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1426.8292682926935</v>
      </c>
      <c r="O32" s="96">
        <f t="shared" si="18"/>
        <v>83.93113342898198</v>
      </c>
      <c r="P32" s="97">
        <f t="shared" si="19"/>
        <v>0</v>
      </c>
      <c r="Q32" s="98">
        <f t="shared" si="20"/>
        <v>-12.304160688665078</v>
      </c>
      <c r="R32" s="99">
        <f t="shared" si="21"/>
        <v>0.87214502951876138</v>
      </c>
      <c r="S32" s="469"/>
      <c r="T32" s="19">
        <v>0.6</v>
      </c>
      <c r="U32" s="19">
        <v>0.656944444444444</v>
      </c>
      <c r="V32" s="92">
        <f t="shared" si="22"/>
        <v>8.0000000000006111</v>
      </c>
      <c r="W32" s="149">
        <f t="shared" si="4"/>
        <v>81.999999999999389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7"/>
      <c r="D33" s="59" t="s">
        <v>141</v>
      </c>
      <c r="E33" s="178"/>
      <c r="F33" s="75">
        <f>VLOOKUP(D33,廠價表!$C$1:$E$43,3,0)</f>
        <v>46.34</v>
      </c>
      <c r="G33" s="90">
        <v>700</v>
      </c>
      <c r="H33" s="91">
        <f t="shared" si="15"/>
        <v>32438.000000000004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14</v>
      </c>
      <c r="N33" s="95">
        <f t="shared" si="17"/>
        <v>1235.2941176470631</v>
      </c>
      <c r="O33" s="96">
        <f t="shared" si="18"/>
        <v>88.235294117647371</v>
      </c>
      <c r="P33" s="97">
        <f t="shared" si="19"/>
        <v>-2</v>
      </c>
      <c r="Q33" s="98">
        <f t="shared" si="20"/>
        <v>-14.014705882352629</v>
      </c>
      <c r="R33" s="99">
        <f t="shared" si="21"/>
        <v>0.86293686178628237</v>
      </c>
      <c r="S33" s="469"/>
      <c r="T33" s="19">
        <v>0.66388888888888897</v>
      </c>
      <c r="U33" s="19">
        <v>0.6875</v>
      </c>
      <c r="V33" s="92">
        <f t="shared" si="22"/>
        <v>10.000000000000764</v>
      </c>
      <c r="W33" s="149">
        <f t="shared" si="4"/>
        <v>33.999999999999879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16.857142857142858</v>
      </c>
      <c r="K37" s="155">
        <f t="shared" si="23"/>
        <v>1625.8571428571429</v>
      </c>
      <c r="L37" s="158">
        <f t="shared" si="23"/>
        <v>96.721988795518214</v>
      </c>
      <c r="M37" s="155">
        <f t="shared" si="23"/>
        <v>16.571428571428573</v>
      </c>
      <c r="N37" s="155">
        <f t="shared" si="23"/>
        <v>1465.1738670494456</v>
      </c>
      <c r="O37" s="158">
        <f t="shared" si="23"/>
        <v>88.629448034049986</v>
      </c>
      <c r="P37" s="159">
        <f>M37-J37</f>
        <v>-0.2857142857142847</v>
      </c>
      <c r="Q37" s="160">
        <f>N37-K37</f>
        <v>-160.68327580769733</v>
      </c>
      <c r="R37" s="161">
        <f>O37/L37</f>
        <v>0.91633194413964314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-160.68327580769733</v>
      </c>
      <c r="AG37" s="124">
        <f>N37/K37</f>
        <v>0.90117011416800974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3625</v>
      </c>
      <c r="H38" s="134">
        <f>F38*G38</f>
        <v>180923.75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16</v>
      </c>
      <c r="N38" s="140">
        <f>G38/W38*60</f>
        <v>1489.726027397259</v>
      </c>
      <c r="O38" s="141">
        <f>N38/M38</f>
        <v>93.107876712328689</v>
      </c>
      <c r="P38" s="142">
        <f>M38-J38</f>
        <v>1</v>
      </c>
      <c r="Q38" s="143">
        <f>O38-L38</f>
        <v>-21.158789954337976</v>
      </c>
      <c r="R38" s="144">
        <f>O38/L38</f>
        <v>0.81482972618724059</v>
      </c>
      <c r="S38" s="490">
        <f>R48</f>
        <v>0.90110922842894137</v>
      </c>
      <c r="T38" s="191">
        <v>0.33611111111111103</v>
      </c>
      <c r="U38" s="191">
        <v>0.4375</v>
      </c>
      <c r="V38" s="192"/>
      <c r="W38" s="193">
        <f t="shared" si="4"/>
        <v>146.00000000000011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-224.27397260274097</v>
      </c>
      <c r="AG38" s="195">
        <f>N38/K38</f>
        <v>0.86915170793305663</v>
      </c>
      <c r="AH38" s="480">
        <f>AG48</f>
        <v>0.890885398882031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1874</v>
      </c>
      <c r="H39" s="91">
        <f>F39*G39</f>
        <v>83018.2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1499.1999999999798</v>
      </c>
      <c r="O39" s="203">
        <f>N39/M39</f>
        <v>88.188235294116453</v>
      </c>
      <c r="P39" s="97">
        <f>M39-J39</f>
        <v>-1</v>
      </c>
      <c r="Q39" s="98">
        <f>O39-L39</f>
        <v>-2.7006535947724331</v>
      </c>
      <c r="R39" s="99">
        <f>O39/L39</f>
        <v>0.97028620739247939</v>
      </c>
      <c r="S39" s="491"/>
      <c r="T39" s="20">
        <v>0.44444444444444398</v>
      </c>
      <c r="U39" s="20">
        <v>0.49652777777777801</v>
      </c>
      <c r="V39" s="92">
        <f>(T39-U38)*24*60</f>
        <v>9.999999999999325</v>
      </c>
      <c r="W39" s="205">
        <f t="shared" si="4"/>
        <v>75.000000000001009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-136.80000000002019</v>
      </c>
      <c r="AG39" s="206">
        <f>N39/K39</f>
        <v>0.91638141809289719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4238</v>
      </c>
      <c r="H40" s="91">
        <f>F40*G40</f>
        <v>187743.4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1453.0285714285687</v>
      </c>
      <c r="O40" s="203">
        <f>N40/M40</f>
        <v>85.472268907562864</v>
      </c>
      <c r="P40" s="97">
        <f>M40-J40</f>
        <v>-1</v>
      </c>
      <c r="Q40" s="98">
        <f>O40-L40</f>
        <v>-5.4166199813260221</v>
      </c>
      <c r="R40" s="99">
        <f>O40/L40</f>
        <v>0.94040393663577726</v>
      </c>
      <c r="S40" s="413"/>
      <c r="T40" s="20">
        <v>0.55208333333333304</v>
      </c>
      <c r="U40" s="20">
        <v>0.67361111111111105</v>
      </c>
      <c r="V40" s="92">
        <f>(T40-U39)*24*60</f>
        <v>79.999999999999233</v>
      </c>
      <c r="W40" s="205">
        <f t="shared" si="4"/>
        <v>175.00000000000034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-182.97142857143126</v>
      </c>
      <c r="AG40" s="206">
        <f>N40/K40</f>
        <v>0.8881592734893452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16.666666666666668</v>
      </c>
      <c r="N48" s="155">
        <f t="shared" si="24"/>
        <v>1480.6515329419356</v>
      </c>
      <c r="O48" s="158">
        <f t="shared" si="24"/>
        <v>88.922793638002659</v>
      </c>
      <c r="P48" s="221">
        <f>M48-J48</f>
        <v>-0.33333333333333215</v>
      </c>
      <c r="Q48" s="222">
        <f>N48-K48</f>
        <v>-181.34846705806444</v>
      </c>
      <c r="R48" s="223">
        <f>O48/L48</f>
        <v>0.90110922842894137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-181.34846705806444</v>
      </c>
      <c r="AG48" s="162">
        <f t="shared" ref="AG48:AG53" si="26">N48/K48</f>
        <v>0.890885398882031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2631</v>
      </c>
      <c r="H49" s="134">
        <f>F49*G49</f>
        <v>130287.12000000001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1644.3750000000168</v>
      </c>
      <c r="O49" s="141">
        <f>N49/M49</f>
        <v>96.727941176471575</v>
      </c>
      <c r="P49" s="229">
        <f>M49-J49</f>
        <v>0</v>
      </c>
      <c r="Q49" s="230">
        <f>O49-L49</f>
        <v>-9.1544117647048893</v>
      </c>
      <c r="R49" s="52">
        <f>O49/L49</f>
        <v>0.91354166666667602</v>
      </c>
      <c r="S49" s="412">
        <f>R58</f>
        <v>0.86784815317276687</v>
      </c>
      <c r="T49" s="191">
        <v>0.29166666666666702</v>
      </c>
      <c r="U49" s="191">
        <v>0.358333333333333</v>
      </c>
      <c r="V49" s="55"/>
      <c r="W49" s="193">
        <f t="shared" si="4"/>
        <v>95.999999999999019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-155.62499999998317</v>
      </c>
      <c r="AG49" s="52">
        <f t="shared" si="26"/>
        <v>0.91354166666667602</v>
      </c>
      <c r="AH49" s="457">
        <f>AG58</f>
        <v>0.86833066630219335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2315</v>
      </c>
      <c r="H50" s="231">
        <f>F50*G50</f>
        <v>116419.035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1403.0303030303023</v>
      </c>
      <c r="O50" s="235">
        <f>N50/M50</f>
        <v>82.531194295900136</v>
      </c>
      <c r="P50" s="74">
        <f>M50-J50</f>
        <v>0</v>
      </c>
      <c r="Q50" s="83">
        <f>O50-L50</f>
        <v>-13.704099821746922</v>
      </c>
      <c r="R50" s="72">
        <f>O50/L50</f>
        <v>0.85759798473734861</v>
      </c>
      <c r="S50" s="413"/>
      <c r="T50" s="21">
        <v>0.36249999999999999</v>
      </c>
      <c r="U50" s="21">
        <v>0.43125000000000002</v>
      </c>
      <c r="V50" s="30">
        <f>(T50-U49)*24*60</f>
        <v>6.0000000000004583</v>
      </c>
      <c r="W50" s="236">
        <f t="shared" si="4"/>
        <v>99.000000000000043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-232.96969696969768</v>
      </c>
      <c r="AG50" s="72">
        <f t="shared" si="26"/>
        <v>0.85759798473734861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2262</v>
      </c>
      <c r="H51" s="231">
        <f>F51*G51</f>
        <v>113032.14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1615.7142857142669</v>
      </c>
      <c r="O51" s="235">
        <f>N51/M51</f>
        <v>100.98214285714168</v>
      </c>
      <c r="P51" s="74">
        <f>M51-J51</f>
        <v>0</v>
      </c>
      <c r="Q51" s="83">
        <f>O51-L51</f>
        <v>-11.517857142858318</v>
      </c>
      <c r="R51" s="72">
        <f>O51/L51</f>
        <v>0.89761904761903721</v>
      </c>
      <c r="S51" s="413"/>
      <c r="T51" s="21">
        <v>0.43472222222222201</v>
      </c>
      <c r="U51" s="19">
        <v>0.49305555555555602</v>
      </c>
      <c r="V51" s="30">
        <f>(T51-U50)*24*60</f>
        <v>4.9999999999996625</v>
      </c>
      <c r="W51" s="236">
        <f t="shared" si="4"/>
        <v>84.000000000000981</v>
      </c>
      <c r="X51" s="22"/>
      <c r="Y51" s="84"/>
      <c r="Z51" s="90">
        <v>1</v>
      </c>
      <c r="AA51" s="90">
        <v>19</v>
      </c>
      <c r="AB51" s="462" t="s">
        <v>178</v>
      </c>
      <c r="AC51" s="462"/>
      <c r="AD51" s="92"/>
      <c r="AE51" s="92"/>
      <c r="AF51" s="307">
        <f t="shared" si="25"/>
        <v>-184.28571428573309</v>
      </c>
      <c r="AG51" s="72">
        <f t="shared" si="26"/>
        <v>0.89761904761903721</v>
      </c>
      <c r="AH51" s="458"/>
    </row>
    <row r="52" spans="1:34" ht="15" customHeight="1">
      <c r="A52" s="485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3628</v>
      </c>
      <c r="H52" s="231">
        <f t="shared" ref="H52:H53" si="27">F52*G52</f>
        <v>181291.16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108">
        <v>16</v>
      </c>
      <c r="N52" s="234">
        <f t="shared" ref="N52:N53" si="29">G52/W52*60</f>
        <v>1441.5894039735119</v>
      </c>
      <c r="O52" s="235">
        <f t="shared" ref="O52:O53" si="30">N52/M52</f>
        <v>90.099337748344496</v>
      </c>
      <c r="P52" s="74">
        <f t="shared" ref="P52:P53" si="31">M52-J52</f>
        <v>0</v>
      </c>
      <c r="Q52" s="83">
        <f t="shared" ref="Q52:Q53" si="32">O52-L52</f>
        <v>-22.400662251655504</v>
      </c>
      <c r="R52" s="72">
        <f t="shared" ref="R52:R53" si="33">O52/L52</f>
        <v>0.80088300220750663</v>
      </c>
      <c r="S52" s="413"/>
      <c r="T52" s="21">
        <v>0.55555555555555602</v>
      </c>
      <c r="U52" s="21">
        <v>0.66041666666666698</v>
      </c>
      <c r="V52" s="30">
        <f>(T52-U51)*24*60</f>
        <v>90</v>
      </c>
      <c r="W52" s="236">
        <f t="shared" si="4"/>
        <v>150.99999999999977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-358.41059602648807</v>
      </c>
      <c r="AG52" s="72">
        <f t="shared" si="26"/>
        <v>0.80088300220750663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784</v>
      </c>
      <c r="H53" s="231">
        <f t="shared" si="27"/>
        <v>39426.576000000001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17</v>
      </c>
      <c r="N53" s="234">
        <f t="shared" si="29"/>
        <v>1425.4545454545228</v>
      </c>
      <c r="O53" s="235">
        <f t="shared" si="30"/>
        <v>83.850267379677803</v>
      </c>
      <c r="P53" s="74">
        <f t="shared" si="31"/>
        <v>0</v>
      </c>
      <c r="Q53" s="83">
        <f t="shared" si="32"/>
        <v>-12.385026737969255</v>
      </c>
      <c r="R53" s="72">
        <f t="shared" si="33"/>
        <v>0.87130473438540501</v>
      </c>
      <c r="S53" s="413"/>
      <c r="T53" s="21">
        <v>0.66597222222222197</v>
      </c>
      <c r="U53" s="21">
        <v>0.68888888888888899</v>
      </c>
      <c r="V53" s="30">
        <f>(T53-U52)*24*60</f>
        <v>7.9999999999991722</v>
      </c>
      <c r="W53" s="236">
        <f t="shared" si="4"/>
        <v>33.000000000000526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-210.54545454547724</v>
      </c>
      <c r="AG53" s="72">
        <f t="shared" si="26"/>
        <v>0.87130473438540512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1734.4</v>
      </c>
      <c r="L58" s="117">
        <f t="shared" si="34"/>
        <v>104.67058823529412</v>
      </c>
      <c r="M58" s="120">
        <f t="shared" si="34"/>
        <v>16.600000000000001</v>
      </c>
      <c r="N58" s="120">
        <f t="shared" si="34"/>
        <v>1506.0327076345243</v>
      </c>
      <c r="O58" s="117">
        <f t="shared" si="34"/>
        <v>90.838176691507144</v>
      </c>
      <c r="P58" s="121">
        <f>M58-J58</f>
        <v>0</v>
      </c>
      <c r="Q58" s="122">
        <f>N58-K58</f>
        <v>-228.36729236547581</v>
      </c>
      <c r="R58" s="123">
        <f>O58/L58</f>
        <v>0.86784815317276687</v>
      </c>
      <c r="S58" s="416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19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-228.36729236547581</v>
      </c>
      <c r="AG58" s="124">
        <f>N58/K58</f>
        <v>0.86833066630219335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4203</v>
      </c>
      <c r="H59" s="243">
        <f>F59*G59</f>
        <v>113438.96999999999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1576.1249999999866</v>
      </c>
      <c r="O59" s="138">
        <f>N59/M59</f>
        <v>105.07499999999911</v>
      </c>
      <c r="P59" s="56">
        <f>M59-J59</f>
        <v>0</v>
      </c>
      <c r="Q59" s="230">
        <f>O59-L59</f>
        <v>-3.9916666666675553</v>
      </c>
      <c r="R59" s="52">
        <f>O59/L59</f>
        <v>0.96340158924204566</v>
      </c>
      <c r="S59" s="412">
        <f>R69</f>
        <v>0.94744082170505073</v>
      </c>
      <c r="T59" s="245">
        <v>0.28819444444444398</v>
      </c>
      <c r="U59" s="245">
        <v>0.39930555555555602</v>
      </c>
      <c r="V59" s="55"/>
      <c r="W59" s="54">
        <f t="shared" si="4"/>
        <v>160.00000000000136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-59.875000000013415</v>
      </c>
      <c r="AG59" s="246">
        <f>N59/K59</f>
        <v>0.96340158924204555</v>
      </c>
      <c r="AH59" s="457">
        <f>AG69</f>
        <v>0.94829206264035726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2161</v>
      </c>
      <c r="H60" s="78">
        <f>F60*G60</f>
        <v>61069.86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1525.4117647058763</v>
      </c>
      <c r="O60" s="81">
        <f>N60/M60</f>
        <v>138.67379679144329</v>
      </c>
      <c r="P60" s="74">
        <f>M60-J60</f>
        <v>0</v>
      </c>
      <c r="Q60" s="83">
        <f>O60-L60</f>
        <v>-10.053475935829425</v>
      </c>
      <c r="R60" s="72">
        <f>O60/L60</f>
        <v>0.93240327916007115</v>
      </c>
      <c r="S60" s="502"/>
      <c r="T60" s="22">
        <v>0.40625</v>
      </c>
      <c r="U60" s="22">
        <v>0.46527777777777801</v>
      </c>
      <c r="V60" s="30">
        <f>(T60-U59)*24*60</f>
        <v>9.999999999999325</v>
      </c>
      <c r="W60" s="248">
        <f t="shared" si="4"/>
        <v>85.000000000000341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-110.58823529412371</v>
      </c>
      <c r="AG60" s="249">
        <f>N60/K60</f>
        <v>0.93240327916007104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1026</v>
      </c>
      <c r="H61" s="254">
        <f>F61*G61</f>
        <v>28994.760000000002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1538.9999999999868</v>
      </c>
      <c r="O61" s="238">
        <f>N61/M61</f>
        <v>139.90909090908971</v>
      </c>
      <c r="P61" s="111">
        <f>M61-J61</f>
        <v>0</v>
      </c>
      <c r="Q61" s="255">
        <f>O61-L61</f>
        <v>-8.8181818181830067</v>
      </c>
      <c r="R61" s="85">
        <f>O61/L61</f>
        <v>0.94070904645475972</v>
      </c>
      <c r="S61" s="413"/>
      <c r="T61" s="22">
        <v>0.47222222222222199</v>
      </c>
      <c r="U61" s="22">
        <v>0.5</v>
      </c>
      <c r="V61" s="30">
        <f>(T61-U60)*24*60</f>
        <v>9.999999999999325</v>
      </c>
      <c r="W61" s="256">
        <f t="shared" si="4"/>
        <v>40.000000000000341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-97.000000000013188</v>
      </c>
      <c r="AG61" s="247">
        <f>N61/K61</f>
        <v>0.94070904645475961</v>
      </c>
      <c r="AH61" s="458"/>
    </row>
    <row r="62" spans="1:34" ht="15" customHeight="1">
      <c r="A62" s="500"/>
      <c r="B62" s="250" t="s">
        <v>136</v>
      </c>
      <c r="C62" s="251"/>
      <c r="D62" s="257" t="s">
        <v>139</v>
      </c>
      <c r="E62" s="253"/>
      <c r="F62" s="250">
        <f>VLOOKUP(D62,廠價表!$C$1:$E$43,3,0)</f>
        <v>28.26</v>
      </c>
      <c r="G62" s="38">
        <v>1284</v>
      </c>
      <c r="H62" s="254">
        <f t="shared" ref="H62:H63" si="35">F62*G62</f>
        <v>36285.840000000004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6">K62/J62</f>
        <v>148.72727272727272</v>
      </c>
      <c r="M62" s="108">
        <v>11</v>
      </c>
      <c r="N62" s="107">
        <f t="shared" ref="N62:N63" si="37">G62/W62*60</f>
        <v>1540.7999999999661</v>
      </c>
      <c r="O62" s="238">
        <f t="shared" ref="O62:O63" si="38">N62/M62</f>
        <v>140.07272727272419</v>
      </c>
      <c r="P62" s="111">
        <f t="shared" ref="P62:P63" si="39">M62-J62</f>
        <v>0</v>
      </c>
      <c r="Q62" s="255">
        <f t="shared" ref="Q62:Q63" si="40">O62-L62</f>
        <v>-8.6545454545485256</v>
      </c>
      <c r="R62" s="85">
        <f t="shared" ref="R62:R63" si="41">O62/L62</f>
        <v>0.94180929095352461</v>
      </c>
      <c r="S62" s="413"/>
      <c r="T62" s="22">
        <v>0.55208333333333304</v>
      </c>
      <c r="U62" s="22">
        <v>0.58680555555555602</v>
      </c>
      <c r="V62" s="30">
        <f t="shared" ref="V62:V63" si="42">(T62-U61)*24*60</f>
        <v>74.999999999999574</v>
      </c>
      <c r="W62" s="248">
        <f t="shared" si="4"/>
        <v>50.000000000001101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-95.200000000033924</v>
      </c>
      <c r="AG62" s="247">
        <f>N62/K62</f>
        <v>0.9418092909535245</v>
      </c>
      <c r="AH62" s="458"/>
    </row>
    <row r="63" spans="1:34" ht="15" customHeight="1">
      <c r="A63" s="500"/>
      <c r="B63" s="258" t="s">
        <v>136</v>
      </c>
      <c r="C63" s="58"/>
      <c r="D63" s="259" t="s">
        <v>140</v>
      </c>
      <c r="E63" s="60"/>
      <c r="F63" s="250">
        <f>VLOOKUP(D63,廠價表!$C$1:$E$43,3,0)</f>
        <v>28.26</v>
      </c>
      <c r="G63" s="260">
        <v>1707</v>
      </c>
      <c r="H63" s="254">
        <f t="shared" si="35"/>
        <v>48239.82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6"/>
        <v>148.72727272727272</v>
      </c>
      <c r="M63" s="68">
        <v>11</v>
      </c>
      <c r="N63" s="107">
        <f t="shared" si="37"/>
        <v>1575.6923076923058</v>
      </c>
      <c r="O63" s="238">
        <f t="shared" si="38"/>
        <v>143.24475524475508</v>
      </c>
      <c r="P63" s="111">
        <f t="shared" si="39"/>
        <v>0</v>
      </c>
      <c r="Q63" s="255">
        <f t="shared" si="40"/>
        <v>-5.4825174825176362</v>
      </c>
      <c r="R63" s="85">
        <f t="shared" si="41"/>
        <v>0.96313710739138514</v>
      </c>
      <c r="S63" s="413"/>
      <c r="T63" s="22">
        <v>0.59375</v>
      </c>
      <c r="U63" s="22">
        <v>0.63888888888888895</v>
      </c>
      <c r="V63" s="30">
        <f t="shared" si="42"/>
        <v>9.999999999999325</v>
      </c>
      <c r="W63" s="248">
        <f t="shared" si="4"/>
        <v>65.000000000000085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/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3">AVERAGE(J59:J68)</f>
        <v>11.8</v>
      </c>
      <c r="K69" s="240">
        <f t="shared" si="43"/>
        <v>1636</v>
      </c>
      <c r="L69" s="268">
        <f t="shared" si="43"/>
        <v>140.79515151515153</v>
      </c>
      <c r="M69" s="240">
        <f t="shared" si="43"/>
        <v>11.8</v>
      </c>
      <c r="N69" s="240">
        <f t="shared" si="43"/>
        <v>1551.4058144796245</v>
      </c>
      <c r="O69" s="268">
        <f t="shared" si="43"/>
        <v>133.39507404360228</v>
      </c>
      <c r="P69" s="269">
        <f>M69-J69</f>
        <v>0</v>
      </c>
      <c r="Q69" s="222">
        <f>N69-K69</f>
        <v>-84.594185520375504</v>
      </c>
      <c r="R69" s="123">
        <f>O69/L69</f>
        <v>0.94744082170505073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-84.594185520375504</v>
      </c>
      <c r="AG69" s="124">
        <f>N69/K69</f>
        <v>0.94829206264035726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2647</v>
      </c>
      <c r="H70" s="243">
        <f>F70*G70</f>
        <v>74804.22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1212.36641221373</v>
      </c>
      <c r="O70" s="138">
        <f>N70/M70</f>
        <v>121.23664122137299</v>
      </c>
      <c r="P70" s="56">
        <f>M70-J70</f>
        <v>-1</v>
      </c>
      <c r="Q70" s="230">
        <f>O70-L70</f>
        <v>-27.490631505899728</v>
      </c>
      <c r="R70" s="52">
        <f>O70/L70</f>
        <v>0.81516079060825364</v>
      </c>
      <c r="S70" s="412">
        <f>R79</f>
        <v>0.83491798050939714</v>
      </c>
      <c r="T70" s="245">
        <v>0.29444444444444401</v>
      </c>
      <c r="U70" s="245">
        <v>0.38541666666666702</v>
      </c>
      <c r="V70" s="55"/>
      <c r="W70" s="54">
        <f t="shared" si="4"/>
        <v>131.00000000000114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-423.63358778627003</v>
      </c>
      <c r="AG70" s="246">
        <f>N70/K70</f>
        <v>0.74105526418932155</v>
      </c>
      <c r="AH70" s="457">
        <f>AG79</f>
        <v>0.77762149709894379</v>
      </c>
    </row>
    <row r="71" spans="1:36" ht="15" customHeight="1">
      <c r="A71" s="495"/>
      <c r="B71" s="75" t="s">
        <v>81</v>
      </c>
      <c r="C71" s="76"/>
      <c r="D71" s="59" t="s">
        <v>119</v>
      </c>
      <c r="E71" s="77"/>
      <c r="F71" s="250">
        <f>VLOOKUP(D71,廠價表!$C$1:$E$43,3,0)</f>
        <v>57.21</v>
      </c>
      <c r="G71" s="202">
        <v>2128</v>
      </c>
      <c r="H71" s="367">
        <f>F71*G71</f>
        <v>121742.88</v>
      </c>
      <c r="I71" s="179"/>
      <c r="J71" s="106">
        <f>VLOOKUP(D71,產線配置圖!$A$3:$C$40,2,0)</f>
        <v>17</v>
      </c>
      <c r="K71" s="107">
        <v>1565</v>
      </c>
      <c r="L71" s="238">
        <f>K71/J71</f>
        <v>92.058823529411768</v>
      </c>
      <c r="M71" s="82">
        <v>16</v>
      </c>
      <c r="N71" s="107">
        <f>G71/W71*60</f>
        <v>1276.7999999999893</v>
      </c>
      <c r="O71" s="238">
        <f>N71/M71</f>
        <v>79.799999999999329</v>
      </c>
      <c r="P71" s="111">
        <f>M71-J71</f>
        <v>-1</v>
      </c>
      <c r="Q71" s="255">
        <f>O71-L71</f>
        <v>-12.258823529412439</v>
      </c>
      <c r="R71" s="85">
        <f>O71/L71</f>
        <v>0.86683706070286803</v>
      </c>
      <c r="S71" s="413"/>
      <c r="T71" s="22">
        <v>0.39236111111111099</v>
      </c>
      <c r="U71" s="22">
        <v>0.46180555555555602</v>
      </c>
      <c r="V71" s="30">
        <f>(T71-U70)*24*60</f>
        <v>9.999999999999325</v>
      </c>
      <c r="W71" s="73">
        <f t="shared" si="4"/>
        <v>100.00000000000084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44">AVERAGE(J70:J78)</f>
        <v>14</v>
      </c>
      <c r="K79" s="240">
        <f t="shared" si="44"/>
        <v>1600.5</v>
      </c>
      <c r="L79" s="268">
        <f t="shared" si="44"/>
        <v>120.39304812834224</v>
      </c>
      <c r="M79" s="240">
        <f t="shared" si="44"/>
        <v>13</v>
      </c>
      <c r="N79" s="240">
        <f t="shared" si="44"/>
        <v>1244.5832061068595</v>
      </c>
      <c r="O79" s="268">
        <f t="shared" si="44"/>
        <v>100.51832061068616</v>
      </c>
      <c r="P79" s="269">
        <f>M79-J79</f>
        <v>-1</v>
      </c>
      <c r="Q79" s="222">
        <f>N79-K79</f>
        <v>-355.91679389314049</v>
      </c>
      <c r="R79" s="223">
        <f>O79/L79</f>
        <v>0.83491798050939714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-355.91679389314049</v>
      </c>
      <c r="AG79" s="124">
        <f>N79/K79</f>
        <v>0.77762149709894379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  <mergeCell ref="AD3:AE3"/>
    <mergeCell ref="AF3:AF4"/>
    <mergeCell ref="AG3:AG4"/>
    <mergeCell ref="AH3:AH4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11" zoomScale="70" zoomScaleNormal="70" workbookViewId="0">
      <selection activeCell="K31" sqref="K3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46217</v>
      </c>
      <c r="E3" s="379"/>
      <c r="F3" s="3" t="s">
        <v>72</v>
      </c>
      <c r="G3" s="380">
        <f>'0714'!E1</f>
        <v>75526</v>
      </c>
      <c r="H3" s="380"/>
      <c r="I3" s="3" t="s">
        <v>2</v>
      </c>
      <c r="J3" s="381">
        <f>'0714'!G1</f>
        <v>3468939.4009999996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121.96052811001189</v>
      </c>
      <c r="G6" s="386"/>
      <c r="H6" s="387">
        <f>AVERAGE(D13:H13)</f>
        <v>119.83918498681524</v>
      </c>
      <c r="I6" s="387"/>
      <c r="J6" s="387">
        <f>AVERAGE(I13:J13)</f>
        <v>127.26388591800358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108.82942296212325</v>
      </c>
      <c r="G7" s="410"/>
      <c r="H7" s="411">
        <f>AVERAGE(D14:H14)</f>
        <v>105.39905879489422</v>
      </c>
      <c r="I7" s="411"/>
      <c r="J7" s="411">
        <f>AVERAGE(I14:J14)</f>
        <v>117.40533338019586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0.89233315605157093</v>
      </c>
      <c r="G8" s="383"/>
      <c r="H8" s="383">
        <f>H7/H6</f>
        <v>0.87950413553371765</v>
      </c>
      <c r="I8" s="383"/>
      <c r="J8" s="383">
        <f>J7/J6</f>
        <v>0.92253456299330971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VALUE('0714'!L15)</f>
        <v>118.82689075630253</v>
      </c>
      <c r="E13" s="13">
        <f>VALUE('0714'!L26)</f>
        <v>171.89952904238618</v>
      </c>
      <c r="F13" s="13">
        <f>VALUE('0714'!L37)</f>
        <v>95.266106442577055</v>
      </c>
      <c r="G13" s="13">
        <f>VALUE('0714'!L48)</f>
        <v>108.53281045751635</v>
      </c>
      <c r="H13" s="13">
        <f>VALUE('0714'!L58)</f>
        <v>104.67058823529412</v>
      </c>
      <c r="I13" s="13">
        <f>VALUE('0714'!L69)</f>
        <v>140.79515151515153</v>
      </c>
      <c r="J13" s="13">
        <f>'0714'!L79</f>
        <v>113.73262032085562</v>
      </c>
    </row>
    <row r="14" spans="2:15" ht="39.950000000000003" customHeight="1">
      <c r="B14" s="404"/>
      <c r="C14" s="12" t="s">
        <v>100</v>
      </c>
      <c r="D14" s="13">
        <f>VALUE('0714'!O15)</f>
        <v>104.35969694996493</v>
      </c>
      <c r="E14" s="13">
        <f>VALUE('0714'!O26)</f>
        <v>152.09369027331209</v>
      </c>
      <c r="F14" s="13">
        <f>VALUE('0714'!O37)</f>
        <v>90.301746937367213</v>
      </c>
      <c r="G14" s="13">
        <f>VALUE('0714'!O48)</f>
        <v>87.072406219899747</v>
      </c>
      <c r="H14" s="13">
        <f>VALUE('0714'!O58)</f>
        <v>93.167753593927188</v>
      </c>
      <c r="I14" s="13">
        <f>VALUE('0714'!O69)</f>
        <v>133.7917583915204</v>
      </c>
      <c r="J14" s="13">
        <f>'0714'!O79</f>
        <v>101.01890836887132</v>
      </c>
    </row>
    <row r="15" spans="2:15" ht="39.950000000000003" customHeight="1">
      <c r="B15" s="405"/>
      <c r="C15" s="10" t="s">
        <v>26</v>
      </c>
      <c r="D15" s="14">
        <f t="shared" ref="D15:I15" si="1">D14/D13</f>
        <v>0.87824983289339942</v>
      </c>
      <c r="E15" s="14">
        <f t="shared" si="1"/>
        <v>0.88478247218355988</v>
      </c>
      <c r="F15" s="14">
        <f t="shared" si="1"/>
        <v>0.94788955179770906</v>
      </c>
      <c r="G15" s="14">
        <f t="shared" si="1"/>
        <v>0.80226805012096336</v>
      </c>
      <c r="H15" s="14">
        <f t="shared" si="1"/>
        <v>0.89010442345552554</v>
      </c>
      <c r="I15" s="14">
        <f t="shared" si="1"/>
        <v>0.95025827915048999</v>
      </c>
      <c r="J15" s="15">
        <f>'0714'!S70</f>
        <v>0.88821402411975447</v>
      </c>
    </row>
    <row r="16" spans="2:15" ht="17.25" customHeight="1">
      <c r="B16" s="406" t="s">
        <v>101</v>
      </c>
      <c r="C16" s="10" t="s">
        <v>34</v>
      </c>
      <c r="D16" s="16">
        <f>'0714'!T5</f>
        <v>0.29236111111111102</v>
      </c>
      <c r="E16" s="16">
        <f>'0714'!T16</f>
        <v>0.28819444444444398</v>
      </c>
      <c r="F16" s="16">
        <f>'0714'!T27</f>
        <v>0.28819444444444398</v>
      </c>
      <c r="G16" s="16">
        <f>'0714'!T38</f>
        <v>0.33611111111111103</v>
      </c>
      <c r="H16" s="16">
        <f>'0714'!T49</f>
        <v>0.29166666666666702</v>
      </c>
      <c r="I16" s="16">
        <f>'0714'!T59</f>
        <v>0.28819444444444398</v>
      </c>
      <c r="J16" s="16">
        <f>'0714'!T70</f>
        <v>0.29861111111111099</v>
      </c>
    </row>
    <row r="17" spans="2:10" ht="17.25" customHeight="1">
      <c r="B17" s="407"/>
      <c r="C17" s="10" t="s">
        <v>35</v>
      </c>
      <c r="D17" s="22">
        <v>0.66666666666666696</v>
      </c>
      <c r="E17" s="19">
        <v>0.66249999999999998</v>
      </c>
      <c r="F17" s="19">
        <v>0.66527777777777797</v>
      </c>
      <c r="G17" s="210">
        <v>0.70902777777777803</v>
      </c>
      <c r="H17" s="21">
        <v>0.66111111111111098</v>
      </c>
      <c r="I17" s="22">
        <v>0.62083333333333302</v>
      </c>
      <c r="J17" s="22">
        <v>0.65138888888888902</v>
      </c>
    </row>
    <row r="18" spans="2:10" ht="17.25" customHeight="1">
      <c r="B18" s="408" t="s">
        <v>102</v>
      </c>
      <c r="C18" s="330" t="s">
        <v>36</v>
      </c>
      <c r="D18" s="357">
        <f>'0714'!Z15</f>
        <v>0</v>
      </c>
      <c r="E18" s="358">
        <f>'0714'!Z26</f>
        <v>0</v>
      </c>
      <c r="F18" s="358">
        <f>'0714'!Z37</f>
        <v>0</v>
      </c>
      <c r="G18" s="359">
        <f>'0714'!Z48</f>
        <v>0</v>
      </c>
      <c r="H18" s="359">
        <f>'0714'!Z58</f>
        <v>0</v>
      </c>
      <c r="I18" s="358">
        <f>'0714'!Z69</f>
        <v>0</v>
      </c>
      <c r="J18" s="358">
        <f>'0714'!AA79</f>
        <v>0</v>
      </c>
    </row>
    <row r="19" spans="2:10" ht="17.25" customHeight="1">
      <c r="B19" s="409"/>
      <c r="C19" s="330" t="s">
        <v>37</v>
      </c>
      <c r="D19" s="357">
        <f>'0714'!AA15</f>
        <v>0</v>
      </c>
      <c r="E19" s="358">
        <f>'0714'!AA26</f>
        <v>0</v>
      </c>
      <c r="F19" s="358">
        <f>'0714'!AA37</f>
        <v>0</v>
      </c>
      <c r="G19" s="359">
        <f>'0714'!AA48</f>
        <v>0</v>
      </c>
      <c r="H19" s="359">
        <f>'0714'!AA58</f>
        <v>0</v>
      </c>
      <c r="I19" s="358">
        <f>'0714'!AA69</f>
        <v>0</v>
      </c>
      <c r="J19" s="358">
        <f>'0714'!AB79</f>
        <v>0</v>
      </c>
    </row>
    <row r="20" spans="2:10" ht="17.25" customHeight="1">
      <c r="B20" s="408" t="s">
        <v>103</v>
      </c>
      <c r="C20" s="330" t="s">
        <v>36</v>
      </c>
      <c r="D20" s="357">
        <f>'0714'!AD15</f>
        <v>0</v>
      </c>
      <c r="E20" s="358">
        <f>'0714'!AD26</f>
        <v>0</v>
      </c>
      <c r="F20" s="358">
        <f>'0714'!AD37</f>
        <v>0</v>
      </c>
      <c r="G20" s="359">
        <f>'0714'!AD48</f>
        <v>0</v>
      </c>
      <c r="H20" s="359">
        <f>'0714'!AD58</f>
        <v>0</v>
      </c>
      <c r="I20" s="358">
        <f>'0714'!AD69</f>
        <v>0</v>
      </c>
      <c r="J20" s="358">
        <f>'0714'!AD79</f>
        <v>0</v>
      </c>
    </row>
    <row r="21" spans="2:10" ht="17.25" customHeight="1">
      <c r="B21" s="409"/>
      <c r="C21" s="330" t="s">
        <v>85</v>
      </c>
      <c r="D21" s="357">
        <f>'0714'!AE15</f>
        <v>0</v>
      </c>
      <c r="E21" s="358">
        <f>'0714'!AE26</f>
        <v>0</v>
      </c>
      <c r="F21" s="358">
        <f>'0714'!AE37</f>
        <v>0</v>
      </c>
      <c r="G21" s="359">
        <f>'0714'!AE48</f>
        <v>0</v>
      </c>
      <c r="H21" s="359">
        <f>'0714'!AE58</f>
        <v>0</v>
      </c>
      <c r="I21" s="358">
        <f>'0714'!AE69</f>
        <v>0</v>
      </c>
      <c r="J21" s="358">
        <f>'0714'!AE79</f>
        <v>0</v>
      </c>
    </row>
    <row r="22" spans="2:10" ht="17.25" customHeight="1">
      <c r="B22" s="392" t="s">
        <v>104</v>
      </c>
      <c r="C22" s="393"/>
      <c r="D22" s="23">
        <f>VALUE('0714'!M15)</f>
        <v>14.2</v>
      </c>
      <c r="E22" s="23">
        <f>VALUE('0714'!M26)</f>
        <v>13.142857142857142</v>
      </c>
      <c r="F22" s="23">
        <f>VALUE('0714'!M37)</f>
        <v>17</v>
      </c>
      <c r="G22" s="23">
        <f>VALUE('0714'!M48)</f>
        <v>16.2</v>
      </c>
      <c r="H22" s="23">
        <f>VALUE('0714'!M58)</f>
        <v>16.600000000000001</v>
      </c>
      <c r="I22" s="23">
        <f>VALUE('0714'!M69)</f>
        <v>11.4</v>
      </c>
      <c r="J22" s="23">
        <f>'0714'!M79</f>
        <v>15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K31" sqref="K31"/>
      <selection pane="topRight" activeCell="K31" sqref="K31"/>
      <selection pane="bottomLeft" activeCell="K31" sqref="K31"/>
      <selection pane="bottomRight" activeCell="K31" sqref="K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75526</v>
      </c>
      <c r="F1" s="30" t="s">
        <v>2</v>
      </c>
      <c r="G1" s="31">
        <f>SUM(H5:H79)</f>
        <v>3468939.4009999996</v>
      </c>
      <c r="H1" s="32" t="s">
        <v>3</v>
      </c>
      <c r="I1" s="33">
        <f>M15+M26+M48+M58+M69+M79+M37</f>
        <v>103.54285714285714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179</v>
      </c>
      <c r="B2" s="418"/>
      <c r="C2" s="28"/>
      <c r="D2" s="28" t="s">
        <v>14</v>
      </c>
      <c r="E2" s="35">
        <f>AVERAGE(O15,O26,O37,O48,O58,O69,O79)</f>
        <v>108.82942296212325</v>
      </c>
      <c r="F2" s="36" t="s">
        <v>15</v>
      </c>
      <c r="G2" s="37">
        <f>G1/E1</f>
        <v>45.930400140349015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3408</v>
      </c>
      <c r="H5" s="43">
        <f>F5*G5</f>
        <v>172683.36000000002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2129.99999999999</v>
      </c>
      <c r="O5" s="47">
        <f>N5/M5</f>
        <v>152.14285714285643</v>
      </c>
      <c r="P5" s="49">
        <f>M5-J5</f>
        <v>0</v>
      </c>
      <c r="Q5" s="50">
        <f>O5-L5</f>
        <v>-8.5714285714292942</v>
      </c>
      <c r="R5" s="51">
        <f>O5/L5</f>
        <v>0.94666666666666222</v>
      </c>
      <c r="S5" s="412">
        <f>R15</f>
        <v>0.87824983289339942</v>
      </c>
      <c r="T5" s="319">
        <v>0.29236111111111102</v>
      </c>
      <c r="U5" s="320">
        <v>0.359027777777778</v>
      </c>
      <c r="V5" s="53"/>
      <c r="W5" s="54">
        <f t="shared" ref="W5:W14" si="0">(U5-T5)*24*60</f>
        <v>96.000000000000455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-120.00000000001</v>
      </c>
      <c r="AG5" s="52">
        <f t="shared" ref="AG5:AG11" si="2">N5/K5</f>
        <v>0.94666666666666222</v>
      </c>
      <c r="AH5" s="457">
        <f>AG15</f>
        <v>0.80949855368843537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5422</v>
      </c>
      <c r="H6" s="63">
        <f>F6*G6</f>
        <v>266437.08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2154.437086092717</v>
      </c>
      <c r="O6" s="67">
        <f>N6/M6</f>
        <v>153.88836329233692</v>
      </c>
      <c r="P6" s="69">
        <f>M6-J6</f>
        <v>0</v>
      </c>
      <c r="Q6" s="70">
        <f>O6-L6</f>
        <v>-6.8259224219488033</v>
      </c>
      <c r="R6" s="71">
        <f>O6/L6</f>
        <v>0.95752759381898522</v>
      </c>
      <c r="S6" s="413"/>
      <c r="T6" s="16">
        <v>0.374305555555556</v>
      </c>
      <c r="U6" s="16">
        <v>0.47916666666666702</v>
      </c>
      <c r="V6" s="30">
        <f>(T6-U5)*24*60</f>
        <v>22.00000000000032</v>
      </c>
      <c r="W6" s="73">
        <f t="shared" si="0"/>
        <v>150.99999999999986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-95.562913907283018</v>
      </c>
      <c r="AG6" s="72">
        <f t="shared" si="2"/>
        <v>0.95752759381898533</v>
      </c>
      <c r="AH6" s="458"/>
    </row>
    <row r="7" spans="1:34" ht="15" customHeight="1">
      <c r="A7" s="424"/>
      <c r="B7" s="75" t="s">
        <v>81</v>
      </c>
      <c r="C7" s="76"/>
      <c r="D7" s="59" t="s">
        <v>123</v>
      </c>
      <c r="E7" s="77"/>
      <c r="F7" s="61">
        <f>VLOOKUP(D7,廠價表!$C$1:$E$43,3,0)</f>
        <v>45.66</v>
      </c>
      <c r="G7" s="66">
        <v>808</v>
      </c>
      <c r="H7" s="78">
        <f>F7*G7</f>
        <v>36893.279999999999</v>
      </c>
      <c r="I7" s="73"/>
      <c r="J7" s="79">
        <f>VLOOKUP(D7,產線配置圖!$A$3:$C$40,2,0)</f>
        <v>17</v>
      </c>
      <c r="K7" s="80">
        <f>VLOOKUP(D7,產線配置圖!$A$3:$C$40,3,0)</f>
        <v>1500</v>
      </c>
      <c r="L7" s="81">
        <f>K7/J7</f>
        <v>88.235294117647058</v>
      </c>
      <c r="M7" s="82">
        <v>14</v>
      </c>
      <c r="N7" s="80">
        <f>G7/W7*60</f>
        <v>850.5263157894791</v>
      </c>
      <c r="O7" s="81">
        <f>N7/M7</f>
        <v>60.751879699248505</v>
      </c>
      <c r="P7" s="74">
        <f>M7-J7</f>
        <v>-3</v>
      </c>
      <c r="Q7" s="83">
        <f>O7-L7</f>
        <v>-27.483414418398553</v>
      </c>
      <c r="R7" s="72">
        <f>O7/L7</f>
        <v>0.68852130325814975</v>
      </c>
      <c r="S7" s="413"/>
      <c r="T7" s="18">
        <v>0.54513888888888895</v>
      </c>
      <c r="U7" s="16">
        <v>0.58472222222222203</v>
      </c>
      <c r="V7" s="30">
        <f>(T7-U6)*24*60</f>
        <v>94.999999999999588</v>
      </c>
      <c r="W7" s="73">
        <f t="shared" si="0"/>
        <v>56.999999999999638</v>
      </c>
      <c r="X7" s="22"/>
      <c r="Y7" s="84"/>
      <c r="Z7" s="90"/>
      <c r="AA7" s="90"/>
      <c r="AB7" s="462" t="s">
        <v>180</v>
      </c>
      <c r="AC7" s="462"/>
      <c r="AD7" s="92"/>
      <c r="AE7" s="92"/>
      <c r="AF7" s="307">
        <f t="shared" si="1"/>
        <v>-649.4736842105209</v>
      </c>
      <c r="AG7" s="72">
        <f t="shared" si="2"/>
        <v>0.56701754385965275</v>
      </c>
      <c r="AH7" s="458"/>
    </row>
    <row r="8" spans="1:34" ht="15" customHeight="1">
      <c r="A8" s="424"/>
      <c r="B8" s="75" t="s">
        <v>81</v>
      </c>
      <c r="C8" s="76"/>
      <c r="D8" s="59" t="s">
        <v>123</v>
      </c>
      <c r="E8" s="77"/>
      <c r="F8" s="61">
        <f>VLOOKUP(D8,廠價表!$C$1:$E$43,3,0)</f>
        <v>45.66</v>
      </c>
      <c r="G8" s="66">
        <v>392</v>
      </c>
      <c r="H8" s="78">
        <f t="shared" ref="H8:H9" si="3">F8*G8</f>
        <v>17898.719999999998</v>
      </c>
      <c r="I8" s="73"/>
      <c r="J8" s="65">
        <f>VLOOKUP(D8,產線配置圖!$A$3:$C$40,2,0)</f>
        <v>17</v>
      </c>
      <c r="K8" s="66">
        <f>VLOOKUP(D8,產線配置圖!$A$3:$C$40,3,0)</f>
        <v>1500</v>
      </c>
      <c r="L8" s="67">
        <f>K8/J8</f>
        <v>88.235294117647058</v>
      </c>
      <c r="M8" s="82">
        <v>14</v>
      </c>
      <c r="N8" s="80">
        <f t="shared" ref="N8:N9" si="4">G8/W8*60</f>
        <v>904.61538461535997</v>
      </c>
      <c r="O8" s="81">
        <f t="shared" ref="O8:O9" si="5">N8/M8</f>
        <v>64.615384615382851</v>
      </c>
      <c r="P8" s="74">
        <f t="shared" ref="P8:P9" si="6">M8-J8</f>
        <v>-3</v>
      </c>
      <c r="Q8" s="83">
        <f t="shared" ref="Q8:Q9" si="7">O8-L8</f>
        <v>-23.619909502264207</v>
      </c>
      <c r="R8" s="72">
        <f t="shared" ref="R8:R9" si="8">O8/L8</f>
        <v>0.73230769230767234</v>
      </c>
      <c r="S8" s="413"/>
      <c r="T8" s="16">
        <v>0.60694444444444395</v>
      </c>
      <c r="U8" s="22">
        <v>0.625</v>
      </c>
      <c r="V8" s="30">
        <f t="shared" ref="V8:V9" si="9">(T8-U7)*24*60</f>
        <v>31.999999999999567</v>
      </c>
      <c r="W8" s="73">
        <f t="shared" si="0"/>
        <v>26.000000000000707</v>
      </c>
      <c r="X8" s="22"/>
      <c r="Y8" s="84"/>
      <c r="Z8" s="90"/>
      <c r="AA8" s="90"/>
      <c r="AB8" s="461" t="s">
        <v>143</v>
      </c>
      <c r="AC8" s="461"/>
      <c r="AD8" s="149"/>
      <c r="AE8" s="149"/>
      <c r="AF8" s="307">
        <f t="shared" si="1"/>
        <v>-595.38461538464003</v>
      </c>
      <c r="AG8" s="72">
        <f t="shared" si="2"/>
        <v>0.60307692307690663</v>
      </c>
      <c r="AH8" s="458"/>
    </row>
    <row r="9" spans="1:34" ht="15" customHeight="1">
      <c r="A9" s="425"/>
      <c r="B9" s="75" t="s">
        <v>81</v>
      </c>
      <c r="C9" s="88"/>
      <c r="D9" s="59" t="s">
        <v>181</v>
      </c>
      <c r="E9" s="89"/>
      <c r="F9" s="61">
        <f>VLOOKUP(D9,廠價表!$C$1:$E$43,3,0)</f>
        <v>43.89</v>
      </c>
      <c r="G9" s="90">
        <v>1017</v>
      </c>
      <c r="H9" s="78">
        <f t="shared" si="3"/>
        <v>44636.13</v>
      </c>
      <c r="I9" s="92"/>
      <c r="J9" s="79">
        <f>VLOOKUP(D9,產線配置圖!$A$3:$C$40,2,0)</f>
        <v>17</v>
      </c>
      <c r="K9" s="80">
        <f>VLOOKUP(D9,產線配置圖!$A$3:$C$40,3,0)</f>
        <v>1636</v>
      </c>
      <c r="L9" s="81">
        <f>K9/J9</f>
        <v>96.235294117647058</v>
      </c>
      <c r="M9" s="94">
        <v>15</v>
      </c>
      <c r="N9" s="80">
        <f t="shared" si="4"/>
        <v>1356</v>
      </c>
      <c r="O9" s="81">
        <f t="shared" si="5"/>
        <v>90.4</v>
      </c>
      <c r="P9" s="74">
        <f t="shared" si="6"/>
        <v>-2</v>
      </c>
      <c r="Q9" s="83">
        <f t="shared" si="7"/>
        <v>-5.8352941176470523</v>
      </c>
      <c r="R9" s="72">
        <f t="shared" si="8"/>
        <v>0.93936430317848418</v>
      </c>
      <c r="S9" s="414"/>
      <c r="T9" s="22">
        <v>0.63541666666666696</v>
      </c>
      <c r="U9" s="22">
        <v>0.66666666666666696</v>
      </c>
      <c r="V9" s="30">
        <f t="shared" si="9"/>
        <v>15.000000000000426</v>
      </c>
      <c r="W9" s="73">
        <f t="shared" si="0"/>
        <v>45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-280</v>
      </c>
      <c r="AG9" s="72">
        <f t="shared" si="2"/>
        <v>0.82885085574572126</v>
      </c>
      <c r="AH9" s="459"/>
    </row>
    <row r="10" spans="1:34" ht="15" customHeight="1">
      <c r="A10" s="425"/>
      <c r="B10" s="101"/>
      <c r="C10" s="102"/>
      <c r="D10" s="103"/>
      <c r="E10" s="104"/>
      <c r="F10" s="105"/>
      <c r="G10" s="62"/>
      <c r="H10" s="78"/>
      <c r="I10" s="38"/>
      <c r="J10" s="106"/>
      <c r="K10" s="107"/>
      <c r="L10" s="81"/>
      <c r="M10" s="108"/>
      <c r="N10" s="80"/>
      <c r="O10" s="81"/>
      <c r="P10" s="74"/>
      <c r="Q10" s="83"/>
      <c r="R10" s="72"/>
      <c r="S10" s="414"/>
      <c r="T10" s="109"/>
      <c r="U10" s="109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10">AVERAGE(J5:J14)</f>
        <v>15.8</v>
      </c>
      <c r="K15" s="120">
        <f t="shared" si="10"/>
        <v>1827.2</v>
      </c>
      <c r="L15" s="117">
        <f t="shared" si="10"/>
        <v>118.82689075630253</v>
      </c>
      <c r="M15" s="120">
        <f t="shared" si="10"/>
        <v>14.2</v>
      </c>
      <c r="N15" s="120">
        <f t="shared" si="10"/>
        <v>1479.1157572995091</v>
      </c>
      <c r="O15" s="117">
        <f t="shared" si="10"/>
        <v>104.35969694996493</v>
      </c>
      <c r="P15" s="121">
        <f>M15-J15</f>
        <v>-1.6000000000000014</v>
      </c>
      <c r="Q15" s="122">
        <f>O15-L15</f>
        <v>-14.467193806337605</v>
      </c>
      <c r="R15" s="123">
        <f>O15/L15</f>
        <v>0.87824983289339942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-348.0842427004909</v>
      </c>
      <c r="AG15" s="124">
        <f>N15/K15</f>
        <v>0.80949855368843537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2780</v>
      </c>
      <c r="H16" s="134">
        <f>F16*G16</f>
        <v>140862.6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2166.2337662337336</v>
      </c>
      <c r="O16" s="141">
        <f>N16/M16</f>
        <v>166.63336663336412</v>
      </c>
      <c r="P16" s="142">
        <f>M16-J16</f>
        <v>0</v>
      </c>
      <c r="Q16" s="143">
        <f>O16-L16</f>
        <v>-6.443556443558947</v>
      </c>
      <c r="R16" s="144">
        <f>O16/L16</f>
        <v>0.96277056277054829</v>
      </c>
      <c r="S16" s="468">
        <f>R26</f>
        <v>0.88478247218355988</v>
      </c>
      <c r="T16" s="145">
        <v>0.28819444444444398</v>
      </c>
      <c r="U16" s="145">
        <v>0.34166666666666701</v>
      </c>
      <c r="V16" s="135"/>
      <c r="W16" s="146">
        <f t="shared" ref="W16:W78" si="11">(U16-T16)*24*60</f>
        <v>77.000000000001165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-83.766233766266396</v>
      </c>
      <c r="AG16" s="52">
        <f>N16/K16</f>
        <v>0.96277056277054829</v>
      </c>
      <c r="AH16" s="457">
        <f>AG26</f>
        <v>0.88213504453840563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3059</v>
      </c>
      <c r="H17" s="78">
        <f>F17*G17</f>
        <v>173965.33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2159.2941176470499</v>
      </c>
      <c r="O17" s="96">
        <f>N17/M17</f>
        <v>154.23529411764642</v>
      </c>
      <c r="P17" s="97">
        <f>M17-J17</f>
        <v>0</v>
      </c>
      <c r="Q17" s="98">
        <f>O17-L17</f>
        <v>-6.4789915966393039</v>
      </c>
      <c r="R17" s="99">
        <f>O17/L17</f>
        <v>0.95968627450979993</v>
      </c>
      <c r="S17" s="469"/>
      <c r="T17" s="19">
        <v>0.34652777777777799</v>
      </c>
      <c r="U17" s="19">
        <v>0.405555555555556</v>
      </c>
      <c r="V17" s="30">
        <f>(T17-U16)*24*60</f>
        <v>6.9999999999998153</v>
      </c>
      <c r="W17" s="149">
        <f t="shared" si="11"/>
        <v>85.000000000000341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-90.705882352950084</v>
      </c>
      <c r="AG17" s="72">
        <f>N17/K17</f>
        <v>0.95968627450979993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1432</v>
      </c>
      <c r="H18" s="78">
        <f>F18*G18</f>
        <v>83299.44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2148.0000000000591</v>
      </c>
      <c r="O18" s="96">
        <f>N18/M18</f>
        <v>153.42857142857565</v>
      </c>
      <c r="P18" s="97">
        <f>M18-J18</f>
        <v>0</v>
      </c>
      <c r="Q18" s="98">
        <f>O18-L18</f>
        <v>-7.2857142857100712</v>
      </c>
      <c r="R18" s="99">
        <f>O18/L18</f>
        <v>0.95466666666669286</v>
      </c>
      <c r="S18" s="469"/>
      <c r="T18" s="19">
        <v>0.41041666666666698</v>
      </c>
      <c r="U18" s="19">
        <v>0.438194444444444</v>
      </c>
      <c r="V18" s="30">
        <f>(T18-U17)*24*60</f>
        <v>6.9999999999998153</v>
      </c>
      <c r="W18" s="149">
        <f t="shared" si="11"/>
        <v>39.999999999998899</v>
      </c>
      <c r="X18" s="22">
        <v>0.48611111111111099</v>
      </c>
      <c r="Y18" s="84">
        <v>0.52777777777777801</v>
      </c>
      <c r="Z18" s="90"/>
      <c r="AA18" s="90"/>
      <c r="AB18" s="462"/>
      <c r="AC18" s="462"/>
      <c r="AD18" s="92"/>
      <c r="AE18" s="92"/>
      <c r="AF18" s="307">
        <f>N18-K18</f>
        <v>-101.99999999994088</v>
      </c>
      <c r="AG18" s="72">
        <f>N18/K18</f>
        <v>0.95466666666669298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1856</v>
      </c>
      <c r="H19" s="78">
        <f t="shared" ref="H19:H22" si="12">F19*G19</f>
        <v>93523.839999999997</v>
      </c>
      <c r="I19" s="30"/>
      <c r="J19" s="79">
        <v>12</v>
      </c>
      <c r="K19" s="80">
        <f>VLOOKUP(D19,產線配置圖!$A$3:$C$40,3,0)</f>
        <v>2250</v>
      </c>
      <c r="L19" s="81">
        <f t="shared" ref="L19:L22" si="13">K19/J19</f>
        <v>187.5</v>
      </c>
      <c r="M19" s="148">
        <v>12</v>
      </c>
      <c r="N19" s="95">
        <f t="shared" ref="N19:N22" si="14">G19/W19*60</f>
        <v>2141.538461538466</v>
      </c>
      <c r="O19" s="96">
        <f t="shared" ref="O19:O22" si="15">N19/M19</f>
        <v>178.46153846153882</v>
      </c>
      <c r="P19" s="97">
        <f t="shared" ref="P19:P22" si="16">M19-J19</f>
        <v>0</v>
      </c>
      <c r="Q19" s="98">
        <f t="shared" ref="Q19:Q22" si="17">O19-L19</f>
        <v>-9.0384615384611777</v>
      </c>
      <c r="R19" s="99">
        <f t="shared" ref="R19:R22" si="18">O19/L19</f>
        <v>0.95179487179487376</v>
      </c>
      <c r="S19" s="469"/>
      <c r="T19" s="19">
        <v>0.44305555555555598</v>
      </c>
      <c r="U19" s="19">
        <v>0.47916666666666702</v>
      </c>
      <c r="V19" s="30">
        <f>(T19-U18)*24*60</f>
        <v>7.0000000000012541</v>
      </c>
      <c r="W19" s="149">
        <f t="shared" si="11"/>
        <v>51.999999999999893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-108.46153846153402</v>
      </c>
      <c r="AG19" s="72">
        <f>N19/K19</f>
        <v>0.95179487179487376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3135</v>
      </c>
      <c r="H20" s="78">
        <f t="shared" si="12"/>
        <v>157972.65</v>
      </c>
      <c r="I20" s="30"/>
      <c r="J20" s="79">
        <v>12</v>
      </c>
      <c r="K20" s="80">
        <f>VLOOKUP(D20,產線配置圖!$A$3:$C$40,3,0)</f>
        <v>2250</v>
      </c>
      <c r="L20" s="81">
        <f t="shared" si="13"/>
        <v>187.5</v>
      </c>
      <c r="M20" s="148">
        <v>12</v>
      </c>
      <c r="N20" s="95">
        <f t="shared" si="14"/>
        <v>2137.5000000000036</v>
      </c>
      <c r="O20" s="96">
        <f t="shared" si="15"/>
        <v>178.12500000000031</v>
      </c>
      <c r="P20" s="97">
        <f t="shared" si="16"/>
        <v>0</v>
      </c>
      <c r="Q20" s="98">
        <f t="shared" si="17"/>
        <v>-9.3749999999996874</v>
      </c>
      <c r="R20" s="99">
        <f t="shared" si="18"/>
        <v>0.95000000000000162</v>
      </c>
      <c r="S20" s="469"/>
      <c r="T20" s="19">
        <v>0.54166666666666696</v>
      </c>
      <c r="U20" s="19">
        <v>0.60277777777777797</v>
      </c>
      <c r="V20" s="30">
        <f>(T20-U19)*24*60</f>
        <v>89.999999999999915</v>
      </c>
      <c r="W20" s="149">
        <f t="shared" si="11"/>
        <v>87.999999999999844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942</v>
      </c>
      <c r="H21" s="78">
        <f t="shared" si="12"/>
        <v>47731.14</v>
      </c>
      <c r="I21" s="30"/>
      <c r="J21" s="79">
        <v>13</v>
      </c>
      <c r="K21" s="80">
        <f>VLOOKUP(D21,產線配置圖!$A$3:$C$40,3,0)</f>
        <v>2250</v>
      </c>
      <c r="L21" s="81">
        <f t="shared" si="13"/>
        <v>173.07692307692307</v>
      </c>
      <c r="M21" s="148">
        <v>13</v>
      </c>
      <c r="N21" s="95">
        <f t="shared" si="14"/>
        <v>1712.7272727272455</v>
      </c>
      <c r="O21" s="96">
        <f t="shared" si="15"/>
        <v>131.74825174824966</v>
      </c>
      <c r="P21" s="97">
        <f t="shared" si="16"/>
        <v>0</v>
      </c>
      <c r="Q21" s="98">
        <f t="shared" si="17"/>
        <v>-41.328671328673408</v>
      </c>
      <c r="R21" s="99">
        <f t="shared" si="18"/>
        <v>0.76121212121210913</v>
      </c>
      <c r="S21" s="469"/>
      <c r="T21" s="19">
        <v>0.60694444444444395</v>
      </c>
      <c r="U21" s="19">
        <v>0.62986111111111098</v>
      </c>
      <c r="V21" s="30">
        <f t="shared" ref="V21:V22" si="19">(T21-U20)*24*60</f>
        <v>5.9999999999990195</v>
      </c>
      <c r="W21" s="149">
        <f t="shared" si="11"/>
        <v>33.000000000000526</v>
      </c>
      <c r="X21" s="92"/>
      <c r="Y21" s="298"/>
      <c r="Z21" s="90"/>
      <c r="AA21" s="90"/>
      <c r="AB21" s="461" t="s">
        <v>143</v>
      </c>
      <c r="AC21" s="461"/>
      <c r="AD21" s="92"/>
      <c r="AE21" s="92"/>
      <c r="AF21" s="308"/>
      <c r="AG21" s="85"/>
      <c r="AH21" s="459"/>
    </row>
    <row r="22" spans="1:34" ht="15" customHeight="1">
      <c r="A22" s="476"/>
      <c r="B22" s="30" t="s">
        <v>81</v>
      </c>
      <c r="C22" s="151"/>
      <c r="D22" s="59" t="s">
        <v>115</v>
      </c>
      <c r="E22" s="87"/>
      <c r="F22" s="75">
        <f>VLOOKUP(D22,廠價表!$C$1:$E$43,3,0)</f>
        <v>58.17</v>
      </c>
      <c r="G22" s="95">
        <v>857</v>
      </c>
      <c r="H22" s="78">
        <f t="shared" si="12"/>
        <v>49851.69</v>
      </c>
      <c r="I22" s="30"/>
      <c r="J22" s="79">
        <v>14</v>
      </c>
      <c r="K22" s="80">
        <f>VLOOKUP(D22,產線配置圖!$A$3:$C$40,3,0)</f>
        <v>2250</v>
      </c>
      <c r="L22" s="81">
        <f t="shared" si="13"/>
        <v>160.71428571428572</v>
      </c>
      <c r="M22" s="148">
        <v>14</v>
      </c>
      <c r="N22" s="95">
        <f t="shared" si="14"/>
        <v>1428.3333333333321</v>
      </c>
      <c r="O22" s="96">
        <f t="shared" si="15"/>
        <v>102.02380952380943</v>
      </c>
      <c r="P22" s="97">
        <f t="shared" si="16"/>
        <v>0</v>
      </c>
      <c r="Q22" s="98">
        <f t="shared" si="17"/>
        <v>-58.690476190476289</v>
      </c>
      <c r="R22" s="99">
        <f t="shared" si="18"/>
        <v>0.63481481481481417</v>
      </c>
      <c r="S22" s="469"/>
      <c r="T22" s="19">
        <v>0.63749999999999996</v>
      </c>
      <c r="U22" s="19">
        <v>0.66249999999999998</v>
      </c>
      <c r="V22" s="30">
        <f t="shared" si="19"/>
        <v>11.000000000000121</v>
      </c>
      <c r="W22" s="149">
        <f t="shared" si="11"/>
        <v>36.000000000000028</v>
      </c>
      <c r="X22" s="92"/>
      <c r="Y22" s="298"/>
      <c r="Z22" s="90"/>
      <c r="AA22" s="90"/>
      <c r="AB22" s="461" t="s">
        <v>143</v>
      </c>
      <c r="AC22" s="461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9"/>
      <c r="U23" s="19"/>
      <c r="W23" s="149">
        <f t="shared" si="11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20">AVERAGE(J16:J25)</f>
        <v>13.142857142857142</v>
      </c>
      <c r="K26" s="155">
        <f t="shared" si="20"/>
        <v>2250</v>
      </c>
      <c r="L26" s="158">
        <f t="shared" si="20"/>
        <v>171.89952904238618</v>
      </c>
      <c r="M26" s="155">
        <f t="shared" si="20"/>
        <v>13.142857142857142</v>
      </c>
      <c r="N26" s="155">
        <f t="shared" si="20"/>
        <v>1984.8038502114127</v>
      </c>
      <c r="O26" s="158">
        <f t="shared" si="20"/>
        <v>152.09369027331209</v>
      </c>
      <c r="P26" s="159">
        <f>M26-J26</f>
        <v>0</v>
      </c>
      <c r="Q26" s="160">
        <f>O26-L26</f>
        <v>-19.805838769074086</v>
      </c>
      <c r="R26" s="161">
        <f>O26/L26</f>
        <v>0.88478247218355988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21">N26-K26</f>
        <v>-265.19614978858726</v>
      </c>
      <c r="AG26" s="124">
        <f t="shared" ref="AG26:AG31" si="22">N26/K26</f>
        <v>0.88213504453840563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1710</v>
      </c>
      <c r="H27" s="134">
        <f>F27*G27</f>
        <v>78078.599999999991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1578.4615384615342</v>
      </c>
      <c r="O27" s="141">
        <f>N27/M27</f>
        <v>92.85067873303143</v>
      </c>
      <c r="P27" s="142">
        <f>M27-J27</f>
        <v>0</v>
      </c>
      <c r="Q27" s="143">
        <f>O27-L27</f>
        <v>-3.3846153846156284</v>
      </c>
      <c r="R27" s="144">
        <f>O27/L27</f>
        <v>0.96482979123565671</v>
      </c>
      <c r="S27" s="468">
        <f>R37</f>
        <v>0.94788955179770906</v>
      </c>
      <c r="T27" s="171">
        <v>0.28819444444444398</v>
      </c>
      <c r="U27" s="171">
        <v>0.33333333333333298</v>
      </c>
      <c r="V27" s="135"/>
      <c r="W27" s="146">
        <f t="shared" si="11"/>
        <v>65.000000000000171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21"/>
        <v>-57.538461538465754</v>
      </c>
      <c r="AG27" s="172">
        <f t="shared" si="22"/>
        <v>0.9648297912356566</v>
      </c>
      <c r="AH27" s="457">
        <f>AG37</f>
        <v>0.94796085783419248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1538</v>
      </c>
      <c r="H28" s="91">
        <f>F28*G28</f>
        <v>71270.92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1564.0677966101794</v>
      </c>
      <c r="O28" s="96">
        <f>N28/M28</f>
        <v>97.75423728813621</v>
      </c>
      <c r="P28" s="97">
        <f>M28-J28</f>
        <v>0</v>
      </c>
      <c r="Q28" s="98">
        <f>O28-L28</f>
        <v>-4.4957627118637902</v>
      </c>
      <c r="R28" s="99">
        <f>O28/L28</f>
        <v>0.95603166051966948</v>
      </c>
      <c r="S28" s="469"/>
      <c r="T28" s="19">
        <v>0.33888888888888902</v>
      </c>
      <c r="U28" s="19">
        <v>0.37986111111111098</v>
      </c>
      <c r="V28" s="92">
        <f>(T28-U27)*24*60</f>
        <v>8.000000000000691</v>
      </c>
      <c r="W28" s="149">
        <f t="shared" si="11"/>
        <v>58.999999999999631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21"/>
        <v>-71.932203389820643</v>
      </c>
      <c r="AG28" s="99">
        <f t="shared" si="22"/>
        <v>0.95603166051966948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793</v>
      </c>
      <c r="H29" s="91">
        <f>F29*G29</f>
        <v>45367.53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 t="shared" ref="N29:N33" si="23">G29/W29*60</f>
        <v>1486.8750000000164</v>
      </c>
      <c r="O29" s="96">
        <f t="shared" ref="O29:O33" si="24">N29/M29</f>
        <v>82.604166666667581</v>
      </c>
      <c r="P29" s="97">
        <f t="shared" ref="P29:P33" si="25">M29-J29</f>
        <v>0</v>
      </c>
      <c r="Q29" s="98">
        <f t="shared" ref="Q29:Q33" si="26">O29-L29</f>
        <v>-4.340277777776862</v>
      </c>
      <c r="R29" s="99">
        <f t="shared" ref="R29:R33" si="27">O29/L29</f>
        <v>0.95007987220448342</v>
      </c>
      <c r="S29" s="469"/>
      <c r="T29" s="19">
        <v>0.38541666666666702</v>
      </c>
      <c r="U29" s="19">
        <v>0.40763888888888899</v>
      </c>
      <c r="V29" s="92">
        <f>(T29-U28)*24*60</f>
        <v>8.000000000000691</v>
      </c>
      <c r="W29" s="149">
        <f t="shared" si="11"/>
        <v>31.999999999999645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21"/>
        <v>-78.124999999983629</v>
      </c>
      <c r="AG29" s="99">
        <f t="shared" si="22"/>
        <v>0.95007987220448331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2084</v>
      </c>
      <c r="H30" s="91">
        <f t="shared" ref="H30:H33" si="28">F30*G30</f>
        <v>119225.64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29">K30/J30</f>
        <v>90.888888888888886</v>
      </c>
      <c r="M30" s="94">
        <v>18</v>
      </c>
      <c r="N30" s="95">
        <f t="shared" si="23"/>
        <v>1562.9999999999866</v>
      </c>
      <c r="O30" s="96">
        <f t="shared" si="24"/>
        <v>86.83333333333259</v>
      </c>
      <c r="P30" s="97">
        <f t="shared" si="25"/>
        <v>0</v>
      </c>
      <c r="Q30" s="98">
        <f t="shared" si="26"/>
        <v>-4.0555555555562961</v>
      </c>
      <c r="R30" s="99">
        <f t="shared" si="27"/>
        <v>0.95537897310512632</v>
      </c>
      <c r="S30" s="469"/>
      <c r="T30" s="19">
        <v>0.41319444444444398</v>
      </c>
      <c r="U30" s="19">
        <v>0.46875</v>
      </c>
      <c r="V30" s="92">
        <f>(T30-U29)*24*60</f>
        <v>7.9999999999991722</v>
      </c>
      <c r="W30" s="149">
        <f t="shared" si="11"/>
        <v>80.000000000000682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21"/>
        <v>-73.000000000013415</v>
      </c>
      <c r="AG30" s="99">
        <f t="shared" si="22"/>
        <v>0.95537897310512632</v>
      </c>
      <c r="AH30" s="479"/>
    </row>
    <row r="31" spans="1:34" ht="15" customHeight="1">
      <c r="A31" s="466"/>
      <c r="B31" s="75" t="s">
        <v>81</v>
      </c>
      <c r="C31" s="88"/>
      <c r="D31" s="59" t="s">
        <v>119</v>
      </c>
      <c r="E31" s="89"/>
      <c r="F31" s="75">
        <f>VLOOKUP(D31,廠價表!$C$1:$E$43,3,0)</f>
        <v>57.21</v>
      </c>
      <c r="G31" s="90">
        <v>1035</v>
      </c>
      <c r="H31" s="91">
        <f t="shared" si="28"/>
        <v>59212.35</v>
      </c>
      <c r="I31" s="92"/>
      <c r="J31" s="79">
        <f>VLOOKUP(D31,產線配置圖!$A$3:$C$40,2,0)</f>
        <v>17</v>
      </c>
      <c r="K31" s="80">
        <v>1565</v>
      </c>
      <c r="L31" s="93">
        <f t="shared" si="29"/>
        <v>92.058823529411768</v>
      </c>
      <c r="M31" s="94">
        <v>17</v>
      </c>
      <c r="N31" s="95">
        <f t="shared" si="23"/>
        <v>1478.5714285714621</v>
      </c>
      <c r="O31" s="96">
        <f t="shared" si="24"/>
        <v>86.974789915968358</v>
      </c>
      <c r="P31" s="97">
        <f t="shared" si="25"/>
        <v>0</v>
      </c>
      <c r="Q31" s="98">
        <f t="shared" si="26"/>
        <v>-5.0840336134434096</v>
      </c>
      <c r="R31" s="99">
        <f t="shared" si="27"/>
        <v>0.94477407576451244</v>
      </c>
      <c r="S31" s="469"/>
      <c r="T31" s="19">
        <v>0.52777777777777801</v>
      </c>
      <c r="U31" s="19">
        <v>0.55694444444444402</v>
      </c>
      <c r="V31" s="92">
        <f t="shared" ref="V31:V33" si="30">(T31-U30)*24*60</f>
        <v>85.000000000000341</v>
      </c>
      <c r="W31" s="149">
        <f t="shared" si="11"/>
        <v>41.999999999999048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21"/>
        <v>-86.428571428537907</v>
      </c>
      <c r="AG31" s="99">
        <f t="shared" si="22"/>
        <v>0.94477407576451256</v>
      </c>
      <c r="AH31" s="459"/>
    </row>
    <row r="32" spans="1:34" ht="15" customHeight="1">
      <c r="A32" s="466"/>
      <c r="B32" s="75" t="s">
        <v>81</v>
      </c>
      <c r="C32" s="177"/>
      <c r="D32" s="59" t="s">
        <v>141</v>
      </c>
      <c r="E32" s="178"/>
      <c r="F32" s="75">
        <f>VLOOKUP(D32,廠價表!$C$1:$E$43,3,0)</f>
        <v>46.34</v>
      </c>
      <c r="G32" s="90">
        <v>2000</v>
      </c>
      <c r="H32" s="91">
        <f t="shared" si="28"/>
        <v>92680</v>
      </c>
      <c r="I32" s="92"/>
      <c r="J32" s="79">
        <f>VLOOKUP(D32,產線配置圖!$A$3:$C$40,2,0)</f>
        <v>16</v>
      </c>
      <c r="K32" s="80">
        <v>1636</v>
      </c>
      <c r="L32" s="93">
        <f t="shared" si="29"/>
        <v>102.25</v>
      </c>
      <c r="M32" s="94">
        <v>16</v>
      </c>
      <c r="N32" s="95">
        <f t="shared" si="23"/>
        <v>1538.4615384615281</v>
      </c>
      <c r="O32" s="96">
        <f t="shared" si="24"/>
        <v>96.153846153845507</v>
      </c>
      <c r="P32" s="97">
        <f t="shared" si="25"/>
        <v>0</v>
      </c>
      <c r="Q32" s="98">
        <f t="shared" si="26"/>
        <v>-6.0961538461544933</v>
      </c>
      <c r="R32" s="99">
        <f t="shared" si="27"/>
        <v>0.94037991348504169</v>
      </c>
      <c r="S32" s="469"/>
      <c r="T32" s="19">
        <v>0.5625</v>
      </c>
      <c r="U32" s="19">
        <v>0.61666666666666703</v>
      </c>
      <c r="V32" s="92">
        <f t="shared" si="30"/>
        <v>8.0000000000006111</v>
      </c>
      <c r="W32" s="149">
        <f t="shared" si="11"/>
        <v>78.000000000000526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3"/>
      <c r="D33" s="59" t="s">
        <v>181</v>
      </c>
      <c r="E33" s="104"/>
      <c r="F33" s="75">
        <f>VLOOKUP(D33,廠價表!$C$1:$E$43,3,0)</f>
        <v>43.89</v>
      </c>
      <c r="G33" s="90">
        <v>1260</v>
      </c>
      <c r="H33" s="91">
        <f t="shared" si="28"/>
        <v>55301.4</v>
      </c>
      <c r="I33" s="92"/>
      <c r="J33" s="79">
        <f>VLOOKUP(D33,產線配置圖!$A$3:$C$40,2,0)</f>
        <v>17</v>
      </c>
      <c r="K33" s="80">
        <f>VLOOKUP(D33,產線配置圖!$A$3:$C$40,3,0)</f>
        <v>1636</v>
      </c>
      <c r="L33" s="93">
        <f t="shared" si="29"/>
        <v>96.235294117647058</v>
      </c>
      <c r="M33" s="94">
        <v>17</v>
      </c>
      <c r="N33" s="95">
        <f t="shared" si="23"/>
        <v>1512.0000000000105</v>
      </c>
      <c r="O33" s="96">
        <f t="shared" si="24"/>
        <v>88.941176470588857</v>
      </c>
      <c r="P33" s="97">
        <f t="shared" si="25"/>
        <v>0</v>
      </c>
      <c r="Q33" s="98">
        <f t="shared" si="26"/>
        <v>-7.2941176470582008</v>
      </c>
      <c r="R33" s="99">
        <f t="shared" si="27"/>
        <v>0.92420537897311161</v>
      </c>
      <c r="S33" s="469"/>
      <c r="T33" s="19">
        <v>0.63055555555555598</v>
      </c>
      <c r="U33" s="19">
        <v>0.66527777777777797</v>
      </c>
      <c r="V33" s="92">
        <f t="shared" si="30"/>
        <v>20.000000000000089</v>
      </c>
      <c r="W33" s="149">
        <f t="shared" si="11"/>
        <v>49.999999999999659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11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9"/>
      <c r="U35" s="19"/>
      <c r="V35" s="92"/>
      <c r="W35" s="149">
        <f t="shared" si="11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31">AVERAGE(J27:J36)</f>
        <v>17</v>
      </c>
      <c r="K37" s="155">
        <f t="shared" si="31"/>
        <v>1615.7142857142858</v>
      </c>
      <c r="L37" s="158">
        <f t="shared" si="31"/>
        <v>95.266106442577055</v>
      </c>
      <c r="M37" s="155">
        <f t="shared" si="31"/>
        <v>17</v>
      </c>
      <c r="N37" s="155">
        <f t="shared" si="31"/>
        <v>1531.633900300674</v>
      </c>
      <c r="O37" s="158">
        <f t="shared" si="31"/>
        <v>90.301746937367213</v>
      </c>
      <c r="P37" s="159">
        <f>M37-J37</f>
        <v>0</v>
      </c>
      <c r="Q37" s="160">
        <f>N37-K37</f>
        <v>-84.080385413611793</v>
      </c>
      <c r="R37" s="161">
        <f>O37/L37</f>
        <v>0.94788955179770906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-84.080385413611793</v>
      </c>
      <c r="AG37" s="124">
        <f>N37/K37</f>
        <v>0.94796085783419248</v>
      </c>
      <c r="AH37" s="460"/>
    </row>
    <row r="38" spans="1:34" ht="15" customHeight="1">
      <c r="A38" s="487" t="s">
        <v>48</v>
      </c>
      <c r="B38" s="167" t="s">
        <v>81</v>
      </c>
      <c r="C38" s="129"/>
      <c r="D38" s="184" t="s">
        <v>119</v>
      </c>
      <c r="E38" s="185"/>
      <c r="F38" s="39">
        <f>VLOOKUP(D38,廠價表!$C$1:$E$43,3,0)</f>
        <v>57.21</v>
      </c>
      <c r="G38" s="186">
        <v>805</v>
      </c>
      <c r="H38" s="134">
        <f>F38*G38</f>
        <v>46054.05</v>
      </c>
      <c r="I38" s="135"/>
      <c r="J38" s="187">
        <f>VLOOKUP(D38,產線配置圖!$A$3:$C$40,2,0)</f>
        <v>17</v>
      </c>
      <c r="K38" s="188">
        <f>VLOOKUP(D38,產線配置圖!$A$3:$C$40,3,0)</f>
        <v>2250</v>
      </c>
      <c r="L38" s="189">
        <f>K38/J38</f>
        <v>132.35294117647058</v>
      </c>
      <c r="M38" s="190">
        <v>17</v>
      </c>
      <c r="N38" s="140">
        <f>G38/W38*60</f>
        <v>1178.048780487816</v>
      </c>
      <c r="O38" s="141">
        <f>N38/M38</f>
        <v>69.296987087518588</v>
      </c>
      <c r="P38" s="142">
        <f>M38-J38</f>
        <v>0</v>
      </c>
      <c r="Q38" s="143">
        <f>O38-L38</f>
        <v>-63.055954088951992</v>
      </c>
      <c r="R38" s="144">
        <f>O38/L38</f>
        <v>0.5235772357723627</v>
      </c>
      <c r="S38" s="490">
        <f>R48</f>
        <v>0.80226805012096336</v>
      </c>
      <c r="T38" s="191">
        <v>0.33611111111111103</v>
      </c>
      <c r="U38" s="191">
        <v>0.36458333333333298</v>
      </c>
      <c r="V38" s="192"/>
      <c r="W38" s="193">
        <f t="shared" si="11"/>
        <v>40.999999999999616</v>
      </c>
      <c r="X38" s="194"/>
      <c r="Y38" s="302"/>
      <c r="Z38" s="336"/>
      <c r="AA38" s="336"/>
      <c r="AB38" s="492" t="s">
        <v>182</v>
      </c>
      <c r="AC38" s="492"/>
      <c r="AD38" s="192"/>
      <c r="AE38" s="192"/>
      <c r="AF38" s="313">
        <f>N38-K38</f>
        <v>-1071.951219512184</v>
      </c>
      <c r="AG38" s="195">
        <f>N38/K38</f>
        <v>0.5235772357723627</v>
      </c>
      <c r="AH38" s="480">
        <f>AG48</f>
        <v>0.7823359545931502</v>
      </c>
    </row>
    <row r="39" spans="1:34" ht="15" customHeight="1">
      <c r="A39" s="48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2410</v>
      </c>
      <c r="H39" s="91">
        <f>F39*G39</f>
        <v>120283.09999999999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15</v>
      </c>
      <c r="N39" s="202">
        <f>G39/W39*60</f>
        <v>1490.7216494845388</v>
      </c>
      <c r="O39" s="203">
        <f>N39/M39</f>
        <v>99.381443298969259</v>
      </c>
      <c r="P39" s="97">
        <f>M39-J39</f>
        <v>0</v>
      </c>
      <c r="Q39" s="98">
        <f>O39-L39</f>
        <v>-14.885223367697407</v>
      </c>
      <c r="R39" s="99">
        <f>O39/L39</f>
        <v>0.86973258429669709</v>
      </c>
      <c r="S39" s="491"/>
      <c r="T39" s="20">
        <v>0.37222222222222201</v>
      </c>
      <c r="U39" s="20">
        <v>0.43958333333333299</v>
      </c>
      <c r="V39" s="92">
        <f>(T39-U38)*24*60</f>
        <v>11.000000000000201</v>
      </c>
      <c r="W39" s="205">
        <f t="shared" si="11"/>
        <v>96.999999999999815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-223.27835051546117</v>
      </c>
      <c r="AG39" s="206">
        <f>N39/K39</f>
        <v>0.86973258429669709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1687</v>
      </c>
      <c r="H40" s="91">
        <f t="shared" ref="H40:H42" si="32">F40*G40</f>
        <v>74734.099999999991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 t="shared" ref="L40:L42" si="33">K40/J40</f>
        <v>90.888888888888886</v>
      </c>
      <c r="M40" s="201">
        <v>17</v>
      </c>
      <c r="N40" s="202">
        <f t="shared" ref="N40:N42" si="34">G40/W40*60</f>
        <v>1405.8333333333337</v>
      </c>
      <c r="O40" s="203">
        <f t="shared" ref="O40:O42" si="35">N40/M40</f>
        <v>82.69607843137257</v>
      </c>
      <c r="P40" s="97">
        <f t="shared" ref="P40:P42" si="36">M40-J40</f>
        <v>-1</v>
      </c>
      <c r="Q40" s="98">
        <f t="shared" ref="Q40:Q42" si="37">O40-L40</f>
        <v>-8.1928104575163161</v>
      </c>
      <c r="R40" s="99">
        <f t="shared" ref="R40:R42" si="38">O40/L40</f>
        <v>0.90985905364590847</v>
      </c>
      <c r="S40" s="413"/>
      <c r="T40" s="20">
        <v>0.44652777777777802</v>
      </c>
      <c r="U40" s="210">
        <v>0.49652777777777801</v>
      </c>
      <c r="V40" s="92">
        <f>(T40-U39)*24*60</f>
        <v>10.000000000000844</v>
      </c>
      <c r="W40" s="205">
        <f t="shared" si="11"/>
        <v>71.999999999999986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-230.16666666666629</v>
      </c>
      <c r="AG40" s="206">
        <f>N40/K40</f>
        <v>0.859311328443358</v>
      </c>
      <c r="AH40" s="481"/>
    </row>
    <row r="41" spans="1:34" ht="15" customHeight="1">
      <c r="A41" s="48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4271</v>
      </c>
      <c r="H41" s="91">
        <f t="shared" si="32"/>
        <v>189205.3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 t="shared" si="33"/>
        <v>90.888888888888886</v>
      </c>
      <c r="M41" s="201">
        <v>17</v>
      </c>
      <c r="N41" s="202">
        <f t="shared" si="34"/>
        <v>1423.6666666666667</v>
      </c>
      <c r="O41" s="203">
        <f t="shared" si="35"/>
        <v>83.745098039215691</v>
      </c>
      <c r="P41" s="97">
        <f t="shared" si="36"/>
        <v>-1</v>
      </c>
      <c r="Q41" s="98">
        <f t="shared" si="37"/>
        <v>-7.143790849673195</v>
      </c>
      <c r="R41" s="99">
        <f t="shared" si="38"/>
        <v>0.92140083417229979</v>
      </c>
      <c r="S41" s="413"/>
      <c r="T41" s="210">
        <v>0.55555555555555602</v>
      </c>
      <c r="U41" s="210">
        <v>0.68055555555555602</v>
      </c>
      <c r="V41" s="92">
        <f t="shared" ref="V41:V42" si="39">(T41-U40)*24*60</f>
        <v>85.000000000000341</v>
      </c>
      <c r="W41" s="205">
        <f t="shared" si="11"/>
        <v>180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-212.33333333333326</v>
      </c>
      <c r="AG41" s="206">
        <f>N41/K41</f>
        <v>0.87021189894050532</v>
      </c>
      <c r="AH41" s="481"/>
    </row>
    <row r="42" spans="1:34" ht="15" customHeight="1">
      <c r="A42" s="488"/>
      <c r="B42" s="75" t="s">
        <v>128</v>
      </c>
      <c r="C42" s="102"/>
      <c r="D42" s="198" t="s">
        <v>129</v>
      </c>
      <c r="E42" s="104"/>
      <c r="F42" s="75">
        <f>VLOOKUP(D42,廠價表!$C$1:$E$43,3,0)</f>
        <v>49.91</v>
      </c>
      <c r="G42" s="202">
        <v>827</v>
      </c>
      <c r="H42" s="91">
        <f t="shared" si="32"/>
        <v>41275.57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33"/>
        <v>114.26666666666667</v>
      </c>
      <c r="M42" s="201">
        <v>15</v>
      </c>
      <c r="N42" s="202">
        <f t="shared" si="34"/>
        <v>1503.6363636363396</v>
      </c>
      <c r="O42" s="203">
        <f t="shared" si="35"/>
        <v>100.24242424242264</v>
      </c>
      <c r="P42" s="97">
        <f t="shared" si="36"/>
        <v>0</v>
      </c>
      <c r="Q42" s="98">
        <f t="shared" si="37"/>
        <v>-14.024242424244022</v>
      </c>
      <c r="R42" s="99">
        <f t="shared" si="38"/>
        <v>0.87726742335842456</v>
      </c>
      <c r="S42" s="413"/>
      <c r="T42" s="210">
        <v>0.68611111111111101</v>
      </c>
      <c r="U42" s="210">
        <v>0.70902777777777803</v>
      </c>
      <c r="V42" s="92">
        <f t="shared" si="39"/>
        <v>7.9999999999991722</v>
      </c>
      <c r="W42" s="205">
        <f t="shared" si="11"/>
        <v>33.000000000000526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40">AVERAGE(J38:J47)</f>
        <v>16.600000000000001</v>
      </c>
      <c r="K48" s="155">
        <f t="shared" si="40"/>
        <v>1790</v>
      </c>
      <c r="L48" s="158">
        <f t="shared" si="40"/>
        <v>108.53281045751635</v>
      </c>
      <c r="M48" s="155">
        <f t="shared" si="40"/>
        <v>16.2</v>
      </c>
      <c r="N48" s="155">
        <f t="shared" si="40"/>
        <v>1400.3813587217389</v>
      </c>
      <c r="O48" s="158">
        <f t="shared" si="40"/>
        <v>87.072406219899747</v>
      </c>
      <c r="P48" s="221">
        <f>M48-J48</f>
        <v>-0.40000000000000213</v>
      </c>
      <c r="Q48" s="222">
        <f>N48-K48</f>
        <v>-389.61864127826107</v>
      </c>
      <c r="R48" s="223">
        <f>O48/L48</f>
        <v>0.80226805012096336</v>
      </c>
      <c r="S48" s="416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41">N48-K48</f>
        <v>-389.61864127826107</v>
      </c>
      <c r="AG48" s="162">
        <f t="shared" ref="AG48:AG53" si="42">N48/K48</f>
        <v>0.7823359545931502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2353</v>
      </c>
      <c r="H49" s="134">
        <f>F49*G49</f>
        <v>116520.56000000001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1721.7073170731855</v>
      </c>
      <c r="O49" s="141">
        <f>N49/M49</f>
        <v>101.27690100430503</v>
      </c>
      <c r="P49" s="229">
        <f>M49-J49</f>
        <v>0</v>
      </c>
      <c r="Q49" s="230">
        <f>O49-L49</f>
        <v>-4.6054519368714324</v>
      </c>
      <c r="R49" s="52">
        <f>O49/L49</f>
        <v>0.95650406504065866</v>
      </c>
      <c r="S49" s="412">
        <f>R58</f>
        <v>0.89010442345552554</v>
      </c>
      <c r="T49" s="191">
        <v>0.29166666666666702</v>
      </c>
      <c r="U49" s="191">
        <v>0.34861111111111098</v>
      </c>
      <c r="V49" s="55"/>
      <c r="W49" s="193">
        <f t="shared" si="11"/>
        <v>81.999999999999304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41"/>
        <v>-78.29268292681445</v>
      </c>
      <c r="AG49" s="52">
        <f t="shared" si="42"/>
        <v>0.95650406504065866</v>
      </c>
      <c r="AH49" s="457">
        <f>AG58</f>
        <v>0.89022463916875272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2100</v>
      </c>
      <c r="H50" s="231">
        <f>F50*G50</f>
        <v>105606.90000000001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1500.0000000000082</v>
      </c>
      <c r="O50" s="235">
        <f>N50/M50</f>
        <v>88.235294117647541</v>
      </c>
      <c r="P50" s="74">
        <f>M50-J50</f>
        <v>0</v>
      </c>
      <c r="Q50" s="83">
        <f>O50-L50</f>
        <v>-7.9999999999995168</v>
      </c>
      <c r="R50" s="72">
        <f>O50/L50</f>
        <v>0.91687041564792682</v>
      </c>
      <c r="S50" s="413"/>
      <c r="T50" s="21">
        <v>0.359027777777778</v>
      </c>
      <c r="U50" s="21">
        <v>0.41736111111111102</v>
      </c>
      <c r="V50" s="30">
        <f>(T50-U49)*24*60</f>
        <v>15.000000000000506</v>
      </c>
      <c r="W50" s="236">
        <f t="shared" si="11"/>
        <v>83.999999999999545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41"/>
        <v>-135.99999999999181</v>
      </c>
      <c r="AG50" s="72">
        <f t="shared" si="42"/>
        <v>0.91687041564792682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1747</v>
      </c>
      <c r="H51" s="231">
        <f>F51*G51</f>
        <v>87297.59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1541.4705882353016</v>
      </c>
      <c r="O51" s="235">
        <f>N51/M51</f>
        <v>96.341911764706353</v>
      </c>
      <c r="P51" s="74">
        <f>M51-J51</f>
        <v>0</v>
      </c>
      <c r="Q51" s="83">
        <f>O51-L51</f>
        <v>-16.158088235293647</v>
      </c>
      <c r="R51" s="72">
        <f>O51/L51</f>
        <v>0.85637254901961202</v>
      </c>
      <c r="S51" s="413"/>
      <c r="T51" s="21">
        <v>0.422916666666667</v>
      </c>
      <c r="U51" s="21">
        <v>0.47013888888888899</v>
      </c>
      <c r="V51" s="30">
        <f>(T51-U50)*24*60</f>
        <v>8.0000000000006111</v>
      </c>
      <c r="W51" s="236">
        <f t="shared" si="11"/>
        <v>67.999999999999673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41"/>
        <v>-258.52941176469835</v>
      </c>
      <c r="AG51" s="72">
        <f t="shared" si="42"/>
        <v>0.85637254901961202</v>
      </c>
      <c r="AH51" s="458"/>
    </row>
    <row r="52" spans="1:34" ht="15" customHeight="1">
      <c r="A52" s="485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4143</v>
      </c>
      <c r="H52" s="231">
        <f t="shared" ref="H52:H53" si="43">F52*G52</f>
        <v>207025.71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44">K52/J52</f>
        <v>112.5</v>
      </c>
      <c r="M52" s="108">
        <v>16</v>
      </c>
      <c r="N52" s="234">
        <f t="shared" ref="N52:N53" si="45">G52/W52*60</f>
        <v>1646.2251655629163</v>
      </c>
      <c r="O52" s="235">
        <f t="shared" ref="O52:O53" si="46">N52/M52</f>
        <v>102.88907284768227</v>
      </c>
      <c r="P52" s="74">
        <f t="shared" ref="P52:P53" si="47">M52-J52</f>
        <v>0</v>
      </c>
      <c r="Q52" s="83">
        <f t="shared" ref="Q52:Q53" si="48">O52-L52</f>
        <v>-9.6109271523177284</v>
      </c>
      <c r="R52" s="72">
        <f t="shared" ref="R52:R53" si="49">O52/L52</f>
        <v>0.91456953642384242</v>
      </c>
      <c r="S52" s="413"/>
      <c r="T52" s="21">
        <v>0.52986111111111101</v>
      </c>
      <c r="U52" s="21">
        <v>0.63472222222222197</v>
      </c>
      <c r="V52" s="30">
        <f>(T52-U51)*24*60</f>
        <v>85.999999999999687</v>
      </c>
      <c r="W52" s="236">
        <f t="shared" si="11"/>
        <v>150.99999999999977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41"/>
        <v>-153.77483443708365</v>
      </c>
      <c r="AG52" s="72">
        <f t="shared" si="42"/>
        <v>0.91456953642384242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699</v>
      </c>
      <c r="H53" s="231">
        <f t="shared" si="43"/>
        <v>35152.010999999999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44"/>
        <v>96.235294117647058</v>
      </c>
      <c r="M53" s="108">
        <v>17</v>
      </c>
      <c r="N53" s="234">
        <f t="shared" si="45"/>
        <v>1310.6250000000114</v>
      </c>
      <c r="O53" s="235">
        <f t="shared" si="46"/>
        <v>77.095588235294784</v>
      </c>
      <c r="P53" s="74">
        <f t="shared" si="47"/>
        <v>0</v>
      </c>
      <c r="Q53" s="83">
        <f t="shared" si="48"/>
        <v>-19.139705882352274</v>
      </c>
      <c r="R53" s="72">
        <f t="shared" si="49"/>
        <v>0.80111552567237854</v>
      </c>
      <c r="S53" s="413"/>
      <c r="T53" s="21">
        <v>0.63888888888888895</v>
      </c>
      <c r="U53" s="21">
        <v>0.66111111111111098</v>
      </c>
      <c r="V53" s="30"/>
      <c r="W53" s="236">
        <f t="shared" si="11"/>
        <v>31.999999999999726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41"/>
        <v>-325.37499999998863</v>
      </c>
      <c r="AG53" s="72">
        <f t="shared" si="42"/>
        <v>0.80111552567237854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50">AVERAGE(J49:J57)</f>
        <v>16.600000000000001</v>
      </c>
      <c r="K58" s="120">
        <f t="shared" si="50"/>
        <v>1734.4</v>
      </c>
      <c r="L58" s="117">
        <f t="shared" si="50"/>
        <v>104.67058823529412</v>
      </c>
      <c r="M58" s="120">
        <f t="shared" si="50"/>
        <v>16.600000000000001</v>
      </c>
      <c r="N58" s="120">
        <f t="shared" si="50"/>
        <v>1544.0056141742848</v>
      </c>
      <c r="O58" s="117">
        <f t="shared" si="50"/>
        <v>93.167753593927188</v>
      </c>
      <c r="P58" s="121">
        <f>M58-J58</f>
        <v>0</v>
      </c>
      <c r="Q58" s="122">
        <f>N58-K58</f>
        <v>-190.39438582571529</v>
      </c>
      <c r="R58" s="123">
        <f>O58/L58</f>
        <v>0.89010442345552554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-190.39438582571529</v>
      </c>
      <c r="AG58" s="124">
        <f>N58/K58</f>
        <v>0.89022463916875272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3822</v>
      </c>
      <c r="H59" s="243">
        <f>F59*G59</f>
        <v>103155.78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1479.4838709677404</v>
      </c>
      <c r="O59" s="138">
        <f>N59/M59</f>
        <v>105.67741935483859</v>
      </c>
      <c r="P59" s="56">
        <f>M59-J59</f>
        <v>-1</v>
      </c>
      <c r="Q59" s="230">
        <f>O59-L59</f>
        <v>-3.3892473118280719</v>
      </c>
      <c r="R59" s="52">
        <f>O59/L59</f>
        <v>0.96892499408470589</v>
      </c>
      <c r="S59" s="412">
        <f>R69</f>
        <v>0.95025827915048999</v>
      </c>
      <c r="T59" s="245">
        <v>0.28819444444444398</v>
      </c>
      <c r="U59" s="245">
        <v>0.39583333333333298</v>
      </c>
      <c r="V59" s="55"/>
      <c r="W59" s="54">
        <f t="shared" si="11"/>
        <v>155.00000000000017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-156.51612903225964</v>
      </c>
      <c r="AG59" s="246">
        <f>N59/K59</f>
        <v>0.90432999447905893</v>
      </c>
      <c r="AH59" s="457">
        <f>AG69</f>
        <v>0.92110410772335993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2016</v>
      </c>
      <c r="H60" s="78">
        <f>F60*G60</f>
        <v>56972.160000000003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1550.7692307692507</v>
      </c>
      <c r="O60" s="81">
        <f>N60/M60</f>
        <v>140.97902097902281</v>
      </c>
      <c r="P60" s="74">
        <f>M60-J60</f>
        <v>0</v>
      </c>
      <c r="Q60" s="83">
        <f>O60-L60</f>
        <v>-7.7482517482499134</v>
      </c>
      <c r="R60" s="72">
        <f>O60/L60</f>
        <v>0.94790295279294068</v>
      </c>
      <c r="S60" s="502"/>
      <c r="T60" s="22">
        <v>0.40277777777777801</v>
      </c>
      <c r="U60" s="22">
        <v>0.45694444444444399</v>
      </c>
      <c r="V60" s="30">
        <f>(T60-U59)*24*60</f>
        <v>10.000000000000844</v>
      </c>
      <c r="W60" s="248">
        <f t="shared" si="11"/>
        <v>77.999999999999005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-85.230769230749274</v>
      </c>
      <c r="AG60" s="249">
        <f>N60/K60</f>
        <v>0.94790295279294057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981</v>
      </c>
      <c r="H61" s="254">
        <f>F61*G61</f>
        <v>27723.06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1548.9473684210482</v>
      </c>
      <c r="O61" s="238">
        <f>N61/M61</f>
        <v>140.8133971291862</v>
      </c>
      <c r="P61" s="111">
        <f>M61-J61</f>
        <v>0</v>
      </c>
      <c r="Q61" s="255">
        <f>O61-L61</f>
        <v>-7.9138755980865199</v>
      </c>
      <c r="R61" s="85">
        <f>O61/L61</f>
        <v>0.94678934500064071</v>
      </c>
      <c r="S61" s="413"/>
      <c r="T61" s="22">
        <v>0.46388888888888902</v>
      </c>
      <c r="U61" s="22">
        <v>0.49027777777777798</v>
      </c>
      <c r="V61" s="30">
        <f>(T61-U60)*24*60</f>
        <v>10.000000000000844</v>
      </c>
      <c r="W61" s="256">
        <f t="shared" si="11"/>
        <v>38.000000000000107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-87.052631578951832</v>
      </c>
      <c r="AG61" s="247">
        <f>N61/K61</f>
        <v>0.94678934500064071</v>
      </c>
      <c r="AH61" s="458"/>
    </row>
    <row r="62" spans="1:34" ht="15" customHeight="1">
      <c r="A62" s="500"/>
      <c r="B62" s="250" t="s">
        <v>136</v>
      </c>
      <c r="C62" s="251"/>
      <c r="D62" s="257" t="s">
        <v>139</v>
      </c>
      <c r="E62" s="253"/>
      <c r="F62" s="250">
        <f>VLOOKUP(D62,廠價表!$C$1:$E$43,3,0)</f>
        <v>28.26</v>
      </c>
      <c r="G62" s="38">
        <v>1211</v>
      </c>
      <c r="H62" s="254">
        <f t="shared" ref="H62:H63" si="51">F62*G62</f>
        <v>34222.86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52">K62/J62</f>
        <v>148.72727272727272</v>
      </c>
      <c r="M62" s="108">
        <v>11</v>
      </c>
      <c r="N62" s="107">
        <f t="shared" ref="N62:N63" si="53">G62/W62*60</f>
        <v>1545.9574468085054</v>
      </c>
      <c r="O62" s="238">
        <f t="shared" ref="O62:O63" si="54">N62/M62</f>
        <v>140.5415860735005</v>
      </c>
      <c r="P62" s="111">
        <f t="shared" ref="P62:P63" si="55">M62-J62</f>
        <v>0</v>
      </c>
      <c r="Q62" s="255">
        <f t="shared" ref="Q62:Q63" si="56">O62-L62</f>
        <v>-8.1856866537722226</v>
      </c>
      <c r="R62" s="85">
        <f t="shared" ref="R62:R63" si="57">O62/L62</f>
        <v>0.94496176455287628</v>
      </c>
      <c r="S62" s="413"/>
      <c r="T62" s="22">
        <v>0.54166666666666696</v>
      </c>
      <c r="U62" s="22">
        <v>0.57430555555555596</v>
      </c>
      <c r="V62" s="30">
        <f t="shared" ref="V62:V63" si="58">(T62-U61)*24*60</f>
        <v>74.000000000000142</v>
      </c>
      <c r="W62" s="248">
        <f t="shared" si="11"/>
        <v>47.000000000000156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-90.042553191494562</v>
      </c>
      <c r="AG62" s="247">
        <f>N62/K62</f>
        <v>0.94496176455287617</v>
      </c>
      <c r="AH62" s="458"/>
    </row>
    <row r="63" spans="1:34" ht="15" customHeight="1">
      <c r="A63" s="500"/>
      <c r="B63" s="258" t="s">
        <v>136</v>
      </c>
      <c r="C63" s="58"/>
      <c r="D63" s="259" t="s">
        <v>140</v>
      </c>
      <c r="E63" s="60"/>
      <c r="F63" s="250">
        <f>VLOOKUP(D63,廠價表!$C$1:$E$43,3,0)</f>
        <v>28.26</v>
      </c>
      <c r="G63" s="260">
        <v>1339</v>
      </c>
      <c r="H63" s="254">
        <f t="shared" si="51"/>
        <v>37840.14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52"/>
        <v>148.72727272727272</v>
      </c>
      <c r="M63" s="68">
        <v>10</v>
      </c>
      <c r="N63" s="107">
        <f t="shared" si="53"/>
        <v>1409.4736842105392</v>
      </c>
      <c r="O63" s="238">
        <f t="shared" si="54"/>
        <v>140.94736842105391</v>
      </c>
      <c r="P63" s="111">
        <f t="shared" si="55"/>
        <v>-1</v>
      </c>
      <c r="Q63" s="255">
        <f t="shared" si="56"/>
        <v>-7.7799043062188105</v>
      </c>
      <c r="R63" s="85">
        <f t="shared" si="57"/>
        <v>0.94769012997041147</v>
      </c>
      <c r="S63" s="413"/>
      <c r="T63" s="22">
        <v>0.58125000000000004</v>
      </c>
      <c r="U63" s="22">
        <v>0.62083333333333302</v>
      </c>
      <c r="V63" s="30">
        <f t="shared" si="58"/>
        <v>9.9999999999994849</v>
      </c>
      <c r="W63" s="248">
        <f t="shared" si="11"/>
        <v>56.999999999999474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59">AVERAGE(J59:J68)</f>
        <v>11.8</v>
      </c>
      <c r="K69" s="240">
        <f t="shared" si="59"/>
        <v>1636</v>
      </c>
      <c r="L69" s="268">
        <f t="shared" si="59"/>
        <v>140.79515151515153</v>
      </c>
      <c r="M69" s="240">
        <f t="shared" si="59"/>
        <v>11.4</v>
      </c>
      <c r="N69" s="240">
        <f t="shared" si="59"/>
        <v>1506.9263202354168</v>
      </c>
      <c r="O69" s="268">
        <f t="shared" si="59"/>
        <v>133.7917583915204</v>
      </c>
      <c r="P69" s="269">
        <f>M69-J69</f>
        <v>-0.40000000000000036</v>
      </c>
      <c r="Q69" s="222">
        <f>N69-K69</f>
        <v>-129.07367976458318</v>
      </c>
      <c r="R69" s="123">
        <f>O69/L69</f>
        <v>0.95025827915048999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-129.07367976458318</v>
      </c>
      <c r="AG69" s="124">
        <f>N69/K69</f>
        <v>0.92110410772335993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2674</v>
      </c>
      <c r="H70" s="243">
        <f>F70*G70</f>
        <v>75567.240000000005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1337.0000000000057</v>
      </c>
      <c r="O70" s="138">
        <f>N70/M70</f>
        <v>121.54545454545506</v>
      </c>
      <c r="P70" s="56">
        <f>M70-J70</f>
        <v>0</v>
      </c>
      <c r="Q70" s="230">
        <f>O70-L70</f>
        <v>-27.181818181817661</v>
      </c>
      <c r="R70" s="52">
        <f>O70/L70</f>
        <v>0.81723716381418443</v>
      </c>
      <c r="S70" s="412">
        <f>R79</f>
        <v>0.88821402411975447</v>
      </c>
      <c r="T70" s="245">
        <v>0.29861111111111099</v>
      </c>
      <c r="U70" s="245">
        <v>0.38194444444444398</v>
      </c>
      <c r="V70" s="55"/>
      <c r="W70" s="54">
        <f t="shared" si="11"/>
        <v>119.99999999999949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-298.99999999999432</v>
      </c>
      <c r="AG70" s="246">
        <f>N70/K70</f>
        <v>0.81723716381418443</v>
      </c>
      <c r="AH70" s="457">
        <f>AG79</f>
        <v>0.90111890781167592</v>
      </c>
    </row>
    <row r="71" spans="1:36" ht="15" customHeight="1">
      <c r="A71" s="495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202">
        <v>2779</v>
      </c>
      <c r="H71" s="254">
        <f t="shared" ref="H71:H72" si="60">F71*G71</f>
        <v>121970.31</v>
      </c>
      <c r="I71" s="182"/>
      <c r="J71" s="106">
        <f>VLOOKUP(D71,產線配置圖!$A$3:$C$40,2,0)</f>
        <v>17</v>
      </c>
      <c r="K71" s="107">
        <f>VLOOKUP(D71,產線配置圖!$A$3:$C$40,3,0)</f>
        <v>1636</v>
      </c>
      <c r="L71" s="238">
        <f t="shared" ref="L71:L72" si="61">K71/J71</f>
        <v>96.235294117647058</v>
      </c>
      <c r="M71" s="82">
        <v>17</v>
      </c>
      <c r="N71" s="107">
        <f t="shared" ref="N71:N72" si="62">G71/W71*60</f>
        <v>1515.8181818181793</v>
      </c>
      <c r="O71" s="238">
        <f t="shared" ref="O71:O72" si="63">N71/M71</f>
        <v>89.165775401069368</v>
      </c>
      <c r="P71" s="111">
        <f t="shared" ref="P71:P72" si="64">M71-J71</f>
        <v>0</v>
      </c>
      <c r="Q71" s="255">
        <f t="shared" ref="Q71:Q72" si="65">O71-L71</f>
        <v>-7.06951871657769</v>
      </c>
      <c r="R71" s="85">
        <f t="shared" ref="R71:R72" si="66">O71/L71</f>
        <v>0.9265392309402074</v>
      </c>
      <c r="S71" s="413"/>
      <c r="T71" s="22">
        <v>0.40625</v>
      </c>
      <c r="U71" s="22">
        <v>0.48263888888888901</v>
      </c>
      <c r="V71" s="30"/>
      <c r="W71" s="73">
        <f t="shared" si="11"/>
        <v>110.00000000000017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4134</v>
      </c>
      <c r="H72" s="254">
        <f t="shared" si="60"/>
        <v>181441.26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61"/>
        <v>96.235294117647058</v>
      </c>
      <c r="M72" s="94">
        <v>17</v>
      </c>
      <c r="N72" s="107">
        <f t="shared" si="62"/>
        <v>1569.8734177215213</v>
      </c>
      <c r="O72" s="238">
        <f t="shared" si="63"/>
        <v>92.345495160089484</v>
      </c>
      <c r="P72" s="111">
        <f t="shared" si="64"/>
        <v>0</v>
      </c>
      <c r="Q72" s="255">
        <f t="shared" si="65"/>
        <v>-3.8897989575575735</v>
      </c>
      <c r="R72" s="85">
        <f t="shared" si="66"/>
        <v>0.95958032868063647</v>
      </c>
      <c r="S72" s="413"/>
      <c r="T72" s="22">
        <v>0.54166666666666696</v>
      </c>
      <c r="U72" s="22">
        <v>0.65138888888888902</v>
      </c>
      <c r="V72" s="30"/>
      <c r="W72" s="73">
        <f t="shared" si="11"/>
        <v>157.99999999999977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11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11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67">AVERAGE(J70:J78)</f>
        <v>15</v>
      </c>
      <c r="K79" s="240">
        <f t="shared" si="67"/>
        <v>1636</v>
      </c>
      <c r="L79" s="268">
        <f t="shared" si="67"/>
        <v>113.73262032085562</v>
      </c>
      <c r="M79" s="240">
        <f t="shared" si="67"/>
        <v>15</v>
      </c>
      <c r="N79" s="240">
        <f t="shared" si="67"/>
        <v>1474.2305331799018</v>
      </c>
      <c r="O79" s="268">
        <f t="shared" si="67"/>
        <v>101.01890836887132</v>
      </c>
      <c r="P79" s="269">
        <f>M79-J79</f>
        <v>0</v>
      </c>
      <c r="Q79" s="222">
        <f>N79-K79</f>
        <v>-161.76946682009816</v>
      </c>
      <c r="R79" s="223">
        <f>O79/L79</f>
        <v>0.88821402411975447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-161.76946682009816</v>
      </c>
      <c r="AG79" s="124">
        <f>N79/K79</f>
        <v>0.90111890781167592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W3:W4"/>
    <mergeCell ref="Q3:Q4"/>
    <mergeCell ref="R3:R4"/>
    <mergeCell ref="P1:S2"/>
    <mergeCell ref="T1:Y2"/>
    <mergeCell ref="AB1:AC2"/>
    <mergeCell ref="S3:S4"/>
    <mergeCell ref="T3:U3"/>
    <mergeCell ref="V3:V4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A5:A15"/>
    <mergeCell ref="S5:S15"/>
    <mergeCell ref="AB5:AC5"/>
    <mergeCell ref="D15:E15"/>
    <mergeCell ref="A2:B2"/>
    <mergeCell ref="A3:A4"/>
    <mergeCell ref="B3:B4"/>
    <mergeCell ref="D3:E4"/>
    <mergeCell ref="F3:F4"/>
    <mergeCell ref="O3:O4"/>
    <mergeCell ref="P3:P4"/>
    <mergeCell ref="G3:G4"/>
    <mergeCell ref="AB3:AC4"/>
    <mergeCell ref="N3:N4"/>
    <mergeCell ref="H3:H4"/>
    <mergeCell ref="I3:I4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W75" sqref="W7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46218</v>
      </c>
      <c r="E3" s="379"/>
      <c r="F3" s="3" t="s">
        <v>72</v>
      </c>
      <c r="G3" s="380">
        <f>'0715'!E1</f>
        <v>67666</v>
      </c>
      <c r="H3" s="380"/>
      <c r="I3" s="3" t="s">
        <v>2</v>
      </c>
      <c r="J3" s="381">
        <f>'0715'!G1</f>
        <v>3120234.1579999998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125.8379568222005</v>
      </c>
      <c r="G6" s="386"/>
      <c r="H6" s="387">
        <f>AVERAGE(D13:H13)</f>
        <v>126.74788108405755</v>
      </c>
      <c r="I6" s="387"/>
      <c r="J6" s="387">
        <f>AVERAGE(I13:J13)</f>
        <v>123.56314616755793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114.63704192997095</v>
      </c>
      <c r="G7" s="410"/>
      <c r="H7" s="411">
        <f>AVERAGE(D14:H14)</f>
        <v>115.50565083231481</v>
      </c>
      <c r="I7" s="411"/>
      <c r="J7" s="411">
        <f>AVERAGE(I14:J14)</f>
        <v>112.46551967411128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0.91098937733027885</v>
      </c>
      <c r="G8" s="383"/>
      <c r="H8" s="383">
        <f>H7/H6</f>
        <v>0.91130242055654531</v>
      </c>
      <c r="I8" s="383"/>
      <c r="J8" s="383">
        <f>J7/J6</f>
        <v>0.91018659820786929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VALUE('0715'!L15)</f>
        <v>160.71428571428572</v>
      </c>
      <c r="E13" s="13">
        <f>VALUE('0715'!L26)</f>
        <v>173.76373626373626</v>
      </c>
      <c r="F13" s="13">
        <f>VALUE('0715'!L37)</f>
        <v>95.909313725490208</v>
      </c>
      <c r="G13" s="13">
        <f>VALUE('0715'!L48)</f>
        <v>98.681481481481498</v>
      </c>
      <c r="H13" s="13">
        <f>VALUE('0715'!L58)</f>
        <v>104.67058823529412</v>
      </c>
      <c r="I13" s="13">
        <f>VALUE('0715'!L69)</f>
        <v>138.81212121212121</v>
      </c>
      <c r="J13" s="13">
        <f>'0715'!L79</f>
        <v>108.31417112299465</v>
      </c>
    </row>
    <row r="14" spans="2:15" ht="39.950000000000003" customHeight="1">
      <c r="B14" s="404"/>
      <c r="C14" s="12" t="s">
        <v>100</v>
      </c>
      <c r="D14" s="13">
        <f>VALUE('0715'!O15)</f>
        <v>145.59984827264236</v>
      </c>
      <c r="E14" s="13">
        <f>VALUE('0715'!O26)</f>
        <v>159.59717889385388</v>
      </c>
      <c r="F14" s="13">
        <f>VALUE('0715'!O37)</f>
        <v>89.402015614540758</v>
      </c>
      <c r="G14" s="13">
        <f>VALUE('0715'!O48)</f>
        <v>90.026685070163481</v>
      </c>
      <c r="H14" s="13">
        <f>VALUE('0715'!O58)</f>
        <v>92.902526310373659</v>
      </c>
      <c r="I14" s="13">
        <f>VALUE('0715'!O69)</f>
        <v>131.31633244206836</v>
      </c>
      <c r="J14" s="13">
        <f>'0715'!O79</f>
        <v>93.614706906154197</v>
      </c>
    </row>
    <row r="15" spans="2:15" ht="39.950000000000003" customHeight="1">
      <c r="B15" s="405"/>
      <c r="C15" s="10" t="s">
        <v>26</v>
      </c>
      <c r="D15" s="14">
        <f t="shared" ref="D15:I15" si="1">D14/D13</f>
        <v>0.90595461147421907</v>
      </c>
      <c r="E15" s="14">
        <f t="shared" si="1"/>
        <v>0.91847230225079546</v>
      </c>
      <c r="F15" s="14">
        <f t="shared" si="1"/>
        <v>0.93215155172964215</v>
      </c>
      <c r="G15" s="14">
        <f t="shared" si="1"/>
        <v>0.91229563762738841</v>
      </c>
      <c r="H15" s="14">
        <f t="shared" si="1"/>
        <v>0.88757049976191538</v>
      </c>
      <c r="I15" s="14">
        <f t="shared" si="1"/>
        <v>0.94600047384479913</v>
      </c>
      <c r="J15" s="15">
        <f>'0715'!S70</f>
        <v>0.86428863310832449</v>
      </c>
    </row>
    <row r="16" spans="2:15" ht="17.25" customHeight="1">
      <c r="B16" s="406" t="s">
        <v>101</v>
      </c>
      <c r="C16" s="10" t="s">
        <v>34</v>
      </c>
      <c r="D16" s="16">
        <f>'0715'!T5</f>
        <v>0.29236111111111102</v>
      </c>
      <c r="E16" s="16">
        <f>'0715'!T16</f>
        <v>0.29027777777777802</v>
      </c>
      <c r="F16" s="16">
        <f>'0715'!T27</f>
        <v>0.28819444444444398</v>
      </c>
      <c r="G16" s="16">
        <f>'0715'!T38</f>
        <v>0.33333333333333298</v>
      </c>
      <c r="H16" s="16">
        <f>'0715'!T49</f>
        <v>0.29166666666666702</v>
      </c>
      <c r="I16" s="16">
        <f>'0715'!T59</f>
        <v>0.28819444444444398</v>
      </c>
      <c r="J16" s="16">
        <f>'0715'!T70</f>
        <v>0.29166666666666702</v>
      </c>
    </row>
    <row r="17" spans="2:10" ht="17.25" customHeight="1">
      <c r="B17" s="407"/>
      <c r="C17" s="10" t="s">
        <v>35</v>
      </c>
      <c r="D17" s="18">
        <v>0.55763888888888902</v>
      </c>
      <c r="E17" s="19">
        <v>0.63402777777777797</v>
      </c>
      <c r="F17" s="19">
        <v>0.63888888888888895</v>
      </c>
      <c r="G17" s="210">
        <v>0.625</v>
      </c>
      <c r="H17" s="21">
        <v>0.64513888888888904</v>
      </c>
      <c r="I17" s="22">
        <v>0.61458333333333304</v>
      </c>
      <c r="J17" s="22">
        <v>0.67361111111111105</v>
      </c>
    </row>
    <row r="18" spans="2:10" ht="17.25" customHeight="1">
      <c r="B18" s="408" t="s">
        <v>102</v>
      </c>
      <c r="C18" s="330" t="s">
        <v>36</v>
      </c>
      <c r="D18" s="357">
        <f>'0715'!Z15</f>
        <v>0</v>
      </c>
      <c r="E18" s="358">
        <f>'0715'!Z26</f>
        <v>0</v>
      </c>
      <c r="F18" s="358">
        <f>'0715'!Z37</f>
        <v>0</v>
      </c>
      <c r="G18" s="359">
        <f>'0715'!Z48</f>
        <v>0</v>
      </c>
      <c r="H18" s="359">
        <f>'0715'!Z58</f>
        <v>0</v>
      </c>
      <c r="I18" s="358">
        <f>'0715'!Z69</f>
        <v>0</v>
      </c>
      <c r="J18" s="358">
        <f>'0715'!AA79</f>
        <v>0</v>
      </c>
    </row>
    <row r="19" spans="2:10" ht="17.25" customHeight="1">
      <c r="B19" s="409"/>
      <c r="C19" s="330" t="s">
        <v>37</v>
      </c>
      <c r="D19" s="357">
        <f>'0715'!AA15</f>
        <v>0</v>
      </c>
      <c r="E19" s="358">
        <f>'0715'!AA26</f>
        <v>0</v>
      </c>
      <c r="F19" s="358">
        <f>'0715'!AA37</f>
        <v>0</v>
      </c>
      <c r="G19" s="359">
        <f>'0715'!AA48</f>
        <v>0</v>
      </c>
      <c r="H19" s="359">
        <f>'0715'!AA58</f>
        <v>0</v>
      </c>
      <c r="I19" s="358">
        <f>'0715'!AA69</f>
        <v>0</v>
      </c>
      <c r="J19" s="358">
        <f>'0715'!AB79</f>
        <v>0</v>
      </c>
    </row>
    <row r="20" spans="2:10" ht="17.25" customHeight="1">
      <c r="B20" s="408" t="s">
        <v>103</v>
      </c>
      <c r="C20" s="330" t="s">
        <v>36</v>
      </c>
      <c r="D20" s="357">
        <f>'0715'!AD15</f>
        <v>0</v>
      </c>
      <c r="E20" s="358">
        <f>'0715'!AD26</f>
        <v>0</v>
      </c>
      <c r="F20" s="358">
        <f>'0715'!AD37</f>
        <v>0</v>
      </c>
      <c r="G20" s="359">
        <f>'0715'!AD48</f>
        <v>0</v>
      </c>
      <c r="H20" s="359">
        <f>'0715'!AD58</f>
        <v>0</v>
      </c>
      <c r="I20" s="358">
        <f>'0715'!AD69</f>
        <v>0</v>
      </c>
      <c r="J20" s="358">
        <f>'0715'!AD79</f>
        <v>0</v>
      </c>
    </row>
    <row r="21" spans="2:10" ht="17.25" customHeight="1">
      <c r="B21" s="409"/>
      <c r="C21" s="330" t="s">
        <v>85</v>
      </c>
      <c r="D21" s="357">
        <f>'0715'!AE15</f>
        <v>0</v>
      </c>
      <c r="E21" s="358">
        <f>'0715'!AE26</f>
        <v>0</v>
      </c>
      <c r="F21" s="358">
        <f>'0715'!AE37</f>
        <v>0</v>
      </c>
      <c r="G21" s="359">
        <f>'0715'!AE48</f>
        <v>0</v>
      </c>
      <c r="H21" s="359">
        <f>'0715'!AE58</f>
        <v>0</v>
      </c>
      <c r="I21" s="358">
        <f>'0715'!AE69</f>
        <v>0</v>
      </c>
      <c r="J21" s="358">
        <f>'0715'!AE79</f>
        <v>0</v>
      </c>
    </row>
    <row r="22" spans="2:10" ht="17.25" customHeight="1">
      <c r="B22" s="392" t="s">
        <v>104</v>
      </c>
      <c r="C22" s="393"/>
      <c r="D22" s="23">
        <f>VALUE('0715'!M15)</f>
        <v>14</v>
      </c>
      <c r="E22" s="23">
        <f>VALUE('0715'!M26)</f>
        <v>13</v>
      </c>
      <c r="F22" s="23">
        <f>VALUE('0715'!M37)</f>
        <v>17</v>
      </c>
      <c r="G22" s="23">
        <f>VALUE('0715'!M48)</f>
        <v>17</v>
      </c>
      <c r="H22" s="23">
        <f>VALUE('0715'!M58)</f>
        <v>16.600000000000001</v>
      </c>
      <c r="I22" s="23">
        <f>VALUE('0715'!M69)</f>
        <v>12</v>
      </c>
      <c r="J22" s="23">
        <f>'0715'!M79</f>
        <v>11.75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3" activePane="bottomRight" state="frozen"/>
      <selection activeCell="W75" sqref="W75"/>
      <selection pane="topRight" activeCell="W75" sqref="W75"/>
      <selection pane="bottomLeft" activeCell="W75" sqref="W75"/>
      <selection pane="bottomRight" activeCell="W75" sqref="W7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67666</v>
      </c>
      <c r="F1" s="30" t="s">
        <v>2</v>
      </c>
      <c r="G1" s="31">
        <f>SUM(H5:H79)</f>
        <v>3120234.1579999998</v>
      </c>
      <c r="H1" s="32" t="s">
        <v>3</v>
      </c>
      <c r="I1" s="33">
        <f>M15+M26+M48+M58+M69+M79+M37</f>
        <v>101.35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183</v>
      </c>
      <c r="B2" s="418"/>
      <c r="C2" s="28"/>
      <c r="D2" s="28" t="s">
        <v>14</v>
      </c>
      <c r="E2" s="35">
        <f>AVERAGE(O15,O26,O37,O48,O58,O69,O79)</f>
        <v>114.63704192997095</v>
      </c>
      <c r="F2" s="36" t="s">
        <v>15</v>
      </c>
      <c r="G2" s="37">
        <f>G1/E1</f>
        <v>46.11228915555818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2784</v>
      </c>
      <c r="H5" s="43">
        <f>F5*G5</f>
        <v>141065.28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2087.9999999999845</v>
      </c>
      <c r="O5" s="47">
        <f>N5/M5</f>
        <v>149.14285714285603</v>
      </c>
      <c r="P5" s="49">
        <f>M5-J5</f>
        <v>0</v>
      </c>
      <c r="Q5" s="50">
        <f>O5-L5</f>
        <v>-11.571428571429692</v>
      </c>
      <c r="R5" s="51">
        <f>O5/L5</f>
        <v>0.92799999999999305</v>
      </c>
      <c r="S5" s="412">
        <f>R15</f>
        <v>0.90595461147421907</v>
      </c>
      <c r="T5" s="319">
        <v>0.29236111111111102</v>
      </c>
      <c r="U5" s="320">
        <v>0.34791666666666698</v>
      </c>
      <c r="V5" s="53"/>
      <c r="W5" s="54">
        <f t="shared" ref="W5:W14" si="0">(U5-T5)*24*60</f>
        <v>80.000000000000597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-162.00000000001546</v>
      </c>
      <c r="AG5" s="52">
        <f t="shared" ref="AG5:AG11" si="2">N5/K5</f>
        <v>0.92799999999999316</v>
      </c>
      <c r="AH5" s="457">
        <f>AG15</f>
        <v>0.9059546114742193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5665</v>
      </c>
      <c r="H6" s="63">
        <f>F6*G6</f>
        <v>278378.09999999998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2221.5686274509799</v>
      </c>
      <c r="O6" s="67">
        <f>N6/M6</f>
        <v>158.6834733893557</v>
      </c>
      <c r="P6" s="69">
        <f>M6-J6</f>
        <v>0</v>
      </c>
      <c r="Q6" s="70">
        <f>O6-L6</f>
        <v>-2.0308123249300252</v>
      </c>
      <c r="R6" s="71">
        <f>O6/L6</f>
        <v>0.98736383442265763</v>
      </c>
      <c r="S6" s="413"/>
      <c r="T6" s="16">
        <v>0.36111111111111099</v>
      </c>
      <c r="U6" s="16">
        <v>0.46736111111111101</v>
      </c>
      <c r="V6" s="30">
        <f>(T6-U5)*24*60</f>
        <v>18.999999999999375</v>
      </c>
      <c r="W6" s="73">
        <f t="shared" si="0"/>
        <v>153.00000000000003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-28.431372549020125</v>
      </c>
      <c r="AG6" s="72">
        <f t="shared" si="2"/>
        <v>0.98736383442265774</v>
      </c>
      <c r="AH6" s="458"/>
    </row>
    <row r="7" spans="1:34" ht="15" customHeight="1">
      <c r="A7" s="42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963</v>
      </c>
      <c r="H7" s="78">
        <f>F7*G7</f>
        <v>56017.71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1805.6250000000155</v>
      </c>
      <c r="O7" s="81">
        <f>N7/M7</f>
        <v>128.97321428571539</v>
      </c>
      <c r="P7" s="74">
        <f>M7-J7</f>
        <v>0</v>
      </c>
      <c r="Q7" s="83">
        <f>O7-L7</f>
        <v>-31.741071428570336</v>
      </c>
      <c r="R7" s="72">
        <f>O7/L7</f>
        <v>0.80250000000000676</v>
      </c>
      <c r="S7" s="413"/>
      <c r="T7" s="18">
        <v>0.53541666666666698</v>
      </c>
      <c r="U7" s="18">
        <v>0.55763888888888902</v>
      </c>
      <c r="V7" s="30">
        <f>(T7-U6)*24*60</f>
        <v>98.000000000000611</v>
      </c>
      <c r="W7" s="73">
        <f t="shared" si="0"/>
        <v>31.999999999999726</v>
      </c>
      <c r="X7" s="22"/>
      <c r="Y7" s="84"/>
      <c r="Z7" s="90"/>
      <c r="AA7" s="90"/>
      <c r="AB7" s="462" t="s">
        <v>143</v>
      </c>
      <c r="AC7" s="462"/>
      <c r="AD7" s="92"/>
      <c r="AE7" s="92"/>
      <c r="AF7" s="307">
        <f t="shared" si="1"/>
        <v>-444.37499999998454</v>
      </c>
      <c r="AG7" s="72">
        <f t="shared" si="2"/>
        <v>0.80250000000000687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</v>
      </c>
      <c r="K15" s="120">
        <f t="shared" si="3"/>
        <v>2250</v>
      </c>
      <c r="L15" s="117">
        <f t="shared" si="3"/>
        <v>160.71428571428572</v>
      </c>
      <c r="M15" s="120">
        <f t="shared" si="3"/>
        <v>14</v>
      </c>
      <c r="N15" s="120">
        <f t="shared" si="3"/>
        <v>2038.3978758169933</v>
      </c>
      <c r="O15" s="117">
        <f t="shared" si="3"/>
        <v>145.59984827264236</v>
      </c>
      <c r="P15" s="121">
        <f>M15-J15</f>
        <v>0</v>
      </c>
      <c r="Q15" s="122">
        <f>O15-L15</f>
        <v>-15.114437441643361</v>
      </c>
      <c r="R15" s="123">
        <f>O15/L15</f>
        <v>0.90595461147421907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-211.60212418300671</v>
      </c>
      <c r="AG15" s="124">
        <f>N15/K15</f>
        <v>0.9059546114742193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2445</v>
      </c>
      <c r="H16" s="134">
        <f>F16*G16</f>
        <v>123888.15000000001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2126.0869565217686</v>
      </c>
      <c r="O16" s="141">
        <f>N16/M16</f>
        <v>163.5451505016745</v>
      </c>
      <c r="P16" s="142">
        <f>M16-J16</f>
        <v>0</v>
      </c>
      <c r="Q16" s="143">
        <f>O16-L16</f>
        <v>-9.5317725752485671</v>
      </c>
      <c r="R16" s="144">
        <f>O16/L16</f>
        <v>0.94492753623189718</v>
      </c>
      <c r="S16" s="468">
        <f>R26</f>
        <v>0.91847230225079546</v>
      </c>
      <c r="T16" s="145">
        <v>0.29027777777777802</v>
      </c>
      <c r="U16" s="145">
        <v>0.33819444444444402</v>
      </c>
      <c r="V16" s="135"/>
      <c r="W16" s="146">
        <f t="shared" ref="W16:W78" si="4">(U16-T16)*24*60</f>
        <v>68.999999999999034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-123.91304347823143</v>
      </c>
      <c r="AG16" s="52">
        <f>N16/K16</f>
        <v>0.94492753623189718</v>
      </c>
      <c r="AH16" s="457">
        <f>AG26</f>
        <v>0.91915687974681914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2939</v>
      </c>
      <c r="H17" s="78">
        <f>F17*G17</f>
        <v>167140.93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2074.5882352941094</v>
      </c>
      <c r="O17" s="96">
        <f>N17/M17</f>
        <v>148.18487394957924</v>
      </c>
      <c r="P17" s="97">
        <f>M17-J17</f>
        <v>0</v>
      </c>
      <c r="Q17" s="98">
        <f>O17-L17</f>
        <v>-12.529411764706481</v>
      </c>
      <c r="R17" s="99">
        <f>O17/L17</f>
        <v>0.92203921568627079</v>
      </c>
      <c r="S17" s="469"/>
      <c r="T17" s="19">
        <v>0.34375</v>
      </c>
      <c r="U17" s="19">
        <v>0.40277777777777801</v>
      </c>
      <c r="V17" s="30">
        <f>(T17-U16)*24*60</f>
        <v>8.0000000000006111</v>
      </c>
      <c r="W17" s="149">
        <f t="shared" si="4"/>
        <v>85.000000000000341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-175.41176470589062</v>
      </c>
      <c r="AG17" s="72">
        <f>N17/K17</f>
        <v>0.92203921568627079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1163</v>
      </c>
      <c r="H18" s="78">
        <f>F18*G18</f>
        <v>67651.710000000006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2052.3529411764775</v>
      </c>
      <c r="O18" s="96">
        <f>N18/M18</f>
        <v>146.59663865546267</v>
      </c>
      <c r="P18" s="97">
        <f>M18-J18</f>
        <v>0</v>
      </c>
      <c r="Q18" s="98">
        <f>O18-L18</f>
        <v>-14.117647058823053</v>
      </c>
      <c r="R18" s="99">
        <f>O18/L18</f>
        <v>0.91215686274510099</v>
      </c>
      <c r="S18" s="469"/>
      <c r="T18" s="19">
        <v>0.40763888888888899</v>
      </c>
      <c r="U18" s="19">
        <v>0.43125000000000002</v>
      </c>
      <c r="V18" s="30">
        <f>(T18-U17)*24*60</f>
        <v>6.9999999999998153</v>
      </c>
      <c r="W18" s="149">
        <f t="shared" si="4"/>
        <v>33.999999999999879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-197.64705882352246</v>
      </c>
      <c r="AG18" s="72">
        <f>N18/K18</f>
        <v>0.9121568627451011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1388</v>
      </c>
      <c r="H19" s="78">
        <f t="shared" ref="H19:H21" si="5">F19*G19</f>
        <v>69941.320000000007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1982.8571428571197</v>
      </c>
      <c r="O19" s="96">
        <f t="shared" ref="O19:O21" si="8">N19/M19</f>
        <v>165.23809523809331</v>
      </c>
      <c r="P19" s="97">
        <f t="shared" ref="P19:P21" si="9">M19-J19</f>
        <v>0</v>
      </c>
      <c r="Q19" s="98">
        <f t="shared" ref="Q19:Q21" si="10">O19-L19</f>
        <v>-22.261904761906692</v>
      </c>
      <c r="R19" s="99">
        <f t="shared" ref="R19:R21" si="11">O19/L19</f>
        <v>0.88126984126983099</v>
      </c>
      <c r="S19" s="469"/>
      <c r="T19" s="19">
        <v>0.43958333333333299</v>
      </c>
      <c r="U19" s="19">
        <v>0.46875</v>
      </c>
      <c r="V19" s="30">
        <f>(T19-U18)*24*60</f>
        <v>11.999999999999478</v>
      </c>
      <c r="W19" s="149">
        <f t="shared" si="4"/>
        <v>42.00000000000049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-267.1428571428803</v>
      </c>
      <c r="AG19" s="72">
        <f>N19/K19</f>
        <v>0.88126984126983099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3085</v>
      </c>
      <c r="H20" s="78">
        <f t="shared" si="5"/>
        <v>155453.15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2034.0659340659163</v>
      </c>
      <c r="O20" s="96">
        <f t="shared" si="8"/>
        <v>169.50549450549303</v>
      </c>
      <c r="P20" s="97">
        <f t="shared" si="9"/>
        <v>0</v>
      </c>
      <c r="Q20" s="98">
        <f t="shared" si="10"/>
        <v>-17.994505494506967</v>
      </c>
      <c r="R20" s="99">
        <f t="shared" si="11"/>
        <v>0.90402930402929615</v>
      </c>
      <c r="S20" s="469"/>
      <c r="T20" s="19">
        <v>0.53333333333333299</v>
      </c>
      <c r="U20" s="19">
        <v>0.59652777777777799</v>
      </c>
      <c r="V20" s="30">
        <f>(T20-U19)*24*60</f>
        <v>92.999999999999517</v>
      </c>
      <c r="W20" s="149">
        <f t="shared" si="4"/>
        <v>91.000000000000796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1604</v>
      </c>
      <c r="H21" s="78">
        <f t="shared" si="5"/>
        <v>81274.680000000008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2138.666666666667</v>
      </c>
      <c r="O21" s="96">
        <f t="shared" si="8"/>
        <v>164.51282051282053</v>
      </c>
      <c r="P21" s="97">
        <f t="shared" si="9"/>
        <v>0</v>
      </c>
      <c r="Q21" s="98">
        <f t="shared" si="10"/>
        <v>-8.5641025641025408</v>
      </c>
      <c r="R21" s="99">
        <f t="shared" si="11"/>
        <v>0.95051851851851865</v>
      </c>
      <c r="S21" s="469"/>
      <c r="T21" s="19">
        <v>0.60277777777777797</v>
      </c>
      <c r="U21" s="19">
        <v>0.63402777777777797</v>
      </c>
      <c r="V21" s="30">
        <f>(T21-U20)*24*60</f>
        <v>8.999999999999968</v>
      </c>
      <c r="W21" s="149">
        <f t="shared" si="4"/>
        <v>45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2068.1029794303431</v>
      </c>
      <c r="O26" s="158">
        <f t="shared" si="12"/>
        <v>159.59717889385388</v>
      </c>
      <c r="P26" s="159">
        <f>M26-J26</f>
        <v>0</v>
      </c>
      <c r="Q26" s="160">
        <f>O26-L26</f>
        <v>-14.166557369882383</v>
      </c>
      <c r="R26" s="161">
        <f>O26/L26</f>
        <v>0.91847230225079546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-181.89702056965689</v>
      </c>
      <c r="AG26" s="124">
        <f t="shared" ref="AG26:AG31" si="14">N26/K26</f>
        <v>0.91915687974681914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1435</v>
      </c>
      <c r="H27" s="134">
        <f>F27*G27</f>
        <v>65522.1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1565.4545454545214</v>
      </c>
      <c r="O27" s="141">
        <f>N27/M27</f>
        <v>92.08556149732479</v>
      </c>
      <c r="P27" s="142">
        <f>M27-J27</f>
        <v>0</v>
      </c>
      <c r="Q27" s="143">
        <f>O27-L27</f>
        <v>-4.1497326203222684</v>
      </c>
      <c r="R27" s="144">
        <f>O27/L27</f>
        <v>0.95687930651254371</v>
      </c>
      <c r="S27" s="468">
        <f>R37</f>
        <v>0.93215155172964215</v>
      </c>
      <c r="T27" s="171">
        <v>0.28819444444444398</v>
      </c>
      <c r="U27" s="171">
        <v>0.32638888888888901</v>
      </c>
      <c r="V27" s="135"/>
      <c r="W27" s="146">
        <f t="shared" si="4"/>
        <v>55.000000000000846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-70.545454545478606</v>
      </c>
      <c r="AG27" s="172">
        <f t="shared" si="14"/>
        <v>0.9568793065125436</v>
      </c>
      <c r="AH27" s="457">
        <f>AG37</f>
        <v>0.93223484692677261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1864</v>
      </c>
      <c r="H28" s="91">
        <f>F28*G28</f>
        <v>86377.760000000009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1553.3333333333335</v>
      </c>
      <c r="O28" s="96">
        <f>N28/M28</f>
        <v>97.083333333333343</v>
      </c>
      <c r="P28" s="97">
        <f>M28-J28</f>
        <v>0</v>
      </c>
      <c r="Q28" s="98">
        <f>O28-L28</f>
        <v>-5.1666666666666572</v>
      </c>
      <c r="R28" s="99">
        <f>O28/L28</f>
        <v>0.94947025264873686</v>
      </c>
      <c r="S28" s="469"/>
      <c r="T28" s="19">
        <v>0.33194444444444399</v>
      </c>
      <c r="U28" s="19">
        <v>0.38194444444444398</v>
      </c>
      <c r="V28" s="92">
        <f>(T28-U27)*24*60</f>
        <v>7.9999999999991722</v>
      </c>
      <c r="W28" s="149">
        <f t="shared" si="4"/>
        <v>71.999999999999986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-82.666666666666515</v>
      </c>
      <c r="AG28" s="99">
        <f t="shared" si="14"/>
        <v>0.94947025264873686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728</v>
      </c>
      <c r="H29" s="91">
        <f>F29*G29</f>
        <v>41648.879999999997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1506.2068965517169</v>
      </c>
      <c r="O29" s="96">
        <f>N29/M29</f>
        <v>83.678160919539835</v>
      </c>
      <c r="P29" s="97">
        <f>M29-J29</f>
        <v>0</v>
      </c>
      <c r="Q29" s="98">
        <f>O29-L29</f>
        <v>-3.2662835249046083</v>
      </c>
      <c r="R29" s="99">
        <f>O29/L29</f>
        <v>0.96243252175828564</v>
      </c>
      <c r="S29" s="469"/>
      <c r="T29" s="19">
        <v>0.38750000000000001</v>
      </c>
      <c r="U29" s="19">
        <v>0.40763888888888899</v>
      </c>
      <c r="V29" s="92">
        <f>(T29-U28)*24*60</f>
        <v>8.000000000000691</v>
      </c>
      <c r="W29" s="149">
        <f t="shared" si="4"/>
        <v>29.000000000000135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-58.793103448283091</v>
      </c>
      <c r="AG29" s="99">
        <f t="shared" si="14"/>
        <v>0.96243252175828553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1941</v>
      </c>
      <c r="H30" s="91">
        <f t="shared" ref="H30:H34" si="15">F30*G30</f>
        <v>111044.61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16">K30/J30</f>
        <v>90.888888888888886</v>
      </c>
      <c r="M30" s="94">
        <v>18</v>
      </c>
      <c r="N30" s="95">
        <f t="shared" ref="N30:N34" si="17">G30/W30*60</f>
        <v>1552.799999999979</v>
      </c>
      <c r="O30" s="96">
        <f t="shared" ref="O30:O34" si="18">N30/M30</f>
        <v>86.2666666666655</v>
      </c>
      <c r="P30" s="97">
        <f t="shared" ref="P30:P34" si="19">M30-J30</f>
        <v>0</v>
      </c>
      <c r="Q30" s="98">
        <f t="shared" ref="Q30:Q34" si="20">O30-L30</f>
        <v>-4.6222222222233853</v>
      </c>
      <c r="R30" s="99">
        <f t="shared" ref="R30:R34" si="21">O30/L30</f>
        <v>0.94914425427871585</v>
      </c>
      <c r="S30" s="469"/>
      <c r="T30" s="19">
        <v>0.41319444444444398</v>
      </c>
      <c r="U30" s="19">
        <v>0.46527777777777801</v>
      </c>
      <c r="V30" s="92">
        <f>(T30-U29)*24*60</f>
        <v>7.9999999999991722</v>
      </c>
      <c r="W30" s="149">
        <f t="shared" si="4"/>
        <v>75.000000000001009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-83.200000000020964</v>
      </c>
      <c r="AG30" s="99">
        <f t="shared" si="14"/>
        <v>0.94914425427871574</v>
      </c>
      <c r="AH30" s="479"/>
    </row>
    <row r="31" spans="1:34" ht="15" customHeight="1">
      <c r="A31" s="466"/>
      <c r="B31" s="75" t="s">
        <v>81</v>
      </c>
      <c r="C31" s="88"/>
      <c r="D31" s="59" t="s">
        <v>119</v>
      </c>
      <c r="E31" s="89"/>
      <c r="F31" s="75">
        <f>VLOOKUP(D31,廠價表!$C$1:$E$43,3,0)</f>
        <v>57.21</v>
      </c>
      <c r="G31" s="90">
        <v>323</v>
      </c>
      <c r="H31" s="91">
        <f t="shared" si="15"/>
        <v>18478.830000000002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1384.2857142857508</v>
      </c>
      <c r="O31" s="96">
        <f t="shared" si="18"/>
        <v>81.428571428573576</v>
      </c>
      <c r="P31" s="97">
        <f t="shared" si="19"/>
        <v>0</v>
      </c>
      <c r="Q31" s="98">
        <f t="shared" si="20"/>
        <v>-14.806722689073482</v>
      </c>
      <c r="R31" s="99">
        <f t="shared" si="21"/>
        <v>0.84614041215510438</v>
      </c>
      <c r="S31" s="469"/>
      <c r="T31" s="19">
        <v>0.52777777777777801</v>
      </c>
      <c r="U31" s="19">
        <v>0.53749999999999998</v>
      </c>
      <c r="V31" s="92">
        <f t="shared" ref="V31:V34" si="22">(T31-U30)*24*60</f>
        <v>90</v>
      </c>
      <c r="W31" s="149">
        <f t="shared" si="4"/>
        <v>13.999999999999631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-251.71428571424917</v>
      </c>
      <c r="AG31" s="99">
        <f t="shared" si="14"/>
        <v>0.84614041215510438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1340</v>
      </c>
      <c r="H32" s="91">
        <f t="shared" si="15"/>
        <v>62095.600000000006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1546.1538461538471</v>
      </c>
      <c r="O32" s="96">
        <f t="shared" si="18"/>
        <v>96.634615384615444</v>
      </c>
      <c r="P32" s="97">
        <f t="shared" si="19"/>
        <v>0</v>
      </c>
      <c r="Q32" s="98">
        <f t="shared" si="20"/>
        <v>-5.6153846153845564</v>
      </c>
      <c r="R32" s="99">
        <f t="shared" si="21"/>
        <v>0.94508181305247374</v>
      </c>
      <c r="S32" s="469"/>
      <c r="T32" s="19">
        <v>0.54374999999999996</v>
      </c>
      <c r="U32" s="19">
        <v>0.57986111111111105</v>
      </c>
      <c r="V32" s="92">
        <f t="shared" si="22"/>
        <v>8.999999999999968</v>
      </c>
      <c r="W32" s="149">
        <f t="shared" si="4"/>
        <v>51.999999999999972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7"/>
      <c r="D33" s="59" t="s">
        <v>123</v>
      </c>
      <c r="E33" s="178"/>
      <c r="F33" s="75">
        <f>VLOOKUP(D33,廠價表!$C$1:$E$43,3,0)</f>
        <v>45.66</v>
      </c>
      <c r="G33" s="90">
        <v>1100</v>
      </c>
      <c r="H33" s="91">
        <f t="shared" si="15"/>
        <v>50225.999999999993</v>
      </c>
      <c r="I33" s="92"/>
      <c r="J33" s="79">
        <f>VLOOKUP(D33,產線配置圖!$A$3:$C$40,2,0)</f>
        <v>17</v>
      </c>
      <c r="K33" s="80">
        <v>1636</v>
      </c>
      <c r="L33" s="93">
        <f t="shared" si="16"/>
        <v>96.235294117647058</v>
      </c>
      <c r="M33" s="94">
        <v>17</v>
      </c>
      <c r="N33" s="95">
        <f t="shared" si="17"/>
        <v>1499.9999999999782</v>
      </c>
      <c r="O33" s="96">
        <f t="shared" si="18"/>
        <v>88.235294117645779</v>
      </c>
      <c r="P33" s="97">
        <f t="shared" si="19"/>
        <v>0</v>
      </c>
      <c r="Q33" s="98">
        <f t="shared" si="20"/>
        <v>-8.000000000001279</v>
      </c>
      <c r="R33" s="99">
        <f t="shared" si="21"/>
        <v>0.9168704156479085</v>
      </c>
      <c r="S33" s="469"/>
      <c r="T33" s="19">
        <v>0.58472222222222203</v>
      </c>
      <c r="U33" s="19">
        <v>0.61527777777777803</v>
      </c>
      <c r="V33" s="92">
        <f t="shared" si="22"/>
        <v>6.9999999999998153</v>
      </c>
      <c r="W33" s="149">
        <f t="shared" si="4"/>
        <v>44.000000000000639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 t="s">
        <v>81</v>
      </c>
      <c r="C34" s="173"/>
      <c r="D34" s="59" t="s">
        <v>119</v>
      </c>
      <c r="E34" s="104"/>
      <c r="F34" s="75">
        <f>VLOOKUP(D34,廠價表!$C$1:$E$43,3,0)</f>
        <v>57.21</v>
      </c>
      <c r="G34" s="90">
        <v>687</v>
      </c>
      <c r="H34" s="91">
        <f t="shared" si="15"/>
        <v>39303.270000000004</v>
      </c>
      <c r="I34" s="92"/>
      <c r="J34" s="79">
        <f>VLOOKUP(D34,產線配置圖!$A$3:$C$40,2,0)</f>
        <v>17</v>
      </c>
      <c r="K34" s="80">
        <v>1636</v>
      </c>
      <c r="L34" s="93">
        <f t="shared" si="16"/>
        <v>96.235294117647058</v>
      </c>
      <c r="M34" s="94">
        <v>17</v>
      </c>
      <c r="N34" s="95">
        <f t="shared" si="17"/>
        <v>1526.6666666666722</v>
      </c>
      <c r="O34" s="96">
        <f t="shared" si="18"/>
        <v>89.803921568627771</v>
      </c>
      <c r="P34" s="97">
        <f t="shared" si="19"/>
        <v>0</v>
      </c>
      <c r="Q34" s="98">
        <f t="shared" si="20"/>
        <v>-6.4313725490192866</v>
      </c>
      <c r="R34" s="99">
        <f t="shared" si="21"/>
        <v>0.93317033414833261</v>
      </c>
      <c r="S34" s="469"/>
      <c r="T34" s="19">
        <v>0.62013888888888902</v>
      </c>
      <c r="U34" s="19">
        <v>0.63888888888888895</v>
      </c>
      <c r="V34" s="92">
        <f t="shared" si="22"/>
        <v>6.9999999999998153</v>
      </c>
      <c r="W34" s="149">
        <f t="shared" si="4"/>
        <v>26.999999999999904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1627.125</v>
      </c>
      <c r="L37" s="158">
        <f t="shared" si="23"/>
        <v>95.909313725490208</v>
      </c>
      <c r="M37" s="155">
        <f t="shared" si="23"/>
        <v>17</v>
      </c>
      <c r="N37" s="155">
        <f t="shared" si="23"/>
        <v>1516.8626253057248</v>
      </c>
      <c r="O37" s="158">
        <f t="shared" si="23"/>
        <v>89.402015614540758</v>
      </c>
      <c r="P37" s="159">
        <f>M37-J37</f>
        <v>0</v>
      </c>
      <c r="Q37" s="160">
        <f>N37-K37</f>
        <v>-110.26237469427519</v>
      </c>
      <c r="R37" s="161">
        <f>O37/L37</f>
        <v>0.93215155172964215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-110.26237469427519</v>
      </c>
      <c r="AG37" s="124">
        <f>N37/K37</f>
        <v>0.93223484692677261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2968</v>
      </c>
      <c r="H38" s="134">
        <f>F38*G38</f>
        <v>148132.87999999998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1589.9999999999952</v>
      </c>
      <c r="O38" s="141">
        <f>N38/M38</f>
        <v>105.99999999999969</v>
      </c>
      <c r="P38" s="142">
        <f>M38-J38</f>
        <v>0</v>
      </c>
      <c r="Q38" s="143">
        <f>O38-L38</f>
        <v>-8.2666666666669784</v>
      </c>
      <c r="R38" s="144">
        <f>O38/L38</f>
        <v>0.9276546091015142</v>
      </c>
      <c r="S38" s="490">
        <f>R48</f>
        <v>0.91229563762738841</v>
      </c>
      <c r="T38" s="191">
        <v>0.33333333333333298</v>
      </c>
      <c r="U38" s="191">
        <v>0.41111111111111098</v>
      </c>
      <c r="V38" s="192"/>
      <c r="W38" s="193">
        <f t="shared" si="4"/>
        <v>112.00000000000033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-124.00000000000477</v>
      </c>
      <c r="AG38" s="195">
        <f>N38/K38</f>
        <v>0.92765460910151409</v>
      </c>
      <c r="AH38" s="480">
        <f>AG48</f>
        <v>0.91123966983329907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2423</v>
      </c>
      <c r="H39" s="91">
        <f>F39*G39</f>
        <v>107338.9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1384.5714285714419</v>
      </c>
      <c r="O39" s="203">
        <f>N39/M39</f>
        <v>76.920634920635663</v>
      </c>
      <c r="P39" s="97">
        <f>M39-J39</f>
        <v>0</v>
      </c>
      <c r="Q39" s="98">
        <f>O39-L39</f>
        <v>-13.968253968253222</v>
      </c>
      <c r="R39" s="99">
        <f>O39/L39</f>
        <v>0.84631505413902319</v>
      </c>
      <c r="S39" s="491"/>
      <c r="T39" s="20">
        <v>0.41666666666666702</v>
      </c>
      <c r="U39" s="20">
        <v>0.48958333333333298</v>
      </c>
      <c r="V39" s="92">
        <f>(T39-U38)*24*60</f>
        <v>8.000000000000691</v>
      </c>
      <c r="W39" s="205">
        <f t="shared" si="4"/>
        <v>104.99999999999899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-251.42857142855814</v>
      </c>
      <c r="AG39" s="206">
        <f>N39/K39</f>
        <v>0.84631505413902319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3007</v>
      </c>
      <c r="H40" s="91">
        <f>F40*G40</f>
        <v>133210.1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1568.8695652173924</v>
      </c>
      <c r="O40" s="203">
        <f>N40/M40</f>
        <v>87.159420289855134</v>
      </c>
      <c r="P40" s="97">
        <f>M40-J40</f>
        <v>0</v>
      </c>
      <c r="Q40" s="98">
        <f>O40-L40</f>
        <v>-3.7294685990337513</v>
      </c>
      <c r="R40" s="99">
        <f>O40/L40</f>
        <v>0.95896672690549667</v>
      </c>
      <c r="S40" s="413"/>
      <c r="T40" s="20">
        <v>0.54513888888888895</v>
      </c>
      <c r="U40" s="20">
        <v>0.625</v>
      </c>
      <c r="V40" s="92">
        <f>(T40-U39)*24*60</f>
        <v>80.000000000000597</v>
      </c>
      <c r="W40" s="205">
        <f t="shared" si="4"/>
        <v>114.99999999999991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-67.130434782607608</v>
      </c>
      <c r="AG40" s="206">
        <f>N40/K40</f>
        <v>0.95896672690549656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1514.4803312629431</v>
      </c>
      <c r="O48" s="158">
        <f t="shared" si="24"/>
        <v>90.026685070163481</v>
      </c>
      <c r="P48" s="221">
        <f>M48-J48</f>
        <v>0</v>
      </c>
      <c r="Q48" s="222">
        <f>N48-K48</f>
        <v>-147.51966873705692</v>
      </c>
      <c r="R48" s="223">
        <f>O48/L48</f>
        <v>0.91229563762738841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-147.51966873705692</v>
      </c>
      <c r="AG48" s="162">
        <f t="shared" ref="AG48:AG53" si="26">N48/K48</f>
        <v>0.91123966983329907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2518</v>
      </c>
      <c r="H49" s="134">
        <f>F49*G49</f>
        <v>124691.36000000002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1678.6666666666667</v>
      </c>
      <c r="O49" s="141">
        <f>N49/M49</f>
        <v>98.745098039215691</v>
      </c>
      <c r="P49" s="229">
        <f>M49-J49</f>
        <v>0</v>
      </c>
      <c r="Q49" s="230">
        <f>O49-L49</f>
        <v>-7.1372549019607732</v>
      </c>
      <c r="R49" s="52">
        <f>O49/L49</f>
        <v>0.93259259259259264</v>
      </c>
      <c r="S49" s="412">
        <f>R58</f>
        <v>0.88757049976191538</v>
      </c>
      <c r="T49" s="191">
        <v>0.29166666666666702</v>
      </c>
      <c r="U49" s="191">
        <v>0.35416666666666702</v>
      </c>
      <c r="V49" s="55"/>
      <c r="W49" s="193">
        <f t="shared" si="4"/>
        <v>90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-121.33333333333326</v>
      </c>
      <c r="AG49" s="52">
        <f t="shared" si="26"/>
        <v>0.93259259259259264</v>
      </c>
      <c r="AH49" s="457">
        <f>AG58</f>
        <v>0.88760742437821116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1890</v>
      </c>
      <c r="H50" s="231">
        <f>F50*G50</f>
        <v>95046.21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1417.4999999999879</v>
      </c>
      <c r="O50" s="235">
        <f>N50/M50</f>
        <v>83.382352941175768</v>
      </c>
      <c r="P50" s="74">
        <f>M50-J50</f>
        <v>0</v>
      </c>
      <c r="Q50" s="83">
        <f>O50-L50</f>
        <v>-12.85294117647129</v>
      </c>
      <c r="R50" s="72">
        <f>O50/L50</f>
        <v>0.86644254278727872</v>
      </c>
      <c r="S50" s="413"/>
      <c r="T50" s="21">
        <v>0.36111111111111099</v>
      </c>
      <c r="U50" s="21">
        <v>0.41666666666666702</v>
      </c>
      <c r="V50" s="30">
        <f>(T50-U49)*24*60</f>
        <v>9.999999999999325</v>
      </c>
      <c r="W50" s="236">
        <f t="shared" si="4"/>
        <v>80.000000000000682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-218.50000000001205</v>
      </c>
      <c r="AG50" s="72">
        <f t="shared" si="26"/>
        <v>0.86644254278727872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1541</v>
      </c>
      <c r="H51" s="231">
        <f>F51*G51</f>
        <v>77003.77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1540.999999999987</v>
      </c>
      <c r="O51" s="235">
        <f>N51/M51</f>
        <v>96.31249999999919</v>
      </c>
      <c r="P51" s="74">
        <f>M51-J51</f>
        <v>0</v>
      </c>
      <c r="Q51" s="83">
        <f>O51-L51</f>
        <v>-16.18750000000081</v>
      </c>
      <c r="R51" s="72">
        <f>O51/L51</f>
        <v>0.85611111111110394</v>
      </c>
      <c r="S51" s="413"/>
      <c r="T51" s="21">
        <v>0.42013888888888901</v>
      </c>
      <c r="U51" s="19">
        <v>0.46180555555555602</v>
      </c>
      <c r="V51" s="30">
        <f>(T51-U50)*24*60</f>
        <v>4.9999999999996625</v>
      </c>
      <c r="W51" s="236">
        <f t="shared" si="4"/>
        <v>60.000000000000504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-259.00000000001296</v>
      </c>
      <c r="AG51" s="72">
        <f t="shared" si="26"/>
        <v>0.85611111111110394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3793</v>
      </c>
      <c r="H52" s="231">
        <f t="shared" ref="H52:H53" si="27">F52*G52</f>
        <v>189536.21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16</v>
      </c>
      <c r="N52" s="234">
        <f t="shared" ref="N52:N53" si="29">G52/W52*60</f>
        <v>1649.1304347825974</v>
      </c>
      <c r="O52" s="235">
        <f t="shared" ref="O52:O53" si="30">N52/M52</f>
        <v>103.07065217391234</v>
      </c>
      <c r="P52" s="74">
        <f t="shared" ref="P52:P53" si="31">M52-J52</f>
        <v>0</v>
      </c>
      <c r="Q52" s="83">
        <f t="shared" ref="Q52:Q53" si="32">O52-L52</f>
        <v>-9.429347826087664</v>
      </c>
      <c r="R52" s="72">
        <f t="shared" ref="R52:R53" si="33">O52/L52</f>
        <v>0.91618357487922075</v>
      </c>
      <c r="S52" s="413"/>
      <c r="T52" s="21">
        <v>0.52083333333333304</v>
      </c>
      <c r="U52" s="21">
        <v>0.61666666666666703</v>
      </c>
      <c r="V52" s="30">
        <f>(T52-U51)*24*60</f>
        <v>84.999999999998892</v>
      </c>
      <c r="W52" s="236">
        <f t="shared" si="4"/>
        <v>138.00000000000094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-150.86956521740262</v>
      </c>
      <c r="AG52" s="72">
        <f t="shared" si="26"/>
        <v>0.91618357487922075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682</v>
      </c>
      <c r="H53" s="231">
        <f t="shared" si="27"/>
        <v>34297.097999999998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17</v>
      </c>
      <c r="N53" s="234">
        <f t="shared" si="29"/>
        <v>1411.03448275861</v>
      </c>
      <c r="O53" s="235">
        <f t="shared" si="30"/>
        <v>83.002028397565297</v>
      </c>
      <c r="P53" s="74">
        <f t="shared" si="31"/>
        <v>0</v>
      </c>
      <c r="Q53" s="83">
        <f t="shared" si="32"/>
        <v>-13.233265720081761</v>
      </c>
      <c r="R53" s="72">
        <f t="shared" si="33"/>
        <v>0.86249051513362474</v>
      </c>
      <c r="S53" s="413"/>
      <c r="T53" s="21">
        <v>0.625</v>
      </c>
      <c r="U53" s="21">
        <v>0.64513888888888904</v>
      </c>
      <c r="V53" s="30">
        <f>(T53-U52)*24*60</f>
        <v>11.999999999999478</v>
      </c>
      <c r="W53" s="236">
        <f t="shared" si="4"/>
        <v>29.000000000000217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-224.96551724138999</v>
      </c>
      <c r="AG53" s="72">
        <f t="shared" si="26"/>
        <v>0.86249051513362474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1734.4</v>
      </c>
      <c r="L58" s="117">
        <f t="shared" si="34"/>
        <v>104.67058823529412</v>
      </c>
      <c r="M58" s="120">
        <f t="shared" si="34"/>
        <v>16.600000000000001</v>
      </c>
      <c r="N58" s="120">
        <f t="shared" si="34"/>
        <v>1539.4663168415696</v>
      </c>
      <c r="O58" s="117">
        <f t="shared" si="34"/>
        <v>92.902526310373659</v>
      </c>
      <c r="P58" s="121">
        <f>M58-J58</f>
        <v>0</v>
      </c>
      <c r="Q58" s="122">
        <f>N58-K58</f>
        <v>-194.93368315843054</v>
      </c>
      <c r="R58" s="123">
        <f>O58/L58</f>
        <v>0.88757049976191538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-194.93368315843054</v>
      </c>
      <c r="AG58" s="124">
        <f>N58/K58</f>
        <v>0.88760742437821116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3519</v>
      </c>
      <c r="H59" s="243">
        <f>F59*G59</f>
        <v>94977.81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1564</v>
      </c>
      <c r="O59" s="138">
        <f>N59/M59</f>
        <v>104.26666666666667</v>
      </c>
      <c r="P59" s="56">
        <f>M59-J59</f>
        <v>0</v>
      </c>
      <c r="Q59" s="230">
        <f>O59-L59</f>
        <v>-4.7999999999999972</v>
      </c>
      <c r="R59" s="52">
        <f>O59/L59</f>
        <v>0.95599022004889977</v>
      </c>
      <c r="S59" s="412">
        <f>R69</f>
        <v>0.94600047384479913</v>
      </c>
      <c r="T59" s="245">
        <v>0.28819444444444398</v>
      </c>
      <c r="U59" s="245">
        <v>0.38194444444444398</v>
      </c>
      <c r="V59" s="55"/>
      <c r="W59" s="54">
        <f t="shared" si="4"/>
        <v>135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-72</v>
      </c>
      <c r="AG59" s="246">
        <f>N59/K59</f>
        <v>0.95599022004889977</v>
      </c>
      <c r="AH59" s="457">
        <f>AG69</f>
        <v>0.94666645692507245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1732</v>
      </c>
      <c r="H60" s="78">
        <f>F60*G60</f>
        <v>48946.32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1528.2352941176543</v>
      </c>
      <c r="O60" s="81">
        <f>N60/M60</f>
        <v>138.93048128342312</v>
      </c>
      <c r="P60" s="74">
        <f>M60-J60</f>
        <v>0</v>
      </c>
      <c r="Q60" s="83">
        <f>O60-L60</f>
        <v>-9.7967914438495995</v>
      </c>
      <c r="R60" s="72">
        <f>O60/L60</f>
        <v>0.93412915288365184</v>
      </c>
      <c r="S60" s="502"/>
      <c r="T60" s="22">
        <v>0.38888888888888901</v>
      </c>
      <c r="U60" s="22">
        <v>0.43611111111111101</v>
      </c>
      <c r="V60" s="30">
        <f>(T60-U59)*24*60</f>
        <v>10.000000000000844</v>
      </c>
      <c r="W60" s="248">
        <f t="shared" si="4"/>
        <v>67.999999999999673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-107.76470588234565</v>
      </c>
      <c r="AG60" s="249">
        <f>N60/K60</f>
        <v>0.93412915288365184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2002</v>
      </c>
      <c r="H61" s="254">
        <f>F61*G61</f>
        <v>56576.520000000004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1560.0000000000055</v>
      </c>
      <c r="O61" s="238">
        <f>N61/M61</f>
        <v>141.81818181818232</v>
      </c>
      <c r="P61" s="111">
        <f>M61-J61</f>
        <v>0</v>
      </c>
      <c r="Q61" s="255">
        <f>O61-L61</f>
        <v>-6.9090909090903949</v>
      </c>
      <c r="R61" s="85">
        <f>O61/L61</f>
        <v>0.95354523227384214</v>
      </c>
      <c r="S61" s="413"/>
      <c r="T61" s="22">
        <v>0.44305555555555598</v>
      </c>
      <c r="U61" s="22">
        <v>0.49652777777777801</v>
      </c>
      <c r="V61" s="30">
        <f>(T61-U60)*24*60</f>
        <v>10.000000000000764</v>
      </c>
      <c r="W61" s="256">
        <f t="shared" si="4"/>
        <v>76.99999999999973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-75.999999999994543</v>
      </c>
      <c r="AG61" s="247">
        <f>N61/K61</f>
        <v>0.95354523227384191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2057</v>
      </c>
      <c r="H62" s="254">
        <f>F62*G62</f>
        <v>58130.82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1542.7500000000148</v>
      </c>
      <c r="O62" s="238">
        <f>N62/M62</f>
        <v>140.25000000000134</v>
      </c>
      <c r="P62" s="111">
        <f>M62-J62</f>
        <v>0</v>
      </c>
      <c r="Q62" s="255">
        <f>O62-L62</f>
        <v>-8.4772727272713837</v>
      </c>
      <c r="R62" s="85">
        <f>O62/L62</f>
        <v>0.94300122249389651</v>
      </c>
      <c r="S62" s="413"/>
      <c r="T62" s="22">
        <v>0.55902777777777801</v>
      </c>
      <c r="U62" s="22">
        <v>0.61458333333333304</v>
      </c>
      <c r="V62" s="30">
        <f>(T62-U61)*24*60</f>
        <v>90</v>
      </c>
      <c r="W62" s="248">
        <f t="shared" si="4"/>
        <v>79.999999999999233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-93.249999999985221</v>
      </c>
      <c r="AG62" s="247">
        <f>N62/K62</f>
        <v>0.94300122249389662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35">AVERAGE(J59:J68)</f>
        <v>12</v>
      </c>
      <c r="K69" s="240">
        <f t="shared" si="35"/>
        <v>1636</v>
      </c>
      <c r="L69" s="268">
        <f t="shared" si="35"/>
        <v>138.81212121212121</v>
      </c>
      <c r="M69" s="240">
        <f t="shared" si="35"/>
        <v>12</v>
      </c>
      <c r="N69" s="240">
        <f t="shared" si="35"/>
        <v>1548.7463235294185</v>
      </c>
      <c r="O69" s="268">
        <f t="shared" si="35"/>
        <v>131.31633244206836</v>
      </c>
      <c r="P69" s="269">
        <f>M69-J69</f>
        <v>0</v>
      </c>
      <c r="Q69" s="222">
        <f>N69-K69</f>
        <v>-87.253676470581468</v>
      </c>
      <c r="R69" s="123">
        <f>O69/L69</f>
        <v>0.94600047384479913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-87.253676470581468</v>
      </c>
      <c r="AG69" s="124">
        <f>N69/K69</f>
        <v>0.94666645692507245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1700</v>
      </c>
      <c r="H70" s="243">
        <f>F70*G70</f>
        <v>48042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1073.6842105263197</v>
      </c>
      <c r="O70" s="138">
        <f>N70/M70</f>
        <v>119.29824561403552</v>
      </c>
      <c r="P70" s="56">
        <f>M70-J70</f>
        <v>-2</v>
      </c>
      <c r="Q70" s="230">
        <f>O70-L70</f>
        <v>-29.429027113237197</v>
      </c>
      <c r="R70" s="52">
        <f>O70/L70</f>
        <v>0.8021275683095298</v>
      </c>
      <c r="S70" s="412">
        <f>R79</f>
        <v>0.86428863310832449</v>
      </c>
      <c r="T70" s="245">
        <v>0.29166666666666702</v>
      </c>
      <c r="U70" s="245">
        <v>0.35763888888888901</v>
      </c>
      <c r="V70" s="55"/>
      <c r="W70" s="54">
        <f t="shared" si="4"/>
        <v>94.999999999999659</v>
      </c>
      <c r="X70" s="270">
        <v>0.35763888888888901</v>
      </c>
      <c r="Y70" s="292">
        <v>0.36458333333333298</v>
      </c>
      <c r="Z70" s="169"/>
      <c r="AA70" s="169"/>
      <c r="AB70" s="464" t="s">
        <v>184</v>
      </c>
      <c r="AC70" s="464"/>
      <c r="AD70" s="135"/>
      <c r="AE70" s="135"/>
      <c r="AF70" s="310">
        <f>N70-K70</f>
        <v>-562.3157894736803</v>
      </c>
      <c r="AG70" s="246">
        <f>N70/K70</f>
        <v>0.65628619225325169</v>
      </c>
      <c r="AH70" s="457">
        <f>AG79</f>
        <v>0.66071767037966611</v>
      </c>
    </row>
    <row r="71" spans="1:36" ht="15" customHeight="1">
      <c r="A71" s="495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659</v>
      </c>
      <c r="H71" s="78">
        <f>F71*G71</f>
        <v>37701.39</v>
      </c>
      <c r="I71" s="30"/>
      <c r="J71" s="79">
        <f>VLOOKUP(D71,產線配置圖!$A$3:$C$40,2,0)</f>
        <v>17</v>
      </c>
      <c r="K71" s="80">
        <v>1565</v>
      </c>
      <c r="L71" s="81">
        <f>K71/J71</f>
        <v>92.058823529411768</v>
      </c>
      <c r="M71" s="82">
        <v>14</v>
      </c>
      <c r="N71" s="80">
        <f>G71/W71*60</f>
        <v>988.49999999999159</v>
      </c>
      <c r="O71" s="81">
        <f>N71/M71</f>
        <v>70.60714285714225</v>
      </c>
      <c r="P71" s="74">
        <f>M71-J71</f>
        <v>-3</v>
      </c>
      <c r="Q71" s="83">
        <f>O71-L71</f>
        <v>-21.451680672269518</v>
      </c>
      <c r="R71" s="72">
        <f>O71/L71</f>
        <v>0.76697854860793491</v>
      </c>
      <c r="S71" s="413"/>
      <c r="T71" s="22">
        <v>0.37152777777777801</v>
      </c>
      <c r="U71" s="22">
        <v>0.39930555555555602</v>
      </c>
      <c r="V71" s="30">
        <f>(T71-U70)*24*60</f>
        <v>20.000000000000171</v>
      </c>
      <c r="W71" s="73">
        <f t="shared" si="4"/>
        <v>40.000000000000341</v>
      </c>
      <c r="X71" s="271"/>
      <c r="Y71" s="293"/>
      <c r="Z71" s="90"/>
      <c r="AA71" s="90"/>
      <c r="AB71" s="483" t="s">
        <v>172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2492</v>
      </c>
      <c r="H72" s="254">
        <f>F72*G72</f>
        <v>109373.88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>K72/J72</f>
        <v>96.235294117647058</v>
      </c>
      <c r="M72" s="82">
        <v>12</v>
      </c>
      <c r="N72" s="107">
        <f>G72/W72*60</f>
        <v>1107.5555555555554</v>
      </c>
      <c r="O72" s="238">
        <f>N72/M72</f>
        <v>92.296296296296291</v>
      </c>
      <c r="P72" s="111">
        <f>M72-J72</f>
        <v>-5</v>
      </c>
      <c r="Q72" s="255">
        <f>O72-L72</f>
        <v>-3.9389978213507675</v>
      </c>
      <c r="R72" s="85">
        <f>O72/L72</f>
        <v>0.95906909354342107</v>
      </c>
      <c r="S72" s="413"/>
      <c r="T72" s="22">
        <v>0.40625</v>
      </c>
      <c r="U72" s="22">
        <v>0.5</v>
      </c>
      <c r="V72" s="30">
        <f>(T72-U71)*24*60</f>
        <v>9.999999999999325</v>
      </c>
      <c r="W72" s="73">
        <f t="shared" si="4"/>
        <v>135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181</v>
      </c>
      <c r="E73" s="87"/>
      <c r="F73" s="250">
        <f>VLOOKUP(D73,廠價表!$C$1:$E$43,3,0)</f>
        <v>43.89</v>
      </c>
      <c r="G73" s="30">
        <v>3229</v>
      </c>
      <c r="H73" s="254">
        <f>F73*G73</f>
        <v>141720.81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82">
        <v>12</v>
      </c>
      <c r="N73" s="107">
        <f>G73/W73*60</f>
        <v>1107.0857142857121</v>
      </c>
      <c r="O73" s="238">
        <f>N73/M73</f>
        <v>92.257142857142682</v>
      </c>
      <c r="P73" s="111">
        <f>M73-J73</f>
        <v>-5</v>
      </c>
      <c r="Q73" s="255">
        <f>O73-L73</f>
        <v>-3.9781512605043758</v>
      </c>
      <c r="R73" s="85">
        <f>O73/L73</f>
        <v>0.95866224240307185</v>
      </c>
      <c r="S73" s="413"/>
      <c r="T73" s="22">
        <v>0.55208333333333304</v>
      </c>
      <c r="U73" s="22">
        <v>0.67361111111111105</v>
      </c>
      <c r="V73" s="30">
        <f>(T73-U72)*24*60</f>
        <v>74.999999999999574</v>
      </c>
      <c r="W73" s="73">
        <f t="shared" si="4"/>
        <v>175.00000000000034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6">AVERAGE(J70:J78)</f>
        <v>15.5</v>
      </c>
      <c r="K79" s="240">
        <f t="shared" si="36"/>
        <v>1618.25</v>
      </c>
      <c r="L79" s="268">
        <f t="shared" si="36"/>
        <v>108.31417112299465</v>
      </c>
      <c r="M79" s="240">
        <f t="shared" si="36"/>
        <v>11.75</v>
      </c>
      <c r="N79" s="240">
        <f t="shared" si="36"/>
        <v>1069.2063700918948</v>
      </c>
      <c r="O79" s="268">
        <f t="shared" si="36"/>
        <v>93.614706906154197</v>
      </c>
      <c r="P79" s="269">
        <f>M79-J79</f>
        <v>-3.75</v>
      </c>
      <c r="Q79" s="222">
        <f>N79-K79</f>
        <v>-549.04362990810523</v>
      </c>
      <c r="R79" s="223">
        <f>O79/L79</f>
        <v>0.86428863310832449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-549.04362990810523</v>
      </c>
      <c r="AG79" s="124">
        <f>N79/K79</f>
        <v>0.66071767037966611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</mergeCells>
  <phoneticPr fontId="0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U6" sqref="U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46219</v>
      </c>
      <c r="E3" s="379"/>
      <c r="F3" s="3" t="s">
        <v>72</v>
      </c>
      <c r="G3" s="380">
        <f>'0716'!E1</f>
        <v>62703</v>
      </c>
      <c r="H3" s="380"/>
      <c r="I3" s="3" t="s">
        <v>2</v>
      </c>
      <c r="J3" s="381">
        <f>'0716'!G1</f>
        <v>2890044.7490000003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124.98076394504963</v>
      </c>
      <c r="G6" s="386"/>
      <c r="H6" s="387">
        <f>AVERAGE(D13:H13)</f>
        <v>125.54781105604634</v>
      </c>
      <c r="I6" s="387"/>
      <c r="J6" s="387">
        <f>AVERAGE(I13:J13)</f>
        <v>123.56314616755793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112.31211285038005</v>
      </c>
      <c r="G7" s="410"/>
      <c r="H7" s="411">
        <f>AVERAGE(D14:H14)</f>
        <v>112.37311585182647</v>
      </c>
      <c r="I7" s="411"/>
      <c r="J7" s="411">
        <f>AVERAGE(I14:J14)</f>
        <v>112.15960534676397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0.89863519237056655</v>
      </c>
      <c r="G8" s="383"/>
      <c r="H8" s="383">
        <f>H7/H6</f>
        <v>0.89506232650811812</v>
      </c>
      <c r="I8" s="383"/>
      <c r="J8" s="383">
        <f>J7/J6</f>
        <v>0.90771082499526046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VALUE('0716'!L15)</f>
        <v>155.35714285714286</v>
      </c>
      <c r="E13" s="13">
        <f>VALUE('0716'!L26)</f>
        <v>173.76373626373626</v>
      </c>
      <c r="F13" s="13">
        <f>VALUE('0716'!L37)</f>
        <v>95.266106442577055</v>
      </c>
      <c r="G13" s="13">
        <f>VALUE('0716'!L48)</f>
        <v>98.681481481481498</v>
      </c>
      <c r="H13" s="13">
        <f>VALUE('0716'!L58)</f>
        <v>104.67058823529412</v>
      </c>
      <c r="I13" s="13">
        <f>VALUE('0716'!L69)</f>
        <v>138.81212121212121</v>
      </c>
      <c r="J13" s="13">
        <f>'0716'!L79</f>
        <v>108.31417112299465</v>
      </c>
    </row>
    <row r="14" spans="2:15" ht="39.950000000000003" customHeight="1">
      <c r="B14" s="404"/>
      <c r="C14" s="12" t="s">
        <v>100</v>
      </c>
      <c r="D14" s="13">
        <f>VALUE('0716'!O15)</f>
        <v>141.32620320855648</v>
      </c>
      <c r="E14" s="13">
        <f>VALUE('0716'!O26)</f>
        <v>161.69774681839885</v>
      </c>
      <c r="F14" s="13">
        <f>VALUE('0716'!O37)</f>
        <v>86.7115539603153</v>
      </c>
      <c r="G14" s="13">
        <f>VALUE('0716'!O48)</f>
        <v>84.007070707070781</v>
      </c>
      <c r="H14" s="13">
        <f>VALUE('0716'!O58)</f>
        <v>88.123004564790946</v>
      </c>
      <c r="I14" s="13">
        <f>VALUE('0716'!O69)</f>
        <v>129.23267232767225</v>
      </c>
      <c r="J14" s="13">
        <f>'0716'!O79</f>
        <v>95.086538365855688</v>
      </c>
    </row>
    <row r="15" spans="2:15" ht="39.950000000000003" customHeight="1">
      <c r="B15" s="405"/>
      <c r="C15" s="10" t="s">
        <v>26</v>
      </c>
      <c r="D15" s="14">
        <f t="shared" ref="D15:I15" si="1">D14/D13</f>
        <v>0.90968590571024854</v>
      </c>
      <c r="E15" s="14">
        <f t="shared" si="1"/>
        <v>0.9305609461169515</v>
      </c>
      <c r="F15" s="14">
        <f t="shared" si="1"/>
        <v>0.91020360963929881</v>
      </c>
      <c r="G15" s="14">
        <f t="shared" si="1"/>
        <v>0.85129519182214031</v>
      </c>
      <c r="H15" s="14">
        <f t="shared" si="1"/>
        <v>0.84190799010983819</v>
      </c>
      <c r="I15" s="14">
        <f t="shared" si="1"/>
        <v>0.9309898242257213</v>
      </c>
      <c r="J15" s="15">
        <f>'0716'!S70</f>
        <v>0.87787717322677461</v>
      </c>
    </row>
    <row r="16" spans="2:15" ht="17.25" customHeight="1">
      <c r="B16" s="406" t="s">
        <v>101</v>
      </c>
      <c r="C16" s="10" t="s">
        <v>34</v>
      </c>
      <c r="D16" s="16">
        <f>'0716'!T5</f>
        <v>0.29236111111111102</v>
      </c>
      <c r="E16" s="16">
        <f>'0716'!T16</f>
        <v>0.28819444444444398</v>
      </c>
      <c r="F16" s="16">
        <f>'0716'!T27</f>
        <v>0.29166666666666702</v>
      </c>
      <c r="G16" s="16">
        <f>'0716'!T38</f>
        <v>0.33333333333333298</v>
      </c>
      <c r="H16" s="16">
        <f>'0716'!T49</f>
        <v>0.29166666666666702</v>
      </c>
      <c r="I16" s="16">
        <f>'0716'!T59</f>
        <v>0.29166666666666702</v>
      </c>
      <c r="J16" s="16">
        <f>'0716'!T70</f>
        <v>0.29513888888888901</v>
      </c>
    </row>
    <row r="17" spans="2:10" ht="17.25" customHeight="1">
      <c r="B17" s="407"/>
      <c r="C17" s="10" t="s">
        <v>35</v>
      </c>
      <c r="D17" s="16">
        <v>0.46875</v>
      </c>
      <c r="E17" s="19">
        <v>0.62638888888888899</v>
      </c>
      <c r="F17" s="19">
        <v>0.63888888888888895</v>
      </c>
      <c r="G17" s="210">
        <v>0.63888888888888895</v>
      </c>
      <c r="H17" s="21">
        <v>0.63680555555555596</v>
      </c>
      <c r="I17" s="22">
        <v>0.59722222222222199</v>
      </c>
      <c r="J17" s="22">
        <v>0.64583333333333304</v>
      </c>
    </row>
    <row r="18" spans="2:10" ht="17.25" customHeight="1">
      <c r="B18" s="408" t="s">
        <v>102</v>
      </c>
      <c r="C18" s="330" t="s">
        <v>36</v>
      </c>
      <c r="D18" s="357">
        <f>'0716'!Z15</f>
        <v>0</v>
      </c>
      <c r="E18" s="358">
        <f>'0716'!Z26</f>
        <v>0</v>
      </c>
      <c r="F18" s="358">
        <f>'0716'!Z37</f>
        <v>0</v>
      </c>
      <c r="G18" s="359">
        <f>'0716'!Z48</f>
        <v>0</v>
      </c>
      <c r="H18" s="359">
        <f>'0716'!Z58</f>
        <v>0</v>
      </c>
      <c r="I18" s="358">
        <f>'0716'!Z69</f>
        <v>0</v>
      </c>
      <c r="J18" s="358">
        <f>'0716'!AA79</f>
        <v>0</v>
      </c>
    </row>
    <row r="19" spans="2:10" ht="17.25" customHeight="1">
      <c r="B19" s="409"/>
      <c r="C19" s="330" t="s">
        <v>37</v>
      </c>
      <c r="D19" s="357">
        <f>'0716'!AA15</f>
        <v>0</v>
      </c>
      <c r="E19" s="358">
        <f>'0716'!AA26</f>
        <v>0</v>
      </c>
      <c r="F19" s="358">
        <f>'0716'!AA37</f>
        <v>0</v>
      </c>
      <c r="G19" s="359">
        <f>'0716'!AA48</f>
        <v>0</v>
      </c>
      <c r="H19" s="359">
        <f>'0716'!AA58</f>
        <v>0</v>
      </c>
      <c r="I19" s="358">
        <f>'0716'!AA69</f>
        <v>0</v>
      </c>
      <c r="J19" s="358">
        <f>'0716'!AB79</f>
        <v>0</v>
      </c>
    </row>
    <row r="20" spans="2:10" ht="17.25" customHeight="1">
      <c r="B20" s="408" t="s">
        <v>103</v>
      </c>
      <c r="C20" s="330" t="s">
        <v>36</v>
      </c>
      <c r="D20" s="357">
        <f>'0716'!AD15</f>
        <v>0</v>
      </c>
      <c r="E20" s="358">
        <f>'0716'!AD26</f>
        <v>0</v>
      </c>
      <c r="F20" s="358">
        <f>'0716'!AD37</f>
        <v>0</v>
      </c>
      <c r="G20" s="359">
        <f>'0716'!AD48</f>
        <v>0</v>
      </c>
      <c r="H20" s="359">
        <f>'0716'!AD58</f>
        <v>0</v>
      </c>
      <c r="I20" s="358">
        <f>'0716'!AD69</f>
        <v>0</v>
      </c>
      <c r="J20" s="358">
        <f>'0716'!AD79</f>
        <v>0</v>
      </c>
    </row>
    <row r="21" spans="2:10" ht="17.25" customHeight="1">
      <c r="B21" s="409"/>
      <c r="C21" s="330" t="s">
        <v>85</v>
      </c>
      <c r="D21" s="357">
        <f>'0716'!AE15</f>
        <v>0</v>
      </c>
      <c r="E21" s="358">
        <f>'0716'!AE26</f>
        <v>0</v>
      </c>
      <c r="F21" s="358">
        <f>'0716'!AE37</f>
        <v>0</v>
      </c>
      <c r="G21" s="359">
        <f>'0716'!AE48</f>
        <v>0</v>
      </c>
      <c r="H21" s="359">
        <f>'0716'!AE58</f>
        <v>0</v>
      </c>
      <c r="I21" s="358">
        <f>'0716'!AE69</f>
        <v>0</v>
      </c>
      <c r="J21" s="358">
        <f>'0716'!AE79</f>
        <v>0</v>
      </c>
    </row>
    <row r="22" spans="2:10" ht="17.25" customHeight="1">
      <c r="B22" s="392" t="s">
        <v>104</v>
      </c>
      <c r="C22" s="393"/>
      <c r="D22" s="23">
        <f>VALUE('0716'!M15)</f>
        <v>14.5</v>
      </c>
      <c r="E22" s="23">
        <f>VALUE('0716'!M26)</f>
        <v>13</v>
      </c>
      <c r="F22" s="23">
        <f>VALUE('0716'!M37)</f>
        <v>16.714285714285715</v>
      </c>
      <c r="G22" s="23">
        <f>VALUE('0716'!M48)</f>
        <v>17</v>
      </c>
      <c r="H22" s="23">
        <f>VALUE('0716'!M58)</f>
        <v>16.399999999999999</v>
      </c>
      <c r="I22" s="23">
        <f>VALUE('0716'!M69)</f>
        <v>12</v>
      </c>
      <c r="J22" s="23">
        <f>'0716'!M79</f>
        <v>12.5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U6" sqref="U6"/>
      <selection pane="topRight" activeCell="U6" sqref="U6"/>
      <selection pane="bottomLeft" activeCell="U6" sqref="U6"/>
      <selection pane="bottomRight" activeCell="U6" sqref="U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62703</v>
      </c>
      <c r="F1" s="30" t="s">
        <v>2</v>
      </c>
      <c r="G1" s="31">
        <f>SUM(H5:H79)</f>
        <v>2890044.7490000003</v>
      </c>
      <c r="H1" s="32" t="s">
        <v>3</v>
      </c>
      <c r="I1" s="33">
        <f>M15+M26+M48+M58+M69+M79+M37</f>
        <v>102.11428571428573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185</v>
      </c>
      <c r="B2" s="418"/>
      <c r="C2" s="28"/>
      <c r="D2" s="28" t="s">
        <v>14</v>
      </c>
      <c r="E2" s="35">
        <f>AVERAGE(O15,O26,O37,O48,O58,O69,O79)</f>
        <v>112.31211285038005</v>
      </c>
      <c r="F2" s="36" t="s">
        <v>15</v>
      </c>
      <c r="G2" s="37">
        <f>G1/E1</f>
        <v>46.091012375803395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2704</v>
      </c>
      <c r="H5" s="43">
        <f>F5*G5</f>
        <v>137011.68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2107.0129870129967</v>
      </c>
      <c r="O5" s="47">
        <f>N5/M5</f>
        <v>140.46753246753312</v>
      </c>
      <c r="P5" s="49">
        <f>M5-J5</f>
        <v>0</v>
      </c>
      <c r="Q5" s="50">
        <f>O5-L5</f>
        <v>-9.5324675324668817</v>
      </c>
      <c r="R5" s="51">
        <f>O5/L5</f>
        <v>0.93645021645022075</v>
      </c>
      <c r="S5" s="412">
        <f>R15</f>
        <v>0.90968590571024854</v>
      </c>
      <c r="T5" s="319">
        <v>0.29236111111111102</v>
      </c>
      <c r="U5" s="320">
        <v>0.34583333333333299</v>
      </c>
      <c r="V5" s="53"/>
      <c r="W5" s="54">
        <f t="shared" ref="W5:W14" si="0">(U5-T5)*24*60</f>
        <v>76.999999999999645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-142.98701298700325</v>
      </c>
      <c r="AG5" s="52">
        <f t="shared" ref="AG5:AG11" si="2">N5/K5</f>
        <v>0.93645021645022075</v>
      </c>
      <c r="AH5" s="457">
        <f>AG15</f>
        <v>0.91057804940158082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5076</v>
      </c>
      <c r="H6" s="63">
        <f>F6*G6</f>
        <v>249434.64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1990.5882352941173</v>
      </c>
      <c r="O6" s="67">
        <f>N6/M6</f>
        <v>142.18487394957981</v>
      </c>
      <c r="P6" s="69">
        <f>M6-J6</f>
        <v>0</v>
      </c>
      <c r="Q6" s="70">
        <f>O6-L6</f>
        <v>-18.529411764705912</v>
      </c>
      <c r="R6" s="71">
        <f>O6/L6</f>
        <v>0.88470588235294101</v>
      </c>
      <c r="S6" s="413"/>
      <c r="T6" s="16">
        <v>0.36249999999999999</v>
      </c>
      <c r="U6" s="16">
        <v>0.46875</v>
      </c>
      <c r="V6" s="30">
        <f>(T6-U5)*24*60</f>
        <v>24.000000000000476</v>
      </c>
      <c r="W6" s="73">
        <f t="shared" si="0"/>
        <v>153.00000000000003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-259.41176470588266</v>
      </c>
      <c r="AG6" s="72">
        <f t="shared" si="2"/>
        <v>0.88470588235294101</v>
      </c>
      <c r="AH6" s="458"/>
    </row>
    <row r="7" spans="1:34" ht="15" customHeight="1">
      <c r="A7" s="42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13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0</v>
      </c>
      <c r="AG7" s="72" t="e">
        <f t="shared" si="2"/>
        <v>#DIV/0!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14.5</v>
      </c>
      <c r="K15" s="120">
        <f t="shared" si="3"/>
        <v>2250</v>
      </c>
      <c r="L15" s="117">
        <f t="shared" si="3"/>
        <v>155.35714285714286</v>
      </c>
      <c r="M15" s="120">
        <f t="shared" si="3"/>
        <v>14.5</v>
      </c>
      <c r="N15" s="120">
        <f t="shared" si="3"/>
        <v>2048.8006111535569</v>
      </c>
      <c r="O15" s="117">
        <f t="shared" si="3"/>
        <v>141.32620320855648</v>
      </c>
      <c r="P15" s="121">
        <f>M15-J15</f>
        <v>0</v>
      </c>
      <c r="Q15" s="122">
        <f>O15-L15</f>
        <v>-14.030939648586383</v>
      </c>
      <c r="R15" s="123">
        <f>O15/L15</f>
        <v>0.90968590571024854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-201.19938884644307</v>
      </c>
      <c r="AG15" s="124">
        <f>N15/K15</f>
        <v>0.91057804940158082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2433</v>
      </c>
      <c r="H16" s="134">
        <f>F16*G16</f>
        <v>123280.11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2115.6521739130262</v>
      </c>
      <c r="O16" s="141">
        <f>N16/M16</f>
        <v>162.74247491638664</v>
      </c>
      <c r="P16" s="142">
        <f>M16-J16</f>
        <v>0</v>
      </c>
      <c r="Q16" s="143">
        <f>O16-L16</f>
        <v>-10.334448160536425</v>
      </c>
      <c r="R16" s="144">
        <f>O16/L16</f>
        <v>0.94028985507245622</v>
      </c>
      <c r="S16" s="468">
        <f>R26</f>
        <v>0.9305609461169515</v>
      </c>
      <c r="T16" s="145">
        <v>0.28819444444444398</v>
      </c>
      <c r="U16" s="145">
        <v>0.33611111111111103</v>
      </c>
      <c r="V16" s="135"/>
      <c r="W16" s="146">
        <f t="shared" ref="W16:W78" si="4">(U16-T16)*24*60</f>
        <v>69.000000000000554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-134.34782608697378</v>
      </c>
      <c r="AG16" s="52">
        <f>N16/K16</f>
        <v>0.9402898550724561</v>
      </c>
      <c r="AH16" s="457">
        <f>AG26</f>
        <v>0.93039875379585468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2657</v>
      </c>
      <c r="H17" s="78">
        <f>F17*G17</f>
        <v>151103.59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2043.8461538461797</v>
      </c>
      <c r="O17" s="96">
        <f>N17/M17</f>
        <v>145.98901098901283</v>
      </c>
      <c r="P17" s="97">
        <f>M17-J17</f>
        <v>0</v>
      </c>
      <c r="Q17" s="98">
        <f>O17-L17</f>
        <v>-14.725274725272897</v>
      </c>
      <c r="R17" s="99">
        <f>O17/L17</f>
        <v>0.90837606837607976</v>
      </c>
      <c r="S17" s="469"/>
      <c r="T17" s="19">
        <v>0.34166666666666701</v>
      </c>
      <c r="U17" s="19">
        <v>0.39583333333333298</v>
      </c>
      <c r="V17" s="30">
        <f>(T17-U16)*24*60</f>
        <v>8.0000000000006111</v>
      </c>
      <c r="W17" s="149">
        <f t="shared" si="4"/>
        <v>77.999999999999005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-206.15384615382027</v>
      </c>
      <c r="AG17" s="72">
        <f>N17/K17</f>
        <v>0.90837606837607987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1956</v>
      </c>
      <c r="H18" s="78">
        <f>F18*G18</f>
        <v>113780.52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2173.3333333333344</v>
      </c>
      <c r="O18" s="96">
        <f>N18/M18</f>
        <v>155.23809523809533</v>
      </c>
      <c r="P18" s="97">
        <f>M18-J18</f>
        <v>0</v>
      </c>
      <c r="Q18" s="98">
        <f>O18-L18</f>
        <v>-5.4761904761903963</v>
      </c>
      <c r="R18" s="99">
        <f>O18/L18</f>
        <v>0.96592592592592641</v>
      </c>
      <c r="S18" s="469"/>
      <c r="T18" s="19">
        <v>0.40277777777777801</v>
      </c>
      <c r="U18" s="19">
        <v>0.44027777777777799</v>
      </c>
      <c r="V18" s="30">
        <f>(T18-U17)*24*60</f>
        <v>10.000000000000844</v>
      </c>
      <c r="W18" s="149">
        <f t="shared" si="4"/>
        <v>53.999999999999972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-76.666666666665606</v>
      </c>
      <c r="AG18" s="72">
        <f>N18/K18</f>
        <v>0.96592592592592641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1567</v>
      </c>
      <c r="H19" s="78">
        <f t="shared" ref="H19:H21" si="5">F19*G19</f>
        <v>78961.13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2136.8181818181547</v>
      </c>
      <c r="O19" s="96">
        <f t="shared" ref="O19:O21" si="8">N19/M19</f>
        <v>178.06818181817957</v>
      </c>
      <c r="P19" s="97">
        <f t="shared" ref="P19:P21" si="9">M19-J19</f>
        <v>0</v>
      </c>
      <c r="Q19" s="98">
        <f t="shared" ref="Q19:Q21" si="10">O19-L19</f>
        <v>-9.4318181818204323</v>
      </c>
      <c r="R19" s="99">
        <f t="shared" ref="R19:R21" si="11">O19/L19</f>
        <v>0.94969696969695772</v>
      </c>
      <c r="S19" s="469"/>
      <c r="T19" s="19">
        <v>0.44583333333333303</v>
      </c>
      <c r="U19" s="19">
        <v>0.47638888888888897</v>
      </c>
      <c r="V19" s="30">
        <f>(T19-U18)*24*60</f>
        <v>7.9999999999992522</v>
      </c>
      <c r="W19" s="149">
        <f t="shared" si="4"/>
        <v>44.000000000000561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-113.1818181818453</v>
      </c>
      <c r="AG19" s="72">
        <f>N19/K19</f>
        <v>0.9496969696969576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2628</v>
      </c>
      <c r="H20" s="78">
        <f t="shared" si="5"/>
        <v>132424.92000000001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2102.4000000000119</v>
      </c>
      <c r="O20" s="96">
        <f t="shared" si="8"/>
        <v>175.20000000000098</v>
      </c>
      <c r="P20" s="97">
        <f t="shared" si="9"/>
        <v>0</v>
      </c>
      <c r="Q20" s="98">
        <f t="shared" si="10"/>
        <v>-12.299999999999017</v>
      </c>
      <c r="R20" s="99">
        <f t="shared" si="11"/>
        <v>0.93440000000000523</v>
      </c>
      <c r="S20" s="469"/>
      <c r="T20" s="19">
        <v>0.54166666666666696</v>
      </c>
      <c r="U20" s="19">
        <v>0.59375</v>
      </c>
      <c r="V20" s="30">
        <f>(T20-U19)*24*60</f>
        <v>94.000000000000313</v>
      </c>
      <c r="W20" s="149">
        <f t="shared" si="4"/>
        <v>74.999999999999574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1193</v>
      </c>
      <c r="H21" s="78">
        <f t="shared" si="5"/>
        <v>60449.310000000005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1988.3333333333319</v>
      </c>
      <c r="O21" s="96">
        <f t="shared" si="8"/>
        <v>152.94871794871784</v>
      </c>
      <c r="P21" s="97">
        <f t="shared" si="9"/>
        <v>0</v>
      </c>
      <c r="Q21" s="98">
        <f t="shared" si="10"/>
        <v>-20.128205128205224</v>
      </c>
      <c r="R21" s="99">
        <f t="shared" si="11"/>
        <v>0.8837037037037031</v>
      </c>
      <c r="S21" s="469"/>
      <c r="T21" s="19">
        <v>0.60138888888888897</v>
      </c>
      <c r="U21" s="19">
        <v>0.62638888888888899</v>
      </c>
      <c r="V21" s="30">
        <f>(T21-U20)*24*60</f>
        <v>11.000000000000121</v>
      </c>
      <c r="W21" s="149">
        <f t="shared" si="4"/>
        <v>36.000000000000028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2093.397196040673</v>
      </c>
      <c r="O26" s="158">
        <f t="shared" si="12"/>
        <v>161.69774681839885</v>
      </c>
      <c r="P26" s="159">
        <f>M26-J26</f>
        <v>0</v>
      </c>
      <c r="Q26" s="160">
        <f>O26-L26</f>
        <v>-12.065989445337408</v>
      </c>
      <c r="R26" s="161">
        <f>O26/L26</f>
        <v>0.9305609461169515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-156.60280395932705</v>
      </c>
      <c r="AG26" s="124">
        <f t="shared" ref="AG26:AG31" si="14">N26/K26</f>
        <v>0.93039875379585468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1360</v>
      </c>
      <c r="H27" s="134">
        <f>F27*G27</f>
        <v>62097.599999999999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1569.2307692307747</v>
      </c>
      <c r="O27" s="141">
        <f>N27/M27</f>
        <v>92.307692307692633</v>
      </c>
      <c r="P27" s="142">
        <f>M27-J27</f>
        <v>0</v>
      </c>
      <c r="Q27" s="143">
        <f>O27-L27</f>
        <v>-3.9276018099544245</v>
      </c>
      <c r="R27" s="144">
        <f>O27/L27</f>
        <v>0.95918751175475236</v>
      </c>
      <c r="S27" s="468">
        <f>R37</f>
        <v>0.91020360963929881</v>
      </c>
      <c r="T27" s="171">
        <v>0.29166666666666702</v>
      </c>
      <c r="U27" s="171">
        <v>0.327777777777778</v>
      </c>
      <c r="V27" s="135"/>
      <c r="W27" s="146">
        <f t="shared" si="4"/>
        <v>51.999999999999815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-66.76923076922526</v>
      </c>
      <c r="AG27" s="172">
        <f t="shared" si="14"/>
        <v>0.95918751175475225</v>
      </c>
      <c r="AH27" s="457">
        <f>AG37</f>
        <v>0.89596543226565695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1912</v>
      </c>
      <c r="H28" s="91">
        <f>F28*G28</f>
        <v>88602.08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1529.5999999999794</v>
      </c>
      <c r="O28" s="96">
        <f>N28/M28</f>
        <v>95.599999999998715</v>
      </c>
      <c r="P28" s="97">
        <f>M28-J28</f>
        <v>0</v>
      </c>
      <c r="Q28" s="98">
        <f>O28-L28</f>
        <v>-6.6500000000012847</v>
      </c>
      <c r="R28" s="99">
        <f>O28/L28</f>
        <v>0.93496332518336156</v>
      </c>
      <c r="S28" s="469"/>
      <c r="T28" s="19">
        <v>0.33333333333333298</v>
      </c>
      <c r="U28" s="19">
        <v>0.38541666666666702</v>
      </c>
      <c r="V28" s="92">
        <f>(T28-U27)*24*60</f>
        <v>7.9999999999991722</v>
      </c>
      <c r="W28" s="149">
        <f t="shared" si="4"/>
        <v>75.000000000001009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-106.40000000002055</v>
      </c>
      <c r="AG28" s="99">
        <f t="shared" si="14"/>
        <v>0.93496332518336156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616</v>
      </c>
      <c r="H29" s="91">
        <f>F29*G29</f>
        <v>35241.360000000001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1368.8888888888896</v>
      </c>
      <c r="O29" s="96">
        <f>N29/M29</f>
        <v>80.522875816993505</v>
      </c>
      <c r="P29" s="97">
        <f>M29-J29</f>
        <v>-1</v>
      </c>
      <c r="Q29" s="98">
        <f>O29-L29</f>
        <v>-6.421568627450938</v>
      </c>
      <c r="R29" s="99">
        <f>O29/L29</f>
        <v>0.92614170268746521</v>
      </c>
      <c r="S29" s="469"/>
      <c r="T29" s="19">
        <v>0.390972222222222</v>
      </c>
      <c r="U29" s="19">
        <v>0.40972222222222199</v>
      </c>
      <c r="V29" s="92">
        <f>(T29-U28)*24*60</f>
        <v>7.9999999999991722</v>
      </c>
      <c r="W29" s="149">
        <f t="shared" si="4"/>
        <v>26.999999999999986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-196.1111111111104</v>
      </c>
      <c r="AG29" s="99">
        <f t="shared" si="14"/>
        <v>0.87468938587149492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1931</v>
      </c>
      <c r="H30" s="91">
        <f t="shared" ref="H30:H33" si="15">F30*G30</f>
        <v>110472.51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16">K30/J30</f>
        <v>90.888888888888886</v>
      </c>
      <c r="M30" s="94">
        <v>17</v>
      </c>
      <c r="N30" s="95">
        <f t="shared" ref="N30:N33" si="17">G30/W30*60</f>
        <v>1448.250000000015</v>
      </c>
      <c r="O30" s="96">
        <f t="shared" ref="O30:O33" si="18">N30/M30</f>
        <v>85.191176470589113</v>
      </c>
      <c r="P30" s="97">
        <f t="shared" ref="P30:P33" si="19">M30-J30</f>
        <v>-1</v>
      </c>
      <c r="Q30" s="98">
        <f t="shared" ref="Q30:Q33" si="20">O30-L30</f>
        <v>-5.6977124182997727</v>
      </c>
      <c r="R30" s="99">
        <f t="shared" ref="R30:R33" si="21">O30/L30</f>
        <v>0.93731123256149396</v>
      </c>
      <c r="S30" s="469"/>
      <c r="T30" s="19">
        <v>0.41666666666666702</v>
      </c>
      <c r="U30" s="19">
        <v>0.47222222222222199</v>
      </c>
      <c r="V30" s="92">
        <f t="shared" ref="V30:V33" si="22">(T30-U29)*24*60</f>
        <v>10.000000000000844</v>
      </c>
      <c r="W30" s="149">
        <f t="shared" si="4"/>
        <v>79.999999999999162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-187.74999999998499</v>
      </c>
      <c r="AG30" s="99">
        <f t="shared" si="14"/>
        <v>0.88523838630807761</v>
      </c>
      <c r="AH30" s="479"/>
    </row>
    <row r="31" spans="1:34" ht="15" customHeight="1">
      <c r="A31" s="466"/>
      <c r="B31" s="75" t="s">
        <v>81</v>
      </c>
      <c r="C31" s="102"/>
      <c r="D31" s="175" t="s">
        <v>123</v>
      </c>
      <c r="E31" s="176"/>
      <c r="F31" s="75">
        <f>VLOOKUP(D31,廠價表!$C$1:$E$43,3,0)</f>
        <v>45.66</v>
      </c>
      <c r="G31" s="90">
        <v>1000</v>
      </c>
      <c r="H31" s="91">
        <f t="shared" si="15"/>
        <v>45660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1499.9999999999873</v>
      </c>
      <c r="O31" s="96">
        <f t="shared" si="18"/>
        <v>88.235294117646305</v>
      </c>
      <c r="P31" s="97">
        <f t="shared" si="19"/>
        <v>0</v>
      </c>
      <c r="Q31" s="98">
        <f t="shared" si="20"/>
        <v>-8.0000000000007532</v>
      </c>
      <c r="R31" s="99">
        <f t="shared" si="21"/>
        <v>0.91687041564791394</v>
      </c>
      <c r="S31" s="469"/>
      <c r="T31" s="19">
        <v>0.53819444444444398</v>
      </c>
      <c r="U31" s="19">
        <v>0.56597222222222199</v>
      </c>
      <c r="V31" s="92">
        <f t="shared" si="22"/>
        <v>94.999999999999659</v>
      </c>
      <c r="W31" s="149">
        <f t="shared" si="4"/>
        <v>40.000000000000341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-136.00000000001273</v>
      </c>
      <c r="AG31" s="99">
        <f t="shared" si="14"/>
        <v>0.91687041564791394</v>
      </c>
      <c r="AH31" s="459"/>
    </row>
    <row r="32" spans="1:34" ht="15" customHeight="1">
      <c r="A32" s="466"/>
      <c r="B32" s="75" t="s">
        <v>81</v>
      </c>
      <c r="C32" s="177"/>
      <c r="D32" s="59" t="s">
        <v>119</v>
      </c>
      <c r="E32" s="178"/>
      <c r="F32" s="75">
        <f>VLOOKUP(D32,廠價表!$C$1:$E$43,3,0)</f>
        <v>57.21</v>
      </c>
      <c r="G32" s="90">
        <v>812</v>
      </c>
      <c r="H32" s="91">
        <f t="shared" si="15"/>
        <v>46454.520000000004</v>
      </c>
      <c r="I32" s="92"/>
      <c r="J32" s="79">
        <f>VLOOKUP(D32,產線配置圖!$A$3:$C$40,2,0)</f>
        <v>17</v>
      </c>
      <c r="K32" s="80">
        <v>1565</v>
      </c>
      <c r="L32" s="93">
        <f t="shared" si="16"/>
        <v>92.058823529411768</v>
      </c>
      <c r="M32" s="94">
        <v>17</v>
      </c>
      <c r="N32" s="95">
        <f t="shared" si="17"/>
        <v>1282.1052631578887</v>
      </c>
      <c r="O32" s="96">
        <f t="shared" si="18"/>
        <v>75.417956656346391</v>
      </c>
      <c r="P32" s="97">
        <f t="shared" si="19"/>
        <v>0</v>
      </c>
      <c r="Q32" s="98">
        <f t="shared" si="20"/>
        <v>-16.640866873065377</v>
      </c>
      <c r="R32" s="99">
        <f t="shared" si="21"/>
        <v>0.81923658987724512</v>
      </c>
      <c r="S32" s="469"/>
      <c r="T32" s="19">
        <v>0.57083333333333297</v>
      </c>
      <c r="U32" s="19">
        <v>0.59722222222222199</v>
      </c>
      <c r="V32" s="92">
        <f t="shared" si="22"/>
        <v>6.9999999999998153</v>
      </c>
      <c r="W32" s="149">
        <f t="shared" si="4"/>
        <v>38.000000000000185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3"/>
      <c r="D33" s="59" t="s">
        <v>141</v>
      </c>
      <c r="E33" s="104"/>
      <c r="F33" s="75">
        <f>VLOOKUP(D33,廠價表!$C$1:$E$43,3,0)</f>
        <v>46.34</v>
      </c>
      <c r="G33" s="90">
        <v>1220</v>
      </c>
      <c r="H33" s="91">
        <f t="shared" si="15"/>
        <v>56534.8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16</v>
      </c>
      <c r="N33" s="95">
        <f t="shared" si="17"/>
        <v>1435.2941176470461</v>
      </c>
      <c r="O33" s="96">
        <f t="shared" si="18"/>
        <v>89.705882352940378</v>
      </c>
      <c r="P33" s="97">
        <f t="shared" si="19"/>
        <v>0</v>
      </c>
      <c r="Q33" s="98">
        <f t="shared" si="20"/>
        <v>-12.544117647059622</v>
      </c>
      <c r="R33" s="99">
        <f t="shared" si="21"/>
        <v>0.87731914281604284</v>
      </c>
      <c r="S33" s="469"/>
      <c r="T33" s="19">
        <v>0.60347222222222197</v>
      </c>
      <c r="U33" s="19">
        <v>0.63888888888888895</v>
      </c>
      <c r="V33" s="92">
        <f t="shared" si="22"/>
        <v>8.999999999999968</v>
      </c>
      <c r="W33" s="149">
        <f t="shared" si="4"/>
        <v>51.000000000000455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9"/>
      <c r="U36" s="19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1615.7142857142858</v>
      </c>
      <c r="L37" s="158">
        <f t="shared" si="23"/>
        <v>95.266106442577055</v>
      </c>
      <c r="M37" s="155">
        <f t="shared" si="23"/>
        <v>16.714285714285715</v>
      </c>
      <c r="N37" s="155">
        <f t="shared" si="23"/>
        <v>1447.6241484177972</v>
      </c>
      <c r="O37" s="158">
        <f t="shared" si="23"/>
        <v>86.7115539603153</v>
      </c>
      <c r="P37" s="159">
        <f>M37-J37</f>
        <v>-0.2857142857142847</v>
      </c>
      <c r="Q37" s="160">
        <f>N37-K37</f>
        <v>-168.09013729648859</v>
      </c>
      <c r="R37" s="161">
        <f>O37/L37</f>
        <v>0.91020360963929881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-168.09013729648859</v>
      </c>
      <c r="AG37" s="124">
        <f>N37/K37</f>
        <v>0.89596543226565695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2779</v>
      </c>
      <c r="H38" s="134">
        <f>F38*G38</f>
        <v>138699.88999999998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1515.8181818181793</v>
      </c>
      <c r="O38" s="141">
        <f>N38/M38</f>
        <v>101.05454545454528</v>
      </c>
      <c r="P38" s="142">
        <f>M38-J38</f>
        <v>0</v>
      </c>
      <c r="Q38" s="143">
        <f>O38-L38</f>
        <v>-13.212121212121389</v>
      </c>
      <c r="R38" s="144">
        <f>O38/L38</f>
        <v>0.8843746685053554</v>
      </c>
      <c r="S38" s="490">
        <f>R48</f>
        <v>0.85129519182214031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-198.18181818182074</v>
      </c>
      <c r="AG38" s="195">
        <f>N38/K38</f>
        <v>0.88437466850535551</v>
      </c>
      <c r="AH38" s="480">
        <f>AG48</f>
        <v>0.84902089486927135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2269</v>
      </c>
      <c r="H39" s="91">
        <f>F39*G39</f>
        <v>100516.7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1361.4000000000092</v>
      </c>
      <c r="O39" s="203">
        <f>N39/M39</f>
        <v>75.633333333333837</v>
      </c>
      <c r="P39" s="97">
        <f>M39-J39</f>
        <v>0</v>
      </c>
      <c r="Q39" s="98">
        <f>O39-L39</f>
        <v>-15.255555555555048</v>
      </c>
      <c r="R39" s="99">
        <f>O39/L39</f>
        <v>0.83215158924205934</v>
      </c>
      <c r="S39" s="491"/>
      <c r="T39" s="20">
        <v>0.42013888888888901</v>
      </c>
      <c r="U39" s="20">
        <v>0.48958333333333298</v>
      </c>
      <c r="V39" s="92">
        <f>(T39-U38)*24*60</f>
        <v>15.000000000000506</v>
      </c>
      <c r="W39" s="205">
        <f t="shared" si="4"/>
        <v>99.999999999999318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-274.59999999999081</v>
      </c>
      <c r="AG39" s="206">
        <f>N39/K39</f>
        <v>0.83215158924205945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2938</v>
      </c>
      <c r="H40" s="91">
        <f>F40*G40</f>
        <v>130153.4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1355.9999999999982</v>
      </c>
      <c r="O40" s="203">
        <f>N40/M40</f>
        <v>75.333333333333229</v>
      </c>
      <c r="P40" s="97">
        <f>M40-J40</f>
        <v>0</v>
      </c>
      <c r="Q40" s="98">
        <f>O40-L40</f>
        <v>-15.555555555555657</v>
      </c>
      <c r="R40" s="99">
        <f>O40/L40</f>
        <v>0.82885085574572015</v>
      </c>
      <c r="S40" s="413"/>
      <c r="T40" s="20">
        <v>0.54861111111111105</v>
      </c>
      <c r="U40" s="20">
        <v>0.63888888888888895</v>
      </c>
      <c r="V40" s="92">
        <f>(T40-U39)*24*60</f>
        <v>85.000000000000412</v>
      </c>
      <c r="W40" s="205">
        <f t="shared" si="4"/>
        <v>130.00000000000017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-280.00000000000182</v>
      </c>
      <c r="AG40" s="206">
        <f>N40/K40</f>
        <v>0.82885085574572015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1411.072727272729</v>
      </c>
      <c r="O48" s="158">
        <f t="shared" si="24"/>
        <v>84.007070707070781</v>
      </c>
      <c r="P48" s="221">
        <f>M48-J48</f>
        <v>0</v>
      </c>
      <c r="Q48" s="222">
        <f>N48-K48</f>
        <v>-250.92727272727097</v>
      </c>
      <c r="R48" s="223">
        <f t="shared" ref="R48:R53" si="25">O48/L48</f>
        <v>0.85129519182214031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6">N48-K48</f>
        <v>-250.92727272727097</v>
      </c>
      <c r="AG48" s="162">
        <f t="shared" ref="AG48:AG53" si="27">N48/K48</f>
        <v>0.84902089486927135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2545</v>
      </c>
      <c r="H49" s="134">
        <f>F49*G49</f>
        <v>126028.40000000001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1607.3684210526374</v>
      </c>
      <c r="O49" s="141">
        <f>N49/M49</f>
        <v>94.551083591331604</v>
      </c>
      <c r="P49" s="229">
        <f>M49-J49</f>
        <v>0</v>
      </c>
      <c r="Q49" s="230">
        <f>O49-L49</f>
        <v>-11.33126934984486</v>
      </c>
      <c r="R49" s="52">
        <f t="shared" si="25"/>
        <v>0.8929824561403541</v>
      </c>
      <c r="S49" s="412">
        <f>R58</f>
        <v>0.84190799010983819</v>
      </c>
      <c r="T49" s="191">
        <v>0.29166666666666702</v>
      </c>
      <c r="U49" s="191">
        <v>0.35763888888888901</v>
      </c>
      <c r="V49" s="55"/>
      <c r="W49" s="193">
        <f t="shared" si="4"/>
        <v>94.999999999999659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6"/>
        <v>-192.63157894736264</v>
      </c>
      <c r="AG49" s="52">
        <f t="shared" si="27"/>
        <v>0.8929824561403541</v>
      </c>
      <c r="AH49" s="457">
        <f>AG58</f>
        <v>0.8330151083612618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1915</v>
      </c>
      <c r="H50" s="231">
        <f>F50*G50</f>
        <v>96303.434999999998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1351.7647058823475</v>
      </c>
      <c r="O50" s="235">
        <f>N50/M50</f>
        <v>79.515570934255734</v>
      </c>
      <c r="P50" s="74">
        <f>M50-J50</f>
        <v>0</v>
      </c>
      <c r="Q50" s="83">
        <f>O50-L50</f>
        <v>-16.719723183391324</v>
      </c>
      <c r="R50" s="72">
        <f t="shared" si="25"/>
        <v>0.82626204516035906</v>
      </c>
      <c r="S50" s="413"/>
      <c r="T50" s="21">
        <v>0.36458333333333298</v>
      </c>
      <c r="U50" s="21">
        <v>0.42361111111111099</v>
      </c>
      <c r="V50" s="30">
        <f>(T50-U49)*24*60</f>
        <v>9.999999999999325</v>
      </c>
      <c r="W50" s="236">
        <f t="shared" si="4"/>
        <v>85.000000000000341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6"/>
        <v>-284.23529411765253</v>
      </c>
      <c r="AG50" s="72">
        <f t="shared" si="27"/>
        <v>0.82626204516035906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1390</v>
      </c>
      <c r="H51" s="231">
        <f>F51*G51</f>
        <v>69458.3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1516.3636363636549</v>
      </c>
      <c r="O51" s="235">
        <f>N51/M51</f>
        <v>94.772727272728432</v>
      </c>
      <c r="P51" s="74">
        <f>M51-J51</f>
        <v>0</v>
      </c>
      <c r="Q51" s="83">
        <f>O51-L51</f>
        <v>-17.727272727271568</v>
      </c>
      <c r="R51" s="72">
        <f t="shared" si="25"/>
        <v>0.84242424242425273</v>
      </c>
      <c r="S51" s="413"/>
      <c r="T51" s="21">
        <v>0.43055555555555602</v>
      </c>
      <c r="U51" s="19">
        <v>0.46875</v>
      </c>
      <c r="V51" s="30">
        <f>(T51-U50)*24*60</f>
        <v>10.000000000000844</v>
      </c>
      <c r="W51" s="236">
        <f t="shared" si="4"/>
        <v>54.999999999999325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6"/>
        <v>-283.6363636363451</v>
      </c>
      <c r="AG51" s="72">
        <f t="shared" si="27"/>
        <v>0.84242424242425273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2996</v>
      </c>
      <c r="H52" s="231">
        <f>F52*G52</f>
        <v>149710.12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1536.4102564102577</v>
      </c>
      <c r="O52" s="235">
        <f>N52/M52</f>
        <v>96.025641025641107</v>
      </c>
      <c r="P52" s="74">
        <f>M52-J52</f>
        <v>0</v>
      </c>
      <c r="Q52" s="83">
        <f>O52-L52</f>
        <v>-16.474358974358893</v>
      </c>
      <c r="R52" s="72">
        <f t="shared" si="25"/>
        <v>0.85356125356125434</v>
      </c>
      <c r="S52" s="413"/>
      <c r="T52" s="21">
        <v>0.52777777777777801</v>
      </c>
      <c r="U52" s="21">
        <v>0.60902777777777795</v>
      </c>
      <c r="V52" s="30">
        <f t="shared" ref="V52:V53" si="28">(T52-U51)*24*60</f>
        <v>85.000000000000341</v>
      </c>
      <c r="W52" s="236">
        <f t="shared" si="4"/>
        <v>116.9999999999999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6"/>
        <v>-263.58974358974228</v>
      </c>
      <c r="AG52" s="72">
        <f t="shared" si="27"/>
        <v>0.85356125356125434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606</v>
      </c>
      <c r="H53" s="231">
        <f>F53*G53</f>
        <v>30475.134000000002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>K53/J53</f>
        <v>96.235294117647058</v>
      </c>
      <c r="M53" s="108">
        <v>16</v>
      </c>
      <c r="N53" s="234">
        <f>G53/W53*60</f>
        <v>1211.9999999999657</v>
      </c>
      <c r="O53" s="235">
        <f>N53/M53</f>
        <v>75.749999999997854</v>
      </c>
      <c r="P53" s="74">
        <f>M53-J53</f>
        <v>-1</v>
      </c>
      <c r="Q53" s="83">
        <f>O53-L53</f>
        <v>-20.485294117649204</v>
      </c>
      <c r="R53" s="72">
        <f t="shared" si="25"/>
        <v>0.78713325183371852</v>
      </c>
      <c r="S53" s="413"/>
      <c r="T53" s="21">
        <v>0.61597222222222203</v>
      </c>
      <c r="U53" s="21">
        <v>0.63680555555555596</v>
      </c>
      <c r="V53" s="30">
        <f t="shared" si="28"/>
        <v>9.9999999999994849</v>
      </c>
      <c r="W53" s="236">
        <f t="shared" si="4"/>
        <v>30.000000000000853</v>
      </c>
      <c r="X53" s="30"/>
      <c r="Y53" s="151"/>
      <c r="Z53" s="90"/>
      <c r="AA53" s="90"/>
      <c r="AB53" s="462" t="s">
        <v>143</v>
      </c>
      <c r="AC53" s="462"/>
      <c r="AD53" s="92"/>
      <c r="AE53" s="92"/>
      <c r="AF53" s="307">
        <f t="shared" si="26"/>
        <v>-424.00000000003433</v>
      </c>
      <c r="AG53" s="72">
        <f t="shared" si="27"/>
        <v>0.74083129584349983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9">AVERAGE(J49:J57)</f>
        <v>16.600000000000001</v>
      </c>
      <c r="K58" s="120">
        <f t="shared" si="29"/>
        <v>1734.4</v>
      </c>
      <c r="L58" s="117">
        <f t="shared" si="29"/>
        <v>104.67058823529412</v>
      </c>
      <c r="M58" s="120">
        <f t="shared" si="29"/>
        <v>16.399999999999999</v>
      </c>
      <c r="N58" s="120">
        <f t="shared" si="29"/>
        <v>1444.7814039417726</v>
      </c>
      <c r="O58" s="117">
        <f t="shared" si="29"/>
        <v>88.123004564790946</v>
      </c>
      <c r="P58" s="121">
        <f>M58-J58</f>
        <v>-0.20000000000000284</v>
      </c>
      <c r="Q58" s="122">
        <f>N58-K58</f>
        <v>-289.61859605822747</v>
      </c>
      <c r="R58" s="123">
        <f>O58/L58</f>
        <v>0.84190799010983819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-289.61859605822747</v>
      </c>
      <c r="AG58" s="124">
        <f>N58/K58</f>
        <v>0.8330151083612618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3285</v>
      </c>
      <c r="H59" s="243">
        <f>F59*G59</f>
        <v>88662.15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1576.8000000000104</v>
      </c>
      <c r="O59" s="138">
        <f>N59/M59</f>
        <v>105.1200000000007</v>
      </c>
      <c r="P59" s="56">
        <f>M59-J59</f>
        <v>0</v>
      </c>
      <c r="Q59" s="230">
        <f>O59-L59</f>
        <v>-3.946666666665962</v>
      </c>
      <c r="R59" s="52">
        <f>O59/L59</f>
        <v>0.96381418092910176</v>
      </c>
      <c r="S59" s="412">
        <f>R69</f>
        <v>0.9309898242257213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-59.199999999989586</v>
      </c>
      <c r="AG59" s="246">
        <f>N59/K59</f>
        <v>0.96381418092910176</v>
      </c>
      <c r="AH59" s="457">
        <f>AG69</f>
        <v>0.93317811467261336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1666</v>
      </c>
      <c r="H60" s="78">
        <f>F60*G60</f>
        <v>47081.16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1537.8461538461499</v>
      </c>
      <c r="O60" s="81">
        <f>N60/M60</f>
        <v>139.80419580419544</v>
      </c>
      <c r="P60" s="74">
        <f>M60-J60</f>
        <v>0</v>
      </c>
      <c r="Q60" s="83">
        <f>O60-L60</f>
        <v>-8.9230769230772751</v>
      </c>
      <c r="R60" s="72">
        <f>O60/L60</f>
        <v>0.94000376151965159</v>
      </c>
      <c r="S60" s="502"/>
      <c r="T60" s="22">
        <v>0.38541666666666702</v>
      </c>
      <c r="U60" s="22">
        <v>0.43055555555555602</v>
      </c>
      <c r="V60" s="30">
        <f>(T60-U59)*24*60</f>
        <v>10.000000000000844</v>
      </c>
      <c r="W60" s="248">
        <f t="shared" si="4"/>
        <v>65.000000000000171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-98.153846153850054</v>
      </c>
      <c r="AG60" s="249">
        <f>N60/K60</f>
        <v>0.94000376151965159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1906</v>
      </c>
      <c r="H61" s="254">
        <f>F61*G61</f>
        <v>53863.560000000005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1429.4999999999877</v>
      </c>
      <c r="O61" s="238">
        <f>N61/M61</f>
        <v>129.95454545454433</v>
      </c>
      <c r="P61" s="111">
        <f>M61-J61</f>
        <v>0</v>
      </c>
      <c r="Q61" s="255">
        <f>O61-L61</f>
        <v>-18.772727272728389</v>
      </c>
      <c r="R61" s="85">
        <f>O61/L61</f>
        <v>0.87377750611246197</v>
      </c>
      <c r="S61" s="413"/>
      <c r="T61" s="22">
        <v>0.44097222222222199</v>
      </c>
      <c r="U61" s="22">
        <v>0.49652777777777801</v>
      </c>
      <c r="V61" s="30">
        <f>(T61-U60)*24*60</f>
        <v>14.999999999998987</v>
      </c>
      <c r="W61" s="256">
        <f t="shared" si="4"/>
        <v>80.000000000000682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-206.50000000001228</v>
      </c>
      <c r="AG61" s="247">
        <f>N61/K61</f>
        <v>0.87377750611246197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1823</v>
      </c>
      <c r="H62" s="254">
        <f>F62*G62</f>
        <v>51517.98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1562.5714285714341</v>
      </c>
      <c r="O62" s="238">
        <f>N62/M62</f>
        <v>142.05194805194856</v>
      </c>
      <c r="P62" s="111">
        <f>M62-J62</f>
        <v>0</v>
      </c>
      <c r="Q62" s="255">
        <f>O62-L62</f>
        <v>-6.6753246753241626</v>
      </c>
      <c r="R62" s="85">
        <f>O62/L62</f>
        <v>0.95511701012923855</v>
      </c>
      <c r="S62" s="413"/>
      <c r="T62" s="22">
        <v>0.54861111111111105</v>
      </c>
      <c r="U62" s="22">
        <v>0.59722222222222199</v>
      </c>
      <c r="V62" s="30">
        <f>(T62-U61)*24*60</f>
        <v>74.999999999999574</v>
      </c>
      <c r="W62" s="248">
        <f t="shared" si="4"/>
        <v>69.999999999999744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-73.428571428565874</v>
      </c>
      <c r="AG62" s="247">
        <f>N62/K62</f>
        <v>0.95511701012923844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1526.6793956043955</v>
      </c>
      <c r="O69" s="268">
        <f t="shared" si="30"/>
        <v>129.23267232767225</v>
      </c>
      <c r="P69" s="269">
        <f>M69-J69</f>
        <v>0</v>
      </c>
      <c r="Q69" s="222">
        <f>N69-K69</f>
        <v>-109.32060439560451</v>
      </c>
      <c r="R69" s="123">
        <f>O69/L69</f>
        <v>0.9309898242257213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-109.32060439560451</v>
      </c>
      <c r="AG69" s="124">
        <f>N69/K69</f>
        <v>0.93317811467261336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1615</v>
      </c>
      <c r="H70" s="243">
        <f>F70*G70</f>
        <v>45639.9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1211.2500000000127</v>
      </c>
      <c r="O70" s="138">
        <f>N70/M70</f>
        <v>121.12500000000128</v>
      </c>
      <c r="P70" s="56">
        <f>M70-J70</f>
        <v>-1</v>
      </c>
      <c r="Q70" s="230">
        <f>O70-L70</f>
        <v>-27.602272727271441</v>
      </c>
      <c r="R70" s="52">
        <f>O70/L70</f>
        <v>0.81441014669927514</v>
      </c>
      <c r="S70" s="412">
        <f>R79</f>
        <v>0.87787717322677461</v>
      </c>
      <c r="T70" s="245">
        <v>0.29513888888888901</v>
      </c>
      <c r="U70" s="245">
        <v>0.35069444444444398</v>
      </c>
      <c r="V70" s="55"/>
      <c r="W70" s="54">
        <f t="shared" si="4"/>
        <v>79.999999999999162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-424.74999999998727</v>
      </c>
      <c r="AG70" s="246">
        <f>N70/K70</f>
        <v>0.74037286063570462</v>
      </c>
      <c r="AH70" s="457">
        <f>AG79</f>
        <v>0.72203031285365549</v>
      </c>
    </row>
    <row r="71" spans="1:36" ht="15" customHeight="1">
      <c r="A71" s="495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845</v>
      </c>
      <c r="H71" s="78">
        <f>F71*G71</f>
        <v>48342.45</v>
      </c>
      <c r="I71" s="30"/>
      <c r="J71" s="79">
        <f>VLOOKUP(D71,產線配置圖!$A$3:$C$40,2,0)</f>
        <v>17</v>
      </c>
      <c r="K71" s="80">
        <v>1565</v>
      </c>
      <c r="L71" s="81">
        <f>K71/J71</f>
        <v>92.058823529411768</v>
      </c>
      <c r="M71" s="82">
        <v>13</v>
      </c>
      <c r="N71" s="80">
        <f>G71/W71*60</f>
        <v>1014.0000000000069</v>
      </c>
      <c r="O71" s="81">
        <f>N71/M71</f>
        <v>78.00000000000054</v>
      </c>
      <c r="P71" s="74">
        <f>M71-J71</f>
        <v>-4</v>
      </c>
      <c r="Q71" s="83">
        <f>O71-L71</f>
        <v>-14.058823529411228</v>
      </c>
      <c r="R71" s="72">
        <f>O71/L71</f>
        <v>0.84728434504792915</v>
      </c>
      <c r="S71" s="413"/>
      <c r="T71" s="22">
        <v>0.37152777777777801</v>
      </c>
      <c r="U71" s="22">
        <v>0.40625</v>
      </c>
      <c r="V71" s="30">
        <f>(T71-U70)*24*60</f>
        <v>30.000000000001013</v>
      </c>
      <c r="W71" s="73">
        <f t="shared" si="4"/>
        <v>49.999999999999659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1863</v>
      </c>
      <c r="H72" s="254">
        <f>F72*G72</f>
        <v>81767.070000000007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>K72/J72</f>
        <v>96.235294117647058</v>
      </c>
      <c r="M72" s="82">
        <v>13</v>
      </c>
      <c r="N72" s="107">
        <f>G72/W72*60</f>
        <v>1152.3711340206028</v>
      </c>
      <c r="O72" s="238">
        <f>N72/M72</f>
        <v>88.643933386200217</v>
      </c>
      <c r="P72" s="111">
        <f>M72-J72</f>
        <v>-4</v>
      </c>
      <c r="Q72" s="255">
        <f>O72-L72</f>
        <v>-7.5913607314468408</v>
      </c>
      <c r="R72" s="85">
        <f>O72/L72</f>
        <v>0.92111666721601693</v>
      </c>
      <c r="S72" s="413"/>
      <c r="T72" s="22">
        <v>0.41319444444444398</v>
      </c>
      <c r="U72" s="22">
        <v>0.48055555555555601</v>
      </c>
      <c r="V72" s="30">
        <f>(T72-U71)*24*60</f>
        <v>9.999999999999325</v>
      </c>
      <c r="W72" s="73">
        <f t="shared" si="4"/>
        <v>97.000000000001336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 t="s">
        <v>81</v>
      </c>
      <c r="C73" s="102"/>
      <c r="D73" s="103" t="s">
        <v>181</v>
      </c>
      <c r="E73" s="104"/>
      <c r="F73" s="250">
        <f>VLOOKUP(D73,廠價表!$C$1:$E$43,3,0)</f>
        <v>43.89</v>
      </c>
      <c r="G73" s="30">
        <v>3197</v>
      </c>
      <c r="H73" s="254">
        <f>F73*G73</f>
        <v>140316.33000000002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108">
        <v>14</v>
      </c>
      <c r="N73" s="107">
        <f>G73/W73*60</f>
        <v>1296.0810810810899</v>
      </c>
      <c r="O73" s="238">
        <f>N73/M73</f>
        <v>92.577220077220701</v>
      </c>
      <c r="P73" s="111">
        <f>M73-J73</f>
        <v>-3</v>
      </c>
      <c r="Q73" s="255">
        <f>O73-L73</f>
        <v>-3.6580740404263565</v>
      </c>
      <c r="R73" s="85">
        <f>O73/L73</f>
        <v>0.96198822818627872</v>
      </c>
      <c r="S73" s="413"/>
      <c r="T73" s="22">
        <v>0.54305555555555596</v>
      </c>
      <c r="U73" s="22">
        <v>0.64583333333333304</v>
      </c>
      <c r="V73" s="30">
        <f>(T73-U72)*24*60</f>
        <v>89.999999999999915</v>
      </c>
      <c r="W73" s="73">
        <f t="shared" si="4"/>
        <v>147.99999999999901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1">AVERAGE(J70:J78)</f>
        <v>15.5</v>
      </c>
      <c r="K79" s="240">
        <f t="shared" si="31"/>
        <v>1618.25</v>
      </c>
      <c r="L79" s="268">
        <f t="shared" si="31"/>
        <v>108.31417112299465</v>
      </c>
      <c r="M79" s="240">
        <f t="shared" si="31"/>
        <v>12.5</v>
      </c>
      <c r="N79" s="240">
        <f t="shared" si="31"/>
        <v>1168.4255537754279</v>
      </c>
      <c r="O79" s="268">
        <f t="shared" si="31"/>
        <v>95.086538365855688</v>
      </c>
      <c r="P79" s="269">
        <f>M79-J79</f>
        <v>-3</v>
      </c>
      <c r="Q79" s="222">
        <f>N79-K79</f>
        <v>-449.82444622457206</v>
      </c>
      <c r="R79" s="223">
        <f>O79/L79</f>
        <v>0.87787717322677461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-449.82444622457206</v>
      </c>
      <c r="AG79" s="124">
        <f>N79/K79</f>
        <v>0.72203031285365549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  <mergeCell ref="AD3:AE3"/>
    <mergeCell ref="AF3:AF4"/>
    <mergeCell ref="AG3:AG4"/>
    <mergeCell ref="AH3:AH4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X76" sqref="X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46220</v>
      </c>
      <c r="E3" s="379"/>
      <c r="F3" s="3" t="s">
        <v>72</v>
      </c>
      <c r="G3" s="380">
        <f>'0717'!E1</f>
        <v>49290</v>
      </c>
      <c r="H3" s="380"/>
      <c r="I3" s="3" t="s">
        <v>2</v>
      </c>
      <c r="J3" s="381">
        <f>'0717'!G1</f>
        <v>2270052.8759999992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122.66081818896944</v>
      </c>
      <c r="G6" s="386"/>
      <c r="H6" s="387">
        <f>AVERAGE(D13:H13)</f>
        <v>122.29988699753406</v>
      </c>
      <c r="I6" s="387"/>
      <c r="J6" s="387">
        <f>AVERAGE(I13:J13)</f>
        <v>123.56314616755793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112.84106322349989</v>
      </c>
      <c r="G7" s="410"/>
      <c r="H7" s="411">
        <f>AVERAGE(D14:H14)</f>
        <v>113.44392365670333</v>
      </c>
      <c r="I7" s="411"/>
      <c r="J7" s="411">
        <f>AVERAGE(I14:J14)</f>
        <v>111.33391214049132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0.91994383283550751</v>
      </c>
      <c r="G8" s="383"/>
      <c r="H8" s="383">
        <f>H7/H6</f>
        <v>0.92758813145093677</v>
      </c>
      <c r="I8" s="383"/>
      <c r="J8" s="383">
        <f>J7/J6</f>
        <v>0.9010284667688605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VALUE('0717'!L15)</f>
        <v>133.86772486772486</v>
      </c>
      <c r="E13" s="13">
        <f>VALUE('0717'!L26)</f>
        <v>173.76373626373626</v>
      </c>
      <c r="F13" s="13">
        <f>VALUE('0717'!L37)</f>
        <v>94.510784313725509</v>
      </c>
      <c r="G13" s="13">
        <f>VALUE('0717'!L48)</f>
        <v>102.57777777777778</v>
      </c>
      <c r="H13" s="13">
        <f>VALUE('0717'!L58)</f>
        <v>106.77941176470588</v>
      </c>
      <c r="I13" s="13">
        <f>VALUE('0717'!L69)</f>
        <v>138.81212121212121</v>
      </c>
      <c r="J13" s="13">
        <f>'0717'!L79</f>
        <v>108.31417112299465</v>
      </c>
    </row>
    <row r="14" spans="2:15" ht="39.950000000000003" customHeight="1">
      <c r="B14" s="404"/>
      <c r="C14" s="12" t="s">
        <v>100</v>
      </c>
      <c r="D14" s="13">
        <f>VALUE('0717'!O15)</f>
        <v>126.54825635757823</v>
      </c>
      <c r="E14" s="13">
        <f>VALUE('0717'!O26)</f>
        <v>158.81406869564842</v>
      </c>
      <c r="F14" s="13">
        <f>VALUE('0717'!O37)</f>
        <v>86.910884152611033</v>
      </c>
      <c r="G14" s="13">
        <f>VALUE('0717'!O48)</f>
        <v>97.057309941520629</v>
      </c>
      <c r="H14" s="13">
        <f>VALUE('0717'!O58)</f>
        <v>97.889099136158336</v>
      </c>
      <c r="I14" s="13">
        <f>VALUE('0717'!O69)</f>
        <v>129.22482517482592</v>
      </c>
      <c r="J14" s="13">
        <f>'0717'!O79</f>
        <v>93.442999106156719</v>
      </c>
    </row>
    <row r="15" spans="2:15" ht="39.950000000000003" customHeight="1">
      <c r="B15" s="405"/>
      <c r="C15" s="10" t="s">
        <v>26</v>
      </c>
      <c r="D15" s="14">
        <f t="shared" ref="D15:I15" si="1">D14/D13</f>
        <v>0.94532312760690429</v>
      </c>
      <c r="E15" s="14">
        <f t="shared" si="1"/>
        <v>0.91396554948958142</v>
      </c>
      <c r="F15" s="14">
        <f t="shared" si="1"/>
        <v>0.91958695278745273</v>
      </c>
      <c r="G15" s="14">
        <f t="shared" si="1"/>
        <v>0.94618261424792638</v>
      </c>
      <c r="H15" s="14">
        <f t="shared" si="1"/>
        <v>0.9167413223052977</v>
      </c>
      <c r="I15" s="14">
        <f t="shared" si="1"/>
        <v>0.93093329347914244</v>
      </c>
      <c r="J15" s="15">
        <f>'0717'!S70</f>
        <v>0.8627033576248192</v>
      </c>
    </row>
    <row r="16" spans="2:15" ht="17.25" customHeight="1">
      <c r="B16" s="406" t="s">
        <v>101</v>
      </c>
      <c r="C16" s="10" t="s">
        <v>34</v>
      </c>
      <c r="D16" s="16">
        <f>'0717'!T5</f>
        <v>0.29166666666666702</v>
      </c>
      <c r="E16" s="16">
        <f>'0717'!T16</f>
        <v>0.29861111111111099</v>
      </c>
      <c r="F16" s="16">
        <f>'0717'!T27</f>
        <v>0.29166666666666702</v>
      </c>
      <c r="G16" s="16">
        <f>'0717'!T38</f>
        <v>0.33333333333333298</v>
      </c>
      <c r="H16" s="16">
        <f>'0717'!T49</f>
        <v>0.29166666666666702</v>
      </c>
      <c r="I16" s="16">
        <f>'0717'!T59</f>
        <v>0.29166666666666702</v>
      </c>
      <c r="J16" s="16">
        <f>'0717'!T70</f>
        <v>0.32291666666666702</v>
      </c>
    </row>
    <row r="17" spans="2:10" ht="17.25" customHeight="1">
      <c r="B17" s="407"/>
      <c r="C17" s="10" t="s">
        <v>35</v>
      </c>
      <c r="D17" s="18">
        <v>0.56111111111111101</v>
      </c>
      <c r="E17" s="19">
        <v>0.59027777777777801</v>
      </c>
      <c r="F17" s="19">
        <v>0.54652777777777795</v>
      </c>
      <c r="G17" s="20">
        <v>0.47222222222222199</v>
      </c>
      <c r="H17" s="21">
        <v>0.56597222222222199</v>
      </c>
      <c r="I17" s="22">
        <v>0.47569444444444398</v>
      </c>
      <c r="J17" s="22">
        <v>0.59027777777777801</v>
      </c>
    </row>
    <row r="18" spans="2:10" ht="17.25" customHeight="1">
      <c r="B18" s="408" t="s">
        <v>102</v>
      </c>
      <c r="C18" s="330" t="s">
        <v>36</v>
      </c>
      <c r="D18" s="357">
        <f>'0717'!Z15</f>
        <v>0</v>
      </c>
      <c r="E18" s="358">
        <f>'0717'!Z26</f>
        <v>0</v>
      </c>
      <c r="F18" s="358">
        <f>'0717'!Z37</f>
        <v>0</v>
      </c>
      <c r="G18" s="359">
        <f>'0717'!Z48</f>
        <v>0</v>
      </c>
      <c r="H18" s="359">
        <f>'0717'!Z58</f>
        <v>0</v>
      </c>
      <c r="I18" s="358">
        <f>'0717'!Z69</f>
        <v>0</v>
      </c>
      <c r="J18" s="358">
        <f>'0717'!AA79</f>
        <v>0</v>
      </c>
    </row>
    <row r="19" spans="2:10" ht="17.25" customHeight="1">
      <c r="B19" s="409"/>
      <c r="C19" s="330" t="s">
        <v>37</v>
      </c>
      <c r="D19" s="357">
        <f>'0717'!AA15</f>
        <v>0</v>
      </c>
      <c r="E19" s="358">
        <f>'0717'!AA26</f>
        <v>0</v>
      </c>
      <c r="F19" s="358">
        <f>'0717'!AA37</f>
        <v>0</v>
      </c>
      <c r="G19" s="359">
        <f>'0717'!AA48</f>
        <v>0</v>
      </c>
      <c r="H19" s="359">
        <f>'0717'!AA58</f>
        <v>0</v>
      </c>
      <c r="I19" s="358">
        <f>'0717'!AA69</f>
        <v>0</v>
      </c>
      <c r="J19" s="358">
        <f>'0717'!AB79</f>
        <v>0</v>
      </c>
    </row>
    <row r="20" spans="2:10" ht="17.25" customHeight="1">
      <c r="B20" s="408" t="s">
        <v>103</v>
      </c>
      <c r="C20" s="330" t="s">
        <v>36</v>
      </c>
      <c r="D20" s="357">
        <f>'0717'!AD15</f>
        <v>0</v>
      </c>
      <c r="E20" s="358">
        <f>'0717'!AD26</f>
        <v>0</v>
      </c>
      <c r="F20" s="358">
        <f>'0717'!AD37</f>
        <v>0</v>
      </c>
      <c r="G20" s="359">
        <f>'0717'!AD48</f>
        <v>0</v>
      </c>
      <c r="H20" s="359">
        <f>'0717'!AD58</f>
        <v>0</v>
      </c>
      <c r="I20" s="358">
        <f>'0717'!AD69</f>
        <v>0</v>
      </c>
      <c r="J20" s="358">
        <f>'0717'!AD79</f>
        <v>0</v>
      </c>
    </row>
    <row r="21" spans="2:10" ht="17.25" customHeight="1">
      <c r="B21" s="409"/>
      <c r="C21" s="330" t="s">
        <v>85</v>
      </c>
      <c r="D21" s="357">
        <f>'0717'!AE15</f>
        <v>0</v>
      </c>
      <c r="E21" s="358">
        <f>'0717'!AE26</f>
        <v>0</v>
      </c>
      <c r="F21" s="358">
        <f>'0717'!AE37</f>
        <v>0</v>
      </c>
      <c r="G21" s="359">
        <f>'0717'!AE48</f>
        <v>0</v>
      </c>
      <c r="H21" s="359">
        <f>'0717'!AE58</f>
        <v>0</v>
      </c>
      <c r="I21" s="358">
        <f>'0717'!AE69</f>
        <v>0</v>
      </c>
      <c r="J21" s="358">
        <f>'0717'!AE79</f>
        <v>0</v>
      </c>
    </row>
    <row r="22" spans="2:10" ht="17.25" customHeight="1">
      <c r="B22" s="392" t="s">
        <v>104</v>
      </c>
      <c r="C22" s="393"/>
      <c r="D22" s="23">
        <f>VALUE('0717'!M15)</f>
        <v>14.666666666666666</v>
      </c>
      <c r="E22" s="23">
        <f>VALUE('0717'!M26)</f>
        <v>13</v>
      </c>
      <c r="F22" s="23">
        <f>VALUE('0717'!M37)</f>
        <v>16.600000000000001</v>
      </c>
      <c r="G22" s="23">
        <f>VALUE('0717'!M48)</f>
        <v>16.5</v>
      </c>
      <c r="H22" s="23">
        <f>VALUE('0717'!M58)</f>
        <v>16.5</v>
      </c>
      <c r="I22" s="23">
        <f>VALUE('0717'!M69)</f>
        <v>12.5</v>
      </c>
      <c r="J22" s="23">
        <f>'0717'!M79</f>
        <v>13.5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X76" sqref="X76"/>
      <selection pane="topRight" activeCell="X76" sqref="X76"/>
      <selection pane="bottomLeft" activeCell="X76" sqref="X76"/>
      <selection pane="bottomRight" sqref="A1:XFD10485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49290</v>
      </c>
      <c r="F1" s="30" t="s">
        <v>2</v>
      </c>
      <c r="G1" s="31">
        <f>SUM(H5:H79)</f>
        <v>2270052.8759999992</v>
      </c>
      <c r="H1" s="32" t="s">
        <v>3</v>
      </c>
      <c r="I1" s="33">
        <f>M15+M26+M48+M58+M69+M79+M37</f>
        <v>103.26666666666665</v>
      </c>
      <c r="J1" s="575" t="s">
        <v>4</v>
      </c>
      <c r="K1" s="580"/>
      <c r="L1" s="576"/>
      <c r="M1" s="575" t="s">
        <v>5</v>
      </c>
      <c r="N1" s="580"/>
      <c r="O1" s="576"/>
      <c r="P1" s="575" t="s">
        <v>6</v>
      </c>
      <c r="Q1" s="580"/>
      <c r="R1" s="580"/>
      <c r="S1" s="576"/>
      <c r="T1" s="575" t="s">
        <v>7</v>
      </c>
      <c r="U1" s="580"/>
      <c r="V1" s="580"/>
      <c r="W1" s="580"/>
      <c r="X1" s="580"/>
      <c r="Y1" s="576"/>
      <c r="Z1" s="294" t="s">
        <v>8</v>
      </c>
      <c r="AA1" s="294" t="s">
        <v>9</v>
      </c>
      <c r="AB1" s="575" t="s">
        <v>10</v>
      </c>
      <c r="AC1" s="576"/>
      <c r="AD1" s="294" t="s">
        <v>8</v>
      </c>
      <c r="AE1" s="294" t="s">
        <v>11</v>
      </c>
      <c r="AF1" s="575" t="s">
        <v>12</v>
      </c>
      <c r="AG1" s="580"/>
      <c r="AH1" s="576"/>
    </row>
    <row r="2" spans="1:34" ht="23.25">
      <c r="A2" s="561" t="s">
        <v>186</v>
      </c>
      <c r="B2" s="562"/>
      <c r="C2" s="28"/>
      <c r="D2" s="28" t="s">
        <v>14</v>
      </c>
      <c r="E2" s="35">
        <f>AVERAGE(O15,O26,O37,O48,O58,O69,O79)</f>
        <v>112.84106322349989</v>
      </c>
      <c r="F2" s="36" t="s">
        <v>15</v>
      </c>
      <c r="G2" s="37">
        <f>G1/E1</f>
        <v>46.055039074863039</v>
      </c>
      <c r="H2" s="32" t="s">
        <v>16</v>
      </c>
      <c r="I2" s="32">
        <f>COUNT(I5:I79)</f>
        <v>0</v>
      </c>
      <c r="J2" s="581"/>
      <c r="K2" s="582"/>
      <c r="L2" s="583"/>
      <c r="M2" s="581"/>
      <c r="N2" s="582"/>
      <c r="O2" s="583"/>
      <c r="P2" s="581"/>
      <c r="Q2" s="582"/>
      <c r="R2" s="582"/>
      <c r="S2" s="583"/>
      <c r="T2" s="581"/>
      <c r="U2" s="582"/>
      <c r="V2" s="582"/>
      <c r="W2" s="582"/>
      <c r="X2" s="582"/>
      <c r="Y2" s="583"/>
      <c r="Z2" s="339">
        <f>Z15+Z26+Z37+Z48+Z58+Z69+Z79</f>
        <v>0</v>
      </c>
      <c r="AA2" s="339">
        <f>AA15+AA26+AA37+AA48+AA58+AA69+AA79</f>
        <v>0</v>
      </c>
      <c r="AB2" s="577"/>
      <c r="AC2" s="578"/>
      <c r="AD2" s="340">
        <f>AD15+AD26+AD37+AD48+AD58+AD69+AD79</f>
        <v>0</v>
      </c>
      <c r="AE2" s="340">
        <f>AE15+AE26+AE37+AE48+AE58+AE69+AE79</f>
        <v>0</v>
      </c>
      <c r="AF2" s="581"/>
      <c r="AG2" s="582"/>
      <c r="AH2" s="583"/>
    </row>
    <row r="3" spans="1:34" ht="32.1" customHeight="1">
      <c r="A3" s="420" t="s">
        <v>17</v>
      </c>
      <c r="B3" s="420" t="s">
        <v>18</v>
      </c>
      <c r="C3" s="30"/>
      <c r="D3" s="564" t="s">
        <v>19</v>
      </c>
      <c r="E3" s="565"/>
      <c r="F3" s="421" t="s">
        <v>20</v>
      </c>
      <c r="G3" s="432" t="s">
        <v>21</v>
      </c>
      <c r="H3" s="421" t="s">
        <v>22</v>
      </c>
      <c r="I3" s="435" t="s">
        <v>23</v>
      </c>
      <c r="J3" s="437" t="s">
        <v>24</v>
      </c>
      <c r="K3" s="428" t="s">
        <v>25</v>
      </c>
      <c r="L3" s="430" t="s">
        <v>14</v>
      </c>
      <c r="M3" s="432" t="s">
        <v>24</v>
      </c>
      <c r="N3" s="428" t="s">
        <v>25</v>
      </c>
      <c r="O3" s="430" t="s">
        <v>14</v>
      </c>
      <c r="P3" s="437" t="s">
        <v>24</v>
      </c>
      <c r="Q3" s="430" t="s">
        <v>14</v>
      </c>
      <c r="R3" s="440" t="s">
        <v>26</v>
      </c>
      <c r="S3" s="442" t="s">
        <v>27</v>
      </c>
      <c r="T3" s="455" t="s">
        <v>28</v>
      </c>
      <c r="U3" s="598"/>
      <c r="V3" s="599" t="s">
        <v>29</v>
      </c>
      <c r="W3" s="435" t="s">
        <v>30</v>
      </c>
      <c r="X3" s="455" t="s">
        <v>31</v>
      </c>
      <c r="Y3" s="602"/>
      <c r="Z3" s="588" t="s">
        <v>32</v>
      </c>
      <c r="AA3" s="589"/>
      <c r="AB3" s="593"/>
      <c r="AC3" s="594"/>
      <c r="AD3" s="588" t="s">
        <v>33</v>
      </c>
      <c r="AE3" s="589"/>
      <c r="AF3" s="590" t="s">
        <v>25</v>
      </c>
      <c r="AG3" s="451" t="s">
        <v>26</v>
      </c>
      <c r="AH3" s="453" t="s">
        <v>27</v>
      </c>
    </row>
    <row r="4" spans="1:34" ht="16.5" customHeight="1">
      <c r="A4" s="563"/>
      <c r="B4" s="563"/>
      <c r="C4" s="38"/>
      <c r="D4" s="566"/>
      <c r="E4" s="567"/>
      <c r="F4" s="568"/>
      <c r="G4" s="579"/>
      <c r="H4" s="568"/>
      <c r="I4" s="584"/>
      <c r="J4" s="585"/>
      <c r="K4" s="586"/>
      <c r="L4" s="587"/>
      <c r="M4" s="579"/>
      <c r="N4" s="586"/>
      <c r="O4" s="587"/>
      <c r="P4" s="585"/>
      <c r="Q4" s="587"/>
      <c r="R4" s="597"/>
      <c r="S4" s="603"/>
      <c r="T4" s="342" t="s">
        <v>34</v>
      </c>
      <c r="U4" s="342" t="s">
        <v>35</v>
      </c>
      <c r="V4" s="600"/>
      <c r="W4" s="584"/>
      <c r="X4" s="341" t="s">
        <v>34</v>
      </c>
      <c r="Y4" s="343" t="s">
        <v>35</v>
      </c>
      <c r="Z4" s="344" t="s">
        <v>36</v>
      </c>
      <c r="AA4" s="344" t="s">
        <v>37</v>
      </c>
      <c r="AB4" s="595"/>
      <c r="AC4" s="596"/>
      <c r="AD4" s="344" t="s">
        <v>38</v>
      </c>
      <c r="AE4" s="344" t="s">
        <v>39</v>
      </c>
      <c r="AF4" s="591"/>
      <c r="AG4" s="592"/>
      <c r="AH4" s="601"/>
    </row>
    <row r="5" spans="1:34" ht="15" customHeight="1">
      <c r="A5" s="569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3884</v>
      </c>
      <c r="H5" s="43">
        <f>F5*G5</f>
        <v>196802.28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1991.7948717948721</v>
      </c>
      <c r="O5" s="47">
        <f>N5/M5</f>
        <v>142.27106227106228</v>
      </c>
      <c r="P5" s="49">
        <f>M5-J5</f>
        <v>-1</v>
      </c>
      <c r="Q5" s="50">
        <f>O5-L5</f>
        <v>-7.7289377289377228</v>
      </c>
      <c r="R5" s="51">
        <f>O5/L5</f>
        <v>0.94847374847374855</v>
      </c>
      <c r="S5" s="543">
        <f>R15</f>
        <v>0.94532312760690429</v>
      </c>
      <c r="T5" s="319">
        <v>0.29166666666666702</v>
      </c>
      <c r="U5" s="320">
        <v>0.37291666666666701</v>
      </c>
      <c r="V5" s="53"/>
      <c r="W5" s="54">
        <f t="shared" ref="W5:W14" si="0">(U5-T5)*24*60</f>
        <v>116.99999999999999</v>
      </c>
      <c r="X5" s="55"/>
      <c r="Y5" s="290"/>
      <c r="Z5" s="169"/>
      <c r="AA5" s="169"/>
      <c r="AB5" s="572" t="s">
        <v>187</v>
      </c>
      <c r="AC5" s="573"/>
      <c r="AD5" s="135"/>
      <c r="AE5" s="135"/>
      <c r="AF5" s="229">
        <f t="shared" ref="AF5:AF11" si="1">N5-K5</f>
        <v>-258.20512820512795</v>
      </c>
      <c r="AG5" s="52">
        <f t="shared" ref="AG5:AG11" si="2">N5/K5</f>
        <v>0.88524216524216537</v>
      </c>
      <c r="AH5" s="540">
        <f>AG15</f>
        <v>0.89372399012091253</v>
      </c>
    </row>
    <row r="6" spans="1:34" ht="15" customHeight="1">
      <c r="A6" s="570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4211</v>
      </c>
      <c r="H6" s="63">
        <f>F6*G6</f>
        <v>206928.54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2141.1864406779782</v>
      </c>
      <c r="O6" s="67">
        <f>N6/M6</f>
        <v>152.94188861985558</v>
      </c>
      <c r="P6" s="69">
        <f>M6-J6</f>
        <v>0</v>
      </c>
      <c r="Q6" s="70">
        <f>O6-L6</f>
        <v>-7.772397094430147</v>
      </c>
      <c r="R6" s="71">
        <f>O6/L6</f>
        <v>0.95163841807910132</v>
      </c>
      <c r="S6" s="544"/>
      <c r="T6" s="16">
        <v>0.38750000000000001</v>
      </c>
      <c r="U6" s="16">
        <v>0.469444444444444</v>
      </c>
      <c r="V6" s="30">
        <f>(T6-U5)*24*60</f>
        <v>20.999999999999524</v>
      </c>
      <c r="W6" s="73">
        <f t="shared" si="0"/>
        <v>117.99999999999935</v>
      </c>
      <c r="X6" s="22"/>
      <c r="Y6" s="84"/>
      <c r="Z6" s="90"/>
      <c r="AA6" s="90"/>
      <c r="AB6" s="559"/>
      <c r="AC6" s="560"/>
      <c r="AD6" s="149"/>
      <c r="AE6" s="149"/>
      <c r="AF6" s="307">
        <f t="shared" si="1"/>
        <v>-108.81355932202177</v>
      </c>
      <c r="AG6" s="72">
        <f t="shared" si="2"/>
        <v>0.95163841807910143</v>
      </c>
      <c r="AH6" s="541"/>
    </row>
    <row r="7" spans="1:34" ht="15" customHeight="1">
      <c r="A7" s="570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743</v>
      </c>
      <c r="H7" s="78">
        <f>F7*G7</f>
        <v>32914.9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16</v>
      </c>
      <c r="N7" s="80">
        <f>G7/W7*60</f>
        <v>1350.9090909090694</v>
      </c>
      <c r="O7" s="81">
        <f>N7/M7</f>
        <v>84.431818181816837</v>
      </c>
      <c r="P7" s="74">
        <f>M7-J7</f>
        <v>-2</v>
      </c>
      <c r="Q7" s="83">
        <f>O7-L7</f>
        <v>-6.4570707070720488</v>
      </c>
      <c r="R7" s="72">
        <f>O7/L7</f>
        <v>0.92895643476326595</v>
      </c>
      <c r="S7" s="544"/>
      <c r="T7" s="18">
        <v>0.53819444444444398</v>
      </c>
      <c r="U7" s="18">
        <v>0.56111111111111101</v>
      </c>
      <c r="V7" s="30">
        <f>(T7-U6)*24*60</f>
        <v>98.999999999999972</v>
      </c>
      <c r="W7" s="73">
        <f t="shared" si="0"/>
        <v>33.000000000000526</v>
      </c>
      <c r="X7" s="22"/>
      <c r="Y7" s="84"/>
      <c r="Z7" s="90"/>
      <c r="AA7" s="90"/>
      <c r="AB7" s="521"/>
      <c r="AC7" s="522"/>
      <c r="AD7" s="92"/>
      <c r="AE7" s="92"/>
      <c r="AF7" s="307">
        <f t="shared" si="1"/>
        <v>-285.09090909093061</v>
      </c>
      <c r="AG7" s="72">
        <f t="shared" si="2"/>
        <v>0.82573905312290308</v>
      </c>
      <c r="AH7" s="541"/>
    </row>
    <row r="8" spans="1:34" ht="15" customHeight="1">
      <c r="A8" s="57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54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559"/>
      <c r="AC8" s="560"/>
      <c r="AD8" s="149"/>
      <c r="AE8" s="149"/>
      <c r="AF8" s="307">
        <f t="shared" si="1"/>
        <v>0</v>
      </c>
      <c r="AG8" s="72" t="e">
        <f t="shared" si="2"/>
        <v>#DIV/0!</v>
      </c>
      <c r="AH8" s="541"/>
    </row>
    <row r="9" spans="1:34" ht="15" customHeight="1">
      <c r="A9" s="57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54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559"/>
      <c r="AC9" s="560"/>
      <c r="AD9" s="149"/>
      <c r="AE9" s="149"/>
      <c r="AF9" s="307">
        <f t="shared" si="1"/>
        <v>0</v>
      </c>
      <c r="AG9" s="72" t="e">
        <f t="shared" si="2"/>
        <v>#DIV/0!</v>
      </c>
      <c r="AH9" s="541"/>
    </row>
    <row r="10" spans="1:34" ht="15" customHeight="1">
      <c r="A10" s="57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54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521"/>
      <c r="AC10" s="522"/>
      <c r="AD10" s="92"/>
      <c r="AE10" s="92"/>
      <c r="AF10" s="307">
        <f t="shared" si="1"/>
        <v>0</v>
      </c>
      <c r="AG10" s="72" t="e">
        <f t="shared" si="2"/>
        <v>#DIV/0!</v>
      </c>
      <c r="AH10" s="541"/>
    </row>
    <row r="11" spans="1:34" ht="15" customHeight="1">
      <c r="A11" s="57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54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559"/>
      <c r="AC11" s="560"/>
      <c r="AD11" s="149"/>
      <c r="AE11" s="149"/>
      <c r="AF11" s="307">
        <f t="shared" si="1"/>
        <v>0</v>
      </c>
      <c r="AG11" s="72" t="e">
        <f t="shared" si="2"/>
        <v>#DIV/0!</v>
      </c>
      <c r="AH11" s="541"/>
    </row>
    <row r="12" spans="1:34" ht="15" customHeight="1">
      <c r="A12" s="57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54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559"/>
      <c r="AC12" s="560"/>
      <c r="AD12" s="149"/>
      <c r="AE12" s="149"/>
      <c r="AF12" s="308"/>
      <c r="AG12" s="85"/>
      <c r="AH12" s="541"/>
    </row>
    <row r="13" spans="1:34" ht="15" customHeight="1">
      <c r="A13" s="57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544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521"/>
      <c r="AC13" s="522"/>
      <c r="AD13" s="92"/>
      <c r="AE13" s="92"/>
      <c r="AF13" s="308"/>
      <c r="AG13" s="85"/>
      <c r="AH13" s="541"/>
    </row>
    <row r="14" spans="1:34" ht="15" customHeight="1">
      <c r="A14" s="57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54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521"/>
      <c r="AC14" s="522"/>
      <c r="AD14" s="92"/>
      <c r="AE14" s="92"/>
      <c r="AF14" s="308"/>
      <c r="AG14" s="85"/>
      <c r="AH14" s="541"/>
    </row>
    <row r="15" spans="1:34" ht="15" customHeight="1">
      <c r="A15" s="571"/>
      <c r="B15" s="115"/>
      <c r="C15" s="115" t="s">
        <v>41</v>
      </c>
      <c r="D15" s="574" t="s">
        <v>42</v>
      </c>
      <c r="E15" s="507"/>
      <c r="F15" s="116"/>
      <c r="G15" s="117"/>
      <c r="H15" s="118"/>
      <c r="I15" s="119"/>
      <c r="J15" s="120">
        <f t="shared" ref="J15:O15" si="3">AVERAGE(J5:J14)</f>
        <v>15.666666666666666</v>
      </c>
      <c r="K15" s="120">
        <f t="shared" si="3"/>
        <v>2045.3333333333333</v>
      </c>
      <c r="L15" s="117">
        <f t="shared" si="3"/>
        <v>133.86772486772486</v>
      </c>
      <c r="M15" s="120">
        <f t="shared" si="3"/>
        <v>14.666666666666666</v>
      </c>
      <c r="N15" s="120">
        <f t="shared" si="3"/>
        <v>1827.963467793973</v>
      </c>
      <c r="O15" s="117">
        <f t="shared" si="3"/>
        <v>126.54825635757823</v>
      </c>
      <c r="P15" s="121">
        <f>M15-J15</f>
        <v>-1</v>
      </c>
      <c r="Q15" s="122">
        <f>O15-L15</f>
        <v>-7.3194685101466348</v>
      </c>
      <c r="R15" s="123">
        <f>O15/L15</f>
        <v>0.94532312760690429</v>
      </c>
      <c r="S15" s="545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508"/>
      <c r="AC15" s="509"/>
      <c r="AD15" s="323">
        <f>SUM(AD5:AD14)</f>
        <v>0</v>
      </c>
      <c r="AE15" s="323">
        <f>SUM(AE5:AE14)</f>
        <v>0</v>
      </c>
      <c r="AF15" s="309">
        <f>N15-K15</f>
        <v>-217.36986553936026</v>
      </c>
      <c r="AG15" s="124">
        <f>N15/K15</f>
        <v>0.89372399012091253</v>
      </c>
      <c r="AH15" s="542"/>
    </row>
    <row r="16" spans="1:34" ht="15" customHeight="1">
      <c r="A16" s="528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1690</v>
      </c>
      <c r="H16" s="134">
        <f>F16*G16</f>
        <v>85632.3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2112.5000000000214</v>
      </c>
      <c r="O16" s="141">
        <f>N16/M16</f>
        <v>162.50000000000165</v>
      </c>
      <c r="P16" s="142">
        <f>M16-J16</f>
        <v>0</v>
      </c>
      <c r="Q16" s="143">
        <f>O16-L16</f>
        <v>-10.576923076921418</v>
      </c>
      <c r="R16" s="144">
        <f>O16/L16</f>
        <v>0.93888888888889843</v>
      </c>
      <c r="S16" s="552">
        <f>R26</f>
        <v>0.91396554948958142</v>
      </c>
      <c r="T16" s="145">
        <v>0.29861111111111099</v>
      </c>
      <c r="U16" s="145">
        <v>0.33194444444444399</v>
      </c>
      <c r="V16" s="135"/>
      <c r="W16" s="146">
        <f t="shared" ref="W16:W78" si="4">(U16-T16)*24*60</f>
        <v>47.99999999999951</v>
      </c>
      <c r="X16" s="141"/>
      <c r="Y16" s="296"/>
      <c r="Z16" s="169"/>
      <c r="AA16" s="169"/>
      <c r="AB16" s="516"/>
      <c r="AC16" s="517"/>
      <c r="AD16" s="135"/>
      <c r="AE16" s="135"/>
      <c r="AF16" s="229">
        <f>N16-K16</f>
        <v>-137.49999999997863</v>
      </c>
      <c r="AG16" s="52">
        <f>N16/K16</f>
        <v>0.93888888888889843</v>
      </c>
      <c r="AH16" s="540">
        <f>AG26</f>
        <v>0.9148273860905487</v>
      </c>
    </row>
    <row r="17" spans="1:34" ht="15" customHeight="1">
      <c r="A17" s="529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2016</v>
      </c>
      <c r="H17" s="78">
        <f>F17*G17</f>
        <v>114649.92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2122.1052631579141</v>
      </c>
      <c r="O17" s="96">
        <f>N17/M17</f>
        <v>151.57894736842243</v>
      </c>
      <c r="P17" s="97">
        <f>M17-J17</f>
        <v>0</v>
      </c>
      <c r="Q17" s="98">
        <f>O17-L17</f>
        <v>-9.1353383458632891</v>
      </c>
      <c r="R17" s="99">
        <f>O17/L17</f>
        <v>0.94315789473685063</v>
      </c>
      <c r="S17" s="553"/>
      <c r="T17" s="19">
        <v>0.33888888888888902</v>
      </c>
      <c r="U17" s="19">
        <v>0.37847222222222199</v>
      </c>
      <c r="V17" s="30">
        <f>(T17-U16)*24*60</f>
        <v>10.000000000000844</v>
      </c>
      <c r="W17" s="149">
        <f t="shared" si="4"/>
        <v>56.999999999999474</v>
      </c>
      <c r="X17" s="19"/>
      <c r="Y17" s="297"/>
      <c r="Z17" s="90"/>
      <c r="AA17" s="90"/>
      <c r="AB17" s="521"/>
      <c r="AC17" s="522"/>
      <c r="AD17" s="92"/>
      <c r="AE17" s="92"/>
      <c r="AF17" s="307">
        <f>N17-K17</f>
        <v>-127.89473684208588</v>
      </c>
      <c r="AG17" s="72">
        <f>N17/K17</f>
        <v>0.94315789473685074</v>
      </c>
      <c r="AH17" s="541"/>
    </row>
    <row r="18" spans="1:34" ht="15" customHeight="1">
      <c r="A18" s="529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1433</v>
      </c>
      <c r="H18" s="78">
        <f>F18*G18</f>
        <v>83357.61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2149.5000000000632</v>
      </c>
      <c r="O18" s="96">
        <f>N18/M18</f>
        <v>153.5357142857188</v>
      </c>
      <c r="P18" s="97">
        <f>M18-J18</f>
        <v>0</v>
      </c>
      <c r="Q18" s="98">
        <f>O18-L18</f>
        <v>-7.1785714285669258</v>
      </c>
      <c r="R18" s="99">
        <f>O18/L18</f>
        <v>0.95533333333336135</v>
      </c>
      <c r="S18" s="553"/>
      <c r="T18" s="19">
        <v>0.38541666666666702</v>
      </c>
      <c r="U18" s="19">
        <v>0.41319444444444398</v>
      </c>
      <c r="V18" s="30">
        <f>(T18-U17)*24*60</f>
        <v>10.000000000000844</v>
      </c>
      <c r="W18" s="149">
        <f t="shared" si="4"/>
        <v>39.99999999999882</v>
      </c>
      <c r="X18" s="22">
        <v>0.48611111111111099</v>
      </c>
      <c r="Y18" s="84">
        <v>0.52777777777777801</v>
      </c>
      <c r="Z18" s="90"/>
      <c r="AA18" s="90"/>
      <c r="AB18" s="521"/>
      <c r="AC18" s="522"/>
      <c r="AD18" s="92"/>
      <c r="AE18" s="92"/>
      <c r="AF18" s="307">
        <f>N18-K18</f>
        <v>-100.49999999993679</v>
      </c>
      <c r="AG18" s="72">
        <f>N18/K18</f>
        <v>0.95533333333336146</v>
      </c>
      <c r="AH18" s="541"/>
    </row>
    <row r="19" spans="1:34" ht="15" customHeight="1">
      <c r="A19" s="529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2772</v>
      </c>
      <c r="H19" s="78">
        <f t="shared" ref="H19:H21" si="5">F19*G19</f>
        <v>139681.07999999999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2132.3076923077197</v>
      </c>
      <c r="O19" s="96">
        <f t="shared" ref="O19:O21" si="8">N19/M19</f>
        <v>177.69230769230998</v>
      </c>
      <c r="P19" s="97">
        <f t="shared" ref="P19:P21" si="9">M19-J19</f>
        <v>0</v>
      </c>
      <c r="Q19" s="98">
        <f t="shared" ref="Q19:Q21" si="10">O19-L19</f>
        <v>-9.8076923076900187</v>
      </c>
      <c r="R19" s="99">
        <f t="shared" ref="R19:R21" si="11">O19/L19</f>
        <v>0.94769230769231994</v>
      </c>
      <c r="S19" s="553"/>
      <c r="T19" s="19">
        <v>0.421527777777778</v>
      </c>
      <c r="U19" s="19">
        <v>0.47569444444444398</v>
      </c>
      <c r="V19" s="30">
        <f>(T19-U18)*24*60</f>
        <v>12.000000000000997</v>
      </c>
      <c r="W19" s="149">
        <f t="shared" si="4"/>
        <v>77.999999999999005</v>
      </c>
      <c r="X19" s="22"/>
      <c r="Y19" s="84"/>
      <c r="Z19" s="90"/>
      <c r="AA19" s="90"/>
      <c r="AB19" s="559"/>
      <c r="AC19" s="560"/>
      <c r="AD19" s="149"/>
      <c r="AE19" s="149"/>
      <c r="AF19" s="307">
        <f>N19-K19</f>
        <v>-117.69230769228034</v>
      </c>
      <c r="AG19" s="72">
        <f>N19/K19</f>
        <v>0.94769230769231982</v>
      </c>
      <c r="AH19" s="541"/>
    </row>
    <row r="20" spans="1:34" ht="15" customHeight="1">
      <c r="A20" s="529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659</v>
      </c>
      <c r="H20" s="78">
        <f t="shared" si="5"/>
        <v>33207.01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1976.9999999999754</v>
      </c>
      <c r="O20" s="96">
        <f t="shared" si="8"/>
        <v>164.74999999999795</v>
      </c>
      <c r="P20" s="97">
        <f t="shared" si="9"/>
        <v>0</v>
      </c>
      <c r="Q20" s="98">
        <f t="shared" si="10"/>
        <v>-22.750000000002046</v>
      </c>
      <c r="R20" s="99">
        <f t="shared" si="11"/>
        <v>0.87866666666665572</v>
      </c>
      <c r="S20" s="553"/>
      <c r="T20" s="19">
        <v>0.54166666666666696</v>
      </c>
      <c r="U20" s="19">
        <v>0.55555555555555602</v>
      </c>
      <c r="V20" s="30">
        <f>(T20-U19)*24*60</f>
        <v>95.000000000001108</v>
      </c>
      <c r="W20" s="149">
        <f t="shared" si="4"/>
        <v>20.000000000000249</v>
      </c>
      <c r="X20" s="19"/>
      <c r="Y20" s="297"/>
      <c r="Z20" s="90"/>
      <c r="AA20" s="90"/>
      <c r="AB20" s="521"/>
      <c r="AC20" s="522"/>
      <c r="AD20" s="92"/>
      <c r="AE20" s="92"/>
      <c r="AF20" s="307"/>
      <c r="AG20" s="72"/>
      <c r="AH20" s="541"/>
    </row>
    <row r="21" spans="1:34" ht="15" customHeight="1">
      <c r="A21" s="529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1145</v>
      </c>
      <c r="H21" s="78">
        <f t="shared" si="5"/>
        <v>58017.15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1856.7567567567155</v>
      </c>
      <c r="O21" s="96">
        <f t="shared" si="8"/>
        <v>142.82744282743965</v>
      </c>
      <c r="P21" s="97">
        <f t="shared" si="9"/>
        <v>0</v>
      </c>
      <c r="Q21" s="98">
        <f t="shared" si="10"/>
        <v>-30.249480249483412</v>
      </c>
      <c r="R21" s="99">
        <f t="shared" si="11"/>
        <v>0.82522522522520692</v>
      </c>
      <c r="S21" s="553"/>
      <c r="T21" s="19">
        <v>0.56458333333333299</v>
      </c>
      <c r="U21" s="19">
        <v>0.59027777777777801</v>
      </c>
      <c r="V21" s="30">
        <f>(T21-U20)*24*60</f>
        <v>12.999999999998835</v>
      </c>
      <c r="W21" s="149">
        <f t="shared" si="4"/>
        <v>37.000000000000824</v>
      </c>
      <c r="X21" s="92"/>
      <c r="Y21" s="298"/>
      <c r="Z21" s="90"/>
      <c r="AA21" s="90"/>
      <c r="AB21" s="521"/>
      <c r="AC21" s="522"/>
      <c r="AD21" s="92"/>
      <c r="AE21" s="92"/>
      <c r="AF21" s="308"/>
      <c r="AG21" s="85"/>
      <c r="AH21" s="541"/>
    </row>
    <row r="22" spans="1:34" ht="15" customHeight="1">
      <c r="A22" s="529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553"/>
      <c r="T22" s="150"/>
      <c r="U22" s="150"/>
      <c r="V22" s="92"/>
      <c r="W22" s="149">
        <v>0</v>
      </c>
      <c r="X22" s="92"/>
      <c r="Y22" s="298"/>
      <c r="Z22" s="90"/>
      <c r="AA22" s="90"/>
      <c r="AB22" s="521"/>
      <c r="AC22" s="522"/>
      <c r="AD22" s="92"/>
      <c r="AE22" s="92"/>
      <c r="AF22" s="308"/>
      <c r="AG22" s="85"/>
      <c r="AH22" s="541"/>
    </row>
    <row r="23" spans="1:34" ht="15" customHeight="1">
      <c r="A23" s="529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553"/>
      <c r="T23" s="150"/>
      <c r="U23" s="150"/>
      <c r="W23" s="149">
        <f t="shared" si="4"/>
        <v>0</v>
      </c>
      <c r="X23" s="92"/>
      <c r="Y23" s="298"/>
      <c r="Z23" s="90"/>
      <c r="AA23" s="90"/>
      <c r="AB23" s="521"/>
      <c r="AC23" s="522"/>
      <c r="AD23" s="92"/>
      <c r="AE23" s="92"/>
      <c r="AF23" s="308"/>
      <c r="AG23" s="85"/>
      <c r="AH23" s="541"/>
    </row>
    <row r="24" spans="1:34" ht="15" customHeight="1">
      <c r="A24" s="529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55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521"/>
      <c r="AC24" s="522"/>
      <c r="AD24" s="92"/>
      <c r="AE24" s="92"/>
      <c r="AF24" s="308"/>
      <c r="AG24" s="85"/>
      <c r="AH24" s="541"/>
    </row>
    <row r="25" spans="1:34" ht="15" customHeight="1">
      <c r="A25" s="529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55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521"/>
      <c r="AC25" s="522"/>
      <c r="AD25" s="92"/>
      <c r="AE25" s="92"/>
      <c r="AF25" s="308"/>
      <c r="AG25" s="85"/>
      <c r="AH25" s="541"/>
    </row>
    <row r="26" spans="1:34" ht="15" customHeight="1">
      <c r="A26" s="530"/>
      <c r="B26" s="152"/>
      <c r="C26" s="153" t="s">
        <v>44</v>
      </c>
      <c r="D26" s="506" t="s">
        <v>42</v>
      </c>
      <c r="E26" s="548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2058.3616187037346</v>
      </c>
      <c r="O26" s="158">
        <f t="shared" si="12"/>
        <v>158.81406869564842</v>
      </c>
      <c r="P26" s="159">
        <f t="shared" ref="P26:P31" si="13">M26-J26</f>
        <v>0</v>
      </c>
      <c r="Q26" s="160">
        <f t="shared" ref="Q26:Q31" si="14">O26-L26</f>
        <v>-14.949667568087847</v>
      </c>
      <c r="R26" s="161">
        <f t="shared" ref="R26:R31" si="15">O26/L26</f>
        <v>0.91396554948958142</v>
      </c>
      <c r="S26" s="55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508"/>
      <c r="AC26" s="509"/>
      <c r="AD26" s="323">
        <f>SUM(AD16:AD25)</f>
        <v>0</v>
      </c>
      <c r="AE26" s="323">
        <f>SUM(AE16:AE25)</f>
        <v>0</v>
      </c>
      <c r="AF26" s="309">
        <f t="shared" ref="AF26:AF31" si="16">N26-K26</f>
        <v>-191.63838129626538</v>
      </c>
      <c r="AG26" s="124">
        <f t="shared" ref="AG26:AG31" si="17">N26/K26</f>
        <v>0.9148273860905487</v>
      </c>
      <c r="AH26" s="542"/>
    </row>
    <row r="27" spans="1:34" ht="15" customHeight="1">
      <c r="A27" s="549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1121</v>
      </c>
      <c r="H27" s="134">
        <f>F27*G27</f>
        <v>51184.859999999993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1401.2500000000143</v>
      </c>
      <c r="O27" s="141">
        <f>N27/M27</f>
        <v>87.578125000000895</v>
      </c>
      <c r="P27" s="142">
        <f t="shared" si="13"/>
        <v>-1</v>
      </c>
      <c r="Q27" s="143">
        <f t="shared" si="14"/>
        <v>-8.6571691176461627</v>
      </c>
      <c r="R27" s="144">
        <f t="shared" si="15"/>
        <v>0.91004164119805331</v>
      </c>
      <c r="S27" s="552">
        <f>R37</f>
        <v>0.91958695278745273</v>
      </c>
      <c r="T27" s="171">
        <v>0.29166666666666702</v>
      </c>
      <c r="U27" s="171">
        <v>0.32500000000000001</v>
      </c>
      <c r="V27" s="135"/>
      <c r="W27" s="146">
        <f t="shared" si="4"/>
        <v>47.99999999999951</v>
      </c>
      <c r="X27" s="135"/>
      <c r="Y27" s="300" t="s">
        <v>46</v>
      </c>
      <c r="Z27" s="169"/>
      <c r="AA27" s="169"/>
      <c r="AB27" s="516"/>
      <c r="AC27" s="517"/>
      <c r="AD27" s="135"/>
      <c r="AE27" s="135"/>
      <c r="AF27" s="310">
        <f t="shared" si="16"/>
        <v>-234.74999999998568</v>
      </c>
      <c r="AG27" s="172">
        <f t="shared" si="17"/>
        <v>0.856509779951109</v>
      </c>
      <c r="AH27" s="523">
        <f>AG37</f>
        <v>0.88852388824640771</v>
      </c>
    </row>
    <row r="28" spans="1:34" ht="15" customHeight="1">
      <c r="A28" s="550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2781</v>
      </c>
      <c r="H28" s="91">
        <f>F28*G28</f>
        <v>128871.54000000001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1516.9090909090885</v>
      </c>
      <c r="O28" s="96">
        <f>N28/M28</f>
        <v>94.806818181818031</v>
      </c>
      <c r="P28" s="97">
        <f t="shared" si="13"/>
        <v>0</v>
      </c>
      <c r="Q28" s="98">
        <f t="shared" si="14"/>
        <v>-7.4431818181819693</v>
      </c>
      <c r="R28" s="99">
        <f t="shared" si="15"/>
        <v>0.92720604578795141</v>
      </c>
      <c r="S28" s="553"/>
      <c r="T28" s="19">
        <v>0.32986111111111099</v>
      </c>
      <c r="U28" s="19">
        <v>0.40625</v>
      </c>
      <c r="V28" s="92">
        <f>(T28-U27)*24*60</f>
        <v>6.9999999999998153</v>
      </c>
      <c r="W28" s="149">
        <f t="shared" si="4"/>
        <v>110.00000000000017</v>
      </c>
      <c r="X28" s="174"/>
      <c r="Y28" s="301"/>
      <c r="Z28" s="335"/>
      <c r="AA28" s="335"/>
      <c r="AB28" s="521"/>
      <c r="AC28" s="522"/>
      <c r="AD28" s="92"/>
      <c r="AE28" s="92"/>
      <c r="AF28" s="311">
        <f t="shared" si="16"/>
        <v>-119.09090909091151</v>
      </c>
      <c r="AG28" s="99">
        <f t="shared" si="17"/>
        <v>0.92720604578795141</v>
      </c>
      <c r="AH28" s="524"/>
    </row>
    <row r="29" spans="1:34" ht="15" customHeight="1">
      <c r="A29" s="550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309</v>
      </c>
      <c r="H29" s="91">
        <f>F29*G29</f>
        <v>17677.89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1426.1538461538073</v>
      </c>
      <c r="O29" s="96">
        <f>N29/M29</f>
        <v>83.891402714929839</v>
      </c>
      <c r="P29" s="97">
        <f t="shared" si="13"/>
        <v>-1</v>
      </c>
      <c r="Q29" s="98">
        <f t="shared" si="14"/>
        <v>-3.0530417295146037</v>
      </c>
      <c r="R29" s="99">
        <f t="shared" si="15"/>
        <v>0.96488514304711637</v>
      </c>
      <c r="S29" s="553"/>
      <c r="T29" s="19">
        <v>0.41319444444444398</v>
      </c>
      <c r="U29" s="19">
        <v>0.422222222222222</v>
      </c>
      <c r="V29" s="92">
        <f>(T29-U28)*24*60</f>
        <v>9.999999999999325</v>
      </c>
      <c r="W29" s="149">
        <f t="shared" si="4"/>
        <v>13.000000000000353</v>
      </c>
      <c r="X29" s="22"/>
      <c r="Y29" s="84"/>
      <c r="Z29" s="90"/>
      <c r="AA29" s="90"/>
      <c r="AB29" s="521"/>
      <c r="AC29" s="522"/>
      <c r="AD29" s="92"/>
      <c r="AE29" s="92"/>
      <c r="AF29" s="312">
        <f t="shared" si="16"/>
        <v>-138.84615384619269</v>
      </c>
      <c r="AG29" s="99">
        <f t="shared" si="17"/>
        <v>0.91128041287783212</v>
      </c>
      <c r="AH29" s="524"/>
    </row>
    <row r="30" spans="1:34" ht="15" customHeight="1">
      <c r="A30" s="550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1339</v>
      </c>
      <c r="H30" s="91">
        <f>F30*G30</f>
        <v>76604.19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1460.7272727272502</v>
      </c>
      <c r="O30" s="96">
        <f>N30/M30</f>
        <v>85.925133689838248</v>
      </c>
      <c r="P30" s="97">
        <f t="shared" si="13"/>
        <v>-1</v>
      </c>
      <c r="Q30" s="98">
        <f t="shared" si="14"/>
        <v>-4.9637551990506381</v>
      </c>
      <c r="R30" s="99">
        <f t="shared" si="15"/>
        <v>0.94538655648966285</v>
      </c>
      <c r="S30" s="553"/>
      <c r="T30" s="19">
        <v>0.42708333333333298</v>
      </c>
      <c r="U30" s="19">
        <v>0.46527777777777801</v>
      </c>
      <c r="V30" s="92">
        <f>(T30-U29)*24*60</f>
        <v>6.9999999999998153</v>
      </c>
      <c r="W30" s="149">
        <f t="shared" si="4"/>
        <v>55.000000000000846</v>
      </c>
      <c r="X30" s="174">
        <v>0.49652777777777801</v>
      </c>
      <c r="Y30" s="301">
        <v>0.53819444444444398</v>
      </c>
      <c r="Z30" s="335"/>
      <c r="AA30" s="335"/>
      <c r="AB30" s="521"/>
      <c r="AC30" s="522"/>
      <c r="AD30" s="92"/>
      <c r="AE30" s="92"/>
      <c r="AF30" s="312">
        <f t="shared" si="16"/>
        <v>-175.27272727274976</v>
      </c>
      <c r="AG30" s="99">
        <f t="shared" si="17"/>
        <v>0.8928650811291261</v>
      </c>
      <c r="AH30" s="524"/>
    </row>
    <row r="31" spans="1:34" ht="15" customHeight="1">
      <c r="A31" s="550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700</v>
      </c>
      <c r="H31" s="91">
        <f>F31*G31</f>
        <v>31961.999999999996</v>
      </c>
      <c r="I31" s="92"/>
      <c r="J31" s="79">
        <f>VLOOKUP(D31,產線配置圖!$A$3:$C$40,2,0)</f>
        <v>17</v>
      </c>
      <c r="K31" s="80">
        <v>1636</v>
      </c>
      <c r="L31" s="93">
        <f>K31/J31</f>
        <v>96.235294117647058</v>
      </c>
      <c r="M31" s="94">
        <v>17</v>
      </c>
      <c r="N31" s="95">
        <f>G31/W31*60</f>
        <v>1399.9999999999602</v>
      </c>
      <c r="O31" s="96">
        <f>N31/M31</f>
        <v>82.352941176468249</v>
      </c>
      <c r="P31" s="97">
        <f t="shared" si="13"/>
        <v>0</v>
      </c>
      <c r="Q31" s="98">
        <f t="shared" si="14"/>
        <v>-13.882352941178809</v>
      </c>
      <c r="R31" s="99">
        <f t="shared" si="15"/>
        <v>0.85574572127136939</v>
      </c>
      <c r="S31" s="553"/>
      <c r="T31" s="19">
        <v>0.52569444444444402</v>
      </c>
      <c r="U31" s="19">
        <v>0.54652777777777795</v>
      </c>
      <c r="V31" s="92">
        <f>(T31-U30)*24*60</f>
        <v>86.999999999999048</v>
      </c>
      <c r="W31" s="149">
        <f t="shared" si="4"/>
        <v>30.000000000000853</v>
      </c>
      <c r="X31" s="174"/>
      <c r="Y31" s="301"/>
      <c r="Z31" s="335"/>
      <c r="AA31" s="335"/>
      <c r="AB31" s="521"/>
      <c r="AC31" s="522"/>
      <c r="AD31" s="92"/>
      <c r="AE31" s="92"/>
      <c r="AF31" s="312">
        <f t="shared" si="16"/>
        <v>-236.00000000003979</v>
      </c>
      <c r="AG31" s="99">
        <f t="shared" si="17"/>
        <v>0.85574572127136928</v>
      </c>
      <c r="AH31" s="524"/>
    </row>
    <row r="32" spans="1:34" ht="15" customHeight="1">
      <c r="A32" s="55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553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521"/>
      <c r="AC32" s="522"/>
      <c r="AD32" s="92"/>
      <c r="AE32" s="92"/>
      <c r="AF32" s="307"/>
      <c r="AG32" s="72"/>
      <c r="AH32" s="524"/>
    </row>
    <row r="33" spans="1:34" ht="15" customHeight="1">
      <c r="A33" s="55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553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521"/>
      <c r="AC33" s="522"/>
      <c r="AD33" s="92"/>
      <c r="AE33" s="92"/>
      <c r="AF33" s="307"/>
      <c r="AG33" s="112"/>
      <c r="AH33" s="524"/>
    </row>
    <row r="34" spans="1:34" ht="15" customHeight="1">
      <c r="A34" s="55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55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521"/>
      <c r="AC34" s="522"/>
      <c r="AD34" s="92"/>
      <c r="AE34" s="92"/>
      <c r="AF34" s="307"/>
      <c r="AG34" s="112"/>
      <c r="AH34" s="524"/>
    </row>
    <row r="35" spans="1:34" ht="15" customHeight="1">
      <c r="A35" s="55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55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521"/>
      <c r="AC35" s="522"/>
      <c r="AD35" s="92"/>
      <c r="AE35" s="92"/>
      <c r="AF35" s="307"/>
      <c r="AG35" s="112"/>
      <c r="AH35" s="524"/>
    </row>
    <row r="36" spans="1:34" ht="15" customHeight="1">
      <c r="A36" s="55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55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521"/>
      <c r="AC36" s="522"/>
      <c r="AD36" s="92"/>
      <c r="AE36" s="92"/>
      <c r="AF36" s="307"/>
      <c r="AG36" s="112"/>
      <c r="AH36" s="524"/>
    </row>
    <row r="37" spans="1:34" ht="15" customHeight="1">
      <c r="A37" s="551"/>
      <c r="B37" s="152"/>
      <c r="C37" s="153" t="s">
        <v>47</v>
      </c>
      <c r="D37" s="555" t="s">
        <v>42</v>
      </c>
      <c r="E37" s="556"/>
      <c r="F37" s="154"/>
      <c r="G37" s="220"/>
      <c r="H37" s="156"/>
      <c r="I37" s="157"/>
      <c r="J37" s="155">
        <f t="shared" ref="J37:O37" si="18">AVERAGE(J27:J36)</f>
        <v>17.2</v>
      </c>
      <c r="K37" s="155">
        <f t="shared" si="18"/>
        <v>1621.8</v>
      </c>
      <c r="L37" s="158">
        <f t="shared" si="18"/>
        <v>94.510784313725509</v>
      </c>
      <c r="M37" s="155">
        <f t="shared" si="18"/>
        <v>16.600000000000001</v>
      </c>
      <c r="N37" s="155">
        <f t="shared" si="18"/>
        <v>1441.008041958024</v>
      </c>
      <c r="O37" s="158">
        <f t="shared" si="18"/>
        <v>86.910884152611033</v>
      </c>
      <c r="P37" s="159">
        <f>M37-J37</f>
        <v>-0.59999999999999787</v>
      </c>
      <c r="Q37" s="160">
        <f>N37-K37</f>
        <v>-180.79195804197593</v>
      </c>
      <c r="R37" s="161">
        <f>O37/L37</f>
        <v>0.91958695278745273</v>
      </c>
      <c r="S37" s="55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557"/>
      <c r="AC37" s="558"/>
      <c r="AD37" s="324">
        <f>SUM(AD27:AD36)</f>
        <v>0</v>
      </c>
      <c r="AE37" s="324">
        <f>SUM(AE27:AE36)</f>
        <v>0</v>
      </c>
      <c r="AF37" s="309">
        <f>N37-K37</f>
        <v>-180.79195804197593</v>
      </c>
      <c r="AG37" s="124">
        <f>N37/K37</f>
        <v>0.88852388824640771</v>
      </c>
      <c r="AH37" s="525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2416</v>
      </c>
      <c r="H38" s="134">
        <f>F38*G38</f>
        <v>120582.56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1610.6666666666667</v>
      </c>
      <c r="O38" s="141">
        <f>N38/M38</f>
        <v>107.37777777777778</v>
      </c>
      <c r="P38" s="142">
        <f>M38-J38</f>
        <v>0</v>
      </c>
      <c r="Q38" s="143">
        <f>O38-L38</f>
        <v>-6.8888888888888857</v>
      </c>
      <c r="R38" s="144">
        <f>O38/L38</f>
        <v>0.93971217425126408</v>
      </c>
      <c r="S38" s="543">
        <f>R48</f>
        <v>0.94618261424792638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546"/>
      <c r="AC38" s="547"/>
      <c r="AD38" s="192"/>
      <c r="AE38" s="192"/>
      <c r="AF38" s="313">
        <f>N38-K38</f>
        <v>-103.33333333333326</v>
      </c>
      <c r="AG38" s="195">
        <f>N38/K38</f>
        <v>0.93971217425126419</v>
      </c>
      <c r="AH38" s="518">
        <f>AG48</f>
        <v>0.94684472374967432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2472</v>
      </c>
      <c r="H39" s="91">
        <f>F39*G39</f>
        <v>109509.59999999999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1561.2631578947426</v>
      </c>
      <c r="O39" s="203">
        <f>N39/M39</f>
        <v>86.736842105263477</v>
      </c>
      <c r="P39" s="97">
        <f>M39-J39</f>
        <v>0</v>
      </c>
      <c r="Q39" s="98">
        <f>O39-L39</f>
        <v>-4.1520467836254085</v>
      </c>
      <c r="R39" s="99">
        <f>O39/L39</f>
        <v>0.95431733367649307</v>
      </c>
      <c r="S39" s="544"/>
      <c r="T39" s="20">
        <v>0.40625</v>
      </c>
      <c r="U39" s="20">
        <v>0.47222222222222199</v>
      </c>
      <c r="V39" s="92">
        <f>(T39-U38)*24*60</f>
        <v>15.000000000000506</v>
      </c>
      <c r="W39" s="205">
        <f t="shared" si="4"/>
        <v>94.999999999999659</v>
      </c>
      <c r="X39" s="22"/>
      <c r="Y39" s="84"/>
      <c r="Z39" s="90"/>
      <c r="AA39" s="90"/>
      <c r="AB39" s="526"/>
      <c r="AC39" s="527"/>
      <c r="AD39" s="200"/>
      <c r="AE39" s="200"/>
      <c r="AF39" s="314">
        <f>N39-K39</f>
        <v>-74.736842105257438</v>
      </c>
      <c r="AG39" s="206">
        <f>N39/K39</f>
        <v>0.95431733367649296</v>
      </c>
      <c r="AH39" s="519"/>
    </row>
    <row r="40" spans="1:34" ht="15" customHeight="1">
      <c r="A40" s="48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544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521"/>
      <c r="AC40" s="522"/>
      <c r="AD40" s="92"/>
      <c r="AE40" s="92"/>
      <c r="AF40" s="314">
        <f>N40-K40</f>
        <v>0</v>
      </c>
      <c r="AG40" s="206" t="e">
        <f>N40/K40</f>
        <v>#DIV/0!</v>
      </c>
      <c r="AH40" s="519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54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521"/>
      <c r="AC41" s="522"/>
      <c r="AD41" s="92"/>
      <c r="AE41" s="92"/>
      <c r="AF41" s="314">
        <f>N41-K41</f>
        <v>0</v>
      </c>
      <c r="AG41" s="206" t="e">
        <f>N41/K41</f>
        <v>#DIV/0!</v>
      </c>
      <c r="AH41" s="519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54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521"/>
      <c r="AC42" s="522"/>
      <c r="AD42" s="92"/>
      <c r="AE42" s="92"/>
      <c r="AF42" s="314"/>
      <c r="AG42" s="206"/>
      <c r="AH42" s="519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54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521"/>
      <c r="AC43" s="522"/>
      <c r="AD43" s="92"/>
      <c r="AE43" s="92"/>
      <c r="AF43" s="213"/>
      <c r="AG43" s="206"/>
      <c r="AH43" s="519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54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521"/>
      <c r="AC44" s="522"/>
      <c r="AD44" s="92"/>
      <c r="AE44" s="92"/>
      <c r="AF44" s="213"/>
      <c r="AG44" s="206"/>
      <c r="AH44" s="519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54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521"/>
      <c r="AC45" s="522"/>
      <c r="AD45" s="92"/>
      <c r="AE45" s="92"/>
      <c r="AF45" s="213"/>
      <c r="AG45" s="206"/>
      <c r="AH45" s="519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54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521"/>
      <c r="AC46" s="522"/>
      <c r="AD46" s="92"/>
      <c r="AE46" s="92"/>
      <c r="AF46" s="213"/>
      <c r="AG46" s="206"/>
      <c r="AH46" s="519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54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521"/>
      <c r="AC47" s="522"/>
      <c r="AD47" s="92"/>
      <c r="AE47" s="92"/>
      <c r="AF47" s="213"/>
      <c r="AG47" s="206"/>
      <c r="AH47" s="519"/>
    </row>
    <row r="48" spans="1:34" ht="15" customHeight="1">
      <c r="A48" s="489"/>
      <c r="B48" s="219"/>
      <c r="C48" s="153" t="s">
        <v>49</v>
      </c>
      <c r="D48" s="506" t="s">
        <v>42</v>
      </c>
      <c r="E48" s="548"/>
      <c r="F48" s="154"/>
      <c r="G48" s="220"/>
      <c r="H48" s="156"/>
      <c r="I48" s="157"/>
      <c r="J48" s="155">
        <f t="shared" ref="J48:O48" si="19">AVERAGE(J38:J47)</f>
        <v>16.5</v>
      </c>
      <c r="K48" s="155">
        <f t="shared" si="19"/>
        <v>1675</v>
      </c>
      <c r="L48" s="158">
        <f t="shared" si="19"/>
        <v>102.57777777777778</v>
      </c>
      <c r="M48" s="155">
        <f t="shared" si="19"/>
        <v>16.5</v>
      </c>
      <c r="N48" s="155">
        <f t="shared" si="19"/>
        <v>1585.9649122807045</v>
      </c>
      <c r="O48" s="158">
        <f t="shared" si="19"/>
        <v>97.057309941520629</v>
      </c>
      <c r="P48" s="221">
        <f>M48-J48</f>
        <v>0</v>
      </c>
      <c r="Q48" s="222">
        <f>N48-K48</f>
        <v>-89.035087719295461</v>
      </c>
      <c r="R48" s="223">
        <f>O48/L48</f>
        <v>0.94618261424792638</v>
      </c>
      <c r="S48" s="545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508"/>
      <c r="AC48" s="509"/>
      <c r="AD48" s="323">
        <f>SUM(AD38:AD47)</f>
        <v>0</v>
      </c>
      <c r="AE48" s="323">
        <f>SUM(AE38:AE47)</f>
        <v>0</v>
      </c>
      <c r="AF48" s="315">
        <f t="shared" ref="AF48:AF53" si="20">N48-K48</f>
        <v>-89.035087719295461</v>
      </c>
      <c r="AG48" s="162">
        <f t="shared" ref="AG48:AG53" si="21">N48/K48</f>
        <v>0.94684472374967432</v>
      </c>
      <c r="AH48" s="520"/>
    </row>
    <row r="49" spans="1:34" ht="15" customHeight="1">
      <c r="A49" s="53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1850</v>
      </c>
      <c r="H49" s="134">
        <f>F49*G49</f>
        <v>91612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1681.8181818181938</v>
      </c>
      <c r="O49" s="141">
        <f>N49/M49</f>
        <v>98.930481283423163</v>
      </c>
      <c r="P49" s="229">
        <f>M49-J49</f>
        <v>0</v>
      </c>
      <c r="Q49" s="230">
        <f>O49-L49</f>
        <v>-6.9518716577533013</v>
      </c>
      <c r="R49" s="52">
        <f>O49/L49</f>
        <v>0.93434343434344103</v>
      </c>
      <c r="S49" s="537">
        <f>R58</f>
        <v>0.9167413223052977</v>
      </c>
      <c r="T49" s="191">
        <v>0.29166666666666702</v>
      </c>
      <c r="U49" s="191">
        <v>0.33750000000000002</v>
      </c>
      <c r="V49" s="55"/>
      <c r="W49" s="193">
        <f t="shared" si="4"/>
        <v>65.999999999999531</v>
      </c>
      <c r="X49" s="55"/>
      <c r="Y49" s="290"/>
      <c r="Z49" s="169"/>
      <c r="AA49" s="169"/>
      <c r="AB49" s="516"/>
      <c r="AC49" s="517"/>
      <c r="AD49" s="135"/>
      <c r="AE49" s="135"/>
      <c r="AF49" s="229">
        <f t="shared" si="20"/>
        <v>-118.18181818180619</v>
      </c>
      <c r="AG49" s="52">
        <f t="shared" si="21"/>
        <v>0.93434343434344103</v>
      </c>
      <c r="AH49" s="540">
        <f>AG58</f>
        <v>0.9171350536899181</v>
      </c>
    </row>
    <row r="50" spans="1:34" ht="15" customHeight="1">
      <c r="A50" s="53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1894</v>
      </c>
      <c r="H50" s="231">
        <f>F50*G50</f>
        <v>95247.366000000009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1515.2000000000103</v>
      </c>
      <c r="O50" s="235">
        <f>N50/M50</f>
        <v>89.129411764706489</v>
      </c>
      <c r="P50" s="74">
        <f>M50-J50</f>
        <v>0</v>
      </c>
      <c r="Q50" s="83">
        <f>O50-L50</f>
        <v>-7.1058823529405686</v>
      </c>
      <c r="R50" s="72">
        <f>O50/L50</f>
        <v>0.92616136919316039</v>
      </c>
      <c r="S50" s="538"/>
      <c r="T50" s="21">
        <v>0.34513888888888899</v>
      </c>
      <c r="U50" s="21">
        <v>0.39722222222222198</v>
      </c>
      <c r="V50" s="30">
        <f>(T50-U49)*24*60</f>
        <v>11.000000000000121</v>
      </c>
      <c r="W50" s="236">
        <f t="shared" si="4"/>
        <v>74.999999999999488</v>
      </c>
      <c r="X50" s="22"/>
      <c r="Y50" s="84"/>
      <c r="Z50" s="90"/>
      <c r="AA50" s="90"/>
      <c r="AB50" s="521"/>
      <c r="AC50" s="522"/>
      <c r="AD50" s="92"/>
      <c r="AE50" s="92"/>
      <c r="AF50" s="307">
        <f t="shared" si="20"/>
        <v>-120.79999999998972</v>
      </c>
      <c r="AG50" s="72">
        <f t="shared" si="21"/>
        <v>0.92616136919316028</v>
      </c>
      <c r="AH50" s="541"/>
    </row>
    <row r="51" spans="1:34" ht="15" customHeight="1">
      <c r="A51" s="53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2044</v>
      </c>
      <c r="H51" s="231">
        <f>F51*G51</f>
        <v>102138.68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1572.3076923076817</v>
      </c>
      <c r="O51" s="235">
        <f>N51/M51</f>
        <v>98.269230769230106</v>
      </c>
      <c r="P51" s="74">
        <f>M51-J51</f>
        <v>0</v>
      </c>
      <c r="Q51" s="83">
        <f>O51-L51</f>
        <v>-14.230769230769894</v>
      </c>
      <c r="R51" s="72">
        <f>O51/L51</f>
        <v>0.87350427350426763</v>
      </c>
      <c r="S51" s="538"/>
      <c r="T51" s="21">
        <v>0.44513888888888897</v>
      </c>
      <c r="U51" s="19">
        <v>0.499305555555556</v>
      </c>
      <c r="V51" s="30">
        <f>(T51-U50)*24*60</f>
        <v>69.000000000000469</v>
      </c>
      <c r="W51" s="236">
        <f t="shared" si="4"/>
        <v>78.000000000000526</v>
      </c>
      <c r="X51" s="22"/>
      <c r="Y51" s="84"/>
      <c r="Z51" s="90"/>
      <c r="AA51" s="90"/>
      <c r="AB51" s="521"/>
      <c r="AC51" s="522"/>
      <c r="AD51" s="92"/>
      <c r="AE51" s="92"/>
      <c r="AF51" s="307">
        <f t="shared" si="20"/>
        <v>-227.69230769231831</v>
      </c>
      <c r="AG51" s="72">
        <f t="shared" si="21"/>
        <v>0.87350427350426763</v>
      </c>
      <c r="AH51" s="541"/>
    </row>
    <row r="52" spans="1:34" ht="15" customHeight="1">
      <c r="A52" s="53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1852</v>
      </c>
      <c r="H52" s="231">
        <f>F52*G52</f>
        <v>92544.44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1683.6363636363778</v>
      </c>
      <c r="O52" s="235">
        <f>N52/M52</f>
        <v>105.22727272727361</v>
      </c>
      <c r="P52" s="74">
        <f>M52-J52</f>
        <v>0</v>
      </c>
      <c r="Q52" s="83">
        <f>O52-L52</f>
        <v>-7.2727272727263852</v>
      </c>
      <c r="R52" s="72">
        <f>O52/L52</f>
        <v>0.93535353535354326</v>
      </c>
      <c r="S52" s="538"/>
      <c r="T52" s="21">
        <v>0.52013888888888904</v>
      </c>
      <c r="U52" s="21">
        <v>0.56597222222222199</v>
      </c>
      <c r="V52" s="30">
        <f>(T52-U51)*24*60</f>
        <v>29.999999999999574</v>
      </c>
      <c r="W52" s="236">
        <f t="shared" si="4"/>
        <v>65.999999999999446</v>
      </c>
      <c r="X52" s="22">
        <v>0.47916666666666702</v>
      </c>
      <c r="Y52" s="84">
        <v>0.52083333333333304</v>
      </c>
      <c r="Z52" s="90"/>
      <c r="AA52" s="90"/>
      <c r="AB52" s="521"/>
      <c r="AC52" s="522"/>
      <c r="AD52" s="92"/>
      <c r="AE52" s="92"/>
      <c r="AF52" s="307">
        <f t="shared" si="20"/>
        <v>-116.36363636362216</v>
      </c>
      <c r="AG52" s="72">
        <f t="shared" si="21"/>
        <v>0.93535353535354326</v>
      </c>
      <c r="AH52" s="541"/>
    </row>
    <row r="53" spans="1:34" ht="15" customHeight="1">
      <c r="A53" s="53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53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521"/>
      <c r="AC53" s="522"/>
      <c r="AD53" s="92"/>
      <c r="AE53" s="92"/>
      <c r="AF53" s="307">
        <f t="shared" si="20"/>
        <v>0</v>
      </c>
      <c r="AG53" s="72" t="e">
        <f t="shared" si="21"/>
        <v>#DIV/0!</v>
      </c>
      <c r="AH53" s="541"/>
    </row>
    <row r="54" spans="1:34" ht="15" customHeight="1">
      <c r="A54" s="53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53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521"/>
      <c r="AC54" s="522"/>
      <c r="AD54" s="92"/>
      <c r="AE54" s="92"/>
      <c r="AF54" s="307"/>
      <c r="AG54" s="72"/>
      <c r="AH54" s="541"/>
    </row>
    <row r="55" spans="1:34" ht="15" customHeight="1">
      <c r="A55" s="53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53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521"/>
      <c r="AC55" s="522"/>
      <c r="AD55" s="92"/>
      <c r="AE55" s="92"/>
      <c r="AF55" s="307"/>
      <c r="AG55" s="72"/>
      <c r="AH55" s="541"/>
    </row>
    <row r="56" spans="1:34" ht="15" customHeight="1">
      <c r="A56" s="53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53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521"/>
      <c r="AC56" s="522"/>
      <c r="AD56" s="92"/>
      <c r="AE56" s="92"/>
      <c r="AF56" s="307"/>
      <c r="AG56" s="72"/>
      <c r="AH56" s="541"/>
    </row>
    <row r="57" spans="1:34" ht="15" customHeight="1">
      <c r="A57" s="53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53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521"/>
      <c r="AC57" s="522"/>
      <c r="AD57" s="92"/>
      <c r="AE57" s="92"/>
      <c r="AF57" s="307"/>
      <c r="AG57" s="72"/>
      <c r="AH57" s="541"/>
    </row>
    <row r="58" spans="1:34" ht="15" customHeight="1">
      <c r="A58" s="536"/>
      <c r="B58" s="239"/>
      <c r="C58" s="153" t="s">
        <v>51</v>
      </c>
      <c r="D58" s="506" t="s">
        <v>42</v>
      </c>
      <c r="E58" s="507"/>
      <c r="F58" s="116"/>
      <c r="G58" s="240"/>
      <c r="H58" s="118"/>
      <c r="I58" s="117"/>
      <c r="J58" s="120">
        <f t="shared" ref="J58:O58" si="22">AVERAGE(J49:J57)</f>
        <v>16.5</v>
      </c>
      <c r="K58" s="120">
        <f t="shared" si="22"/>
        <v>1759</v>
      </c>
      <c r="L58" s="117">
        <f t="shared" si="22"/>
        <v>106.77941176470588</v>
      </c>
      <c r="M58" s="120">
        <f t="shared" si="22"/>
        <v>16.5</v>
      </c>
      <c r="N58" s="120">
        <f t="shared" si="22"/>
        <v>1613.2405594405659</v>
      </c>
      <c r="O58" s="117">
        <f t="shared" si="22"/>
        <v>97.889099136158336</v>
      </c>
      <c r="P58" s="121">
        <f>M58-J58</f>
        <v>0</v>
      </c>
      <c r="Q58" s="122">
        <f>N58-K58</f>
        <v>-145.7594405594341</v>
      </c>
      <c r="R58" s="123">
        <f>O58/L58</f>
        <v>0.9167413223052977</v>
      </c>
      <c r="S58" s="53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508"/>
      <c r="AC58" s="509"/>
      <c r="AD58" s="323">
        <f>SUM(AD49:AD57)</f>
        <v>0</v>
      </c>
      <c r="AE58" s="323">
        <f>SUM(AE49:AE57)</f>
        <v>0</v>
      </c>
      <c r="AF58" s="309">
        <f>N58-K58</f>
        <v>-145.7594405594341</v>
      </c>
      <c r="AG58" s="124">
        <f>N58/K58</f>
        <v>0.9171350536899181</v>
      </c>
      <c r="AH58" s="542"/>
    </row>
    <row r="59" spans="1:34" ht="15" customHeight="1">
      <c r="A59" s="52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2829</v>
      </c>
      <c r="H59" s="243">
        <f>F59*G59</f>
        <v>76354.709999999992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1543.0909090909067</v>
      </c>
      <c r="O59" s="138">
        <f>N59/M59</f>
        <v>102.87272727272712</v>
      </c>
      <c r="P59" s="56">
        <f>M59-J59</f>
        <v>0</v>
      </c>
      <c r="Q59" s="230">
        <f>O59-L59</f>
        <v>-6.1939393939395444</v>
      </c>
      <c r="R59" s="52">
        <f>O59/L59</f>
        <v>0.94320960213380611</v>
      </c>
      <c r="S59" s="531">
        <f>R69</f>
        <v>0.93093329347914244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516"/>
      <c r="AC59" s="517"/>
      <c r="AD59" s="135"/>
      <c r="AE59" s="135"/>
      <c r="AF59" s="310">
        <f>N59-K59</f>
        <v>-92.909090909093266</v>
      </c>
      <c r="AG59" s="246">
        <f>N59/K59</f>
        <v>0.94320960213380611</v>
      </c>
      <c r="AH59" s="523">
        <f>AG69</f>
        <v>0.97471532135346839</v>
      </c>
    </row>
    <row r="60" spans="1:34" ht="15" customHeight="1">
      <c r="A60" s="52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1468</v>
      </c>
      <c r="H60" s="78">
        <f>F60*G60</f>
        <v>41485.68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12</v>
      </c>
      <c r="N60" s="80">
        <f>G60/W60*60</f>
        <v>1693.8461538461597</v>
      </c>
      <c r="O60" s="81">
        <f>N60/M60</f>
        <v>141.15384615384664</v>
      </c>
      <c r="P60" s="74">
        <f>M60-J60</f>
        <v>1</v>
      </c>
      <c r="Q60" s="83">
        <f>O60-L60</f>
        <v>-7.5734265734260759</v>
      </c>
      <c r="R60" s="72">
        <f>O60/L60</f>
        <v>0.94907842768478801</v>
      </c>
      <c r="S60" s="532"/>
      <c r="T60" s="22">
        <v>0.375</v>
      </c>
      <c r="U60" s="22">
        <v>0.41111111111111098</v>
      </c>
      <c r="V60" s="30">
        <f>(T60-U59)*24*60</f>
        <v>9.999999999999325</v>
      </c>
      <c r="W60" s="248">
        <f t="shared" si="4"/>
        <v>51.999999999999815</v>
      </c>
      <c r="X60" s="232"/>
      <c r="Y60" s="177"/>
      <c r="Z60" s="90"/>
      <c r="AA60" s="90"/>
      <c r="AB60" s="521"/>
      <c r="AC60" s="522"/>
      <c r="AD60" s="92"/>
      <c r="AE60" s="92"/>
      <c r="AF60" s="316">
        <f>N60-K60</f>
        <v>57.846153846159723</v>
      </c>
      <c r="AG60" s="249">
        <f>N60/K60</f>
        <v>1.0353582847470415</v>
      </c>
      <c r="AH60" s="524"/>
    </row>
    <row r="61" spans="1:34" ht="15" customHeight="1">
      <c r="A61" s="529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1540</v>
      </c>
      <c r="H61" s="254">
        <f>F61*G61</f>
        <v>43520.4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12</v>
      </c>
      <c r="N61" s="107">
        <f>G61/W61*60</f>
        <v>1680.0000000000207</v>
      </c>
      <c r="O61" s="238">
        <f>N61/M61</f>
        <v>140.00000000000173</v>
      </c>
      <c r="P61" s="111">
        <f>M61-J61</f>
        <v>1</v>
      </c>
      <c r="Q61" s="255">
        <f>O61-L61</f>
        <v>-8.7272727272709858</v>
      </c>
      <c r="R61" s="85">
        <f>O61/L61</f>
        <v>0.94132029339854473</v>
      </c>
      <c r="S61" s="532"/>
      <c r="T61" s="22">
        <v>0.41666666666666702</v>
      </c>
      <c r="U61" s="22">
        <v>0.45486111111111099</v>
      </c>
      <c r="V61" s="30">
        <f>(T61-U60)*24*60</f>
        <v>8.000000000000691</v>
      </c>
      <c r="W61" s="256">
        <f t="shared" si="4"/>
        <v>54.999999999999325</v>
      </c>
      <c r="X61" s="22"/>
      <c r="Y61" s="84"/>
      <c r="Z61" s="90"/>
      <c r="AA61" s="90"/>
      <c r="AB61" s="521"/>
      <c r="AC61" s="522"/>
      <c r="AD61" s="92"/>
      <c r="AE61" s="92"/>
      <c r="AF61" s="317">
        <f>N61-K61</f>
        <v>44.000000000020691</v>
      </c>
      <c r="AG61" s="247">
        <f>N61/K61</f>
        <v>1.0268948655256851</v>
      </c>
      <c r="AH61" s="524"/>
    </row>
    <row r="62" spans="1:34" ht="15" customHeight="1">
      <c r="A62" s="529"/>
      <c r="B62" s="258" t="s">
        <v>136</v>
      </c>
      <c r="C62" s="58"/>
      <c r="D62" s="259" t="s">
        <v>140</v>
      </c>
      <c r="E62" s="60"/>
      <c r="F62" s="250">
        <f>VLOOKUP(D62,廠價表!$C$1:$E$43,3,0)</f>
        <v>28.26</v>
      </c>
      <c r="G62" s="260">
        <v>609</v>
      </c>
      <c r="H62" s="254">
        <f>F62*G62</f>
        <v>17210.34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68">
        <v>11</v>
      </c>
      <c r="N62" s="107">
        <f>G62/W62*60</f>
        <v>1461.6000000000099</v>
      </c>
      <c r="O62" s="238">
        <f>N62/M62</f>
        <v>132.87272727272818</v>
      </c>
      <c r="P62" s="111">
        <f>M62-J62</f>
        <v>0</v>
      </c>
      <c r="Q62" s="255">
        <f>O62-L62</f>
        <v>-15.854545454544535</v>
      </c>
      <c r="R62" s="85">
        <f>O62/L62</f>
        <v>0.89339853300734118</v>
      </c>
      <c r="S62" s="532"/>
      <c r="T62" s="22">
        <v>0.45833333333333298</v>
      </c>
      <c r="U62" s="22">
        <v>0.47569444444444398</v>
      </c>
      <c r="V62" s="30">
        <f>(T62-U61)*24*60</f>
        <v>4.9999999999996625</v>
      </c>
      <c r="W62" s="248">
        <f t="shared" si="4"/>
        <v>24.999999999999829</v>
      </c>
      <c r="X62" s="22">
        <v>0.50347222222222199</v>
      </c>
      <c r="Y62" s="84">
        <v>0.54513888888888895</v>
      </c>
      <c r="Z62" s="90"/>
      <c r="AA62" s="90"/>
      <c r="AB62" s="521"/>
      <c r="AC62" s="522"/>
      <c r="AD62" s="92"/>
      <c r="AE62" s="92"/>
      <c r="AF62" s="317">
        <f>N62-K62</f>
        <v>-174.39999999999009</v>
      </c>
      <c r="AG62" s="247">
        <f>N62/K62</f>
        <v>0.89339853300734107</v>
      </c>
      <c r="AH62" s="524"/>
    </row>
    <row r="63" spans="1:34" ht="15" customHeight="1">
      <c r="A63" s="52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532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521"/>
      <c r="AC63" s="522"/>
      <c r="AD63" s="92"/>
      <c r="AE63" s="92"/>
      <c r="AF63" s="317"/>
      <c r="AG63" s="247"/>
      <c r="AH63" s="524"/>
    </row>
    <row r="64" spans="1:34" ht="15" customHeight="1">
      <c r="A64" s="52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532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521"/>
      <c r="AC64" s="522"/>
      <c r="AD64" s="92"/>
      <c r="AE64" s="92"/>
      <c r="AF64" s="307"/>
      <c r="AG64" s="262"/>
      <c r="AH64" s="524"/>
    </row>
    <row r="65" spans="1:36" ht="15" customHeight="1">
      <c r="A65" s="52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532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521"/>
      <c r="AC65" s="522"/>
      <c r="AD65" s="92"/>
      <c r="AE65" s="92"/>
      <c r="AF65" s="307"/>
      <c r="AG65" s="262"/>
      <c r="AH65" s="524"/>
    </row>
    <row r="66" spans="1:36" ht="15" customHeight="1">
      <c r="A66" s="52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532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521"/>
      <c r="AC66" s="522"/>
      <c r="AD66" s="92"/>
      <c r="AE66" s="92"/>
      <c r="AF66" s="307"/>
      <c r="AG66" s="262"/>
      <c r="AH66" s="524"/>
    </row>
    <row r="67" spans="1:36" ht="15" customHeight="1">
      <c r="A67" s="52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532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521"/>
      <c r="AC67" s="522"/>
      <c r="AD67" s="92"/>
      <c r="AE67" s="92"/>
      <c r="AF67" s="307"/>
      <c r="AG67" s="262"/>
      <c r="AH67" s="524"/>
    </row>
    <row r="68" spans="1:36" ht="15" customHeight="1">
      <c r="A68" s="52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532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521" t="s">
        <v>53</v>
      </c>
      <c r="AC68" s="522"/>
      <c r="AD68" s="92"/>
      <c r="AE68" s="92"/>
      <c r="AF68" s="307"/>
      <c r="AG68" s="262"/>
      <c r="AH68" s="524"/>
    </row>
    <row r="69" spans="1:36" ht="15" customHeight="1">
      <c r="A69" s="530"/>
      <c r="B69" s="239"/>
      <c r="C69" s="153" t="s">
        <v>54</v>
      </c>
      <c r="D69" s="506" t="s">
        <v>42</v>
      </c>
      <c r="E69" s="507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12.5</v>
      </c>
      <c r="N69" s="240">
        <f t="shared" si="23"/>
        <v>1594.6342657342743</v>
      </c>
      <c r="O69" s="268">
        <f t="shared" si="23"/>
        <v>129.22482517482592</v>
      </c>
      <c r="P69" s="269">
        <f>M69-J69</f>
        <v>0.5</v>
      </c>
      <c r="Q69" s="222">
        <f>N69-K69</f>
        <v>-41.365734265725678</v>
      </c>
      <c r="R69" s="123">
        <f>O69/L69</f>
        <v>0.93093329347914244</v>
      </c>
      <c r="S69" s="53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508"/>
      <c r="AC69" s="509"/>
      <c r="AD69" s="323">
        <f>SUM(AD59:AD68)</f>
        <v>0</v>
      </c>
      <c r="AE69" s="323">
        <f>SUM(AE59:AE68)</f>
        <v>0</v>
      </c>
      <c r="AF69" s="309">
        <f>N69-K69</f>
        <v>-41.365734265725678</v>
      </c>
      <c r="AG69" s="124">
        <f>N69/K69</f>
        <v>0.97471532135346839</v>
      </c>
      <c r="AH69" s="525"/>
    </row>
    <row r="70" spans="1:36" ht="15" customHeight="1">
      <c r="A70" s="510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2250</v>
      </c>
      <c r="H70" s="243">
        <f>F70*G70</f>
        <v>63585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1421.0526315789523</v>
      </c>
      <c r="O70" s="138">
        <f>N70/M70</f>
        <v>142.10526315789522</v>
      </c>
      <c r="P70" s="56">
        <f>M70-J70</f>
        <v>-1</v>
      </c>
      <c r="Q70" s="230">
        <f>O70-L70</f>
        <v>-6.6220095693774965</v>
      </c>
      <c r="R70" s="52">
        <f>O70/L70</f>
        <v>0.95547548578046915</v>
      </c>
      <c r="S70" s="513">
        <f>R79</f>
        <v>0.8627033576248192</v>
      </c>
      <c r="T70" s="245">
        <v>0.32291666666666702</v>
      </c>
      <c r="U70" s="245">
        <v>0.38888888888888901</v>
      </c>
      <c r="V70" s="55"/>
      <c r="W70" s="54">
        <f t="shared" si="4"/>
        <v>94.999999999999659</v>
      </c>
      <c r="X70" s="270"/>
      <c r="Y70" s="292"/>
      <c r="Z70" s="169"/>
      <c r="AA70" s="169"/>
      <c r="AB70" s="516"/>
      <c r="AC70" s="517"/>
      <c r="AD70" s="135"/>
      <c r="AE70" s="135"/>
      <c r="AF70" s="310">
        <f>N70-K70</f>
        <v>-214.94736842104771</v>
      </c>
      <c r="AG70" s="246">
        <f>N70/K70</f>
        <v>0.86861407798224466</v>
      </c>
      <c r="AH70" s="523">
        <f>AG79</f>
        <v>0.74646652346734177</v>
      </c>
    </row>
    <row r="71" spans="1:36" ht="15" customHeight="1">
      <c r="A71" s="511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1168</v>
      </c>
      <c r="H71" s="78">
        <f>F71*G71</f>
        <v>66821.279999999999</v>
      </c>
      <c r="I71" s="30"/>
      <c r="J71" s="79">
        <f>VLOOKUP(D71,產線配置圖!$A$3:$C$40,2,0)</f>
        <v>17</v>
      </c>
      <c r="K71" s="80">
        <v>1565</v>
      </c>
      <c r="L71" s="81">
        <f>K71/J71</f>
        <v>92.058823529411768</v>
      </c>
      <c r="M71" s="82">
        <v>14</v>
      </c>
      <c r="N71" s="80">
        <f>G71/W71*60</f>
        <v>898.46153846153243</v>
      </c>
      <c r="O71" s="81">
        <f>N71/M71</f>
        <v>64.175824175823749</v>
      </c>
      <c r="P71" s="74">
        <f>M71-J71</f>
        <v>-3</v>
      </c>
      <c r="Q71" s="83">
        <f>O71-L71</f>
        <v>-27.882999353588019</v>
      </c>
      <c r="R71" s="72">
        <f>O71/L71</f>
        <v>0.69711757890671167</v>
      </c>
      <c r="S71" s="514"/>
      <c r="T71" s="22">
        <v>0.39583333333333298</v>
      </c>
      <c r="U71" s="22">
        <v>0.45</v>
      </c>
      <c r="V71" s="30">
        <f>(T71-U70)*24*60</f>
        <v>9.999999999999325</v>
      </c>
      <c r="W71" s="73">
        <f t="shared" si="4"/>
        <v>78.000000000000526</v>
      </c>
      <c r="X71" s="271"/>
      <c r="Y71" s="293"/>
      <c r="Z71" s="90"/>
      <c r="AA71" s="90"/>
      <c r="AB71" s="526" t="s">
        <v>172</v>
      </c>
      <c r="AC71" s="527"/>
      <c r="AD71" s="200"/>
      <c r="AE71" s="200"/>
      <c r="AF71" s="311">
        <v>-300.31249999999704</v>
      </c>
      <c r="AG71" s="99">
        <v>0.80810702875399554</v>
      </c>
      <c r="AH71" s="524"/>
    </row>
    <row r="72" spans="1:36" ht="15" customHeight="1">
      <c r="A72" s="511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936</v>
      </c>
      <c r="H72" s="254">
        <f>F72*G72</f>
        <v>41081.040000000001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>K72/J72</f>
        <v>96.235294117647058</v>
      </c>
      <c r="M72" s="94">
        <v>15</v>
      </c>
      <c r="N72" s="107">
        <f>G72/W72*60</f>
        <v>1248</v>
      </c>
      <c r="O72" s="238">
        <f>N72/M72</f>
        <v>83.2</v>
      </c>
      <c r="P72" s="111">
        <f>M72-J72</f>
        <v>-2</v>
      </c>
      <c r="Q72" s="255">
        <f>O72-L72</f>
        <v>-13.035294117647055</v>
      </c>
      <c r="R72" s="85">
        <f>O72/L72</f>
        <v>0.86454767726161375</v>
      </c>
      <c r="S72" s="514"/>
      <c r="T72" s="22">
        <v>0.45833333333333298</v>
      </c>
      <c r="U72" s="22">
        <v>0.48958333333333298</v>
      </c>
      <c r="V72" s="30">
        <f>(T72-U71)*24*60</f>
        <v>11.999999999999478</v>
      </c>
      <c r="W72" s="73">
        <f t="shared" si="4"/>
        <v>45</v>
      </c>
      <c r="X72" s="272"/>
      <c r="Y72" s="288"/>
      <c r="Z72" s="90"/>
      <c r="AA72" s="90"/>
      <c r="AB72" s="521"/>
      <c r="AC72" s="522"/>
      <c r="AD72" s="92"/>
      <c r="AE72" s="92"/>
      <c r="AF72" s="311">
        <v>-130.33333333333326</v>
      </c>
      <c r="AG72" s="99">
        <v>0.91671991480298198</v>
      </c>
      <c r="AH72" s="524"/>
    </row>
    <row r="73" spans="1:36" ht="15" customHeight="1">
      <c r="A73" s="511"/>
      <c r="B73" s="101" t="s">
        <v>81</v>
      </c>
      <c r="C73" s="102"/>
      <c r="D73" s="103" t="s">
        <v>181</v>
      </c>
      <c r="E73" s="104"/>
      <c r="F73" s="250">
        <f>VLOOKUP(D73,廠價表!$C$1:$E$43,3,0)</f>
        <v>43.89</v>
      </c>
      <c r="G73" s="30">
        <v>1159</v>
      </c>
      <c r="H73" s="254">
        <f>F73*G73</f>
        <v>50868.51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108">
        <v>15</v>
      </c>
      <c r="N73" s="107">
        <f>G73/W73*60</f>
        <v>1264.3636363636188</v>
      </c>
      <c r="O73" s="238">
        <f>N73/M73</f>
        <v>84.290909090907917</v>
      </c>
      <c r="P73" s="111">
        <f>M73-J73</f>
        <v>-2</v>
      </c>
      <c r="Q73" s="255">
        <f>O73-L73</f>
        <v>-11.944385026739141</v>
      </c>
      <c r="R73" s="85">
        <f>O73/L73</f>
        <v>0.87588352967324856</v>
      </c>
      <c r="S73" s="514"/>
      <c r="T73" s="22">
        <v>0.55208333333333304</v>
      </c>
      <c r="U73" s="22">
        <v>0.59027777777777801</v>
      </c>
      <c r="V73" s="30">
        <f>(T73-U72)*24*60</f>
        <v>90.000000000000085</v>
      </c>
      <c r="W73" s="73">
        <f t="shared" si="4"/>
        <v>55.000000000000767</v>
      </c>
      <c r="X73" s="22"/>
      <c r="Y73" s="84"/>
      <c r="Z73" s="90"/>
      <c r="AA73" s="90"/>
      <c r="AB73" s="521"/>
      <c r="AC73" s="522"/>
      <c r="AD73" s="92"/>
      <c r="AE73" s="92"/>
      <c r="AF73" s="311"/>
      <c r="AG73" s="99"/>
      <c r="AH73" s="524"/>
    </row>
    <row r="74" spans="1:36" ht="15" customHeight="1">
      <c r="A74" s="511"/>
      <c r="B74" s="101" t="s">
        <v>126</v>
      </c>
      <c r="C74" s="102"/>
      <c r="D74" s="103"/>
      <c r="E74" s="104"/>
      <c r="F74" s="250"/>
      <c r="G74" s="30"/>
      <c r="H74" s="254"/>
      <c r="I74" s="260"/>
      <c r="J74" s="106"/>
      <c r="K74" s="107"/>
      <c r="L74" s="238"/>
      <c r="M74" s="108"/>
      <c r="N74" s="107"/>
      <c r="O74" s="238"/>
      <c r="P74" s="111"/>
      <c r="Q74" s="255"/>
      <c r="R74" s="85"/>
      <c r="S74" s="514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521"/>
      <c r="AC74" s="522"/>
      <c r="AD74" s="92"/>
      <c r="AE74" s="92"/>
      <c r="AF74" s="311"/>
      <c r="AG74" s="99"/>
      <c r="AH74" s="524"/>
    </row>
    <row r="75" spans="1:36" ht="15" customHeight="1">
      <c r="A75" s="51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514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521"/>
      <c r="AC75" s="522"/>
      <c r="AD75" s="92"/>
      <c r="AE75" s="92"/>
      <c r="AF75" s="318"/>
      <c r="AG75" s="280"/>
      <c r="AH75" s="524"/>
    </row>
    <row r="76" spans="1:36" ht="15" customHeight="1">
      <c r="A76" s="51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5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521"/>
      <c r="AC76" s="522"/>
      <c r="AD76" s="92"/>
      <c r="AE76" s="92"/>
      <c r="AF76" s="317"/>
      <c r="AG76" s="247"/>
      <c r="AH76" s="524"/>
    </row>
    <row r="77" spans="1:36" ht="15" customHeight="1">
      <c r="A77" s="51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5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521"/>
      <c r="AC77" s="522"/>
      <c r="AD77" s="92"/>
      <c r="AE77" s="92"/>
      <c r="AF77" s="307"/>
      <c r="AG77" s="262"/>
      <c r="AH77" s="524"/>
    </row>
    <row r="78" spans="1:36" ht="15" customHeight="1">
      <c r="A78" s="51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1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521"/>
      <c r="AC78" s="522"/>
      <c r="AD78" s="92"/>
      <c r="AE78" s="92"/>
      <c r="AF78" s="308"/>
      <c r="AG78" s="112"/>
      <c r="AH78" s="524"/>
    </row>
    <row r="79" spans="1:36" ht="15" customHeight="1">
      <c r="A79" s="512"/>
      <c r="B79" s="239"/>
      <c r="C79" s="153" t="s">
        <v>56</v>
      </c>
      <c r="D79" s="506" t="s">
        <v>42</v>
      </c>
      <c r="E79" s="507"/>
      <c r="F79" s="116"/>
      <c r="G79" s="117"/>
      <c r="H79" s="282"/>
      <c r="I79" s="268"/>
      <c r="J79" s="240">
        <f t="shared" ref="J79:O79" si="24">AVERAGE(J70:J78)</f>
        <v>15.5</v>
      </c>
      <c r="K79" s="240">
        <f t="shared" si="24"/>
        <v>1618.25</v>
      </c>
      <c r="L79" s="268">
        <f t="shared" si="24"/>
        <v>108.31417112299465</v>
      </c>
      <c r="M79" s="240">
        <f t="shared" si="24"/>
        <v>13.5</v>
      </c>
      <c r="N79" s="240">
        <f t="shared" si="24"/>
        <v>1207.9694516010259</v>
      </c>
      <c r="O79" s="268">
        <f t="shared" si="24"/>
        <v>93.442999106156719</v>
      </c>
      <c r="P79" s="269">
        <f>M79-J79</f>
        <v>-2</v>
      </c>
      <c r="Q79" s="222">
        <f>N79-K79</f>
        <v>-410.28054839897413</v>
      </c>
      <c r="R79" s="223">
        <f>O79/L79</f>
        <v>0.8627033576248192</v>
      </c>
      <c r="S79" s="515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508"/>
      <c r="AC79" s="509"/>
      <c r="AD79" s="323">
        <f>SUM(AD70:AD78)</f>
        <v>0</v>
      </c>
      <c r="AE79" s="323">
        <f>SUM(AE70:AE78)</f>
        <v>0</v>
      </c>
      <c r="AF79" s="309">
        <f>N79-K79</f>
        <v>-410.28054839897413</v>
      </c>
      <c r="AG79" s="124">
        <f>N79/K79</f>
        <v>0.74646652346734177</v>
      </c>
      <c r="AH79" s="525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</mergeCells>
  <phoneticPr fontId="0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A2" sqref="A1:K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46221</v>
      </c>
      <c r="E3" s="379"/>
      <c r="F3" s="3" t="s">
        <v>72</v>
      </c>
      <c r="G3" s="380">
        <f>'0718'!E1</f>
        <v>54825</v>
      </c>
      <c r="H3" s="380"/>
      <c r="I3" s="3" t="s">
        <v>2</v>
      </c>
      <c r="J3" s="381">
        <f>'0718'!G1</f>
        <v>2515123.423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122.2965712780839</v>
      </c>
      <c r="G6" s="386"/>
      <c r="H6" s="387">
        <f>AVERAGE(D13:H13)</f>
        <v>122.45095142330437</v>
      </c>
      <c r="I6" s="387"/>
      <c r="J6" s="387">
        <f>AVERAGE(I13:J13)</f>
        <v>121.91062091503268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113.3233570807885</v>
      </c>
      <c r="G7" s="410"/>
      <c r="H7" s="411">
        <f>AVERAGE(D14:H14)</f>
        <v>113.16272335002114</v>
      </c>
      <c r="I7" s="411"/>
      <c r="J7" s="411">
        <f>AVERAGE(I14:J14)</f>
        <v>113.72494140770694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0.9266274262351013</v>
      </c>
      <c r="G8" s="383"/>
      <c r="H8" s="383">
        <f>H7/H6</f>
        <v>0.92414735887862165</v>
      </c>
      <c r="I8" s="383"/>
      <c r="J8" s="383">
        <f>J7/J6</f>
        <v>0.93285507492385866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VALUE('0718'!L15)</f>
        <v>133.86772486772486</v>
      </c>
      <c r="E13" s="13">
        <f>VALUE('0718'!L26)</f>
        <v>173.76373626373626</v>
      </c>
      <c r="F13" s="13">
        <f>VALUE('0718'!L37)</f>
        <v>95.266106442577055</v>
      </c>
      <c r="G13" s="13">
        <f>VALUE('0718'!L48)</f>
        <v>102.57777777777778</v>
      </c>
      <c r="H13" s="13">
        <f>VALUE('0718'!L58)</f>
        <v>106.77941176470588</v>
      </c>
      <c r="I13" s="13">
        <f>VALUE('0718'!L69)</f>
        <v>135.50707070707071</v>
      </c>
      <c r="J13" s="13">
        <f>'0718'!L79</f>
        <v>108.31417112299465</v>
      </c>
    </row>
    <row r="14" spans="2:15" ht="39.950000000000003" customHeight="1">
      <c r="B14" s="404"/>
      <c r="C14" s="12" t="s">
        <v>100</v>
      </c>
      <c r="D14" s="13">
        <f>VALUE('0718'!O15)</f>
        <v>126.28608785560088</v>
      </c>
      <c r="E14" s="13">
        <f>VALUE('0718'!O26)</f>
        <v>159.90418607543964</v>
      </c>
      <c r="F14" s="13">
        <f>VALUE('0718'!O37)</f>
        <v>86.299672433077063</v>
      </c>
      <c r="G14" s="13">
        <f>VALUE('0718'!O48)</f>
        <v>93.656692023025627</v>
      </c>
      <c r="H14" s="13">
        <f>VALUE('0718'!O58)</f>
        <v>99.666978362962382</v>
      </c>
      <c r="I14" s="13">
        <f>VALUE('0718'!O69)</f>
        <v>129.12462158239398</v>
      </c>
      <c r="J14" s="13">
        <f>'0718'!O79</f>
        <v>98.325261233019887</v>
      </c>
    </row>
    <row r="15" spans="2:15" ht="39.950000000000003" customHeight="1">
      <c r="B15" s="405"/>
      <c r="C15" s="10" t="s">
        <v>26</v>
      </c>
      <c r="D15" s="14">
        <f t="shared" ref="D15:I15" si="1">D14/D13</f>
        <v>0.94336471304330138</v>
      </c>
      <c r="E15" s="14">
        <f t="shared" si="1"/>
        <v>0.92023911037881467</v>
      </c>
      <c r="F15" s="14">
        <f t="shared" si="1"/>
        <v>0.90588012521636296</v>
      </c>
      <c r="G15" s="14">
        <f t="shared" si="1"/>
        <v>0.91303100975653229</v>
      </c>
      <c r="H15" s="14">
        <f t="shared" si="1"/>
        <v>0.93339134123143397</v>
      </c>
      <c r="I15" s="14">
        <f t="shared" si="1"/>
        <v>0.95289951224409652</v>
      </c>
      <c r="J15" s="15">
        <f>'0718'!S70</f>
        <v>0.90777836559694491</v>
      </c>
    </row>
    <row r="16" spans="2:15" ht="17.25" customHeight="1">
      <c r="B16" s="406" t="s">
        <v>101</v>
      </c>
      <c r="C16" s="10" t="s">
        <v>34</v>
      </c>
      <c r="D16" s="16">
        <f>'0718'!T5</f>
        <v>0.29444444444444401</v>
      </c>
      <c r="E16" s="16">
        <f>'0718'!T16</f>
        <v>0.29166666666666702</v>
      </c>
      <c r="F16" s="16">
        <f>'0718'!T27</f>
        <v>0.29166666666666702</v>
      </c>
      <c r="G16" s="16">
        <f>'0718'!T38</f>
        <v>0.33333333333333298</v>
      </c>
      <c r="H16" s="16">
        <f>'0718'!T49</f>
        <v>0.29166666666666702</v>
      </c>
      <c r="I16" s="16">
        <f>'0718'!T59</f>
        <v>0.29166666666666702</v>
      </c>
      <c r="J16" s="16">
        <f>'0718'!T70</f>
        <v>0.30208333333333298</v>
      </c>
    </row>
    <row r="17" spans="2:10" ht="17.25" customHeight="1">
      <c r="B17" s="407"/>
      <c r="C17" s="10" t="s">
        <v>35</v>
      </c>
      <c r="D17" s="18">
        <v>0.56111111111111101</v>
      </c>
      <c r="E17" s="19">
        <v>0.59027777777777801</v>
      </c>
      <c r="F17" s="19">
        <v>0.54652777777777795</v>
      </c>
      <c r="G17" s="20">
        <v>0.47222222222222199</v>
      </c>
      <c r="H17" s="21">
        <v>0.56597222222222199</v>
      </c>
      <c r="I17" s="22">
        <v>0.47569444444444398</v>
      </c>
      <c r="J17" s="22">
        <v>0.59027777777777801</v>
      </c>
    </row>
    <row r="18" spans="2:10" ht="17.25" customHeight="1">
      <c r="B18" s="408" t="s">
        <v>102</v>
      </c>
      <c r="C18" s="330" t="s">
        <v>36</v>
      </c>
      <c r="D18" s="357">
        <f>'0718'!Z15</f>
        <v>0</v>
      </c>
      <c r="E18" s="358">
        <f>'0718'!Z26</f>
        <v>0</v>
      </c>
      <c r="F18" s="358">
        <f>'0718'!Z37</f>
        <v>0</v>
      </c>
      <c r="G18" s="359">
        <f>'0718'!Z48</f>
        <v>0</v>
      </c>
      <c r="H18" s="359">
        <f>'0718'!Z58</f>
        <v>0</v>
      </c>
      <c r="I18" s="358">
        <f>'0718'!Z69</f>
        <v>0</v>
      </c>
      <c r="J18" s="358">
        <f>'0718'!AA79</f>
        <v>0</v>
      </c>
    </row>
    <row r="19" spans="2:10" ht="17.25" customHeight="1">
      <c r="B19" s="409"/>
      <c r="C19" s="330" t="s">
        <v>37</v>
      </c>
      <c r="D19" s="357">
        <f>'0718'!AA15</f>
        <v>0</v>
      </c>
      <c r="E19" s="358">
        <f>'0718'!AA26</f>
        <v>0</v>
      </c>
      <c r="F19" s="358">
        <f>'0718'!AA37</f>
        <v>0</v>
      </c>
      <c r="G19" s="359">
        <f>'0718'!AA48</f>
        <v>0</v>
      </c>
      <c r="H19" s="359">
        <f>'0718'!AA58</f>
        <v>0</v>
      </c>
      <c r="I19" s="358">
        <f>'0718'!AA69</f>
        <v>0</v>
      </c>
      <c r="J19" s="358">
        <f>'0718'!AB79</f>
        <v>0</v>
      </c>
    </row>
    <row r="20" spans="2:10" ht="17.25" customHeight="1">
      <c r="B20" s="408" t="s">
        <v>103</v>
      </c>
      <c r="C20" s="330" t="s">
        <v>36</v>
      </c>
      <c r="D20" s="357">
        <f>'0718'!AD15</f>
        <v>0</v>
      </c>
      <c r="E20" s="358">
        <f>'0718'!AD26</f>
        <v>0</v>
      </c>
      <c r="F20" s="358">
        <f>'0718'!AD37</f>
        <v>0</v>
      </c>
      <c r="G20" s="359">
        <f>'0718'!AD48</f>
        <v>0</v>
      </c>
      <c r="H20" s="359">
        <f>'0718'!AD58</f>
        <v>0</v>
      </c>
      <c r="I20" s="358">
        <f>'0718'!AD69</f>
        <v>0</v>
      </c>
      <c r="J20" s="358">
        <f>'0718'!AD79</f>
        <v>0</v>
      </c>
    </row>
    <row r="21" spans="2:10" ht="17.25" customHeight="1">
      <c r="B21" s="409"/>
      <c r="C21" s="330" t="s">
        <v>85</v>
      </c>
      <c r="D21" s="357">
        <f>'0718'!AE15</f>
        <v>0</v>
      </c>
      <c r="E21" s="358">
        <f>'0718'!AE26</f>
        <v>0</v>
      </c>
      <c r="F21" s="358">
        <f>'0718'!AE37</f>
        <v>0</v>
      </c>
      <c r="G21" s="359">
        <f>'0718'!AE48</f>
        <v>0</v>
      </c>
      <c r="H21" s="359">
        <f>'0718'!AE58</f>
        <v>0</v>
      </c>
      <c r="I21" s="358">
        <f>'0718'!AE69</f>
        <v>0</v>
      </c>
      <c r="J21" s="358">
        <f>'0718'!AE79</f>
        <v>0</v>
      </c>
    </row>
    <row r="22" spans="2:10" ht="17.25" customHeight="1">
      <c r="B22" s="392" t="s">
        <v>104</v>
      </c>
      <c r="C22" s="393"/>
      <c r="D22" s="23">
        <f>VALUE('0718'!M15)</f>
        <v>14</v>
      </c>
      <c r="E22" s="23">
        <f>VALUE('0718'!M26)</f>
        <v>13</v>
      </c>
      <c r="F22" s="23">
        <f>VALUE('0718'!M37)</f>
        <v>16.571428571428573</v>
      </c>
      <c r="G22" s="23">
        <f>VALUE('0718'!M48)</f>
        <v>15.5</v>
      </c>
      <c r="H22" s="23">
        <f>VALUE('0718'!M58)</f>
        <v>16.25</v>
      </c>
      <c r="I22" s="23">
        <f>VALUE('0718'!M69)</f>
        <v>12.333333333333334</v>
      </c>
      <c r="J22" s="23">
        <f>'0718'!M79</f>
        <v>10.5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2" sqref="A1:K2"/>
      <selection pane="topRight" activeCell="A2" sqref="A1:K2"/>
      <selection pane="bottomLeft" activeCell="A2" sqref="A1:K2"/>
      <selection pane="bottomRight" activeCell="A2" sqref="A1:L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54825</v>
      </c>
      <c r="F1" s="30" t="s">
        <v>2</v>
      </c>
      <c r="G1" s="31">
        <f>SUM(H5:H79)</f>
        <v>2515123.423</v>
      </c>
      <c r="H1" s="32" t="s">
        <v>3</v>
      </c>
      <c r="I1" s="33">
        <f>M15+M26+M48+M58+M69+M79+M37</f>
        <v>98.154761904761898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188</v>
      </c>
      <c r="B2" s="418"/>
      <c r="C2" s="28"/>
      <c r="D2" s="28" t="s">
        <v>14</v>
      </c>
      <c r="E2" s="35">
        <f>AVERAGE(O15,O26,O37,O48,O58,O69,O79)</f>
        <v>113.3233570807885</v>
      </c>
      <c r="F2" s="36" t="s">
        <v>15</v>
      </c>
      <c r="G2" s="37">
        <f>G1/E1</f>
        <v>45.875484231646148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3127</v>
      </c>
      <c r="H5" s="43">
        <f>F5*G5</f>
        <v>158445.09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1995.9574468085041</v>
      </c>
      <c r="O5" s="47">
        <f>N5/M5</f>
        <v>142.5683890577503</v>
      </c>
      <c r="P5" s="49">
        <f>M5-J5</f>
        <v>-1</v>
      </c>
      <c r="Q5" s="50">
        <f>O5-L5</f>
        <v>-7.431610942249705</v>
      </c>
      <c r="R5" s="51">
        <f>O5/L5</f>
        <v>0.95045592705166859</v>
      </c>
      <c r="S5" s="412">
        <f>R15</f>
        <v>0.94336471304330138</v>
      </c>
      <c r="T5" s="319">
        <v>0.29444444444444401</v>
      </c>
      <c r="U5" s="320">
        <v>0.359722222222222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-254.04255319149593</v>
      </c>
      <c r="AG5" s="52">
        <f t="shared" ref="AG5:AG11" si="2">N5/K5</f>
        <v>0.88709219858155741</v>
      </c>
      <c r="AH5" s="457">
        <f>AG15</f>
        <v>0.86440933669087971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5034</v>
      </c>
      <c r="H6" s="63">
        <f>F6*G6</f>
        <v>247370.76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2112.1678321678432</v>
      </c>
      <c r="O6" s="67">
        <f>N6/M6</f>
        <v>150.86913086913165</v>
      </c>
      <c r="P6" s="69">
        <f>M6-J6</f>
        <v>0</v>
      </c>
      <c r="Q6" s="70">
        <f>O6-L6</f>
        <v>-9.8451548451540702</v>
      </c>
      <c r="R6" s="71">
        <f>O6/L6</f>
        <v>0.93874125874126357</v>
      </c>
      <c r="S6" s="413"/>
      <c r="T6" s="16">
        <v>0.36666666666666697</v>
      </c>
      <c r="U6" s="16">
        <v>0.46597222222222201</v>
      </c>
      <c r="V6" s="30">
        <f>(T6-U5)*24*60</f>
        <v>10.000000000000764</v>
      </c>
      <c r="W6" s="73">
        <f t="shared" si="0"/>
        <v>142.99999999999926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-137.83216783215676</v>
      </c>
      <c r="AG6" s="72">
        <f t="shared" si="2"/>
        <v>0.93874125874126368</v>
      </c>
      <c r="AH6" s="458"/>
    </row>
    <row r="7" spans="1:34" ht="15" customHeight="1">
      <c r="A7" s="424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1455</v>
      </c>
      <c r="H7" s="78">
        <f>F7*G7</f>
        <v>64456.499999999993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14</v>
      </c>
      <c r="N7" s="80">
        <f>G7/W7*60</f>
        <v>1195.8904109588902</v>
      </c>
      <c r="O7" s="81">
        <f>N7/M7</f>
        <v>85.42074363992073</v>
      </c>
      <c r="P7" s="74">
        <f>M7-J7</f>
        <v>-4</v>
      </c>
      <c r="Q7" s="83">
        <f>O7-L7</f>
        <v>-5.4681452489681561</v>
      </c>
      <c r="R7" s="72">
        <f>O7/L7</f>
        <v>0.93983703271306429</v>
      </c>
      <c r="S7" s="413"/>
      <c r="T7" s="18">
        <v>0.53819444444444398</v>
      </c>
      <c r="U7" s="18">
        <v>0.58888888888888902</v>
      </c>
      <c r="V7" s="30">
        <f>(T7-U6)*24*60</f>
        <v>103.99999999999963</v>
      </c>
      <c r="W7" s="73">
        <f t="shared" si="0"/>
        <v>73.000000000000853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-440.10958904110976</v>
      </c>
      <c r="AG7" s="72">
        <f t="shared" si="2"/>
        <v>0.73098435877682777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15.666666666666666</v>
      </c>
      <c r="K15" s="120">
        <f t="shared" si="3"/>
        <v>2045.3333333333333</v>
      </c>
      <c r="L15" s="117">
        <f t="shared" si="3"/>
        <v>133.86772486772486</v>
      </c>
      <c r="M15" s="120">
        <f t="shared" si="3"/>
        <v>14</v>
      </c>
      <c r="N15" s="120">
        <f t="shared" si="3"/>
        <v>1768.0052299784127</v>
      </c>
      <c r="O15" s="117">
        <f t="shared" si="3"/>
        <v>126.28608785560088</v>
      </c>
      <c r="P15" s="121">
        <f>M15-J15</f>
        <v>-1.6666666666666661</v>
      </c>
      <c r="Q15" s="122">
        <f>O15-L15</f>
        <v>-7.5816370121239771</v>
      </c>
      <c r="R15" s="123">
        <f>O15/L15</f>
        <v>0.94336471304330138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-277.32810335492059</v>
      </c>
      <c r="AG15" s="124">
        <f>N15/K15</f>
        <v>0.86440933669087971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1813</v>
      </c>
      <c r="H16" s="134">
        <f>F16*G16</f>
        <v>91864.71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2091.9230769230844</v>
      </c>
      <c r="O16" s="141">
        <f>N16/M16</f>
        <v>160.91715976331417</v>
      </c>
      <c r="P16" s="142">
        <f>M16-J16</f>
        <v>0</v>
      </c>
      <c r="Q16" s="143">
        <f>O16-L16</f>
        <v>-12.159763313608892</v>
      </c>
      <c r="R16" s="144">
        <f>O16/L16</f>
        <v>0.92974358974359306</v>
      </c>
      <c r="S16" s="468">
        <f>R26</f>
        <v>0.92023911037881467</v>
      </c>
      <c r="T16" s="145">
        <v>0.29166666666666702</v>
      </c>
      <c r="U16" s="145">
        <v>0.327777777777778</v>
      </c>
      <c r="V16" s="135"/>
      <c r="W16" s="146">
        <f t="shared" ref="W16:W78" si="4">(U16-T16)*24*60</f>
        <v>51.999999999999815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-158.07692307691559</v>
      </c>
      <c r="AG16" s="52">
        <f>N16/K16</f>
        <v>0.92974358974359306</v>
      </c>
      <c r="AH16" s="457">
        <f>AG26</f>
        <v>0.92187110764160352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2180</v>
      </c>
      <c r="H17" s="78">
        <f>F17*G17</f>
        <v>123976.59999999999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2179.9999999999845</v>
      </c>
      <c r="O17" s="96">
        <f>N17/M17</f>
        <v>155.71428571428461</v>
      </c>
      <c r="P17" s="97">
        <f>M17-J17</f>
        <v>0</v>
      </c>
      <c r="Q17" s="98">
        <f>O17-L17</f>
        <v>-5.0000000000011084</v>
      </c>
      <c r="R17" s="99">
        <f>O17/L17</f>
        <v>0.96888888888888203</v>
      </c>
      <c r="S17" s="469"/>
      <c r="T17" s="19">
        <v>0.33611111111111103</v>
      </c>
      <c r="U17" s="19">
        <v>0.37777777777777799</v>
      </c>
      <c r="V17" s="30">
        <f>(T17-U16)*24*60</f>
        <v>11.999999999999558</v>
      </c>
      <c r="W17" s="149">
        <f t="shared" si="4"/>
        <v>60.000000000000426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-70.000000000015461</v>
      </c>
      <c r="AG17" s="72">
        <f>N17/K17</f>
        <v>0.96888888888888203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1483</v>
      </c>
      <c r="H18" s="78">
        <f>F18*G18</f>
        <v>86266.11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2118.5714285714766</v>
      </c>
      <c r="O18" s="96">
        <f>N18/M18</f>
        <v>151.32653061224832</v>
      </c>
      <c r="P18" s="97">
        <f>M18-J18</f>
        <v>0</v>
      </c>
      <c r="Q18" s="98">
        <f>O18-L18</f>
        <v>-9.3877551020374028</v>
      </c>
      <c r="R18" s="99">
        <f>O18/L18</f>
        <v>0.94158730158732284</v>
      </c>
      <c r="S18" s="469"/>
      <c r="T18" s="19">
        <v>0.38541666666666702</v>
      </c>
      <c r="U18" s="19">
        <v>0.41458333333333303</v>
      </c>
      <c r="V18" s="30">
        <f>(T18-U17)*24*60</f>
        <v>11.000000000000201</v>
      </c>
      <c r="W18" s="149">
        <f t="shared" si="4"/>
        <v>41.999999999999048</v>
      </c>
      <c r="X18" s="22">
        <v>0.48611111111111099</v>
      </c>
      <c r="Y18" s="84">
        <v>0.52777777777777801</v>
      </c>
      <c r="Z18" s="90"/>
      <c r="AA18" s="90"/>
      <c r="AB18" s="462"/>
      <c r="AC18" s="462"/>
      <c r="AD18" s="92"/>
      <c r="AE18" s="92"/>
      <c r="AF18" s="307">
        <f>N18-K18</f>
        <v>-131.42857142852336</v>
      </c>
      <c r="AG18" s="72">
        <f>N18/K18</f>
        <v>0.94158730158732296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2032</v>
      </c>
      <c r="H19" s="78">
        <f t="shared" ref="H19:H21" si="5">F19*G19</f>
        <v>102392.48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1998.6885245901685</v>
      </c>
      <c r="O19" s="96">
        <f t="shared" ref="O19:O21" si="8">N19/M19</f>
        <v>166.5573770491807</v>
      </c>
      <c r="P19" s="97">
        <f t="shared" ref="P19:P21" si="9">M19-J19</f>
        <v>0</v>
      </c>
      <c r="Q19" s="98">
        <f t="shared" ref="Q19:Q21" si="10">O19-L19</f>
        <v>-20.942622950819299</v>
      </c>
      <c r="R19" s="99">
        <f t="shared" ref="R19:R21" si="11">O19/L19</f>
        <v>0.88830601092896377</v>
      </c>
      <c r="S19" s="469"/>
      <c r="T19" s="19">
        <v>0.422916666666667</v>
      </c>
      <c r="U19" s="19">
        <v>0.46527777777777801</v>
      </c>
      <c r="V19" s="30">
        <f>(T19-U18)*24*60</f>
        <v>12.000000000000917</v>
      </c>
      <c r="W19" s="149">
        <f t="shared" si="4"/>
        <v>60.999999999999865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-251.31147540983147</v>
      </c>
      <c r="AG19" s="72">
        <f>N19/K19</f>
        <v>0.88830601092896377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2013</v>
      </c>
      <c r="H20" s="78">
        <f t="shared" si="5"/>
        <v>101435.07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2012.9999999999857</v>
      </c>
      <c r="O20" s="96">
        <f t="shared" si="8"/>
        <v>167.74999999999881</v>
      </c>
      <c r="P20" s="97">
        <f t="shared" si="9"/>
        <v>0</v>
      </c>
      <c r="Q20" s="98">
        <f t="shared" si="10"/>
        <v>-19.750000000001194</v>
      </c>
      <c r="R20" s="99">
        <f t="shared" si="11"/>
        <v>0.89466666666666028</v>
      </c>
      <c r="S20" s="469"/>
      <c r="T20" s="19">
        <v>0.53472222222222199</v>
      </c>
      <c r="U20" s="19">
        <v>0.57638888888888895</v>
      </c>
      <c r="V20" s="30">
        <f>(T20-U19)*24*60</f>
        <v>99.999999999999318</v>
      </c>
      <c r="W20" s="149">
        <f t="shared" si="4"/>
        <v>60.000000000000426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1328</v>
      </c>
      <c r="H21" s="78">
        <f t="shared" si="5"/>
        <v>67289.760000000009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2043.076923076947</v>
      </c>
      <c r="O21" s="96">
        <f t="shared" si="8"/>
        <v>157.15976331361131</v>
      </c>
      <c r="P21" s="97">
        <f t="shared" si="9"/>
        <v>0</v>
      </c>
      <c r="Q21" s="98">
        <f t="shared" si="10"/>
        <v>-15.917159763311759</v>
      </c>
      <c r="R21" s="99">
        <f t="shared" si="11"/>
        <v>0.90803418803419877</v>
      </c>
      <c r="S21" s="469"/>
      <c r="T21" s="19">
        <v>0.58402777777777803</v>
      </c>
      <c r="U21" s="19">
        <v>0.61111111111111105</v>
      </c>
      <c r="V21" s="30">
        <f>(T21-U20)*24*60</f>
        <v>11.000000000000281</v>
      </c>
      <c r="W21" s="149">
        <f t="shared" si="4"/>
        <v>38.999999999999545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2074.2099921936078</v>
      </c>
      <c r="O26" s="158">
        <f t="shared" si="12"/>
        <v>159.90418607543964</v>
      </c>
      <c r="P26" s="159">
        <f>M26-J26</f>
        <v>0</v>
      </c>
      <c r="Q26" s="160">
        <f>O26-L26</f>
        <v>-13.859550188296623</v>
      </c>
      <c r="R26" s="161">
        <f>O26/L26</f>
        <v>0.92023911037881467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-175.79000780639217</v>
      </c>
      <c r="AG26" s="124">
        <f t="shared" ref="AG26:AG31" si="14">N26/K26</f>
        <v>0.92187110764160352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1241</v>
      </c>
      <c r="H27" s="134">
        <f>F27*G27</f>
        <v>56664.06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1489.2000000000103</v>
      </c>
      <c r="O27" s="141">
        <f>N27/M27</f>
        <v>93.075000000000642</v>
      </c>
      <c r="P27" s="142">
        <f>M27-J27</f>
        <v>-1</v>
      </c>
      <c r="Q27" s="143">
        <f>O27-L27</f>
        <v>-3.1602941176464157</v>
      </c>
      <c r="R27" s="144">
        <f>O27/L27</f>
        <v>0.96716075794621692</v>
      </c>
      <c r="S27" s="468">
        <f>R37</f>
        <v>0.90588012521636296</v>
      </c>
      <c r="T27" s="171">
        <v>0.29166666666666702</v>
      </c>
      <c r="U27" s="171">
        <v>0.32638888888888901</v>
      </c>
      <c r="V27" s="135"/>
      <c r="W27" s="146">
        <f t="shared" si="4"/>
        <v>49.999999999999659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-146.79999999998972</v>
      </c>
      <c r="AG27" s="172">
        <f t="shared" si="14"/>
        <v>0.91026894865526298</v>
      </c>
      <c r="AH27" s="457">
        <f>AG37</f>
        <v>0.88315365938709434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2381</v>
      </c>
      <c r="H28" s="91">
        <f>F28*G28</f>
        <v>110335.54000000001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1569.890109890121</v>
      </c>
      <c r="O28" s="96">
        <f>N28/M28</f>
        <v>98.118131868132565</v>
      </c>
      <c r="P28" s="97">
        <f>M28-J28</f>
        <v>0</v>
      </c>
      <c r="Q28" s="98">
        <f>O28-L28</f>
        <v>-4.1318681318674351</v>
      </c>
      <c r="R28" s="99">
        <f>O28/L28</f>
        <v>0.95959053171767794</v>
      </c>
      <c r="S28" s="469"/>
      <c r="T28" s="19">
        <v>0.33124999999999999</v>
      </c>
      <c r="U28" s="19">
        <v>0.39444444444444399</v>
      </c>
      <c r="V28" s="92">
        <f>(T28-U27)*24*60</f>
        <v>6.9999999999998153</v>
      </c>
      <c r="W28" s="149">
        <f t="shared" si="4"/>
        <v>90.999999999999361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-66.109890109878961</v>
      </c>
      <c r="AG28" s="99">
        <f t="shared" si="14"/>
        <v>0.95959053171767794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324</v>
      </c>
      <c r="H29" s="91">
        <f>F29*G29</f>
        <v>18536.04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1296.0000000000875</v>
      </c>
      <c r="O29" s="96">
        <f>N29/M29</f>
        <v>76.235294117652202</v>
      </c>
      <c r="P29" s="97">
        <f>M29-J29</f>
        <v>-1</v>
      </c>
      <c r="Q29" s="98">
        <f>O29-L29</f>
        <v>-10.709150326792241</v>
      </c>
      <c r="R29" s="99">
        <f>O29/L29</f>
        <v>0.87682766397299661</v>
      </c>
      <c r="S29" s="469"/>
      <c r="T29" s="19">
        <v>0.39930555555555602</v>
      </c>
      <c r="U29" s="19">
        <v>0.40972222222222199</v>
      </c>
      <c r="V29" s="92">
        <f>(T29-U28)*24*60</f>
        <v>7.000000000001334</v>
      </c>
      <c r="W29" s="149">
        <f t="shared" si="4"/>
        <v>14.999999999998987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-268.99999999991246</v>
      </c>
      <c r="AG29" s="99">
        <f t="shared" si="14"/>
        <v>0.82811501597449688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1228</v>
      </c>
      <c r="H30" s="91">
        <f t="shared" ref="H30:H33" si="15">F30*G30</f>
        <v>70253.88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16">K30/J30</f>
        <v>90.888888888888886</v>
      </c>
      <c r="M30" s="94">
        <v>17</v>
      </c>
      <c r="N30" s="95">
        <f t="shared" ref="N30:N33" si="17">G30/W30*60</f>
        <v>1473.6000000000101</v>
      </c>
      <c r="O30" s="96">
        <f t="shared" ref="O30:O33" si="18">N30/M30</f>
        <v>86.682352941177072</v>
      </c>
      <c r="P30" s="97">
        <f t="shared" ref="P30:P33" si="19">M30-J30</f>
        <v>-1</v>
      </c>
      <c r="Q30" s="98">
        <f t="shared" ref="Q30:Q33" si="20">O30-L30</f>
        <v>-4.2065359477118136</v>
      </c>
      <c r="R30" s="99">
        <f t="shared" ref="R30:R33" si="21">O30/L30</f>
        <v>0.9537178196462025</v>
      </c>
      <c r="S30" s="469"/>
      <c r="T30" s="19">
        <v>0.41666666666666702</v>
      </c>
      <c r="U30" s="19">
        <v>0.45138888888888901</v>
      </c>
      <c r="V30" s="92">
        <f>(T30-U29)*24*60</f>
        <v>10.000000000000844</v>
      </c>
      <c r="W30" s="149">
        <f t="shared" si="4"/>
        <v>49.999999999999659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13"/>
        <v>-162.39999999998986</v>
      </c>
      <c r="AG30" s="99">
        <f t="shared" si="14"/>
        <v>0.90073349633252453</v>
      </c>
      <c r="AH30" s="479"/>
    </row>
    <row r="31" spans="1:34" ht="15" customHeight="1">
      <c r="A31" s="466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681</v>
      </c>
      <c r="H31" s="91">
        <f t="shared" si="15"/>
        <v>31094.46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1362.0000000000193</v>
      </c>
      <c r="O31" s="96">
        <f t="shared" si="18"/>
        <v>80.117647058824673</v>
      </c>
      <c r="P31" s="97">
        <f t="shared" si="19"/>
        <v>0</v>
      </c>
      <c r="Q31" s="98">
        <f t="shared" si="20"/>
        <v>-16.117647058822385</v>
      </c>
      <c r="R31" s="99">
        <f t="shared" si="21"/>
        <v>0.83251833740832482</v>
      </c>
      <c r="S31" s="469"/>
      <c r="T31" s="19">
        <v>0.51041666666666696</v>
      </c>
      <c r="U31" s="19">
        <v>0.53125</v>
      </c>
      <c r="V31" s="92">
        <f t="shared" ref="V31:V33" si="22">(T31-U30)*24*60</f>
        <v>85.000000000000256</v>
      </c>
      <c r="W31" s="149">
        <f t="shared" si="4"/>
        <v>29.999999999999574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-273.99999999998067</v>
      </c>
      <c r="AG31" s="99">
        <f t="shared" si="14"/>
        <v>0.83251833740832482</v>
      </c>
      <c r="AH31" s="459"/>
    </row>
    <row r="32" spans="1:34" ht="15" customHeight="1">
      <c r="A32" s="466"/>
      <c r="B32" s="75" t="s">
        <v>81</v>
      </c>
      <c r="C32" s="102"/>
      <c r="D32" s="175" t="s">
        <v>119</v>
      </c>
      <c r="E32" s="176"/>
      <c r="F32" s="75">
        <f>VLOOKUP(D32,廠價表!$C$1:$E$43,3,0)</f>
        <v>57.21</v>
      </c>
      <c r="G32" s="90">
        <v>611</v>
      </c>
      <c r="H32" s="91">
        <f t="shared" si="15"/>
        <v>34955.31</v>
      </c>
      <c r="I32" s="92"/>
      <c r="J32" s="79">
        <f>VLOOKUP(D32,產線配置圖!$A$3:$C$40,2,0)</f>
        <v>17</v>
      </c>
      <c r="K32" s="80">
        <v>1565</v>
      </c>
      <c r="L32" s="93">
        <f t="shared" si="16"/>
        <v>92.058823529411768</v>
      </c>
      <c r="M32" s="94">
        <v>17</v>
      </c>
      <c r="N32" s="95">
        <f t="shared" si="17"/>
        <v>1357.7777777777746</v>
      </c>
      <c r="O32" s="96">
        <f t="shared" si="18"/>
        <v>79.86928104575145</v>
      </c>
      <c r="P32" s="97">
        <f t="shared" si="19"/>
        <v>0</v>
      </c>
      <c r="Q32" s="98">
        <f t="shared" si="20"/>
        <v>-12.189542483660318</v>
      </c>
      <c r="R32" s="99">
        <f t="shared" si="21"/>
        <v>0.86758963436279524</v>
      </c>
      <c r="S32" s="469"/>
      <c r="T32" s="19">
        <v>0.53611111111111098</v>
      </c>
      <c r="U32" s="19">
        <v>0.55486111111111103</v>
      </c>
      <c r="V32" s="92">
        <f t="shared" si="22"/>
        <v>6.9999999999998153</v>
      </c>
      <c r="W32" s="149">
        <f t="shared" si="4"/>
        <v>27.000000000000064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7"/>
      <c r="D33" s="59" t="s">
        <v>141</v>
      </c>
      <c r="E33" s="178"/>
      <c r="F33" s="75">
        <f>VLOOKUP(D33,廠價表!$C$1:$E$43,3,0)</f>
        <v>46.34</v>
      </c>
      <c r="G33" s="90">
        <v>600</v>
      </c>
      <c r="H33" s="91">
        <f t="shared" si="15"/>
        <v>27804.000000000004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16</v>
      </c>
      <c r="N33" s="95">
        <f t="shared" si="17"/>
        <v>1440.0000000000143</v>
      </c>
      <c r="O33" s="96">
        <f t="shared" si="18"/>
        <v>90.000000000000895</v>
      </c>
      <c r="P33" s="97">
        <f t="shared" si="19"/>
        <v>0</v>
      </c>
      <c r="Q33" s="98">
        <f t="shared" si="20"/>
        <v>-12.249999999999105</v>
      </c>
      <c r="R33" s="99">
        <f t="shared" si="21"/>
        <v>0.88019559902201361</v>
      </c>
      <c r="S33" s="469"/>
      <c r="T33" s="19">
        <v>0.55902777777777801</v>
      </c>
      <c r="U33" s="19">
        <v>0.57638888888888895</v>
      </c>
      <c r="V33" s="92">
        <f t="shared" si="22"/>
        <v>6.0000000000004583</v>
      </c>
      <c r="W33" s="149">
        <f t="shared" si="4"/>
        <v>24.999999999999751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1615.7142857142858</v>
      </c>
      <c r="L37" s="158">
        <f t="shared" si="23"/>
        <v>95.266106442577055</v>
      </c>
      <c r="M37" s="155">
        <f t="shared" si="23"/>
        <v>16.571428571428573</v>
      </c>
      <c r="N37" s="155">
        <f t="shared" si="23"/>
        <v>1426.9239839525767</v>
      </c>
      <c r="O37" s="158">
        <f t="shared" si="23"/>
        <v>86.299672433077063</v>
      </c>
      <c r="P37" s="159">
        <f>M37-J37</f>
        <v>-0.42857142857142705</v>
      </c>
      <c r="Q37" s="160">
        <f>N37-K37</f>
        <v>-188.79030176170909</v>
      </c>
      <c r="R37" s="161">
        <f>O37/L37</f>
        <v>0.90588012521636296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-188.79030176170909</v>
      </c>
      <c r="AG37" s="124">
        <f>N37/K37</f>
        <v>0.88315365938709434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2426</v>
      </c>
      <c r="H38" s="134">
        <f>F38*G38</f>
        <v>121081.65999999999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1532.2105263157705</v>
      </c>
      <c r="O38" s="141">
        <f>N38/M38</f>
        <v>102.14736842105137</v>
      </c>
      <c r="P38" s="142">
        <f>M38-J38</f>
        <v>0</v>
      </c>
      <c r="Q38" s="143">
        <f>O38-L38</f>
        <v>-12.119298245615298</v>
      </c>
      <c r="R38" s="144">
        <f>O38/L38</f>
        <v>0.89393846342810412</v>
      </c>
      <c r="S38" s="490">
        <f>R48</f>
        <v>0.91303100975653229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-181.78947368422951</v>
      </c>
      <c r="AG38" s="195">
        <f>N38/K38</f>
        <v>0.89393846342810412</v>
      </c>
      <c r="AH38" s="480">
        <f>AG48</f>
        <v>0.86413933621366235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2907</v>
      </c>
      <c r="H39" s="91">
        <f>F39*G39</f>
        <v>128780.09999999999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1362.6562499999982</v>
      </c>
      <c r="O39" s="203">
        <f>N39/M39</f>
        <v>85.166015624999886</v>
      </c>
      <c r="P39" s="97">
        <f>M39-J39</f>
        <v>-2</v>
      </c>
      <c r="Q39" s="98">
        <f>O39-L39</f>
        <v>-5.7228732638889994</v>
      </c>
      <c r="R39" s="99">
        <f>O39/L39</f>
        <v>0.93703440174205255</v>
      </c>
      <c r="S39" s="491"/>
      <c r="T39" s="20">
        <v>0.40416666666666701</v>
      </c>
      <c r="U39" s="20">
        <v>0.49305555555555602</v>
      </c>
      <c r="V39" s="92">
        <f>(T39-U38)*24*60</f>
        <v>6.9999999999998153</v>
      </c>
      <c r="W39" s="205">
        <f t="shared" si="4"/>
        <v>128.00000000000017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-273.34375000000182</v>
      </c>
      <c r="AG39" s="206">
        <f>N39/K39</f>
        <v>0.83291946821515783</v>
      </c>
      <c r="AH39" s="481"/>
    </row>
    <row r="40" spans="1:34" ht="15" customHeight="1">
      <c r="A40" s="48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0</v>
      </c>
      <c r="AG40" s="206" t="e">
        <f>N40/K40</f>
        <v>#DIV/0!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16.5</v>
      </c>
      <c r="K48" s="155">
        <f t="shared" si="24"/>
        <v>1675</v>
      </c>
      <c r="L48" s="158">
        <f t="shared" si="24"/>
        <v>102.57777777777778</v>
      </c>
      <c r="M48" s="155">
        <f t="shared" si="24"/>
        <v>15.5</v>
      </c>
      <c r="N48" s="155">
        <f t="shared" si="24"/>
        <v>1447.4333881578843</v>
      </c>
      <c r="O48" s="158">
        <f t="shared" si="24"/>
        <v>93.656692023025627</v>
      </c>
      <c r="P48" s="221">
        <f>M48-J48</f>
        <v>-1</v>
      </c>
      <c r="Q48" s="222">
        <f>N48-K48</f>
        <v>-227.56661184211566</v>
      </c>
      <c r="R48" s="223">
        <f>O48/L48</f>
        <v>0.91303100975653229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-227.56661184211566</v>
      </c>
      <c r="AG48" s="162">
        <f t="shared" ref="AG48:AG53" si="26">N48/K48</f>
        <v>0.86413933621366235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1750</v>
      </c>
      <c r="H49" s="134">
        <f>F49*G49</f>
        <v>86660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1693.5483870967978</v>
      </c>
      <c r="O49" s="141">
        <f>N49/M49</f>
        <v>99.620493358635159</v>
      </c>
      <c r="P49" s="229">
        <f>M49-J49</f>
        <v>0</v>
      </c>
      <c r="Q49" s="230">
        <f>O49-L49</f>
        <v>-6.2618595825413053</v>
      </c>
      <c r="R49" s="52">
        <f>O49/L49</f>
        <v>0.94086021505377659</v>
      </c>
      <c r="S49" s="412">
        <f>R58</f>
        <v>0.93339134123143397</v>
      </c>
      <c r="T49" s="191">
        <v>0.29166666666666702</v>
      </c>
      <c r="U49" s="191">
        <v>0.33472222222222198</v>
      </c>
      <c r="V49" s="55"/>
      <c r="W49" s="193">
        <f t="shared" si="4"/>
        <v>61.99999999999914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-106.4516129032022</v>
      </c>
      <c r="AG49" s="52">
        <f t="shared" si="26"/>
        <v>0.94086021505377659</v>
      </c>
      <c r="AH49" s="457">
        <f>AG58</f>
        <v>0.91856221314410325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2107</v>
      </c>
      <c r="H50" s="231">
        <f>F50*G50</f>
        <v>105958.92300000001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1580.2500000000166</v>
      </c>
      <c r="O50" s="235">
        <f>N50/M50</f>
        <v>92.955882352942155</v>
      </c>
      <c r="P50" s="74">
        <f>M50-J50</f>
        <v>0</v>
      </c>
      <c r="Q50" s="83">
        <f>O50-L50</f>
        <v>-3.2794117647049035</v>
      </c>
      <c r="R50" s="72">
        <f>O50/L50</f>
        <v>0.9659229828850957</v>
      </c>
      <c r="S50" s="413"/>
      <c r="T50" s="21">
        <v>0.34027777777777801</v>
      </c>
      <c r="U50" s="21">
        <v>0.39583333333333298</v>
      </c>
      <c r="V50" s="30">
        <f>(T50-U49)*24*60</f>
        <v>8.000000000000691</v>
      </c>
      <c r="W50" s="236">
        <f t="shared" si="4"/>
        <v>79.999999999999162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-55.749999999983402</v>
      </c>
      <c r="AG50" s="72">
        <f t="shared" si="26"/>
        <v>0.9659229828850957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2061</v>
      </c>
      <c r="H51" s="231">
        <f>F51*G51</f>
        <v>102988.17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1565.3164556962065</v>
      </c>
      <c r="O51" s="235">
        <f>N51/M51</f>
        <v>97.832278481012906</v>
      </c>
      <c r="P51" s="74">
        <f>M51-J51</f>
        <v>0</v>
      </c>
      <c r="Q51" s="83">
        <f>O51-L51</f>
        <v>-14.667721518987094</v>
      </c>
      <c r="R51" s="72">
        <f>O51/L51</f>
        <v>0.86962025316455915</v>
      </c>
      <c r="S51" s="413"/>
      <c r="T51" s="21">
        <v>0.40347222222222201</v>
      </c>
      <c r="U51" s="19">
        <v>0.45833333333333298</v>
      </c>
      <c r="V51" s="30">
        <f>(T51-U50)*24*60</f>
        <v>11.000000000000201</v>
      </c>
      <c r="W51" s="236">
        <f t="shared" si="4"/>
        <v>78.999999999999801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-234.6835443037935</v>
      </c>
      <c r="AG51" s="72">
        <f t="shared" si="26"/>
        <v>0.86962025316455915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2923</v>
      </c>
      <c r="H52" s="231">
        <f>F52*G52</f>
        <v>146062.31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1623.8888888888896</v>
      </c>
      <c r="O52" s="235">
        <f>N52/M52</f>
        <v>108.25925925925931</v>
      </c>
      <c r="P52" s="74">
        <f>M52-J52</f>
        <v>-1</v>
      </c>
      <c r="Q52" s="83">
        <f>O52-L52</f>
        <v>-4.2407407407406907</v>
      </c>
      <c r="R52" s="72">
        <f>O52/L52</f>
        <v>0.9623045267489716</v>
      </c>
      <c r="S52" s="413"/>
      <c r="T52" s="21">
        <v>0.52083333333333304</v>
      </c>
      <c r="U52" s="21">
        <v>0.59583333333333299</v>
      </c>
      <c r="V52" s="30">
        <f>(T52-U51)*24*60</f>
        <v>90.000000000000085</v>
      </c>
      <c r="W52" s="236">
        <f t="shared" si="4"/>
        <v>107.99999999999994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25"/>
        <v>-176.1111111111104</v>
      </c>
      <c r="AG52" s="72">
        <f t="shared" si="26"/>
        <v>0.9021604938271609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16.25</v>
      </c>
      <c r="N58" s="120">
        <f t="shared" si="27"/>
        <v>1615.7509329204777</v>
      </c>
      <c r="O58" s="117">
        <f t="shared" si="27"/>
        <v>99.666978362962382</v>
      </c>
      <c r="P58" s="121">
        <f>M58-J58</f>
        <v>-0.25</v>
      </c>
      <c r="Q58" s="122">
        <f>N58-K58</f>
        <v>-143.24906707952232</v>
      </c>
      <c r="R58" s="123">
        <f>O58/L58</f>
        <v>0.93339134123143397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-143.24906707952232</v>
      </c>
      <c r="AG58" s="124">
        <f>N58/K58</f>
        <v>0.91856221314410325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3131</v>
      </c>
      <c r="H59" s="243">
        <f>F59*G59</f>
        <v>84505.69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1565.5000000000068</v>
      </c>
      <c r="O59" s="138">
        <f>N59/M59</f>
        <v>104.36666666666711</v>
      </c>
      <c r="P59" s="56">
        <f>M59-J59</f>
        <v>0</v>
      </c>
      <c r="Q59" s="230">
        <f>O59-L59</f>
        <v>-4.6999999999995481</v>
      </c>
      <c r="R59" s="52">
        <f>O59/L59</f>
        <v>0.9569070904645518</v>
      </c>
      <c r="S59" s="412">
        <f>R69</f>
        <v>0.95289951224409652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-70.499999999993179</v>
      </c>
      <c r="AG59" s="246">
        <f>N59/K59</f>
        <v>0.9569070904645518</v>
      </c>
      <c r="AH59" s="457">
        <f>AG69</f>
        <v>0.95325574141924829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1618</v>
      </c>
      <c r="H60" s="78">
        <f>F60*G60</f>
        <v>45724.68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1565.806451612923</v>
      </c>
      <c r="O60" s="81">
        <f>N60/M60</f>
        <v>142.34604105572026</v>
      </c>
      <c r="P60" s="74">
        <f>M60-J60</f>
        <v>0</v>
      </c>
      <c r="Q60" s="83">
        <f>O60-L60</f>
        <v>-6.381231671552456</v>
      </c>
      <c r="R60" s="72">
        <f>O60/L60</f>
        <v>0.95709440807635882</v>
      </c>
      <c r="S60" s="502"/>
      <c r="T60" s="22">
        <v>0.38055555555555598</v>
      </c>
      <c r="U60" s="22">
        <v>0.42361111111111099</v>
      </c>
      <c r="V60" s="30">
        <f>(T60-U59)*24*60</f>
        <v>8.0000000000006111</v>
      </c>
      <c r="W60" s="248">
        <f t="shared" si="4"/>
        <v>61.999999999999218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-70.193548387077044</v>
      </c>
      <c r="AG60" s="249">
        <f>N60/K60</f>
        <v>0.95709440807635882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1702</v>
      </c>
      <c r="H61" s="254">
        <f>F61*G61</f>
        <v>48098.520000000004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1547.2727272727404</v>
      </c>
      <c r="O61" s="238">
        <f>N61/M61</f>
        <v>140.66115702479459</v>
      </c>
      <c r="P61" s="111">
        <f>M61-J61</f>
        <v>0</v>
      </c>
      <c r="Q61" s="255">
        <f>O61-L61</f>
        <v>-8.0661157024781289</v>
      </c>
      <c r="R61" s="85">
        <f>O61/L61</f>
        <v>0.94576572571683415</v>
      </c>
      <c r="S61" s="413"/>
      <c r="T61" s="22">
        <v>0.43055555555555602</v>
      </c>
      <c r="U61" s="22">
        <v>0.47638888888888897</v>
      </c>
      <c r="V61" s="30">
        <f>(T61-U60)*24*60</f>
        <v>10.000000000000844</v>
      </c>
      <c r="W61" s="256">
        <f t="shared" si="4"/>
        <v>65.999999999999446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-88.72727272725956</v>
      </c>
      <c r="AG61" s="247">
        <f>N61/K61</f>
        <v>0.94576572571683404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1559.5263929618902</v>
      </c>
      <c r="O69" s="268">
        <f t="shared" si="28"/>
        <v>129.12462158239398</v>
      </c>
      <c r="P69" s="269">
        <f>M69-J69</f>
        <v>0</v>
      </c>
      <c r="Q69" s="222">
        <f>N69-K69</f>
        <v>-76.473607038109776</v>
      </c>
      <c r="R69" s="123">
        <f>O69/L69</f>
        <v>0.95289951224409652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-76.473607038109776</v>
      </c>
      <c r="AG69" s="124">
        <f>N69/K69</f>
        <v>0.95325574141924829</v>
      </c>
      <c r="AH69" s="460"/>
    </row>
    <row r="70" spans="1:36" ht="15" customHeight="1">
      <c r="A70" s="494" t="s">
        <v>55</v>
      </c>
      <c r="B70" s="129" t="s">
        <v>81</v>
      </c>
      <c r="C70" s="129"/>
      <c r="D70" s="131" t="s">
        <v>119</v>
      </c>
      <c r="E70" s="132"/>
      <c r="F70" s="129">
        <f>VLOOKUP(D70,廠價表!$C$1:$E$43,3,0)</f>
        <v>57.21</v>
      </c>
      <c r="G70" s="55">
        <v>543</v>
      </c>
      <c r="H70" s="243">
        <f>F70*G70</f>
        <v>31065.03</v>
      </c>
      <c r="I70" s="55"/>
      <c r="J70" s="136">
        <f>VLOOKUP(D70,產線配置圖!$A$3:$C$40,2,0)</f>
        <v>17</v>
      </c>
      <c r="K70" s="137">
        <v>1565</v>
      </c>
      <c r="L70" s="138">
        <f>K70/J70</f>
        <v>92.058823529411768</v>
      </c>
      <c r="M70" s="244">
        <v>11</v>
      </c>
      <c r="N70" s="137">
        <f>G70/W70*60</f>
        <v>814.49999999999307</v>
      </c>
      <c r="O70" s="138">
        <f>N70/M70</f>
        <v>74.045454545453921</v>
      </c>
      <c r="P70" s="56">
        <f>M70-J70</f>
        <v>-6</v>
      </c>
      <c r="Q70" s="230">
        <f>O70-L70</f>
        <v>-18.013368983957847</v>
      </c>
      <c r="R70" s="52">
        <f>O70/L70</f>
        <v>0.80432762126052182</v>
      </c>
      <c r="S70" s="412">
        <f>R79</f>
        <v>0.90777836559694491</v>
      </c>
      <c r="T70" s="245">
        <v>0.30208333333333298</v>
      </c>
      <c r="U70" s="245">
        <v>0.32986111111111099</v>
      </c>
      <c r="V70" s="55"/>
      <c r="W70" s="54">
        <f t="shared" si="4"/>
        <v>40.000000000000341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-750.50000000000693</v>
      </c>
      <c r="AG70" s="246">
        <f>N70/K70</f>
        <v>0.5204472843450435</v>
      </c>
      <c r="AH70" s="457">
        <f>AG79</f>
        <v>0.62490717409717811</v>
      </c>
    </row>
    <row r="71" spans="1:36" ht="15" customHeight="1">
      <c r="A71" s="495"/>
      <c r="B71" s="75" t="s">
        <v>136</v>
      </c>
      <c r="C71" s="76"/>
      <c r="D71" s="59" t="s">
        <v>140</v>
      </c>
      <c r="E71" s="77"/>
      <c r="F71" s="75">
        <f>VLOOKUP(D71,廠價表!$C$1:$E$43,3,0)</f>
        <v>28.26</v>
      </c>
      <c r="G71" s="202">
        <v>3059</v>
      </c>
      <c r="H71" s="254">
        <f t="shared" ref="H71:H73" si="29">F71*G71</f>
        <v>86447.340000000011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3" si="30">K71/J71</f>
        <v>148.72727272727272</v>
      </c>
      <c r="M71" s="82">
        <v>9</v>
      </c>
      <c r="N71" s="107">
        <f t="shared" ref="N71:N73" si="31">G71/W71*60</f>
        <v>1265.793103448282</v>
      </c>
      <c r="O71" s="238">
        <f t="shared" ref="O71:O73" si="32">N71/M71</f>
        <v>140.64367816092022</v>
      </c>
      <c r="P71" s="111">
        <f t="shared" ref="P71:P73" si="33">M71-J71</f>
        <v>-2</v>
      </c>
      <c r="Q71" s="255">
        <f t="shared" ref="Q71:Q73" si="34">O71-L71</f>
        <v>-8.0835945663525024</v>
      </c>
      <c r="R71" s="85">
        <f t="shared" ref="R71:R73" si="35">O71/L71</f>
        <v>0.94564820279347339</v>
      </c>
      <c r="S71" s="413"/>
      <c r="T71" s="22">
        <v>0.33680555555555602</v>
      </c>
      <c r="U71" s="22">
        <v>0.4375</v>
      </c>
      <c r="V71" s="30"/>
      <c r="W71" s="73">
        <f t="shared" si="4"/>
        <v>144.99999999999932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1389</v>
      </c>
      <c r="H72" s="254">
        <f t="shared" si="29"/>
        <v>60963.21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0"/>
        <v>96.235294117647058</v>
      </c>
      <c r="M72" s="94">
        <v>11</v>
      </c>
      <c r="N72" s="107">
        <f t="shared" si="31"/>
        <v>957.93103448275406</v>
      </c>
      <c r="O72" s="238">
        <f t="shared" si="32"/>
        <v>87.084639498432182</v>
      </c>
      <c r="P72" s="111">
        <f t="shared" si="33"/>
        <v>-6</v>
      </c>
      <c r="Q72" s="255">
        <f t="shared" si="34"/>
        <v>-9.1506546192148761</v>
      </c>
      <c r="R72" s="85">
        <f t="shared" si="35"/>
        <v>0.90491373561940536</v>
      </c>
      <c r="S72" s="413"/>
      <c r="T72" s="22">
        <v>0.453472222222222</v>
      </c>
      <c r="U72" s="22">
        <v>0.51388888888888895</v>
      </c>
      <c r="V72" s="30"/>
      <c r="W72" s="73">
        <f t="shared" si="4"/>
        <v>87.000000000000412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 t="s">
        <v>81</v>
      </c>
      <c r="C73" s="102"/>
      <c r="D73" s="103" t="s">
        <v>181</v>
      </c>
      <c r="E73" s="104"/>
      <c r="F73" s="75">
        <f>VLOOKUP(D73,廠價表!$C$1:$E$43,3,0)</f>
        <v>43.89</v>
      </c>
      <c r="G73" s="30">
        <v>1678</v>
      </c>
      <c r="H73" s="254">
        <f t="shared" si="29"/>
        <v>73647.42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0"/>
        <v>96.235294117647058</v>
      </c>
      <c r="M73" s="108">
        <v>11</v>
      </c>
      <c r="N73" s="107">
        <f t="shared" si="31"/>
        <v>1006.8000000000052</v>
      </c>
      <c r="O73" s="238">
        <f t="shared" si="32"/>
        <v>91.5272727272732</v>
      </c>
      <c r="P73" s="111">
        <f t="shared" si="33"/>
        <v>-6</v>
      </c>
      <c r="Q73" s="255">
        <f t="shared" si="34"/>
        <v>-4.7080213903738581</v>
      </c>
      <c r="R73" s="85">
        <f t="shared" si="35"/>
        <v>0.951078017337191</v>
      </c>
      <c r="S73" s="413"/>
      <c r="T73" s="22">
        <v>0.57291666666666696</v>
      </c>
      <c r="U73" s="22">
        <v>0.64236111111111105</v>
      </c>
      <c r="V73" s="30"/>
      <c r="W73" s="73">
        <f t="shared" si="4"/>
        <v>99.999999999999488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6">AVERAGE(J70:J78)</f>
        <v>15.5</v>
      </c>
      <c r="K79" s="240">
        <f t="shared" si="36"/>
        <v>1618.25</v>
      </c>
      <c r="L79" s="268">
        <f t="shared" si="36"/>
        <v>108.31417112299465</v>
      </c>
      <c r="M79" s="240">
        <f t="shared" si="36"/>
        <v>10.5</v>
      </c>
      <c r="N79" s="240">
        <f t="shared" si="36"/>
        <v>1011.2560344827585</v>
      </c>
      <c r="O79" s="268">
        <f t="shared" si="36"/>
        <v>98.325261233019887</v>
      </c>
      <c r="P79" s="269">
        <f>M79-J79</f>
        <v>-5</v>
      </c>
      <c r="Q79" s="222">
        <f>N79-K79</f>
        <v>-606.99396551724146</v>
      </c>
      <c r="R79" s="223">
        <f>O79/L79</f>
        <v>0.90777836559694491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-606.99396551724146</v>
      </c>
      <c r="AG79" s="124">
        <f>N79/K79</f>
        <v>0.62490717409717811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W71" sqref="W7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46222</v>
      </c>
      <c r="E3" s="379"/>
      <c r="F3" s="3" t="s">
        <v>72</v>
      </c>
      <c r="G3" s="380">
        <f>'0719'!E1</f>
        <v>74386</v>
      </c>
      <c r="H3" s="380"/>
      <c r="I3" s="3" t="s">
        <v>2</v>
      </c>
      <c r="J3" s="381">
        <f>'0719'!G1</f>
        <v>3428719.8139999998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126.2711899336269</v>
      </c>
      <c r="G6" s="386"/>
      <c r="H6" s="387">
        <f>AVERAGE(D13:H13)</f>
        <v>126.52951973951971</v>
      </c>
      <c r="I6" s="387"/>
      <c r="J6" s="387">
        <f>AVERAGE(I13:J13)</f>
        <v>125.62536541889483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114.34453238469526</v>
      </c>
      <c r="G7" s="410"/>
      <c r="H7" s="411">
        <f>AVERAGE(D14:H14)</f>
        <v>116.44309976967531</v>
      </c>
      <c r="I7" s="411"/>
      <c r="J7" s="411">
        <f>AVERAGE(I14:J14)</f>
        <v>109.09811392224515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0.9055472783997619</v>
      </c>
      <c r="G8" s="383"/>
      <c r="H8" s="383">
        <f>H7/H6</f>
        <v>0.92028405710691996</v>
      </c>
      <c r="I8" s="383"/>
      <c r="J8" s="383">
        <f>J7/J6</f>
        <v>0.86844017176356103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VALUE('0719'!L15)</f>
        <v>158.03571428571428</v>
      </c>
      <c r="E13" s="13">
        <f>VALUE('0719'!L26)</f>
        <v>173.76373626373626</v>
      </c>
      <c r="F13" s="13">
        <f>VALUE('0719'!L37)</f>
        <v>95.387254901960802</v>
      </c>
      <c r="G13" s="13">
        <f>VALUE('0719'!L48)</f>
        <v>98.681481481481498</v>
      </c>
      <c r="H13" s="13">
        <f>VALUE('0719'!L58)</f>
        <v>106.77941176470588</v>
      </c>
      <c r="I13" s="13">
        <f>VALUE('0719'!L69)</f>
        <v>132.86303030303029</v>
      </c>
      <c r="J13" s="13">
        <f>'0719'!L79</f>
        <v>118.38770053475936</v>
      </c>
    </row>
    <row r="14" spans="2:15" ht="39.950000000000003" customHeight="1">
      <c r="B14" s="404"/>
      <c r="C14" s="12" t="s">
        <v>100</v>
      </c>
      <c r="D14" s="13">
        <f>VALUE('0719'!O15)</f>
        <v>148.67094988552554</v>
      </c>
      <c r="E14" s="13">
        <f>VALUE('0719'!O26)</f>
        <v>158.64729425176654</v>
      </c>
      <c r="F14" s="13">
        <f>VALUE('0719'!O37)</f>
        <v>87.226679180019943</v>
      </c>
      <c r="G14" s="13">
        <f>VALUE('0719'!O48)</f>
        <v>89.818518518518133</v>
      </c>
      <c r="H14" s="13">
        <f>VALUE('0719'!O58)</f>
        <v>97.852057012546368</v>
      </c>
      <c r="I14" s="13">
        <f>VALUE('0719'!O69)</f>
        <v>123.51757556169393</v>
      </c>
      <c r="J14" s="13">
        <f>'0719'!O79</f>
        <v>94.678652282796349</v>
      </c>
    </row>
    <row r="15" spans="2:15" ht="39.950000000000003" customHeight="1">
      <c r="B15" s="405"/>
      <c r="C15" s="10" t="s">
        <v>26</v>
      </c>
      <c r="D15" s="14">
        <f t="shared" ref="D15:I15" si="1">D14/D13</f>
        <v>0.9407427337389187</v>
      </c>
      <c r="E15" s="14">
        <f t="shared" si="1"/>
        <v>0.91300577245285408</v>
      </c>
      <c r="F15" s="14">
        <f t="shared" si="1"/>
        <v>0.91444794453589928</v>
      </c>
      <c r="G15" s="14">
        <f t="shared" si="1"/>
        <v>0.91018615823449522</v>
      </c>
      <c r="H15" s="14">
        <f t="shared" si="1"/>
        <v>0.91639441906805574</v>
      </c>
      <c r="I15" s="14">
        <f t="shared" si="1"/>
        <v>0.92966098454911417</v>
      </c>
      <c r="J15" s="15">
        <f>'0719'!S70</f>
        <v>0.79973385626320292</v>
      </c>
    </row>
    <row r="16" spans="2:15" ht="17.25" customHeight="1">
      <c r="B16" s="406" t="s">
        <v>101</v>
      </c>
      <c r="C16" s="10" t="s">
        <v>34</v>
      </c>
      <c r="D16" s="16">
        <f>'0719'!T5</f>
        <v>0.29375000000000001</v>
      </c>
      <c r="E16" s="16">
        <f>'0719'!T16</f>
        <v>0.29166666666666702</v>
      </c>
      <c r="F16" s="16">
        <f>'0719'!T27</f>
        <v>0.28819444444444398</v>
      </c>
      <c r="G16" s="16">
        <f>'0719'!T38</f>
        <v>0.33333333333333298</v>
      </c>
      <c r="H16" s="16">
        <f>'0719'!T49</f>
        <v>0.29166666666666702</v>
      </c>
      <c r="I16" s="16">
        <f>'0719'!T59</f>
        <v>0.29305555555555601</v>
      </c>
      <c r="J16" s="16">
        <f>'0719'!T70</f>
        <v>0.29861111111111099</v>
      </c>
    </row>
    <row r="17" spans="2:10" ht="17.25" customHeight="1">
      <c r="B17" s="407"/>
      <c r="C17" s="10" t="s">
        <v>35</v>
      </c>
      <c r="D17" s="16">
        <v>0.60347222222222197</v>
      </c>
      <c r="E17" s="19">
        <v>0.65208333333333302</v>
      </c>
      <c r="F17" s="19">
        <v>0.69305555555555598</v>
      </c>
      <c r="G17" s="210">
        <v>0.65277777777777801</v>
      </c>
      <c r="H17" s="21">
        <v>0.66319444444444398</v>
      </c>
      <c r="I17" s="22">
        <v>0.67013888888888895</v>
      </c>
      <c r="J17" s="22">
        <v>0.68055555555555602</v>
      </c>
    </row>
    <row r="18" spans="2:10" ht="17.25" customHeight="1">
      <c r="B18" s="408" t="s">
        <v>102</v>
      </c>
      <c r="C18" s="330" t="s">
        <v>36</v>
      </c>
      <c r="D18" s="357">
        <f>'0719'!Z15</f>
        <v>0</v>
      </c>
      <c r="E18" s="358">
        <f>'0719'!Z26</f>
        <v>0</v>
      </c>
      <c r="F18" s="358">
        <f>'0719'!Z37</f>
        <v>0</v>
      </c>
      <c r="G18" s="359">
        <f>'0719'!Z48</f>
        <v>0</v>
      </c>
      <c r="H18" s="359">
        <f>'0719'!Z58</f>
        <v>0</v>
      </c>
      <c r="I18" s="358">
        <f>'0719'!Z69</f>
        <v>0</v>
      </c>
      <c r="J18" s="358">
        <f>'0719'!AA79</f>
        <v>0</v>
      </c>
    </row>
    <row r="19" spans="2:10" ht="17.25" customHeight="1">
      <c r="B19" s="409"/>
      <c r="C19" s="330" t="s">
        <v>37</v>
      </c>
      <c r="D19" s="357">
        <f>'0719'!AA15</f>
        <v>0</v>
      </c>
      <c r="E19" s="358">
        <f>'0719'!AA26</f>
        <v>0</v>
      </c>
      <c r="F19" s="358">
        <f>'0719'!AA37</f>
        <v>0</v>
      </c>
      <c r="G19" s="359">
        <f>'0719'!AA48</f>
        <v>0</v>
      </c>
      <c r="H19" s="359">
        <f>'0719'!AA58</f>
        <v>0</v>
      </c>
      <c r="I19" s="358">
        <f>'0719'!AA69</f>
        <v>0</v>
      </c>
      <c r="J19" s="358">
        <f>'0719'!AB79</f>
        <v>0</v>
      </c>
    </row>
    <row r="20" spans="2:10" ht="17.25" customHeight="1">
      <c r="B20" s="408" t="s">
        <v>103</v>
      </c>
      <c r="C20" s="330" t="s">
        <v>36</v>
      </c>
      <c r="D20" s="357">
        <f>'0719'!AD15</f>
        <v>0</v>
      </c>
      <c r="E20" s="358">
        <f>'0719'!AD26</f>
        <v>0</v>
      </c>
      <c r="F20" s="358">
        <f>'0719'!AD37</f>
        <v>0</v>
      </c>
      <c r="G20" s="359">
        <f>'0719'!AD48</f>
        <v>0</v>
      </c>
      <c r="H20" s="359">
        <f>'0719'!AD58</f>
        <v>0</v>
      </c>
      <c r="I20" s="358">
        <f>'0719'!AD69</f>
        <v>0</v>
      </c>
      <c r="J20" s="358">
        <f>'0719'!AD79</f>
        <v>0</v>
      </c>
    </row>
    <row r="21" spans="2:10" ht="17.25" customHeight="1">
      <c r="B21" s="409"/>
      <c r="C21" s="330" t="s">
        <v>85</v>
      </c>
      <c r="D21" s="357">
        <f>'0719'!AE15</f>
        <v>0</v>
      </c>
      <c r="E21" s="358">
        <f>'0719'!AE26</f>
        <v>0</v>
      </c>
      <c r="F21" s="358">
        <f>'0719'!AE37</f>
        <v>0</v>
      </c>
      <c r="G21" s="359">
        <f>'0719'!AE48</f>
        <v>0</v>
      </c>
      <c r="H21" s="359">
        <f>'0719'!AE58</f>
        <v>0</v>
      </c>
      <c r="I21" s="358">
        <f>'0719'!AE69</f>
        <v>0</v>
      </c>
      <c r="J21" s="358">
        <f>'0719'!AE79</f>
        <v>0</v>
      </c>
    </row>
    <row r="22" spans="2:10" ht="17.25" customHeight="1">
      <c r="B22" s="392" t="s">
        <v>104</v>
      </c>
      <c r="C22" s="393"/>
      <c r="D22" s="23">
        <f>VALUE('0719'!M15)</f>
        <v>14</v>
      </c>
      <c r="E22" s="23">
        <f>VALUE('0719'!M26)</f>
        <v>13.166666666666666</v>
      </c>
      <c r="F22" s="23">
        <f>VALUE('0719'!M37)</f>
        <v>16.25</v>
      </c>
      <c r="G22" s="23">
        <f>VALUE('0719'!M48)</f>
        <v>17</v>
      </c>
      <c r="H22" s="23">
        <f>VALUE('0719'!M58)</f>
        <v>16.5</v>
      </c>
      <c r="I22" s="23">
        <f>VALUE('0719'!M69)</f>
        <v>12.6</v>
      </c>
      <c r="J22" s="23">
        <f>'0719'!M79</f>
        <v>11.25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W71" sqref="W71"/>
      <selection pane="topRight" activeCell="W71" sqref="W71"/>
      <selection pane="bottomLeft" activeCell="W71" sqref="W71"/>
      <selection pane="bottomRight" activeCell="W71" sqref="W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74386</v>
      </c>
      <c r="F1" s="30" t="s">
        <v>2</v>
      </c>
      <c r="G1" s="31">
        <f>SUM(H5:H79)</f>
        <v>3428719.8139999998</v>
      </c>
      <c r="H1" s="32" t="s">
        <v>3</v>
      </c>
      <c r="I1" s="33">
        <f>M15+M26+M48+M58+M69+M79+M37</f>
        <v>100.76666666666667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189</v>
      </c>
      <c r="B2" s="418"/>
      <c r="C2" s="28"/>
      <c r="D2" s="28" t="s">
        <v>14</v>
      </c>
      <c r="E2" s="35">
        <f>AVERAGE(O15,O26,O37,O48,O58,O69,O79)</f>
        <v>114.34453238469526</v>
      </c>
      <c r="F2" s="36" t="s">
        <v>15</v>
      </c>
      <c r="G2" s="37">
        <f>G1/E1</f>
        <v>46.093617266689968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3527</v>
      </c>
      <c r="H5" s="43">
        <f>F5*G5</f>
        <v>178713.09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2054.5631067961108</v>
      </c>
      <c r="O5" s="47">
        <f>N5/M5</f>
        <v>146.75450762829362</v>
      </c>
      <c r="P5" s="49">
        <f>M5-J5</f>
        <v>-1</v>
      </c>
      <c r="Q5" s="50">
        <f>O5-L5</f>
        <v>-3.2454923717063764</v>
      </c>
      <c r="R5" s="51">
        <f>O5/L5</f>
        <v>0.97836338418862412</v>
      </c>
      <c r="S5" s="412">
        <f>R15</f>
        <v>0.9407427337389187</v>
      </c>
      <c r="T5" s="319">
        <v>0.29375000000000001</v>
      </c>
      <c r="U5" s="320">
        <v>0.36527777777777798</v>
      </c>
      <c r="V5" s="53"/>
      <c r="W5" s="54">
        <f t="shared" ref="W5:W14" si="0">(U5-T5)*24*60</f>
        <v>103.00000000000027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-195.43689320388921</v>
      </c>
      <c r="AG5" s="52">
        <f t="shared" ref="AG5:AG11" si="2">N5/K5</f>
        <v>0.91313915857604921</v>
      </c>
      <c r="AH5" s="457">
        <f>AG15</f>
        <v>0.92506368817660323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5182</v>
      </c>
      <c r="H6" s="63">
        <f>F6*G6</f>
        <v>254643.48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2115.1020408163122</v>
      </c>
      <c r="O6" s="67">
        <f>N6/M6</f>
        <v>151.07871720116515</v>
      </c>
      <c r="P6" s="69">
        <f>M6-J6</f>
        <v>0</v>
      </c>
      <c r="Q6" s="70">
        <f>O6-L6</f>
        <v>-9.6355685131205746</v>
      </c>
      <c r="R6" s="71">
        <f>O6/L6</f>
        <v>0.94004535147391644</v>
      </c>
      <c r="S6" s="413"/>
      <c r="T6" s="16">
        <v>0.37708333333333299</v>
      </c>
      <c r="U6" s="16">
        <v>0.47916666666666702</v>
      </c>
      <c r="V6" s="30">
        <f>(T6-U5)*24*60</f>
        <v>16.999999999999218</v>
      </c>
      <c r="W6" s="73">
        <f t="shared" si="0"/>
        <v>147.00000000000099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-134.89795918368782</v>
      </c>
      <c r="AG6" s="72">
        <f t="shared" si="2"/>
        <v>0.94004535147391655</v>
      </c>
      <c r="AH6" s="458"/>
    </row>
    <row r="7" spans="1:34" ht="15" customHeight="1">
      <c r="A7" s="42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1514</v>
      </c>
      <c r="H7" s="78">
        <f>F7*G7</f>
        <v>88069.38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2018.6666666666667</v>
      </c>
      <c r="O7" s="81">
        <f>N7/M7</f>
        <v>144.1904761904762</v>
      </c>
      <c r="P7" s="74">
        <f>M7-J7</f>
        <v>0</v>
      </c>
      <c r="Q7" s="83">
        <f>O7-L7</f>
        <v>-16.523809523809518</v>
      </c>
      <c r="R7" s="72">
        <f>O7/L7</f>
        <v>0.8971851851851852</v>
      </c>
      <c r="S7" s="413"/>
      <c r="T7" s="18">
        <v>0.54444444444444395</v>
      </c>
      <c r="U7" s="18">
        <v>0.57569444444444395</v>
      </c>
      <c r="V7" s="30">
        <f>(T7-U6)*24*60</f>
        <v>93.999999999998792</v>
      </c>
      <c r="W7" s="73">
        <f t="shared" si="0"/>
        <v>45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-231.33333333333326</v>
      </c>
      <c r="AG7" s="72">
        <f t="shared" si="2"/>
        <v>0.8971851851851852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1033</v>
      </c>
      <c r="H8" s="78">
        <f>F8*G8</f>
        <v>50761.62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2137.2413793103406</v>
      </c>
      <c r="O8" s="67">
        <f>N8/M8</f>
        <v>152.66009852216717</v>
      </c>
      <c r="P8" s="69">
        <f>M8-J8</f>
        <v>0</v>
      </c>
      <c r="Q8" s="70">
        <f>O8-L8</f>
        <v>-8.0541871921185475</v>
      </c>
      <c r="R8" s="71">
        <f>O8/L8</f>
        <v>0.9498850574712624</v>
      </c>
      <c r="S8" s="413"/>
      <c r="T8" s="16">
        <v>0.58333333333333304</v>
      </c>
      <c r="U8" s="16">
        <v>0.60347222222222197</v>
      </c>
      <c r="V8" s="30">
        <f>(T8-U7)*24*60</f>
        <v>11.000000000000281</v>
      </c>
      <c r="W8" s="73">
        <f t="shared" si="0"/>
        <v>29.000000000000057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-112.75862068965944</v>
      </c>
      <c r="AG8" s="72">
        <f t="shared" si="2"/>
        <v>0.94988505747126251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</v>
      </c>
      <c r="N15" s="120">
        <f t="shared" si="3"/>
        <v>2081.3932983973573</v>
      </c>
      <c r="O15" s="117">
        <f t="shared" si="3"/>
        <v>148.67094988552554</v>
      </c>
      <c r="P15" s="121">
        <f>M15-J15</f>
        <v>-0.25</v>
      </c>
      <c r="Q15" s="122">
        <f>O15-L15</f>
        <v>-9.3647644001887329</v>
      </c>
      <c r="R15" s="123">
        <f>O15/L15</f>
        <v>0.9407427337389187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-168.60670160264272</v>
      </c>
      <c r="AG15" s="124">
        <f>N15/K15</f>
        <v>0.92506368817660323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2763</v>
      </c>
      <c r="H16" s="134">
        <f>F16*G16</f>
        <v>140001.21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14</v>
      </c>
      <c r="N16" s="140">
        <f>G16/W16*60</f>
        <v>2302.5000000000005</v>
      </c>
      <c r="O16" s="141">
        <f>N16/M16</f>
        <v>164.46428571428575</v>
      </c>
      <c r="P16" s="142">
        <f>M16-J16</f>
        <v>1</v>
      </c>
      <c r="Q16" s="143">
        <f>O16-L16</f>
        <v>-8.6126373626373152</v>
      </c>
      <c r="R16" s="144">
        <f>O16/L16</f>
        <v>0.95023809523809555</v>
      </c>
      <c r="S16" s="468">
        <f>R26</f>
        <v>0.91300577245285408</v>
      </c>
      <c r="T16" s="145">
        <v>0.29166666666666702</v>
      </c>
      <c r="U16" s="145">
        <v>0.34166666666666701</v>
      </c>
      <c r="V16" s="135"/>
      <c r="W16" s="146">
        <f t="shared" ref="W16:W78" si="4">(U16-T16)*24*60</f>
        <v>71.999999999999986</v>
      </c>
      <c r="X16" s="141"/>
      <c r="Y16" s="296"/>
      <c r="Z16" s="169"/>
      <c r="AA16" s="169"/>
      <c r="AB16" s="464" t="s">
        <v>190</v>
      </c>
      <c r="AC16" s="464"/>
      <c r="AD16" s="135"/>
      <c r="AE16" s="135"/>
      <c r="AF16" s="229">
        <f>N16-K16</f>
        <v>52.500000000000455</v>
      </c>
      <c r="AG16" s="52">
        <f>N16/K16</f>
        <v>1.0233333333333334</v>
      </c>
      <c r="AH16" s="457">
        <f>AG26</f>
        <v>0.92662019521176586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3058</v>
      </c>
      <c r="H17" s="78">
        <f>F17*G17</f>
        <v>173908.46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2158.5882352941089</v>
      </c>
      <c r="O17" s="96">
        <f>N17/M17</f>
        <v>154.18487394957921</v>
      </c>
      <c r="P17" s="97">
        <f>M17-J17</f>
        <v>0</v>
      </c>
      <c r="Q17" s="98">
        <f>O17-L17</f>
        <v>-6.5294117647065093</v>
      </c>
      <c r="R17" s="99">
        <f>O17/L17</f>
        <v>0.95937254901960389</v>
      </c>
      <c r="S17" s="469"/>
      <c r="T17" s="19">
        <v>0.34722222222222199</v>
      </c>
      <c r="U17" s="19">
        <v>0.40625</v>
      </c>
      <c r="V17" s="30">
        <f>(T17-U16)*24*60</f>
        <v>7.9999999999991722</v>
      </c>
      <c r="W17" s="149">
        <f t="shared" si="4"/>
        <v>85.000000000000341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-91.411764705891073</v>
      </c>
      <c r="AG17" s="72">
        <f>N17/K17</f>
        <v>0.959372549019604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760</v>
      </c>
      <c r="H18" s="78">
        <f>F18*G18</f>
        <v>44209.200000000004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1982.6086956522015</v>
      </c>
      <c r="O18" s="96">
        <f>N18/M18</f>
        <v>141.61490683230011</v>
      </c>
      <c r="P18" s="97">
        <f>M18-J18</f>
        <v>0</v>
      </c>
      <c r="Q18" s="98">
        <f>O18-L18</f>
        <v>-19.099378881985615</v>
      </c>
      <c r="R18" s="99">
        <f>O18/L18</f>
        <v>0.88115942028986727</v>
      </c>
      <c r="S18" s="469"/>
      <c r="T18" s="19">
        <v>0.41111111111111098</v>
      </c>
      <c r="U18" s="19">
        <v>0.42708333333333298</v>
      </c>
      <c r="V18" s="30">
        <f>(T18-U17)*24*60</f>
        <v>6.9999999999998153</v>
      </c>
      <c r="W18" s="149">
        <f t="shared" si="4"/>
        <v>22.99999999999968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-267.3913043477985</v>
      </c>
      <c r="AG18" s="72">
        <f>N18/K18</f>
        <v>0.88115942028986738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2133</v>
      </c>
      <c r="H19" s="78">
        <f t="shared" ref="H19:H21" si="5">F19*G19</f>
        <v>107481.87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1939.0909090908806</v>
      </c>
      <c r="O19" s="96">
        <f t="shared" ref="O19:O21" si="8">N19/M19</f>
        <v>161.59090909090671</v>
      </c>
      <c r="P19" s="97">
        <f t="shared" ref="P19:P21" si="9">M19-J19</f>
        <v>0</v>
      </c>
      <c r="Q19" s="98">
        <f t="shared" ref="Q19:Q21" si="10">O19-L19</f>
        <v>-25.909090909093294</v>
      </c>
      <c r="R19" s="99">
        <f t="shared" ref="R19:R21" si="11">O19/L19</f>
        <v>0.86181818181816905</v>
      </c>
      <c r="S19" s="469"/>
      <c r="T19" s="19">
        <v>0.43333333333333302</v>
      </c>
      <c r="U19" s="19">
        <v>0.47916666666666702</v>
      </c>
      <c r="V19" s="30">
        <f>(T19-U18)*24*60</f>
        <v>9.000000000000048</v>
      </c>
      <c r="W19" s="149">
        <f t="shared" si="4"/>
        <v>66.000000000000966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-310.90909090911941</v>
      </c>
      <c r="AG19" s="72">
        <f>N19/K19</f>
        <v>0.86181818181816916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3112</v>
      </c>
      <c r="H20" s="78">
        <f t="shared" si="5"/>
        <v>156813.68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1965.4736842105335</v>
      </c>
      <c r="O20" s="96">
        <f t="shared" si="8"/>
        <v>163.78947368421112</v>
      </c>
      <c r="P20" s="97">
        <f t="shared" si="9"/>
        <v>0</v>
      </c>
      <c r="Q20" s="98">
        <f t="shared" si="10"/>
        <v>-23.710526315788883</v>
      </c>
      <c r="R20" s="99">
        <f t="shared" si="11"/>
        <v>0.87354385964912595</v>
      </c>
      <c r="S20" s="469"/>
      <c r="T20" s="19">
        <v>0.54166666666666696</v>
      </c>
      <c r="U20" s="19">
        <v>0.60763888888888895</v>
      </c>
      <c r="V20" s="30">
        <f>(T20-U19)*24*60</f>
        <v>89.999999999999915</v>
      </c>
      <c r="W20" s="149">
        <f t="shared" si="4"/>
        <v>94.999999999999659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1945</v>
      </c>
      <c r="H21" s="78">
        <f t="shared" si="5"/>
        <v>98553.150000000009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2161.1111111111122</v>
      </c>
      <c r="O21" s="96">
        <f t="shared" si="8"/>
        <v>166.23931623931634</v>
      </c>
      <c r="P21" s="97">
        <f t="shared" si="9"/>
        <v>0</v>
      </c>
      <c r="Q21" s="98">
        <f t="shared" si="10"/>
        <v>-6.837606837606728</v>
      </c>
      <c r="R21" s="99">
        <f t="shared" si="11"/>
        <v>0.96049382716049447</v>
      </c>
      <c r="S21" s="469"/>
      <c r="T21" s="19">
        <v>0.61458333333333304</v>
      </c>
      <c r="U21" s="19">
        <v>0.65208333333333302</v>
      </c>
      <c r="V21" s="30">
        <f>(T21-U20)*24*60</f>
        <v>9.9999999999994849</v>
      </c>
      <c r="W21" s="149">
        <f t="shared" si="4"/>
        <v>53.999999999999972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13.166666666666666</v>
      </c>
      <c r="N26" s="155">
        <f t="shared" si="12"/>
        <v>2084.8954392264732</v>
      </c>
      <c r="O26" s="158">
        <f t="shared" si="12"/>
        <v>158.64729425176654</v>
      </c>
      <c r="P26" s="159">
        <f>M26-J26</f>
        <v>0.16666666666666607</v>
      </c>
      <c r="Q26" s="160">
        <f>O26-L26</f>
        <v>-15.116442011969724</v>
      </c>
      <c r="R26" s="161">
        <f>O26/L26</f>
        <v>0.91300577245285408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-165.10456077352683</v>
      </c>
      <c r="AG26" s="124">
        <f t="shared" ref="AG26:AG31" si="14">N26/K26</f>
        <v>0.92662019521176586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1647</v>
      </c>
      <c r="H27" s="134">
        <f>F27*G27</f>
        <v>76321.98000000001</v>
      </c>
      <c r="I27" s="135"/>
      <c r="J27" s="136">
        <f>VLOOKUP(D27,產線配置圖!$A$3:$C$40,2,0)</f>
        <v>16</v>
      </c>
      <c r="K27" s="137">
        <v>1636</v>
      </c>
      <c r="L27" s="138">
        <f>K27/J27</f>
        <v>102.25</v>
      </c>
      <c r="M27" s="170">
        <v>16</v>
      </c>
      <c r="N27" s="140">
        <f>G27/W27*60</f>
        <v>1520.3076923076883</v>
      </c>
      <c r="O27" s="141">
        <f>N27/M27</f>
        <v>95.019230769230518</v>
      </c>
      <c r="P27" s="142">
        <f>M27-J27</f>
        <v>0</v>
      </c>
      <c r="Q27" s="143">
        <f>O27-L27</f>
        <v>-7.2307692307694822</v>
      </c>
      <c r="R27" s="144">
        <f>O27/L27</f>
        <v>0.92928343050592188</v>
      </c>
      <c r="S27" s="468">
        <f>R37</f>
        <v>0.91444794453589928</v>
      </c>
      <c r="T27" s="171">
        <v>0.28819444444444398</v>
      </c>
      <c r="U27" s="171">
        <v>0.33333333333333298</v>
      </c>
      <c r="V27" s="135"/>
      <c r="W27" s="146">
        <f t="shared" si="4"/>
        <v>65.000000000000171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-115.69230769231172</v>
      </c>
      <c r="AG27" s="172">
        <f t="shared" si="14"/>
        <v>0.92928343050592188</v>
      </c>
      <c r="AH27" s="457">
        <f>AG37</f>
        <v>0.87616749479013256</v>
      </c>
    </row>
    <row r="28" spans="1:34" ht="15" customHeight="1">
      <c r="A28" s="466"/>
      <c r="B28" s="75" t="s">
        <v>81</v>
      </c>
      <c r="C28" s="173"/>
      <c r="D28" s="59" t="s">
        <v>123</v>
      </c>
      <c r="E28" s="104"/>
      <c r="F28" s="75">
        <f>VLOOKUP(D28,廠價表!$C$1:$E$43,3,0)</f>
        <v>45.66</v>
      </c>
      <c r="G28" s="90">
        <v>1566</v>
      </c>
      <c r="H28" s="91">
        <f>F28*G28</f>
        <v>71503.56</v>
      </c>
      <c r="I28" s="92"/>
      <c r="J28" s="79">
        <f>VLOOKUP(D28,產線配置圖!$A$3:$C$40,2,0)</f>
        <v>17</v>
      </c>
      <c r="K28" s="80">
        <v>1636</v>
      </c>
      <c r="L28" s="93">
        <f>K28/J28</f>
        <v>96.235294117647058</v>
      </c>
      <c r="M28" s="94">
        <v>16</v>
      </c>
      <c r="N28" s="95">
        <f>G28/W28*60</f>
        <v>1491.4285714285729</v>
      </c>
      <c r="O28" s="96">
        <f>N28/M28</f>
        <v>93.214285714285808</v>
      </c>
      <c r="P28" s="97">
        <f>M28-J28</f>
        <v>-1</v>
      </c>
      <c r="Q28" s="98">
        <f>O28-L28</f>
        <v>-3.0210084033612503</v>
      </c>
      <c r="R28" s="99">
        <f>O28/L28</f>
        <v>0.96860810338805547</v>
      </c>
      <c r="S28" s="469"/>
      <c r="T28" s="19">
        <v>0.33819444444444402</v>
      </c>
      <c r="U28" s="19">
        <v>0.38194444444444398</v>
      </c>
      <c r="V28" s="92">
        <f>(T28-U27)*24*60</f>
        <v>6.9999999999998952</v>
      </c>
      <c r="W28" s="149">
        <f t="shared" si="4"/>
        <v>62.999999999999936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-144.57142857142708</v>
      </c>
      <c r="AG28" s="99">
        <f t="shared" si="14"/>
        <v>0.91163115612993451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497</v>
      </c>
      <c r="H29" s="91">
        <f>F29*G29</f>
        <v>28433.37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16</v>
      </c>
      <c r="N29" s="95">
        <f>G29/W29*60</f>
        <v>1296.5217391304527</v>
      </c>
      <c r="O29" s="96">
        <f>N29/M29</f>
        <v>81.032608695653295</v>
      </c>
      <c r="P29" s="97">
        <f>M29-J29</f>
        <v>-2</v>
      </c>
      <c r="Q29" s="98">
        <f>O29-L29</f>
        <v>-5.9118357487911481</v>
      </c>
      <c r="R29" s="99">
        <f>O29/L29</f>
        <v>0.932004445061827</v>
      </c>
      <c r="S29" s="469"/>
      <c r="T29" s="19">
        <v>0.38680555555555601</v>
      </c>
      <c r="U29" s="19">
        <v>0.40277777777777801</v>
      </c>
      <c r="V29" s="92">
        <f>(T29-U28)*24*60</f>
        <v>7.000000000001334</v>
      </c>
      <c r="W29" s="149">
        <f t="shared" si="4"/>
        <v>22.99999999999968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-268.47826086954728</v>
      </c>
      <c r="AG29" s="99">
        <f t="shared" si="14"/>
        <v>0.82844839561051287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1903</v>
      </c>
      <c r="H30" s="91">
        <f t="shared" ref="H30:H34" si="15">F30*G30</f>
        <v>108870.63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16">K30/J30</f>
        <v>90.888888888888886</v>
      </c>
      <c r="M30" s="94">
        <v>17</v>
      </c>
      <c r="N30" s="95">
        <f t="shared" ref="N30:N34" si="17">G30/W30*60</f>
        <v>1427.2500000000136</v>
      </c>
      <c r="O30" s="96">
        <f t="shared" ref="O30:O34" si="18">N30/M30</f>
        <v>83.955882352941984</v>
      </c>
      <c r="P30" s="97">
        <f t="shared" ref="P30:P34" si="19">M30-J30</f>
        <v>-1</v>
      </c>
      <c r="Q30" s="98">
        <f t="shared" ref="Q30:Q34" si="20">O30-L30</f>
        <v>-6.9330065359469017</v>
      </c>
      <c r="R30" s="99">
        <f t="shared" ref="R30:R34" si="21">O30/L30</f>
        <v>0.92371997698835928</v>
      </c>
      <c r="S30" s="469"/>
      <c r="T30" s="19">
        <v>0.40902777777777799</v>
      </c>
      <c r="U30" s="19">
        <v>0.46458333333333302</v>
      </c>
      <c r="V30" s="92">
        <f>(T30-U29)*24*60</f>
        <v>8.999999999999968</v>
      </c>
      <c r="W30" s="149">
        <f t="shared" si="4"/>
        <v>79.999999999999233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-208.74999999998636</v>
      </c>
      <c r="AG30" s="99">
        <f t="shared" si="14"/>
        <v>0.87240220048900585</v>
      </c>
      <c r="AH30" s="479"/>
    </row>
    <row r="31" spans="1:34" ht="15" customHeight="1">
      <c r="A31" s="466"/>
      <c r="B31" s="75" t="s">
        <v>81</v>
      </c>
      <c r="C31" s="102"/>
      <c r="D31" s="175" t="s">
        <v>119</v>
      </c>
      <c r="E31" s="176"/>
      <c r="F31" s="75">
        <f>VLOOKUP(D31,廠價表!$C$1:$E$43,3,0)</f>
        <v>57.21</v>
      </c>
      <c r="G31" s="90">
        <v>1054</v>
      </c>
      <c r="H31" s="91">
        <f t="shared" si="15"/>
        <v>60299.340000000004</v>
      </c>
      <c r="I31" s="92"/>
      <c r="J31" s="79">
        <f>VLOOKUP(D31,產線配置圖!$A$3:$C$40,2,0)</f>
        <v>17</v>
      </c>
      <c r="K31" s="80">
        <v>1565</v>
      </c>
      <c r="L31" s="93">
        <f t="shared" si="16"/>
        <v>92.058823529411768</v>
      </c>
      <c r="M31" s="94">
        <v>17</v>
      </c>
      <c r="N31" s="95">
        <f t="shared" si="17"/>
        <v>1470.6976744186099</v>
      </c>
      <c r="O31" s="96">
        <f t="shared" si="18"/>
        <v>86.511627906977054</v>
      </c>
      <c r="P31" s="97">
        <f t="shared" si="19"/>
        <v>0</v>
      </c>
      <c r="Q31" s="98">
        <f t="shared" si="20"/>
        <v>-5.5471956224347139</v>
      </c>
      <c r="R31" s="99">
        <f t="shared" si="21"/>
        <v>0.93974292295118844</v>
      </c>
      <c r="S31" s="469"/>
      <c r="T31" s="19">
        <v>0.52708333333333302</v>
      </c>
      <c r="U31" s="19">
        <v>0.55694444444444402</v>
      </c>
      <c r="V31" s="92">
        <f t="shared" ref="V31:V34" si="22">(T31-U30)*24*60</f>
        <v>90</v>
      </c>
      <c r="W31" s="149">
        <f t="shared" si="4"/>
        <v>42.999999999999844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-94.302325581390051</v>
      </c>
      <c r="AG31" s="99">
        <f t="shared" si="14"/>
        <v>0.93974292295118844</v>
      </c>
      <c r="AH31" s="459"/>
    </row>
    <row r="32" spans="1:34" ht="15" customHeight="1">
      <c r="A32" s="466"/>
      <c r="B32" s="75" t="s">
        <v>81</v>
      </c>
      <c r="C32" s="177"/>
      <c r="D32" s="59" t="s">
        <v>141</v>
      </c>
      <c r="E32" s="178"/>
      <c r="F32" s="75">
        <f>VLOOKUP(D32,廠價表!$C$1:$E$43,3,0)</f>
        <v>46.34</v>
      </c>
      <c r="G32" s="90">
        <v>2000</v>
      </c>
      <c r="H32" s="91">
        <f t="shared" si="15"/>
        <v>92680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1481.4814814814811</v>
      </c>
      <c r="O32" s="96">
        <f t="shared" si="18"/>
        <v>92.592592592592567</v>
      </c>
      <c r="P32" s="97">
        <f t="shared" si="19"/>
        <v>0</v>
      </c>
      <c r="Q32" s="98">
        <f t="shared" si="20"/>
        <v>-9.6574074074074332</v>
      </c>
      <c r="R32" s="99">
        <f t="shared" si="21"/>
        <v>0.9055510278004163</v>
      </c>
      <c r="S32" s="469"/>
      <c r="T32" s="19">
        <v>0.56388888888888899</v>
      </c>
      <c r="U32" s="19">
        <v>0.62013888888888902</v>
      </c>
      <c r="V32" s="92">
        <f t="shared" si="22"/>
        <v>10.000000000000764</v>
      </c>
      <c r="W32" s="149">
        <f t="shared" si="4"/>
        <v>81.000000000000028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3"/>
      <c r="D33" s="59" t="s">
        <v>123</v>
      </c>
      <c r="E33" s="104"/>
      <c r="F33" s="75">
        <f>VLOOKUP(D33,廠價表!$C$1:$E$43,3,0)</f>
        <v>45.66</v>
      </c>
      <c r="G33" s="90">
        <v>1200</v>
      </c>
      <c r="H33" s="91">
        <f t="shared" si="15"/>
        <v>54791.999999999993</v>
      </c>
      <c r="I33" s="92"/>
      <c r="J33" s="79">
        <f>VLOOKUP(D33,產線配置圖!$A$3:$C$40,2,0)</f>
        <v>17</v>
      </c>
      <c r="K33" s="80">
        <v>1636</v>
      </c>
      <c r="L33" s="93">
        <f t="shared" si="16"/>
        <v>96.235294117647058</v>
      </c>
      <c r="M33" s="94">
        <v>17</v>
      </c>
      <c r="N33" s="95">
        <f t="shared" si="17"/>
        <v>1469.3877551020316</v>
      </c>
      <c r="O33" s="96">
        <f t="shared" si="18"/>
        <v>86.434573829531274</v>
      </c>
      <c r="P33" s="97">
        <f t="shared" si="19"/>
        <v>0</v>
      </c>
      <c r="Q33" s="98">
        <f t="shared" si="20"/>
        <v>-9.8007202881157838</v>
      </c>
      <c r="R33" s="99">
        <f t="shared" si="21"/>
        <v>0.89815877451224435</v>
      </c>
      <c r="S33" s="469"/>
      <c r="T33" s="19">
        <v>0.62708333333333299</v>
      </c>
      <c r="U33" s="19">
        <v>0.66111111111111098</v>
      </c>
      <c r="V33" s="92">
        <f t="shared" si="22"/>
        <v>9.999999999999325</v>
      </c>
      <c r="W33" s="149">
        <f t="shared" si="4"/>
        <v>49.000000000000306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179" t="s">
        <v>81</v>
      </c>
      <c r="C34" s="102"/>
      <c r="D34" s="103" t="s">
        <v>135</v>
      </c>
      <c r="E34" s="104"/>
      <c r="F34" s="75">
        <f>VLOOKUP(D34,廠價表!$C$1:$E$43,3,0)</f>
        <v>50.289000000000001</v>
      </c>
      <c r="G34" s="90">
        <v>751</v>
      </c>
      <c r="H34" s="91">
        <f t="shared" si="15"/>
        <v>37767.039000000004</v>
      </c>
      <c r="I34" s="92"/>
      <c r="J34" s="79">
        <f>VLOOKUP(D34,產線配置圖!$A$3:$C$40,2,0)</f>
        <v>17</v>
      </c>
      <c r="K34" s="80">
        <f>VLOOKUP(D34,產線配置圖!$A$3:$C$40,3,0)</f>
        <v>1636</v>
      </c>
      <c r="L34" s="93">
        <f t="shared" si="16"/>
        <v>96.235294117647058</v>
      </c>
      <c r="M34" s="94">
        <v>15</v>
      </c>
      <c r="N34" s="95">
        <f t="shared" si="17"/>
        <v>1185.7894736842047</v>
      </c>
      <c r="O34" s="96">
        <f t="shared" si="18"/>
        <v>79.052631578946986</v>
      </c>
      <c r="P34" s="97">
        <f t="shared" si="19"/>
        <v>-2</v>
      </c>
      <c r="Q34" s="98">
        <f t="shared" si="20"/>
        <v>-17.182662538700072</v>
      </c>
      <c r="R34" s="99">
        <f t="shared" si="21"/>
        <v>0.82145155063697972</v>
      </c>
      <c r="S34" s="469"/>
      <c r="T34" s="19">
        <v>0.66666666666666696</v>
      </c>
      <c r="U34" s="19">
        <v>0.69305555555555598</v>
      </c>
      <c r="V34" s="92">
        <f t="shared" si="22"/>
        <v>8.0000000000006111</v>
      </c>
      <c r="W34" s="149">
        <f t="shared" si="4"/>
        <v>38.000000000000185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179"/>
      <c r="C35" s="102"/>
      <c r="D35" s="103"/>
      <c r="E35" s="104"/>
      <c r="F35" s="105"/>
      <c r="G35" s="90"/>
      <c r="H35" s="91"/>
      <c r="I35" s="92"/>
      <c r="J35" s="148"/>
      <c r="K35" s="95"/>
      <c r="L35" s="96"/>
      <c r="M35" s="94"/>
      <c r="N35" s="95"/>
      <c r="O35" s="96"/>
      <c r="P35" s="97"/>
      <c r="Q35" s="98"/>
      <c r="R35" s="99"/>
      <c r="S35" s="469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 t="s">
        <v>126</v>
      </c>
      <c r="N36" s="95"/>
      <c r="O36" s="96"/>
      <c r="P36" s="97"/>
      <c r="Q36" s="98"/>
      <c r="R36" s="99"/>
      <c r="S36" s="469"/>
      <c r="T36" s="19"/>
      <c r="U36" s="19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1618.25</v>
      </c>
      <c r="L37" s="158">
        <f t="shared" si="23"/>
        <v>95.387254901960802</v>
      </c>
      <c r="M37" s="155">
        <f t="shared" si="23"/>
        <v>16.25</v>
      </c>
      <c r="N37" s="155">
        <f t="shared" si="23"/>
        <v>1417.858048444132</v>
      </c>
      <c r="O37" s="158">
        <f t="shared" si="23"/>
        <v>87.226679180019943</v>
      </c>
      <c r="P37" s="159">
        <f>M37-J37</f>
        <v>-0.75</v>
      </c>
      <c r="Q37" s="160">
        <f>N37-K37</f>
        <v>-200.39195155586799</v>
      </c>
      <c r="R37" s="161">
        <f>O37/L37</f>
        <v>0.91444794453589928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-200.39195155586799</v>
      </c>
      <c r="AG37" s="124">
        <f>N37/K37</f>
        <v>0.87616749479013256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3355</v>
      </c>
      <c r="H38" s="134">
        <f>F38*G38</f>
        <v>167448.04999999999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1677.4999999999859</v>
      </c>
      <c r="O38" s="141">
        <f>N38/M38</f>
        <v>111.83333333333239</v>
      </c>
      <c r="P38" s="142">
        <f>M38-J38</f>
        <v>0</v>
      </c>
      <c r="Q38" s="143">
        <f>O38-L38</f>
        <v>-2.433333333334275</v>
      </c>
      <c r="R38" s="144">
        <f>O38/L38</f>
        <v>0.97870478413068018</v>
      </c>
      <c r="S38" s="490">
        <f>R48</f>
        <v>0.91018615823449522</v>
      </c>
      <c r="T38" s="191">
        <v>0.33333333333333298</v>
      </c>
      <c r="U38" s="191">
        <v>0.41666666666666702</v>
      </c>
      <c r="V38" s="192"/>
      <c r="W38" s="193">
        <f t="shared" si="4"/>
        <v>120.00000000000101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-36.500000000014097</v>
      </c>
      <c r="AG38" s="195">
        <f>N38/K38</f>
        <v>0.97870478413068018</v>
      </c>
      <c r="AH38" s="480">
        <f>AG48</f>
        <v>0.90547533092659083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1995</v>
      </c>
      <c r="H39" s="91">
        <f>F39*G39</f>
        <v>88378.5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1330</v>
      </c>
      <c r="O39" s="203">
        <f>N39/M39</f>
        <v>73.888888888888886</v>
      </c>
      <c r="P39" s="97">
        <f>M39-J39</f>
        <v>0</v>
      </c>
      <c r="Q39" s="98">
        <f>O39-L39</f>
        <v>-17</v>
      </c>
      <c r="R39" s="99">
        <f>O39/L39</f>
        <v>0.81295843520782396</v>
      </c>
      <c r="S39" s="491"/>
      <c r="T39" s="20">
        <v>0.42708333333333298</v>
      </c>
      <c r="U39" s="20">
        <v>0.48958333333333298</v>
      </c>
      <c r="V39" s="92">
        <f>(T39-U38)*24*60</f>
        <v>14.999999999998987</v>
      </c>
      <c r="W39" s="205">
        <f t="shared" si="4"/>
        <v>90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-306</v>
      </c>
      <c r="AG39" s="206">
        <f>N39/K39</f>
        <v>0.81295843520782396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3768</v>
      </c>
      <c r="H40" s="91">
        <f>F40*G40</f>
        <v>166922.4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1507.1999999999957</v>
      </c>
      <c r="O40" s="203">
        <f>N40/M40</f>
        <v>83.733333333333093</v>
      </c>
      <c r="P40" s="97">
        <f>M40-J40</f>
        <v>0</v>
      </c>
      <c r="Q40" s="98">
        <f>O40-L40</f>
        <v>-7.155555555555793</v>
      </c>
      <c r="R40" s="99">
        <f>O40/L40</f>
        <v>0.92127139364302912</v>
      </c>
      <c r="S40" s="413"/>
      <c r="T40" s="20">
        <v>0.54861111111111105</v>
      </c>
      <c r="U40" s="210">
        <v>0.65277777777777801</v>
      </c>
      <c r="V40" s="92">
        <f>(T40-U39)*24*60</f>
        <v>85.000000000000412</v>
      </c>
      <c r="W40" s="205">
        <f t="shared" si="4"/>
        <v>150.00000000000043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-128.80000000000427</v>
      </c>
      <c r="AG40" s="206">
        <f>N40/K40</f>
        <v>0.92127139364302912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1504.899999999994</v>
      </c>
      <c r="O48" s="158">
        <f t="shared" si="24"/>
        <v>89.818518518518133</v>
      </c>
      <c r="P48" s="221">
        <f>M48-J48</f>
        <v>0</v>
      </c>
      <c r="Q48" s="222">
        <f>N48-K48</f>
        <v>-157.10000000000605</v>
      </c>
      <c r="R48" s="223">
        <f>O48/L48</f>
        <v>0.91018615823449522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-157.10000000000605</v>
      </c>
      <c r="AG48" s="162">
        <f t="shared" ref="AG48:AG53" si="26">N48/K48</f>
        <v>0.90547533092659083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3320</v>
      </c>
      <c r="H49" s="134">
        <f>F49*G49</f>
        <v>164406.40000000002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1544.1860465116342</v>
      </c>
      <c r="O49" s="141">
        <f>N49/M49</f>
        <v>90.834473324213775</v>
      </c>
      <c r="P49" s="229">
        <f>M49-J49</f>
        <v>0</v>
      </c>
      <c r="Q49" s="230">
        <f>O49-L49</f>
        <v>-15.047879616962689</v>
      </c>
      <c r="R49" s="52">
        <f>O49/L49</f>
        <v>0.85788113695090795</v>
      </c>
      <c r="S49" s="412">
        <f>R58</f>
        <v>0.91639441906805574</v>
      </c>
      <c r="T49" s="191">
        <v>0.29166666666666702</v>
      </c>
      <c r="U49" s="191">
        <v>0.38124999999999998</v>
      </c>
      <c r="V49" s="55"/>
      <c r="W49" s="193">
        <f t="shared" si="4"/>
        <v>128.99999999999946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-255.81395348836577</v>
      </c>
      <c r="AG49" s="52">
        <f t="shared" si="26"/>
        <v>0.85788113695090795</v>
      </c>
      <c r="AH49" s="457">
        <f>AG58</f>
        <v>0.91600387420545826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2155</v>
      </c>
      <c r="H50" s="231">
        <f>F50*G50</f>
        <v>108372.795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1557.8313253012029</v>
      </c>
      <c r="O50" s="235">
        <f>N50/M50</f>
        <v>91.637136782423696</v>
      </c>
      <c r="P50" s="74">
        <f>M50-J50</f>
        <v>0</v>
      </c>
      <c r="Q50" s="83">
        <f>O50-L50</f>
        <v>-4.5981573352233625</v>
      </c>
      <c r="R50" s="72">
        <f>O50/L50</f>
        <v>0.95221963649217778</v>
      </c>
      <c r="S50" s="413"/>
      <c r="T50" s="21">
        <v>0.38611111111111102</v>
      </c>
      <c r="U50" s="21">
        <v>0.44374999999999998</v>
      </c>
      <c r="V50" s="30">
        <f>(T50-U49)*24*60</f>
        <v>6.9999999999998952</v>
      </c>
      <c r="W50" s="236">
        <f t="shared" si="4"/>
        <v>83.000000000000099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-78.168674698797076</v>
      </c>
      <c r="AG50" s="72">
        <f t="shared" si="26"/>
        <v>0.95221963649217778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1785</v>
      </c>
      <c r="H51" s="231">
        <f>F51*G51</f>
        <v>89196.45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1673.4374999999789</v>
      </c>
      <c r="O51" s="235">
        <f>N51/M51</f>
        <v>104.58984374999868</v>
      </c>
      <c r="P51" s="74">
        <f>M51-J51</f>
        <v>0</v>
      </c>
      <c r="Q51" s="83">
        <f>O51-L51</f>
        <v>-7.9101562500013216</v>
      </c>
      <c r="R51" s="72">
        <f>O51/L51</f>
        <v>0.92968749999998823</v>
      </c>
      <c r="S51" s="413"/>
      <c r="T51" s="21">
        <v>0.44861111111111102</v>
      </c>
      <c r="U51" s="19">
        <v>0.49305555555555602</v>
      </c>
      <c r="V51" s="30">
        <f>(T51-U50)*24*60</f>
        <v>6.9999999999998952</v>
      </c>
      <c r="W51" s="236">
        <f t="shared" si="4"/>
        <v>64.00000000000081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-126.56250000002115</v>
      </c>
      <c r="AG51" s="72">
        <f t="shared" si="26"/>
        <v>0.92968749999998823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4313</v>
      </c>
      <c r="H52" s="231">
        <f>F52*G52</f>
        <v>215520.61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1669.5483870967887</v>
      </c>
      <c r="O52" s="235">
        <f>N52/M52</f>
        <v>104.34677419354929</v>
      </c>
      <c r="P52" s="74">
        <f>M52-J52</f>
        <v>0</v>
      </c>
      <c r="Q52" s="83">
        <f>O52-L52</f>
        <v>-8.1532258064507062</v>
      </c>
      <c r="R52" s="72">
        <f>O52/L52</f>
        <v>0.92752688172043818</v>
      </c>
      <c r="S52" s="413"/>
      <c r="T52" s="21">
        <v>0.55555555555555602</v>
      </c>
      <c r="U52" s="21">
        <v>0.66319444444444398</v>
      </c>
      <c r="V52" s="30">
        <f>(T52-U51)*24*60</f>
        <v>90</v>
      </c>
      <c r="W52" s="236">
        <f t="shared" si="4"/>
        <v>154.99999999999864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-130.4516129032113</v>
      </c>
      <c r="AG52" s="72">
        <f t="shared" si="26"/>
        <v>0.92752688172043818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1611.2508147274011</v>
      </c>
      <c r="O58" s="117">
        <f t="shared" si="27"/>
        <v>97.852057012546368</v>
      </c>
      <c r="P58" s="121">
        <f>M58-J58</f>
        <v>0</v>
      </c>
      <c r="Q58" s="122">
        <f>N58-K58</f>
        <v>-147.74918527259888</v>
      </c>
      <c r="R58" s="123">
        <f t="shared" ref="R58:R63" si="28">O58/L58</f>
        <v>0.91639441906805574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-147.74918527259888</v>
      </c>
      <c r="AG58" s="124">
        <f>N58/K58</f>
        <v>0.91600387420545826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2770</v>
      </c>
      <c r="H59" s="243">
        <f>F59*G59</f>
        <v>74762.3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1582.8571428571581</v>
      </c>
      <c r="O59" s="138">
        <f>N59/M59</f>
        <v>105.52380952381054</v>
      </c>
      <c r="P59" s="56">
        <f>M59-J59</f>
        <v>0</v>
      </c>
      <c r="Q59" s="230">
        <f>O59-L59</f>
        <v>-3.5428571428561213</v>
      </c>
      <c r="R59" s="52">
        <f t="shared" si="28"/>
        <v>0.96751659098848297</v>
      </c>
      <c r="S59" s="412">
        <f>R69</f>
        <v>0.92966098454911417</v>
      </c>
      <c r="T59" s="245">
        <v>0.29305555555555601</v>
      </c>
      <c r="U59" s="245">
        <v>0.36597222222222198</v>
      </c>
      <c r="V59" s="55"/>
      <c r="W59" s="54">
        <f t="shared" si="4"/>
        <v>104.99999999999899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-53.142857142841876</v>
      </c>
      <c r="AG59" s="246">
        <f>N59/K59</f>
        <v>0.96751659098848297</v>
      </c>
      <c r="AH59" s="457">
        <f>AG69</f>
        <v>0.92859041397262843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2039</v>
      </c>
      <c r="H60" s="78">
        <f>F60*G60</f>
        <v>57622.140000000007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1568.4615384615583</v>
      </c>
      <c r="O60" s="81">
        <f>N60/M60</f>
        <v>142.58741258741441</v>
      </c>
      <c r="P60" s="74">
        <f>M60-J60</f>
        <v>0</v>
      </c>
      <c r="Q60" s="83">
        <f>O60-L60</f>
        <v>-6.1398601398583139</v>
      </c>
      <c r="R60" s="72">
        <f t="shared" si="28"/>
        <v>0.95871732179801872</v>
      </c>
      <c r="S60" s="502"/>
      <c r="T60" s="22">
        <v>0.37291666666666701</v>
      </c>
      <c r="U60" s="22">
        <v>0.42708333333333298</v>
      </c>
      <c r="V60" s="30">
        <f>(T60-U59)*24*60</f>
        <v>10.000000000000844</v>
      </c>
      <c r="W60" s="248">
        <f t="shared" si="4"/>
        <v>77.999999999999005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-67.538461538441652</v>
      </c>
      <c r="AG60" s="249">
        <f>N60/K60</f>
        <v>0.9587173217980185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2065</v>
      </c>
      <c r="H61" s="254">
        <f>F61*G61</f>
        <v>58356.9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1548.7500000000161</v>
      </c>
      <c r="O61" s="238">
        <f>N61/M61</f>
        <v>140.79545454545601</v>
      </c>
      <c r="P61" s="111">
        <f>M61-J61</f>
        <v>0</v>
      </c>
      <c r="Q61" s="255">
        <f>O61-L61</f>
        <v>-7.9318181818167091</v>
      </c>
      <c r="R61" s="85">
        <f t="shared" si="28"/>
        <v>0.94666870415648907</v>
      </c>
      <c r="S61" s="413"/>
      <c r="T61" s="22">
        <v>0.43402777777777801</v>
      </c>
      <c r="U61" s="22">
        <v>0.48958333333333298</v>
      </c>
      <c r="V61" s="30">
        <f>(T61-U60)*24*60</f>
        <v>10.000000000000844</v>
      </c>
      <c r="W61" s="256">
        <f t="shared" si="4"/>
        <v>79.999999999999162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-87.249999999983856</v>
      </c>
      <c r="AG61" s="247">
        <f>N61/K61</f>
        <v>0.94666870415648907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2082</v>
      </c>
      <c r="H62" s="78">
        <f>F62*G62</f>
        <v>58837.32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80">
        <f>G62/W62*60</f>
        <v>1469.6470588235236</v>
      </c>
      <c r="O62" s="81">
        <f>N62/M62</f>
        <v>133.60427807486579</v>
      </c>
      <c r="P62" s="74">
        <f>M62-J62</f>
        <v>0</v>
      </c>
      <c r="Q62" s="83">
        <f>O62-L62</f>
        <v>-15.122994652406931</v>
      </c>
      <c r="R62" s="72">
        <f t="shared" si="28"/>
        <v>0.89831727311951326</v>
      </c>
      <c r="S62" s="413"/>
      <c r="T62" s="22">
        <v>0.55902777777777801</v>
      </c>
      <c r="U62" s="22">
        <v>0.61805555555555602</v>
      </c>
      <c r="V62" s="30">
        <f>(T62-U61)*24*60</f>
        <v>100.00000000000084</v>
      </c>
      <c r="W62" s="248">
        <f t="shared" si="4"/>
        <v>85.000000000000341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-166.35294117647641</v>
      </c>
      <c r="AG62" s="247">
        <f>N62/K62</f>
        <v>0.89831727311951315</v>
      </c>
      <c r="AH62" s="458"/>
    </row>
    <row r="63" spans="1:34" ht="15" customHeight="1">
      <c r="A63" s="500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1545</v>
      </c>
      <c r="H63" s="254">
        <f>F63*G63</f>
        <v>41699.549999999996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>G63/W63*60</f>
        <v>1426.1538461538444</v>
      </c>
      <c r="O63" s="238">
        <f>N63/M63</f>
        <v>95.076923076922952</v>
      </c>
      <c r="P63" s="111">
        <f>M63-J63</f>
        <v>0</v>
      </c>
      <c r="Q63" s="255">
        <f>O63-L63</f>
        <v>-13.989743589743711</v>
      </c>
      <c r="R63" s="85">
        <f t="shared" si="28"/>
        <v>0.87173217980063833</v>
      </c>
      <c r="S63" s="413"/>
      <c r="T63" s="22">
        <v>0.625</v>
      </c>
      <c r="U63" s="22">
        <v>0.67013888888888895</v>
      </c>
      <c r="V63" s="30">
        <f>(T63-U62)*24*60</f>
        <v>9.999999999999325</v>
      </c>
      <c r="W63" s="248">
        <f t="shared" si="4"/>
        <v>65.000000000000085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9">AVERAGE(J59:J68)</f>
        <v>12.6</v>
      </c>
      <c r="K69" s="240">
        <f t="shared" si="29"/>
        <v>1636</v>
      </c>
      <c r="L69" s="268">
        <f t="shared" si="29"/>
        <v>132.86303030303029</v>
      </c>
      <c r="M69" s="240">
        <f t="shared" si="29"/>
        <v>12.6</v>
      </c>
      <c r="N69" s="240">
        <f t="shared" si="29"/>
        <v>1519.1739172592202</v>
      </c>
      <c r="O69" s="268">
        <f t="shared" si="29"/>
        <v>123.51757556169393</v>
      </c>
      <c r="P69" s="269">
        <f>M69-J69</f>
        <v>0</v>
      </c>
      <c r="Q69" s="222">
        <f>N69-K69</f>
        <v>-116.82608274077984</v>
      </c>
      <c r="R69" s="123">
        <f>O69/L69</f>
        <v>0.92966098454911417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-116.82608274077984</v>
      </c>
      <c r="AG69" s="124">
        <f>N69/K69</f>
        <v>0.92859041397262843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1717</v>
      </c>
      <c r="H70" s="243">
        <f>F70*G70</f>
        <v>48522.420000000006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1107.7419354838767</v>
      </c>
      <c r="O70" s="138">
        <f>N70/M70</f>
        <v>123.08243727598629</v>
      </c>
      <c r="P70" s="56">
        <f>M70-J70</f>
        <v>-2</v>
      </c>
      <c r="Q70" s="230">
        <f>O70-L70</f>
        <v>-25.644835451286426</v>
      </c>
      <c r="R70" s="52">
        <f>O70/L70</f>
        <v>0.82757139977741401</v>
      </c>
      <c r="S70" s="412">
        <f>R79</f>
        <v>0.79973385626320292</v>
      </c>
      <c r="T70" s="245">
        <v>0.29861111111111099</v>
      </c>
      <c r="U70" s="245">
        <v>0.36319444444444399</v>
      </c>
      <c r="V70" s="55"/>
      <c r="W70" s="54">
        <f t="shared" si="4"/>
        <v>92.999999999999517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-528.25806451612334</v>
      </c>
      <c r="AG70" s="246">
        <f>N70/K70</f>
        <v>0.67710387254515692</v>
      </c>
      <c r="AH70" s="457">
        <f>AG79</f>
        <v>0.58330930396008185</v>
      </c>
    </row>
    <row r="71" spans="1:36" ht="15" customHeight="1">
      <c r="A71" s="495"/>
      <c r="B71" s="75" t="s">
        <v>81</v>
      </c>
      <c r="C71" s="76"/>
      <c r="D71" s="59" t="s">
        <v>119</v>
      </c>
      <c r="E71" s="77"/>
      <c r="F71" s="250">
        <f>VLOOKUP(D71,廠價表!$C$1:$E$43,3,0)</f>
        <v>57.21</v>
      </c>
      <c r="G71" s="202">
        <v>667</v>
      </c>
      <c r="H71" s="254">
        <f>F71*G71</f>
        <v>38159.07</v>
      </c>
      <c r="I71" s="182"/>
      <c r="J71" s="106">
        <f>VLOOKUP(D71,產線配置圖!$A$3:$C$40,2,0)</f>
        <v>17</v>
      </c>
      <c r="K71" s="107">
        <f>VLOOKUP(D71,產線配置圖!$A$3:$C$40,3,0)</f>
        <v>2250</v>
      </c>
      <c r="L71" s="238">
        <f>K71/J71</f>
        <v>132.35294117647058</v>
      </c>
      <c r="M71" s="82">
        <v>12</v>
      </c>
      <c r="N71" s="107">
        <f>G71/W71*60</f>
        <v>851.48936170212482</v>
      </c>
      <c r="O71" s="238">
        <f>N71/M71</f>
        <v>70.957446808510397</v>
      </c>
      <c r="P71" s="111">
        <f>M71-J71</f>
        <v>-5</v>
      </c>
      <c r="Q71" s="255">
        <f>O71-L71</f>
        <v>-61.395494367960183</v>
      </c>
      <c r="R71" s="85">
        <f>O71/L71</f>
        <v>0.53612293144207857</v>
      </c>
      <c r="S71" s="413"/>
      <c r="T71" s="22">
        <v>0.38611111111111102</v>
      </c>
      <c r="U71" s="22">
        <v>0.41875000000000001</v>
      </c>
      <c r="V71" s="30">
        <f>(T71-U70)*24*60</f>
        <v>33.000000000000526</v>
      </c>
      <c r="W71" s="73">
        <f t="shared" si="4"/>
        <v>47.000000000000156</v>
      </c>
      <c r="X71" s="271"/>
      <c r="Y71" s="293"/>
      <c r="Z71" s="90"/>
      <c r="AA71" s="90"/>
      <c r="AB71" s="483" t="s">
        <v>143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2273</v>
      </c>
      <c r="H72" s="78">
        <f>F72*G72</f>
        <v>99761.97</v>
      </c>
      <c r="I72" s="30"/>
      <c r="J72" s="79">
        <f>VLOOKUP(D72,產線配置圖!$A$3:$C$40,2,0)</f>
        <v>17</v>
      </c>
      <c r="K72" s="80">
        <f>VLOOKUP(D72,產線配置圖!$A$3:$C$40,3,0)</f>
        <v>1636</v>
      </c>
      <c r="L72" s="81">
        <f>K72/J72</f>
        <v>96.235294117647058</v>
      </c>
      <c r="M72" s="82">
        <v>12</v>
      </c>
      <c r="N72" s="80">
        <f>G72/W72*60</f>
        <v>1117.8688524590066</v>
      </c>
      <c r="O72" s="81">
        <f>N72/M72</f>
        <v>93.155737704917215</v>
      </c>
      <c r="P72" s="74">
        <f>M72-J72</f>
        <v>-5</v>
      </c>
      <c r="Q72" s="83">
        <f>O72-L72</f>
        <v>-3.0795564127298434</v>
      </c>
      <c r="R72" s="72">
        <f>O72/L72</f>
        <v>0.96799971942762386</v>
      </c>
      <c r="S72" s="413"/>
      <c r="T72" s="22">
        <v>0.42569444444444399</v>
      </c>
      <c r="U72" s="22">
        <v>0.51041666666666696</v>
      </c>
      <c r="V72" s="30">
        <f>(T72-U71)*24*60</f>
        <v>9.999999999999325</v>
      </c>
      <c r="W72" s="73">
        <f t="shared" si="4"/>
        <v>122.00000000000108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101" t="s">
        <v>81</v>
      </c>
      <c r="C73" s="102"/>
      <c r="D73" s="103" t="s">
        <v>181</v>
      </c>
      <c r="E73" s="104"/>
      <c r="F73" s="250">
        <f>VLOOKUP(D73,廠價表!$C$1:$E$43,3,0)</f>
        <v>43.89</v>
      </c>
      <c r="G73" s="30">
        <v>2892</v>
      </c>
      <c r="H73" s="254">
        <f>F73*G73</f>
        <v>126929.88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108">
        <v>12</v>
      </c>
      <c r="N73" s="107">
        <f>G73/W73*60</f>
        <v>1098.2278481012577</v>
      </c>
      <c r="O73" s="238">
        <f>N73/M73</f>
        <v>91.518987341771478</v>
      </c>
      <c r="P73" s="111">
        <f>M73-J73</f>
        <v>-5</v>
      </c>
      <c r="Q73" s="255">
        <f>O73-L73</f>
        <v>-4.7163067758755801</v>
      </c>
      <c r="R73" s="85">
        <f>O73/L73</f>
        <v>0.95099192225557161</v>
      </c>
      <c r="S73" s="413"/>
      <c r="T73" s="22">
        <v>0.57083333333333297</v>
      </c>
      <c r="U73" s="22">
        <v>0.68055555555555602</v>
      </c>
      <c r="V73" s="30">
        <f>(T73-U72)*24*60</f>
        <v>86.999999999999048</v>
      </c>
      <c r="W73" s="73">
        <f t="shared" si="4"/>
        <v>158.00000000000119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101"/>
      <c r="C74" s="102"/>
      <c r="D74" s="103"/>
      <c r="E74" s="104"/>
      <c r="F74" s="105"/>
      <c r="G74" s="30"/>
      <c r="H74" s="78"/>
      <c r="I74" s="182"/>
      <c r="J74" s="275"/>
      <c r="K74" s="276"/>
      <c r="L74" s="277"/>
      <c r="M74" s="108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0">AVERAGE(J70:J78)</f>
        <v>15.5</v>
      </c>
      <c r="K79" s="240">
        <f t="shared" si="30"/>
        <v>1789.5</v>
      </c>
      <c r="L79" s="268">
        <f t="shared" si="30"/>
        <v>118.38770053475936</v>
      </c>
      <c r="M79" s="240">
        <f t="shared" si="30"/>
        <v>11.25</v>
      </c>
      <c r="N79" s="240">
        <f t="shared" si="30"/>
        <v>1043.8319994365665</v>
      </c>
      <c r="O79" s="268">
        <f t="shared" si="30"/>
        <v>94.678652282796349</v>
      </c>
      <c r="P79" s="269">
        <f>M79-J79</f>
        <v>-4.25</v>
      </c>
      <c r="Q79" s="222">
        <f>N79-K79</f>
        <v>-745.66800056343345</v>
      </c>
      <c r="R79" s="223">
        <f>O79/L79</f>
        <v>0.79973385626320292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-745.66800056343345</v>
      </c>
      <c r="AG79" s="124">
        <f>N79/K79</f>
        <v>0.58330930396008185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</mergeCells>
  <phoneticPr fontId="0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U74" sqref="U7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46223</v>
      </c>
      <c r="E3" s="379"/>
      <c r="F3" s="3" t="s">
        <v>72</v>
      </c>
      <c r="G3" s="380">
        <f>'0720'!E1</f>
        <v>71308</v>
      </c>
      <c r="H3" s="380"/>
      <c r="I3" s="3" t="s">
        <v>2</v>
      </c>
      <c r="J3" s="381">
        <f>'0720'!G1</f>
        <v>3295061.3979999996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124.72943717191616</v>
      </c>
      <c r="G6" s="386"/>
      <c r="H6" s="387">
        <f>AVERAGE(D13:H13)</f>
        <v>127.03598565922096</v>
      </c>
      <c r="I6" s="387"/>
      <c r="J6" s="387">
        <f>AVERAGE(I13:J13)</f>
        <v>118.96306595365417</v>
      </c>
      <c r="K6" s="387"/>
      <c r="L6" s="503">
        <f>SUM(D18:J18)</f>
        <v>1</v>
      </c>
      <c r="M6" s="390">
        <f>SUM(D19:J19)</f>
        <v>6</v>
      </c>
      <c r="N6" s="504">
        <f>SUM(D20:J20)</f>
        <v>1</v>
      </c>
      <c r="O6" s="390">
        <f>SUM(D20:J20)</f>
        <v>1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111.93004651878262</v>
      </c>
      <c r="G7" s="410"/>
      <c r="H7" s="411">
        <f>AVERAGE(D14:H14)</f>
        <v>113.68356448569621</v>
      </c>
      <c r="I7" s="411"/>
      <c r="J7" s="411">
        <f>AVERAGE(I14:J14)</f>
        <v>107.54625160149864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0.8973827594885081</v>
      </c>
      <c r="G8" s="383"/>
      <c r="H8" s="383">
        <f>H7/H6</f>
        <v>0.89489260775806356</v>
      </c>
      <c r="I8" s="383"/>
      <c r="J8" s="383">
        <f>J7/J6</f>
        <v>0.90403059755871362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VALUE('0720'!L15)</f>
        <v>160.71428571428572</v>
      </c>
      <c r="E13" s="13">
        <f>VALUE('0720'!L26)</f>
        <v>173.76373626373626</v>
      </c>
      <c r="F13" s="13">
        <f>VALUE('0720'!L37)</f>
        <v>95.241013071895438</v>
      </c>
      <c r="G13" s="13">
        <f>VALUE('0720'!L48)</f>
        <v>98.681481481481498</v>
      </c>
      <c r="H13" s="13">
        <f>VALUE('0720'!L58)</f>
        <v>106.77941176470588</v>
      </c>
      <c r="I13" s="13">
        <f>VALUE('0720'!L69)</f>
        <v>132.86303030303029</v>
      </c>
      <c r="J13" s="13">
        <f>'0720'!L79</f>
        <v>105.06310160427806</v>
      </c>
    </row>
    <row r="14" spans="2:15" ht="39.950000000000003" customHeight="1">
      <c r="B14" s="404"/>
      <c r="C14" s="12" t="s">
        <v>100</v>
      </c>
      <c r="D14" s="13">
        <f>VALUE('0720'!O15)</f>
        <v>136.99501391465719</v>
      </c>
      <c r="E14" s="13">
        <f>VALUE('0720'!O26)</f>
        <v>159.14699747405749</v>
      </c>
      <c r="F14" s="13">
        <f>VALUE('0720'!O37)</f>
        <v>85.041521038603676</v>
      </c>
      <c r="G14" s="13">
        <f>VALUE('0720'!O48)</f>
        <v>92.341549447240027</v>
      </c>
      <c r="H14" s="13">
        <f>VALUE('0720'!O58)</f>
        <v>94.892740553922721</v>
      </c>
      <c r="I14" s="13">
        <f>VALUE('0720'!O69)</f>
        <v>124.14922527953229</v>
      </c>
      <c r="J14" s="13">
        <f>'0720'!O79</f>
        <v>90.94327792346499</v>
      </c>
    </row>
    <row r="15" spans="2:15" ht="39.950000000000003" customHeight="1">
      <c r="B15" s="405"/>
      <c r="C15" s="10" t="s">
        <v>26</v>
      </c>
      <c r="D15" s="14">
        <f t="shared" ref="D15:I15" si="1">D14/D13</f>
        <v>0.85241341991342245</v>
      </c>
      <c r="E15" s="14">
        <f t="shared" si="1"/>
        <v>0.9158815348704652</v>
      </c>
      <c r="F15" s="14">
        <f t="shared" si="1"/>
        <v>0.89290861463650772</v>
      </c>
      <c r="G15" s="14">
        <f t="shared" si="1"/>
        <v>0.93575357869519604</v>
      </c>
      <c r="H15" s="14">
        <f t="shared" si="1"/>
        <v>0.88868012087408688</v>
      </c>
      <c r="I15" s="14">
        <f t="shared" si="1"/>
        <v>0.93441512658845882</v>
      </c>
      <c r="J15" s="15">
        <f>'0720'!S70</f>
        <v>0.86560625504855526</v>
      </c>
    </row>
    <row r="16" spans="2:15" ht="17.25" customHeight="1">
      <c r="B16" s="406" t="s">
        <v>101</v>
      </c>
      <c r="C16" s="10" t="s">
        <v>34</v>
      </c>
      <c r="D16" s="16">
        <f>'0720'!T5</f>
        <v>0.29236111111111102</v>
      </c>
      <c r="E16" s="16">
        <f>'0720'!T16</f>
        <v>0.28819444444444398</v>
      </c>
      <c r="F16" s="16">
        <f>'0720'!T27</f>
        <v>0.29027777777777802</v>
      </c>
      <c r="G16" s="16">
        <f>'0720'!T38</f>
        <v>0.33333333333333298</v>
      </c>
      <c r="H16" s="16">
        <f>'0720'!T49</f>
        <v>0.29166666666666702</v>
      </c>
      <c r="I16" s="16">
        <f>'0720'!T59</f>
        <v>0.28819444444444398</v>
      </c>
      <c r="J16" s="16">
        <f>'0720'!T70</f>
        <v>0.29513888888888901</v>
      </c>
    </row>
    <row r="17" spans="2:10" ht="17.25" customHeight="1">
      <c r="B17" s="407"/>
      <c r="C17" s="10" t="s">
        <v>35</v>
      </c>
      <c r="D17" s="16">
        <v>0.59097222222222201</v>
      </c>
      <c r="E17" s="19">
        <v>0.66527777777777797</v>
      </c>
      <c r="F17" s="19">
        <v>0.67013888888888895</v>
      </c>
      <c r="G17" s="210">
        <v>0.65208333333333302</v>
      </c>
      <c r="H17" s="21">
        <v>0.65</v>
      </c>
      <c r="I17" s="22">
        <v>0.625</v>
      </c>
      <c r="J17" s="22">
        <v>0.59513888888888899</v>
      </c>
    </row>
    <row r="18" spans="2:10" ht="17.25" customHeight="1">
      <c r="B18" s="408" t="s">
        <v>102</v>
      </c>
      <c r="C18" s="330" t="s">
        <v>36</v>
      </c>
      <c r="D18" s="357">
        <f>'0720'!Z15</f>
        <v>0</v>
      </c>
      <c r="E18" s="358">
        <f>'0720'!Z26</f>
        <v>0</v>
      </c>
      <c r="F18" s="358">
        <f>'0720'!Z37</f>
        <v>1</v>
      </c>
      <c r="G18" s="359">
        <f>'0720'!Z48</f>
        <v>0</v>
      </c>
      <c r="H18" s="359">
        <f>'0720'!Z58</f>
        <v>0</v>
      </c>
      <c r="I18" s="358">
        <f>'0720'!Z69</f>
        <v>0</v>
      </c>
      <c r="J18" s="358">
        <f>'0720'!AA79</f>
        <v>0</v>
      </c>
    </row>
    <row r="19" spans="2:10" ht="17.25" customHeight="1">
      <c r="B19" s="409"/>
      <c r="C19" s="330" t="s">
        <v>37</v>
      </c>
      <c r="D19" s="357">
        <f>'0720'!AA15</f>
        <v>0</v>
      </c>
      <c r="E19" s="358">
        <f>'0720'!AA26</f>
        <v>0</v>
      </c>
      <c r="F19" s="358">
        <f>'0720'!AA37</f>
        <v>6</v>
      </c>
      <c r="G19" s="359">
        <f>'0720'!AA48</f>
        <v>0</v>
      </c>
      <c r="H19" s="359">
        <f>'0720'!AA58</f>
        <v>0</v>
      </c>
      <c r="I19" s="358">
        <f>'0720'!AA69</f>
        <v>0</v>
      </c>
      <c r="J19" s="358">
        <f>'0720'!AB79</f>
        <v>0</v>
      </c>
    </row>
    <row r="20" spans="2:10" ht="17.25" customHeight="1">
      <c r="B20" s="408" t="s">
        <v>103</v>
      </c>
      <c r="C20" s="330" t="s">
        <v>36</v>
      </c>
      <c r="D20" s="357">
        <f>'0720'!AD15</f>
        <v>0</v>
      </c>
      <c r="E20" s="358">
        <f>'0720'!AD26</f>
        <v>0</v>
      </c>
      <c r="F20" s="358">
        <f>'0720'!AD37</f>
        <v>1</v>
      </c>
      <c r="G20" s="359">
        <f>'0720'!AD48</f>
        <v>0</v>
      </c>
      <c r="H20" s="359">
        <f>'0720'!AD58</f>
        <v>0</v>
      </c>
      <c r="I20" s="358">
        <f>'0720'!AD69</f>
        <v>0</v>
      </c>
      <c r="J20" s="358">
        <f>'0720'!AD79</f>
        <v>0</v>
      </c>
    </row>
    <row r="21" spans="2:10" ht="17.25" customHeight="1">
      <c r="B21" s="409"/>
      <c r="C21" s="330" t="s">
        <v>85</v>
      </c>
      <c r="D21" s="357">
        <f>'0720'!AE15</f>
        <v>0</v>
      </c>
      <c r="E21" s="358">
        <f>'0720'!AE26</f>
        <v>0</v>
      </c>
      <c r="F21" s="358">
        <f>'0720'!AE37</f>
        <v>1</v>
      </c>
      <c r="G21" s="359">
        <f>'0720'!AE48</f>
        <v>0</v>
      </c>
      <c r="H21" s="359">
        <f>'0720'!AE58</f>
        <v>0</v>
      </c>
      <c r="I21" s="358">
        <f>'0720'!AE69</f>
        <v>0</v>
      </c>
      <c r="J21" s="358">
        <f>'0720'!AE79</f>
        <v>0</v>
      </c>
    </row>
    <row r="22" spans="2:10" ht="17.25" customHeight="1">
      <c r="B22" s="392" t="s">
        <v>104</v>
      </c>
      <c r="C22" s="393"/>
      <c r="D22" s="23">
        <f>VALUE('0720'!M15)</f>
        <v>14</v>
      </c>
      <c r="E22" s="23">
        <f>VALUE('0720'!M26)</f>
        <v>13</v>
      </c>
      <c r="F22" s="23">
        <f>VALUE('0720'!M37)</f>
        <v>16.75</v>
      </c>
      <c r="G22" s="23">
        <f>VALUE('0720'!M48)</f>
        <v>17</v>
      </c>
      <c r="H22" s="23">
        <f>VALUE('0720'!M58)</f>
        <v>16.5</v>
      </c>
      <c r="I22" s="23">
        <f>VALUE('0720'!M69)</f>
        <v>12.6</v>
      </c>
      <c r="J22" s="23">
        <f>'0720'!M79</f>
        <v>14.8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U74" sqref="U74"/>
      <selection pane="topRight" activeCell="U74" sqref="U74"/>
      <selection pane="bottomLeft" activeCell="U74" sqref="U74"/>
      <selection pane="bottomRight" activeCell="U74" sqref="U7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71308</v>
      </c>
      <c r="F1" s="30" t="s">
        <v>2</v>
      </c>
      <c r="G1" s="31">
        <f>SUM(H5:H79)</f>
        <v>3295061.3979999996</v>
      </c>
      <c r="H1" s="32" t="s">
        <v>3</v>
      </c>
      <c r="I1" s="33">
        <f>M15+M26+M48+M58+M69+M79+M37</f>
        <v>104.64999999999999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191</v>
      </c>
      <c r="B2" s="418"/>
      <c r="C2" s="28"/>
      <c r="D2" s="28" t="s">
        <v>14</v>
      </c>
      <c r="E2" s="35">
        <f>AVERAGE(O15,O26,O37,O48,O58,O69,O79)</f>
        <v>111.93004651878262</v>
      </c>
      <c r="F2" s="36" t="s">
        <v>15</v>
      </c>
      <c r="G2" s="37">
        <f>G1/E1</f>
        <v>46.208860127895882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</v>
      </c>
      <c r="AA2" s="339">
        <f>AA15+AA26+AA37+AA48+AA58+AA69+AA79</f>
        <v>6</v>
      </c>
      <c r="AB2" s="456"/>
      <c r="AC2" s="456"/>
      <c r="AD2" s="340">
        <f>AD15+AD26+AD37+AD48+AD58+AD69+AD79</f>
        <v>1</v>
      </c>
      <c r="AE2" s="340">
        <f>AE15+AE26+AE37+AE48+AE58+AE69+AE79</f>
        <v>1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3405</v>
      </c>
      <c r="H5" s="43">
        <f>F5*G5</f>
        <v>172531.35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1945.7142857142778</v>
      </c>
      <c r="O5" s="47">
        <f>N5/M5</f>
        <v>138.97959183673413</v>
      </c>
      <c r="P5" s="49">
        <f>M5-J5</f>
        <v>0</v>
      </c>
      <c r="Q5" s="50">
        <f>O5-L5</f>
        <v>-21.734693877551592</v>
      </c>
      <c r="R5" s="51">
        <f>O5/L5</f>
        <v>0.86476190476190118</v>
      </c>
      <c r="S5" s="412">
        <f>R15</f>
        <v>0.85241341991342245</v>
      </c>
      <c r="T5" s="319">
        <v>0.29236111111111102</v>
      </c>
      <c r="U5" s="16">
        <v>0.36527777777777798</v>
      </c>
      <c r="V5" s="53"/>
      <c r="W5" s="54">
        <f t="shared" ref="W5:W14" si="0">(U5-T5)*24*60</f>
        <v>105.00000000000043</v>
      </c>
      <c r="X5" s="55"/>
      <c r="Y5" s="290"/>
      <c r="Z5" s="169"/>
      <c r="AA5" s="169"/>
      <c r="AB5" s="464" t="s">
        <v>192</v>
      </c>
      <c r="AC5" s="464"/>
      <c r="AD5" s="135"/>
      <c r="AE5" s="135"/>
      <c r="AF5" s="229">
        <f t="shared" ref="AF5:AF11" si="1">N5-K5</f>
        <v>-304.28571428572218</v>
      </c>
      <c r="AG5" s="52">
        <f t="shared" ref="AG5:AG11" si="2">N5/K5</f>
        <v>0.86476190476190129</v>
      </c>
      <c r="AH5" s="457">
        <f>AG15</f>
        <v>0.85241341991342257</v>
      </c>
    </row>
    <row r="6" spans="1:34" ht="15" customHeight="1">
      <c r="A6" s="424"/>
      <c r="B6" s="75" t="s">
        <v>81</v>
      </c>
      <c r="C6" s="76"/>
      <c r="D6" s="59" t="s">
        <v>117</v>
      </c>
      <c r="E6" s="77"/>
      <c r="F6" s="75">
        <f>VLOOKUP(D6,廠價表!$C$1:$E$43,3,0)</f>
        <v>49.14</v>
      </c>
      <c r="G6" s="66">
        <v>5399</v>
      </c>
      <c r="H6" s="78">
        <f>F6*G6</f>
        <v>265306.86</v>
      </c>
      <c r="I6" s="73"/>
      <c r="J6" s="79">
        <v>14</v>
      </c>
      <c r="K6" s="80">
        <f>VLOOKUP(D6,產線配置圖!$A$3:$C$40,3,0)</f>
        <v>2250</v>
      </c>
      <c r="L6" s="81">
        <f>K6/J6</f>
        <v>160.71428571428572</v>
      </c>
      <c r="M6" s="82">
        <v>14</v>
      </c>
      <c r="N6" s="80">
        <f>G6/W6*60</f>
        <v>2103.506493506502</v>
      </c>
      <c r="O6" s="81">
        <f>N6/M6</f>
        <v>150.25046382189299</v>
      </c>
      <c r="P6" s="74">
        <f>M6-J6</f>
        <v>0</v>
      </c>
      <c r="Q6" s="83">
        <f>O6-L6</f>
        <v>-10.46382189239273</v>
      </c>
      <c r="R6" s="72">
        <f>O6/L6</f>
        <v>0.93489177489177855</v>
      </c>
      <c r="S6" s="413"/>
      <c r="T6" s="18">
        <v>0.37638888888888899</v>
      </c>
      <c r="U6" s="18">
        <v>0.483333333333333</v>
      </c>
      <c r="V6" s="30">
        <f>(T6-U5)*24*60</f>
        <v>15.999999999999863</v>
      </c>
      <c r="W6" s="73">
        <f t="shared" si="0"/>
        <v>153.99999999999937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-146.49350649349799</v>
      </c>
      <c r="AG6" s="72">
        <f t="shared" si="2"/>
        <v>0.93489177489177866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478</v>
      </c>
      <c r="H7" s="78">
        <f>F7*G7</f>
        <v>23488.920000000002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1792.5000000000243</v>
      </c>
      <c r="O7" s="81">
        <f>N7/M7</f>
        <v>128.03571428571601</v>
      </c>
      <c r="P7" s="74">
        <f>M7-J7</f>
        <v>0</v>
      </c>
      <c r="Q7" s="83">
        <f>O7-L7</f>
        <v>-32.678571428569711</v>
      </c>
      <c r="R7" s="72">
        <f>O7/L7</f>
        <v>0.7966666666666774</v>
      </c>
      <c r="S7" s="413"/>
      <c r="T7" s="16">
        <v>0.54930555555555605</v>
      </c>
      <c r="U7" s="16">
        <v>0.56041666666666701</v>
      </c>
      <c r="V7" s="30">
        <f>(T7-U6)*24*60</f>
        <v>95.00000000000118</v>
      </c>
      <c r="W7" s="73">
        <f t="shared" si="0"/>
        <v>15.999999999999783</v>
      </c>
      <c r="X7" s="22"/>
      <c r="Y7" s="84"/>
      <c r="Z7" s="90"/>
      <c r="AA7" s="90"/>
      <c r="AB7" s="462" t="s">
        <v>143</v>
      </c>
      <c r="AC7" s="462"/>
      <c r="AD7" s="92"/>
      <c r="AE7" s="92"/>
      <c r="AF7" s="307">
        <f t="shared" si="1"/>
        <v>-457.49999999997567</v>
      </c>
      <c r="AG7" s="72">
        <f t="shared" si="2"/>
        <v>0.79666666666667751</v>
      </c>
      <c r="AH7" s="458"/>
    </row>
    <row r="8" spans="1:34" ht="15" customHeight="1">
      <c r="A8" s="424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1098</v>
      </c>
      <c r="H8" s="78">
        <f>F8*G8</f>
        <v>63870.66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1829.9999999999984</v>
      </c>
      <c r="O8" s="81">
        <f>N8/M8</f>
        <v>130.71428571428561</v>
      </c>
      <c r="P8" s="74">
        <f>M8-J8</f>
        <v>0</v>
      </c>
      <c r="Q8" s="83">
        <f>O8-L8</f>
        <v>-30.000000000000114</v>
      </c>
      <c r="R8" s="72">
        <f>O8/L8</f>
        <v>0.81333333333333269</v>
      </c>
      <c r="S8" s="413"/>
      <c r="T8" s="16">
        <v>0.56597222222222199</v>
      </c>
      <c r="U8" s="16">
        <v>0.59097222222222201</v>
      </c>
      <c r="V8" s="30">
        <f>(T8-U7)*24*60</f>
        <v>7.9999999999991722</v>
      </c>
      <c r="W8" s="73">
        <f t="shared" si="0"/>
        <v>36.000000000000028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-420.00000000000159</v>
      </c>
      <c r="AG8" s="72">
        <f t="shared" si="2"/>
        <v>0.81333333333333258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</v>
      </c>
      <c r="K15" s="120">
        <f t="shared" si="3"/>
        <v>2250</v>
      </c>
      <c r="L15" s="117">
        <f t="shared" si="3"/>
        <v>160.71428571428572</v>
      </c>
      <c r="M15" s="120">
        <f t="shared" si="3"/>
        <v>14</v>
      </c>
      <c r="N15" s="120">
        <f t="shared" si="3"/>
        <v>1917.9301948052007</v>
      </c>
      <c r="O15" s="117">
        <f t="shared" si="3"/>
        <v>136.99501391465719</v>
      </c>
      <c r="P15" s="121">
        <f>M15-J15</f>
        <v>0</v>
      </c>
      <c r="Q15" s="122">
        <f>O15-L15</f>
        <v>-23.71927179962853</v>
      </c>
      <c r="R15" s="123">
        <f>O15/L15</f>
        <v>0.85241341991342245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-332.0698051947993</v>
      </c>
      <c r="AG15" s="124">
        <f>N15/K15</f>
        <v>0.85241341991342257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2506</v>
      </c>
      <c r="H16" s="134">
        <f>F16*G16</f>
        <v>126979.02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2059.7260273972361</v>
      </c>
      <c r="O16" s="141">
        <f>N16/M16</f>
        <v>158.44046364594124</v>
      </c>
      <c r="P16" s="142">
        <f>M16-J16</f>
        <v>0</v>
      </c>
      <c r="Q16" s="143">
        <f>O16-L16</f>
        <v>-14.63645943098183</v>
      </c>
      <c r="R16" s="144">
        <f>O16/L16</f>
        <v>0.91543378995432723</v>
      </c>
      <c r="S16" s="468">
        <f>R26</f>
        <v>0.9158815348704652</v>
      </c>
      <c r="T16" s="145">
        <v>0.28819444444444398</v>
      </c>
      <c r="U16" s="145">
        <v>0.33888888888888902</v>
      </c>
      <c r="V16" s="135"/>
      <c r="W16" s="146">
        <f t="shared" ref="W16:W78" si="4">(U16-T16)*24*60</f>
        <v>73.000000000000853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-190.27397260276393</v>
      </c>
      <c r="AG16" s="52">
        <f>N16/K16</f>
        <v>0.91543378995432712</v>
      </c>
      <c r="AH16" s="457">
        <f>AG26</f>
        <v>0.91667625028212629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3354</v>
      </c>
      <c r="H17" s="78">
        <f>F17*G17</f>
        <v>190741.97999999998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2140.8510638297803</v>
      </c>
      <c r="O17" s="96">
        <f>N17/M17</f>
        <v>152.9179331306986</v>
      </c>
      <c r="P17" s="97">
        <f>M17-J17</f>
        <v>0</v>
      </c>
      <c r="Q17" s="98">
        <f>O17-L17</f>
        <v>-7.7963525835871224</v>
      </c>
      <c r="R17" s="99">
        <f>O17/L17</f>
        <v>0.95148936170212461</v>
      </c>
      <c r="S17" s="469"/>
      <c r="T17" s="19">
        <v>0.344444444444444</v>
      </c>
      <c r="U17" s="19">
        <v>0.40972222222222199</v>
      </c>
      <c r="V17" s="30">
        <f>(T17-U16)*24*60</f>
        <v>7.9999999999991722</v>
      </c>
      <c r="W17" s="149">
        <f t="shared" si="4"/>
        <v>94.000000000000313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-109.14893617021971</v>
      </c>
      <c r="AG17" s="72">
        <f>N17/K17</f>
        <v>0.95148936170212461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1372</v>
      </c>
      <c r="H18" s="78">
        <f>F18*G18</f>
        <v>79809.240000000005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2057.9999999999873</v>
      </c>
      <c r="O18" s="96">
        <f>N18/M18</f>
        <v>146.99999999999909</v>
      </c>
      <c r="P18" s="97">
        <f>M18-J18</f>
        <v>0</v>
      </c>
      <c r="Q18" s="98">
        <f>O18-L18</f>
        <v>-13.714285714286632</v>
      </c>
      <c r="R18" s="99">
        <f>O18/L18</f>
        <v>0.91466666666666097</v>
      </c>
      <c r="S18" s="469"/>
      <c r="T18" s="19">
        <v>0.41458333333333303</v>
      </c>
      <c r="U18" s="19">
        <v>0.44236111111111098</v>
      </c>
      <c r="V18" s="30">
        <f>(T18-U17)*24*60</f>
        <v>6.9999999999998952</v>
      </c>
      <c r="W18" s="149">
        <f t="shared" si="4"/>
        <v>40.000000000000256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-192.00000000001273</v>
      </c>
      <c r="AG18" s="72">
        <f>N18/K18</f>
        <v>0.91466666666666097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1796</v>
      </c>
      <c r="H19" s="78">
        <f t="shared" ref="H19:H21" si="5">F19*G19</f>
        <v>90500.44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2112.9411764706288</v>
      </c>
      <c r="O19" s="96">
        <f t="shared" ref="O19:O21" si="8">N19/M19</f>
        <v>176.07843137255239</v>
      </c>
      <c r="P19" s="97">
        <f t="shared" ref="P19:P21" si="9">M19-J19</f>
        <v>0</v>
      </c>
      <c r="Q19" s="98">
        <f t="shared" ref="Q19:Q21" si="10">O19-L19</f>
        <v>-11.421568627447613</v>
      </c>
      <c r="R19" s="99">
        <f t="shared" ref="R19:R21" si="11">O19/L19</f>
        <v>0.93908496732027935</v>
      </c>
      <c r="S19" s="469"/>
      <c r="T19" s="19">
        <v>0.44930555555555601</v>
      </c>
      <c r="U19" s="19">
        <v>0.484722222222222</v>
      </c>
      <c r="V19" s="30">
        <f>(T19-U18)*24*60</f>
        <v>10.000000000000844</v>
      </c>
      <c r="W19" s="149">
        <f t="shared" si="4"/>
        <v>50.999999999999019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-137.05882352937124</v>
      </c>
      <c r="AG19" s="72">
        <f>N19/K19</f>
        <v>0.93908496732027946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3503</v>
      </c>
      <c r="H20" s="78">
        <f t="shared" si="5"/>
        <v>176516.17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1946.1111111111122</v>
      </c>
      <c r="O20" s="96">
        <f t="shared" si="8"/>
        <v>162.17592592592601</v>
      </c>
      <c r="P20" s="97">
        <f t="shared" si="9"/>
        <v>0</v>
      </c>
      <c r="Q20" s="98">
        <f t="shared" si="10"/>
        <v>-25.324074074073991</v>
      </c>
      <c r="R20" s="99">
        <f t="shared" si="11"/>
        <v>0.86493827160493875</v>
      </c>
      <c r="S20" s="469"/>
      <c r="T20" s="19">
        <v>0.54861111111111105</v>
      </c>
      <c r="U20" s="19">
        <v>0.62361111111111101</v>
      </c>
      <c r="V20" s="30">
        <f>(T20-U19)*24*60</f>
        <v>92.000000000000227</v>
      </c>
      <c r="W20" s="149">
        <f t="shared" si="4"/>
        <v>107.99999999999994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1646</v>
      </c>
      <c r="H21" s="78">
        <f t="shared" si="5"/>
        <v>83402.820000000007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2057.4999999999595</v>
      </c>
      <c r="O21" s="96">
        <f t="shared" si="8"/>
        <v>158.26923076922765</v>
      </c>
      <c r="P21" s="97">
        <f t="shared" si="9"/>
        <v>0</v>
      </c>
      <c r="Q21" s="98">
        <f t="shared" si="10"/>
        <v>-14.807692307695419</v>
      </c>
      <c r="R21" s="99">
        <f t="shared" si="11"/>
        <v>0.91444444444442652</v>
      </c>
      <c r="S21" s="469"/>
      <c r="T21" s="19">
        <v>0.63194444444444398</v>
      </c>
      <c r="U21" s="19">
        <v>0.66527777777777797</v>
      </c>
      <c r="V21" s="30">
        <f>(T21-U20)*24*60</f>
        <v>11.999999999999478</v>
      </c>
      <c r="W21" s="149">
        <f t="shared" si="4"/>
        <v>48.000000000000952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2062.5215631347842</v>
      </c>
      <c r="O26" s="158">
        <f t="shared" si="12"/>
        <v>159.14699747405749</v>
      </c>
      <c r="P26" s="159">
        <f>M26-J26</f>
        <v>0</v>
      </c>
      <c r="Q26" s="160">
        <f>O26-L26</f>
        <v>-14.616738789678777</v>
      </c>
      <c r="R26" s="161">
        <f>O26/L26</f>
        <v>0.9158815348704652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-187.47843686521583</v>
      </c>
      <c r="AG26" s="124">
        <f t="shared" ref="AG26:AG31" si="14">N26/K26</f>
        <v>0.91667625028212629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1553</v>
      </c>
      <c r="H27" s="134">
        <f>F27*G27</f>
        <v>70909.98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1502.9032258064724</v>
      </c>
      <c r="O27" s="141">
        <f>N27/M27</f>
        <v>88.406072106263082</v>
      </c>
      <c r="P27" s="142">
        <f>M27-J27</f>
        <v>0</v>
      </c>
      <c r="Q27" s="143">
        <f>O27-L27</f>
        <v>-7.8292220113839761</v>
      </c>
      <c r="R27" s="144">
        <f>O27/L27</f>
        <v>0.91864500354918854</v>
      </c>
      <c r="S27" s="468">
        <f>R37</f>
        <v>0.89290861463650772</v>
      </c>
      <c r="T27" s="171">
        <v>0.29027777777777802</v>
      </c>
      <c r="U27" s="171">
        <v>0.33333333333333298</v>
      </c>
      <c r="V27" s="135"/>
      <c r="W27" s="146">
        <f t="shared" si="4"/>
        <v>61.99999999999914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-133.09677419352761</v>
      </c>
      <c r="AG27" s="172">
        <f t="shared" si="14"/>
        <v>0.91864500354918854</v>
      </c>
      <c r="AH27" s="457">
        <f>AG37</f>
        <v>0.87382379163353763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2125</v>
      </c>
      <c r="H28" s="91">
        <f>F28*G28</f>
        <v>98472.5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1536.144578313251</v>
      </c>
      <c r="O28" s="96">
        <f>N28/M28</f>
        <v>96.009036144578189</v>
      </c>
      <c r="P28" s="97">
        <f>M28-J28</f>
        <v>0</v>
      </c>
      <c r="Q28" s="98">
        <f>O28-L28</f>
        <v>-6.2409638554218105</v>
      </c>
      <c r="R28" s="99">
        <f>O28/L28</f>
        <v>0.93896367867558128</v>
      </c>
      <c r="S28" s="469"/>
      <c r="T28" s="19">
        <v>0.34027777777777801</v>
      </c>
      <c r="U28" s="19">
        <v>0.39791666666666697</v>
      </c>
      <c r="V28" s="92">
        <f>(T28-U27)*24*60</f>
        <v>10.000000000000844</v>
      </c>
      <c r="W28" s="149">
        <f t="shared" si="4"/>
        <v>83.000000000000099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-99.855421686748969</v>
      </c>
      <c r="AG28" s="99">
        <f t="shared" si="14"/>
        <v>0.93896367867558128</v>
      </c>
      <c r="AH28" s="478"/>
    </row>
    <row r="29" spans="1:34" ht="15" customHeight="1">
      <c r="A29" s="466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779</v>
      </c>
      <c r="H29" s="91">
        <f>F29*G29</f>
        <v>44566.590000000004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1229.9999999999966</v>
      </c>
      <c r="O29" s="96">
        <f>N29/M29</f>
        <v>72.352941176470381</v>
      </c>
      <c r="P29" s="97">
        <f>M29-J29</f>
        <v>-1</v>
      </c>
      <c r="Q29" s="98">
        <f>O29-L29</f>
        <v>-14.591503267974062</v>
      </c>
      <c r="R29" s="99">
        <f>O29/L29</f>
        <v>0.83217440330764658</v>
      </c>
      <c r="S29" s="469"/>
      <c r="T29" s="19">
        <v>0.40277777777777801</v>
      </c>
      <c r="U29" s="19">
        <v>0.42916666666666697</v>
      </c>
      <c r="V29" s="92">
        <f>(T29-U28)*24*60</f>
        <v>6.9999999999998952</v>
      </c>
      <c r="W29" s="149">
        <f t="shared" si="4"/>
        <v>38.000000000000107</v>
      </c>
      <c r="X29" s="22"/>
      <c r="Y29" s="84"/>
      <c r="Z29" s="90">
        <v>1</v>
      </c>
      <c r="AA29" s="90">
        <v>6</v>
      </c>
      <c r="AB29" s="462" t="s">
        <v>193</v>
      </c>
      <c r="AC29" s="462"/>
      <c r="AD29" s="92"/>
      <c r="AE29" s="92"/>
      <c r="AF29" s="312">
        <f t="shared" si="13"/>
        <v>-335.00000000000341</v>
      </c>
      <c r="AG29" s="99">
        <f t="shared" si="14"/>
        <v>0.78594249201277733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1214</v>
      </c>
      <c r="H30" s="91">
        <f t="shared" ref="H30:H34" si="15">F30*G30</f>
        <v>69452.94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16">K30/J30</f>
        <v>90.888888888888886</v>
      </c>
      <c r="M30" s="94">
        <v>17</v>
      </c>
      <c r="N30" s="95">
        <f t="shared" ref="N30:N34" si="17">G30/W30*60</f>
        <v>1348.8888888888896</v>
      </c>
      <c r="O30" s="96">
        <f t="shared" ref="O30:O34" si="18">N30/M30</f>
        <v>79.346405228758215</v>
      </c>
      <c r="P30" s="97">
        <f t="shared" ref="P30:P34" si="19">M30-J30</f>
        <v>-1</v>
      </c>
      <c r="Q30" s="98">
        <f t="shared" ref="Q30:Q34" si="20">O30-L30</f>
        <v>-11.542483660130671</v>
      </c>
      <c r="R30" s="99">
        <f t="shared" ref="R30:R34" si="21">O30/L30</f>
        <v>0.87300445850711972</v>
      </c>
      <c r="S30" s="469"/>
      <c r="T30" s="19">
        <v>0.43333333333333302</v>
      </c>
      <c r="U30" s="19">
        <v>0.47083333333333299</v>
      </c>
      <c r="V30" s="92">
        <f t="shared" ref="V30:V34" si="22">(T30-U29)*24*60</f>
        <v>5.9999999999990994</v>
      </c>
      <c r="W30" s="149">
        <f t="shared" si="4"/>
        <v>53.999999999999972</v>
      </c>
      <c r="X30" s="174">
        <v>0.49652777777777801</v>
      </c>
      <c r="Y30" s="301">
        <v>0.53819444444444398</v>
      </c>
      <c r="Z30" s="335"/>
      <c r="AA30" s="335"/>
      <c r="AB30" s="462" t="s">
        <v>194</v>
      </c>
      <c r="AC30" s="462"/>
      <c r="AD30" s="92">
        <v>1</v>
      </c>
      <c r="AE30" s="92">
        <v>1</v>
      </c>
      <c r="AF30" s="312">
        <f t="shared" si="13"/>
        <v>-287.1111111111104</v>
      </c>
      <c r="AG30" s="99">
        <f t="shared" si="14"/>
        <v>0.82450421081227976</v>
      </c>
      <c r="AH30" s="479"/>
    </row>
    <row r="31" spans="1:34" ht="15" customHeight="1">
      <c r="A31" s="466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978</v>
      </c>
      <c r="H31" s="91">
        <f t="shared" si="15"/>
        <v>55951.38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17</v>
      </c>
      <c r="N31" s="95">
        <f t="shared" si="17"/>
        <v>1333.6363636363442</v>
      </c>
      <c r="O31" s="96">
        <f t="shared" si="18"/>
        <v>78.449197860961419</v>
      </c>
      <c r="P31" s="97">
        <f t="shared" si="19"/>
        <v>-1</v>
      </c>
      <c r="Q31" s="98">
        <f t="shared" si="20"/>
        <v>-12.439691027927466</v>
      </c>
      <c r="R31" s="99">
        <f t="shared" si="21"/>
        <v>0.86313298380030901</v>
      </c>
      <c r="S31" s="469"/>
      <c r="T31" s="19">
        <v>0.52708333333333302</v>
      </c>
      <c r="U31" s="19">
        <v>0.55763888888888902</v>
      </c>
      <c r="V31" s="92">
        <f t="shared" si="22"/>
        <v>81.000000000000028</v>
      </c>
      <c r="W31" s="149">
        <f t="shared" si="4"/>
        <v>44.000000000000639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-302.36363636365581</v>
      </c>
      <c r="AG31" s="99">
        <f t="shared" si="14"/>
        <v>0.81518115136695857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1293</v>
      </c>
      <c r="H32" s="91">
        <f t="shared" si="15"/>
        <v>59917.62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1521.1764705882217</v>
      </c>
      <c r="O32" s="96">
        <f t="shared" si="18"/>
        <v>95.073529411763857</v>
      </c>
      <c r="P32" s="97">
        <f t="shared" si="19"/>
        <v>0</v>
      </c>
      <c r="Q32" s="98">
        <f t="shared" si="20"/>
        <v>-7.1764705882361426</v>
      </c>
      <c r="R32" s="99">
        <f t="shared" si="21"/>
        <v>0.92981446857470762</v>
      </c>
      <c r="S32" s="469"/>
      <c r="T32" s="19">
        <v>0.56458333333333299</v>
      </c>
      <c r="U32" s="19">
        <v>0.6</v>
      </c>
      <c r="V32" s="92">
        <f t="shared" si="22"/>
        <v>9.999999999999325</v>
      </c>
      <c r="W32" s="149">
        <f t="shared" si="4"/>
        <v>51.000000000000455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7"/>
      <c r="D33" s="59" t="s">
        <v>123</v>
      </c>
      <c r="E33" s="178"/>
      <c r="F33" s="75">
        <f>VLOOKUP(D33,廠價表!$C$1:$E$43,3,0)</f>
        <v>45.66</v>
      </c>
      <c r="G33" s="90">
        <v>1199</v>
      </c>
      <c r="H33" s="91">
        <f t="shared" si="15"/>
        <v>54746.34</v>
      </c>
      <c r="I33" s="92"/>
      <c r="J33" s="79">
        <f>VLOOKUP(D33,產線配置圖!$A$3:$C$40,2,0)</f>
        <v>17</v>
      </c>
      <c r="K33" s="80">
        <v>1636</v>
      </c>
      <c r="L33" s="93">
        <f t="shared" si="16"/>
        <v>96.235294117647058</v>
      </c>
      <c r="M33" s="94">
        <v>17</v>
      </c>
      <c r="N33" s="95">
        <f t="shared" si="17"/>
        <v>1530.6382978723352</v>
      </c>
      <c r="O33" s="96">
        <f t="shared" si="18"/>
        <v>90.037546933666775</v>
      </c>
      <c r="P33" s="97">
        <f t="shared" si="19"/>
        <v>0</v>
      </c>
      <c r="Q33" s="98">
        <f t="shared" si="20"/>
        <v>-6.1977471839802831</v>
      </c>
      <c r="R33" s="99">
        <f t="shared" si="21"/>
        <v>0.93559798158455698</v>
      </c>
      <c r="S33" s="469"/>
      <c r="T33" s="19">
        <v>0.60694444444444395</v>
      </c>
      <c r="U33" s="19">
        <v>0.63958333333333295</v>
      </c>
      <c r="V33" s="92">
        <f t="shared" si="22"/>
        <v>9.999999999999325</v>
      </c>
      <c r="W33" s="149">
        <f t="shared" si="4"/>
        <v>47.000000000000156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 t="s">
        <v>81</v>
      </c>
      <c r="C34" s="173"/>
      <c r="D34" s="59" t="s">
        <v>135</v>
      </c>
      <c r="E34" s="104"/>
      <c r="F34" s="75">
        <f>VLOOKUP(D34,廠價表!$C$1:$E$43,3,0)</f>
        <v>50.289000000000001</v>
      </c>
      <c r="G34" s="90">
        <v>777</v>
      </c>
      <c r="H34" s="91">
        <f t="shared" si="15"/>
        <v>39074.553</v>
      </c>
      <c r="I34" s="92"/>
      <c r="J34" s="79">
        <f>VLOOKUP(D34,產線配置圖!$A$3:$C$40,2,0)</f>
        <v>17</v>
      </c>
      <c r="K34" s="80">
        <f>VLOOKUP(D34,產線配置圖!$A$3:$C$40,3,0)</f>
        <v>1636</v>
      </c>
      <c r="L34" s="93">
        <f t="shared" si="16"/>
        <v>96.235294117647058</v>
      </c>
      <c r="M34" s="94">
        <v>17</v>
      </c>
      <c r="N34" s="95">
        <f t="shared" si="17"/>
        <v>1371.1764705882467</v>
      </c>
      <c r="O34" s="96">
        <f t="shared" si="18"/>
        <v>80.657439446367448</v>
      </c>
      <c r="P34" s="97">
        <f t="shared" si="19"/>
        <v>0</v>
      </c>
      <c r="Q34" s="98">
        <f t="shared" si="20"/>
        <v>-15.57785467127961</v>
      </c>
      <c r="R34" s="99">
        <f t="shared" si="21"/>
        <v>0.8381274270099307</v>
      </c>
      <c r="S34" s="469"/>
      <c r="T34" s="19">
        <v>0.64652777777777803</v>
      </c>
      <c r="U34" s="19">
        <v>0.67013888888888895</v>
      </c>
      <c r="V34" s="92">
        <f t="shared" si="22"/>
        <v>10.000000000000924</v>
      </c>
      <c r="W34" s="149">
        <f t="shared" si="4"/>
        <v>33.999999999999716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9"/>
      <c r="U36" s="19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17.125</v>
      </c>
      <c r="K37" s="155">
        <f t="shared" si="23"/>
        <v>1627.125</v>
      </c>
      <c r="L37" s="158">
        <f t="shared" si="23"/>
        <v>95.241013071895438</v>
      </c>
      <c r="M37" s="155">
        <f t="shared" si="23"/>
        <v>16.75</v>
      </c>
      <c r="N37" s="155">
        <f t="shared" si="23"/>
        <v>1421.8205369617199</v>
      </c>
      <c r="O37" s="158">
        <f t="shared" si="23"/>
        <v>85.041521038603676</v>
      </c>
      <c r="P37" s="159">
        <f>M37-J37</f>
        <v>-0.375</v>
      </c>
      <c r="Q37" s="160">
        <f>N37-K37</f>
        <v>-205.30446303828012</v>
      </c>
      <c r="R37" s="161">
        <f>O37/L37</f>
        <v>0.89290861463650772</v>
      </c>
      <c r="S37" s="470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6</v>
      </c>
      <c r="AB37" s="473"/>
      <c r="AC37" s="473"/>
      <c r="AD37" s="324">
        <f>SUM(AD27:AD36)</f>
        <v>1</v>
      </c>
      <c r="AE37" s="324">
        <f>SUM(AE27:AE36)</f>
        <v>1</v>
      </c>
      <c r="AF37" s="309">
        <f>N37-K37</f>
        <v>-205.30446303828012</v>
      </c>
      <c r="AG37" s="124">
        <f>N37/K37</f>
        <v>0.87382379163353763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3387</v>
      </c>
      <c r="H38" s="134">
        <f>F38*G38</f>
        <v>169045.16999999998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1652.1951219512125</v>
      </c>
      <c r="O38" s="141">
        <f>N38/M38</f>
        <v>110.14634146341417</v>
      </c>
      <c r="P38" s="142">
        <f>M38-J38</f>
        <v>0</v>
      </c>
      <c r="Q38" s="143">
        <f>O38-L38</f>
        <v>-4.1203252032524915</v>
      </c>
      <c r="R38" s="144">
        <f>O38/L38</f>
        <v>0.96394114466231773</v>
      </c>
      <c r="S38" s="490">
        <f>R48</f>
        <v>0.93575357869519604</v>
      </c>
      <c r="T38" s="191">
        <v>0.33333333333333298</v>
      </c>
      <c r="U38" s="191">
        <v>0.41875000000000001</v>
      </c>
      <c r="V38" s="192"/>
      <c r="W38" s="193">
        <f t="shared" si="4"/>
        <v>123.00000000000053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-61.804878048787486</v>
      </c>
      <c r="AG38" s="195">
        <f>N38/K38</f>
        <v>0.96394114466231773</v>
      </c>
      <c r="AH38" s="480">
        <f>AG48</f>
        <v>0.93381561286817472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2054</v>
      </c>
      <c r="H39" s="91">
        <f>F39*G39</f>
        <v>90992.2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1467.1428571428401</v>
      </c>
      <c r="O39" s="203">
        <f>N39/M39</f>
        <v>81.507936507935554</v>
      </c>
      <c r="P39" s="97">
        <f>M39-J39</f>
        <v>0</v>
      </c>
      <c r="Q39" s="98">
        <f>O39-L39</f>
        <v>-9.3809523809533317</v>
      </c>
      <c r="R39" s="99">
        <f>O39/L39</f>
        <v>0.89678658749562346</v>
      </c>
      <c r="S39" s="491"/>
      <c r="T39" s="20">
        <v>0.43472222222222201</v>
      </c>
      <c r="U39" s="20">
        <v>0.49305555555555602</v>
      </c>
      <c r="V39" s="92">
        <f>(T39-U38)*24*60</f>
        <v>22.99999999999968</v>
      </c>
      <c r="W39" s="205">
        <f t="shared" si="4"/>
        <v>84.000000000000981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-168.85714285715994</v>
      </c>
      <c r="AG39" s="206">
        <f>N39/K39</f>
        <v>0.89678658749562346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3688</v>
      </c>
      <c r="H40" s="91">
        <f>F40*G40</f>
        <v>163378.4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1536.666666666667</v>
      </c>
      <c r="O40" s="203">
        <f>N40/M40</f>
        <v>85.370370370370381</v>
      </c>
      <c r="P40" s="97">
        <f>M40-J40</f>
        <v>0</v>
      </c>
      <c r="Q40" s="98">
        <f>O40-L40</f>
        <v>-5.5185185185185048</v>
      </c>
      <c r="R40" s="99">
        <f>O40/L40</f>
        <v>0.93928280358598226</v>
      </c>
      <c r="S40" s="413"/>
      <c r="T40" s="20">
        <v>0.55208333333333304</v>
      </c>
      <c r="U40" s="20">
        <v>0.65208333333333302</v>
      </c>
      <c r="V40" s="92">
        <f>(T40-U39)*24*60</f>
        <v>84.999999999998892</v>
      </c>
      <c r="W40" s="205">
        <f t="shared" si="4"/>
        <v>143.99999999999997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-99.33333333333303</v>
      </c>
      <c r="AG40" s="206">
        <f>N40/K40</f>
        <v>0.93928280358598226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1552.0015485869064</v>
      </c>
      <c r="O48" s="158">
        <f t="shared" si="24"/>
        <v>92.341549447240027</v>
      </c>
      <c r="P48" s="221">
        <f>M48-J48</f>
        <v>0</v>
      </c>
      <c r="Q48" s="222">
        <f>N48-K48</f>
        <v>-109.99845141309356</v>
      </c>
      <c r="R48" s="223">
        <f>O48/L48</f>
        <v>0.93575357869519604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-109.99845141309356</v>
      </c>
      <c r="AG48" s="162">
        <f t="shared" ref="AG48:AG53" si="26">N48/K48</f>
        <v>0.93381561286817472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2866</v>
      </c>
      <c r="H49" s="134">
        <f>F49*G49</f>
        <v>141924.32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1563.272727272725</v>
      </c>
      <c r="O49" s="141">
        <f>N49/M49</f>
        <v>91.957219251336767</v>
      </c>
      <c r="P49" s="229">
        <f>M49-J49</f>
        <v>0</v>
      </c>
      <c r="Q49" s="230">
        <f>O49-L49</f>
        <v>-13.925133689839697</v>
      </c>
      <c r="R49" s="52">
        <f>O49/L49</f>
        <v>0.8684848484848473</v>
      </c>
      <c r="S49" s="412">
        <f>R58</f>
        <v>0.88868012087408688</v>
      </c>
      <c r="T49" s="191">
        <v>0.29166666666666702</v>
      </c>
      <c r="U49" s="191">
        <v>0.36805555555555602</v>
      </c>
      <c r="V49" s="55"/>
      <c r="W49" s="193">
        <f t="shared" si="4"/>
        <v>110.00000000000017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-236.72727272727502</v>
      </c>
      <c r="AG49" s="52">
        <f t="shared" si="26"/>
        <v>0.86848484848484719</v>
      </c>
      <c r="AH49" s="457">
        <f>AG58</f>
        <v>0.88977114467827423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2215</v>
      </c>
      <c r="H50" s="231">
        <f>F50*G50</f>
        <v>111390.13500000001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1620.7317073170852</v>
      </c>
      <c r="O50" s="235">
        <f>N50/M50</f>
        <v>95.337159253946197</v>
      </c>
      <c r="P50" s="74">
        <f>M50-J50</f>
        <v>0</v>
      </c>
      <c r="Q50" s="83">
        <f>O50-L50</f>
        <v>-0.89813486370086082</v>
      </c>
      <c r="R50" s="72">
        <f>O50/L50</f>
        <v>0.99066730276105464</v>
      </c>
      <c r="S50" s="413"/>
      <c r="T50" s="21">
        <v>0.37291666666666701</v>
      </c>
      <c r="U50" s="21">
        <v>0.42986111111111103</v>
      </c>
      <c r="V50" s="30">
        <f>(T50-U49)*24*60</f>
        <v>6.9999999999998153</v>
      </c>
      <c r="W50" s="236">
        <f t="shared" si="4"/>
        <v>81.999999999999389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-15.268292682914762</v>
      </c>
      <c r="AG50" s="72">
        <f t="shared" si="26"/>
        <v>0.99066730276105452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1750</v>
      </c>
      <c r="H51" s="231">
        <f>F51*G51</f>
        <v>87447.5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1544.1176470588309</v>
      </c>
      <c r="O51" s="235">
        <f>N51/M51</f>
        <v>96.507352941176933</v>
      </c>
      <c r="P51" s="74">
        <f>M51-J51</f>
        <v>0</v>
      </c>
      <c r="Q51" s="83">
        <f>O51-L51</f>
        <v>-15.992647058823067</v>
      </c>
      <c r="R51" s="72">
        <f>O51/L51</f>
        <v>0.85784313725490602</v>
      </c>
      <c r="S51" s="413"/>
      <c r="T51" s="21">
        <v>0.43541666666666701</v>
      </c>
      <c r="U51" s="19">
        <v>0.48263888888888901</v>
      </c>
      <c r="V51" s="30">
        <f>(T51-U50)*24*60</f>
        <v>8.0000000000006111</v>
      </c>
      <c r="W51" s="236">
        <f t="shared" si="4"/>
        <v>67.999999999999673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-255.88235294116907</v>
      </c>
      <c r="AG51" s="72">
        <f t="shared" si="26"/>
        <v>0.85784313725490602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3984</v>
      </c>
      <c r="H52" s="231">
        <f>F52*G52</f>
        <v>199080.47999999998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1532.3076923076962</v>
      </c>
      <c r="O52" s="235">
        <f>N52/M52</f>
        <v>95.769230769231015</v>
      </c>
      <c r="P52" s="74">
        <f>M52-J52</f>
        <v>0</v>
      </c>
      <c r="Q52" s="83">
        <f>O52-L52</f>
        <v>-16.730769230768985</v>
      </c>
      <c r="R52" s="72">
        <f>O52/L52</f>
        <v>0.85128205128205348</v>
      </c>
      <c r="S52" s="413"/>
      <c r="T52" s="21">
        <v>0.54166666666666696</v>
      </c>
      <c r="U52" s="21">
        <v>0.65</v>
      </c>
      <c r="V52" s="30">
        <f>(T52-U51)*24*60</f>
        <v>85.000000000000256</v>
      </c>
      <c r="W52" s="236">
        <f t="shared" si="4"/>
        <v>155.9999999999996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25"/>
        <v>-267.69230769230376</v>
      </c>
      <c r="AG52" s="72">
        <f t="shared" si="26"/>
        <v>0.85128205128205348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1565.1074434890843</v>
      </c>
      <c r="O58" s="117">
        <f t="shared" si="27"/>
        <v>94.892740553922721</v>
      </c>
      <c r="P58" s="121">
        <f>M58-J58</f>
        <v>0</v>
      </c>
      <c r="Q58" s="122">
        <f>N58-K58</f>
        <v>-193.89255651091571</v>
      </c>
      <c r="R58" s="123">
        <f>O58/L58</f>
        <v>0.88868012087408688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-193.89255651091571</v>
      </c>
      <c r="AG58" s="124">
        <f>N58/K58</f>
        <v>0.88977114467827423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3268</v>
      </c>
      <c r="H59" s="243">
        <f>F59*G59</f>
        <v>88203.319999999992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1568.6399999999915</v>
      </c>
      <c r="O59" s="138">
        <f>N59/M59</f>
        <v>104.57599999999942</v>
      </c>
      <c r="P59" s="56">
        <f>M59-J59</f>
        <v>0</v>
      </c>
      <c r="Q59" s="230">
        <f>O59-L59</f>
        <v>-4.4906666666672379</v>
      </c>
      <c r="R59" s="52">
        <f>O59/L59</f>
        <v>0.95882640586796541</v>
      </c>
      <c r="S59" s="412">
        <f>R69</f>
        <v>0.93441512658845882</v>
      </c>
      <c r="T59" s="245">
        <v>0.28819444444444398</v>
      </c>
      <c r="U59" s="245">
        <v>0.375</v>
      </c>
      <c r="V59" s="55"/>
      <c r="W59" s="54">
        <f t="shared" si="4"/>
        <v>125.00000000000068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-67.36000000000854</v>
      </c>
      <c r="AG59" s="246">
        <f>N59/K59</f>
        <v>0.95882640586796541</v>
      </c>
      <c r="AH59" s="457">
        <f>AG69</f>
        <v>0.93531924087705021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2061</v>
      </c>
      <c r="H60" s="78">
        <f>F60*G60</f>
        <v>58243.86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1545.7499999999868</v>
      </c>
      <c r="O60" s="81">
        <f>N60/M60</f>
        <v>140.52272727272609</v>
      </c>
      <c r="P60" s="74">
        <f>M60-J60</f>
        <v>0</v>
      </c>
      <c r="Q60" s="83">
        <f>O60-L60</f>
        <v>-8.2045454545466328</v>
      </c>
      <c r="R60" s="72">
        <f>O60/L60</f>
        <v>0.94483496332517547</v>
      </c>
      <c r="S60" s="502"/>
      <c r="T60" s="22">
        <v>0.38194444444444398</v>
      </c>
      <c r="U60" s="22">
        <v>0.4375</v>
      </c>
      <c r="V60" s="30">
        <f>(T60-U59)*24*60</f>
        <v>9.999999999999325</v>
      </c>
      <c r="W60" s="248">
        <f t="shared" si="4"/>
        <v>80.000000000000682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-90.250000000013188</v>
      </c>
      <c r="AG60" s="249">
        <f>N60/K60</f>
        <v>0.94483496332517536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75">
        <f>VLOOKUP(D61,廠價表!$C$1:$E$43,3,0)</f>
        <v>28.26</v>
      </c>
      <c r="G61" s="38">
        <v>2175</v>
      </c>
      <c r="H61" s="254">
        <f>F61*G61</f>
        <v>61465.5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1535.2941176470526</v>
      </c>
      <c r="O61" s="238">
        <f>N61/M61</f>
        <v>139.57219251336844</v>
      </c>
      <c r="P61" s="111">
        <f>M61-J61</f>
        <v>0</v>
      </c>
      <c r="Q61" s="255">
        <f>O61-L61</f>
        <v>-9.1550802139042844</v>
      </c>
      <c r="R61" s="85">
        <f>O61/L61</f>
        <v>0.93844383719257507</v>
      </c>
      <c r="S61" s="413"/>
      <c r="T61" s="22">
        <v>0.44444444444444398</v>
      </c>
      <c r="U61" s="22">
        <v>0.50347222222222199</v>
      </c>
      <c r="V61" s="30">
        <f t="shared" ref="V61:V63" si="28">(T61-U60)*24*60</f>
        <v>9.999999999999325</v>
      </c>
      <c r="W61" s="256">
        <f t="shared" si="4"/>
        <v>85.000000000000341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-100.70588235294736</v>
      </c>
      <c r="AG61" s="247">
        <f>N61/K61</f>
        <v>0.93844383719257496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75">
        <f>VLOOKUP(D62,廠價表!$C$1:$E$43,3,0)</f>
        <v>28.26</v>
      </c>
      <c r="G62" s="38">
        <v>1361</v>
      </c>
      <c r="H62" s="254">
        <f t="shared" ref="H62:H63" si="29">F62*G62</f>
        <v>38461.86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0">K62/J62</f>
        <v>148.72727272727272</v>
      </c>
      <c r="M62" s="108">
        <v>11</v>
      </c>
      <c r="N62" s="107">
        <f t="shared" ref="N62:N63" si="31">G62/W62*60</f>
        <v>1484.7272727272521</v>
      </c>
      <c r="O62" s="238">
        <f t="shared" ref="O62:O63" si="32">N62/M62</f>
        <v>134.97520661156838</v>
      </c>
      <c r="P62" s="111">
        <f t="shared" ref="P62:P63" si="33">M62-J62</f>
        <v>0</v>
      </c>
      <c r="Q62" s="255">
        <f t="shared" ref="Q62:Q63" si="34">O62-L62</f>
        <v>-13.752066115704338</v>
      </c>
      <c r="R62" s="85">
        <f t="shared" ref="R62:R63" si="35">O62/L62</f>
        <v>0.90753500777949403</v>
      </c>
      <c r="S62" s="413"/>
      <c r="T62" s="22">
        <v>0.55208333333333304</v>
      </c>
      <c r="U62" s="22">
        <v>0.59027777777777801</v>
      </c>
      <c r="V62" s="30">
        <f t="shared" si="28"/>
        <v>69.999999999999915</v>
      </c>
      <c r="W62" s="248">
        <f t="shared" si="4"/>
        <v>55.000000000000767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-151.27272727274794</v>
      </c>
      <c r="AG62" s="247">
        <f>N62/K62</f>
        <v>0.90753500777949392</v>
      </c>
      <c r="AH62" s="458"/>
    </row>
    <row r="63" spans="1:34" ht="15" customHeight="1">
      <c r="A63" s="500"/>
      <c r="B63" s="258" t="s">
        <v>136</v>
      </c>
      <c r="C63" s="58"/>
      <c r="D63" s="259" t="s">
        <v>137</v>
      </c>
      <c r="E63" s="60"/>
      <c r="F63" s="75">
        <f>VLOOKUP(D63,廠價表!$C$1:$E$43,3,0)</f>
        <v>26.99</v>
      </c>
      <c r="G63" s="260">
        <v>1011</v>
      </c>
      <c r="H63" s="254">
        <f t="shared" si="29"/>
        <v>27286.89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0"/>
        <v>109.06666666666666</v>
      </c>
      <c r="M63" s="68">
        <v>15</v>
      </c>
      <c r="N63" s="107">
        <f t="shared" si="31"/>
        <v>1516.499999999987</v>
      </c>
      <c r="O63" s="238">
        <f t="shared" si="32"/>
        <v>101.09999999999914</v>
      </c>
      <c r="P63" s="111">
        <f t="shared" si="33"/>
        <v>0</v>
      </c>
      <c r="Q63" s="255">
        <f t="shared" si="34"/>
        <v>-7.9666666666675212</v>
      </c>
      <c r="R63" s="85">
        <f t="shared" si="35"/>
        <v>0.92695599022004105</v>
      </c>
      <c r="S63" s="413"/>
      <c r="T63" s="22">
        <v>0.59722222222222199</v>
      </c>
      <c r="U63" s="22">
        <v>0.625</v>
      </c>
      <c r="V63" s="30">
        <f t="shared" si="28"/>
        <v>9.999999999999325</v>
      </c>
      <c r="W63" s="248">
        <f t="shared" si="4"/>
        <v>40.000000000000341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36">AVERAGE(J59:J68)</f>
        <v>12.6</v>
      </c>
      <c r="K69" s="240">
        <f t="shared" si="36"/>
        <v>1636</v>
      </c>
      <c r="L69" s="268">
        <f t="shared" si="36"/>
        <v>132.86303030303029</v>
      </c>
      <c r="M69" s="240">
        <f t="shared" si="36"/>
        <v>12.6</v>
      </c>
      <c r="N69" s="240">
        <f t="shared" si="36"/>
        <v>1530.1822780748541</v>
      </c>
      <c r="O69" s="268">
        <f t="shared" si="36"/>
        <v>124.14922527953229</v>
      </c>
      <c r="P69" s="269">
        <f>M69-J69</f>
        <v>0</v>
      </c>
      <c r="Q69" s="222">
        <f>N69-K69</f>
        <v>-105.81772192514586</v>
      </c>
      <c r="R69" s="123">
        <f>O69/L69</f>
        <v>0.93441512658845882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-105.81772192514586</v>
      </c>
      <c r="AG69" s="124">
        <f>N69/K69</f>
        <v>0.93531924087705021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2771</v>
      </c>
      <c r="H70" s="243">
        <f>F70*G70</f>
        <v>78308.460000000006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1471.327433628323</v>
      </c>
      <c r="O70" s="138">
        <f>N70/M70</f>
        <v>133.75703942075663</v>
      </c>
      <c r="P70" s="56">
        <f>M70-J70</f>
        <v>0</v>
      </c>
      <c r="Q70" s="230">
        <f>O70-L70</f>
        <v>-14.970233306516093</v>
      </c>
      <c r="R70" s="52">
        <f>O70/L70</f>
        <v>0.89934439708332703</v>
      </c>
      <c r="S70" s="412">
        <f>R79</f>
        <v>0.86560625504855526</v>
      </c>
      <c r="T70" s="245">
        <v>0.29513888888888901</v>
      </c>
      <c r="U70" s="245">
        <v>0.37361111111111101</v>
      </c>
      <c r="V70" s="55"/>
      <c r="W70" s="54">
        <f t="shared" si="4"/>
        <v>112.99999999999967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-164.67256637167702</v>
      </c>
      <c r="AG70" s="246">
        <f>N70/K70</f>
        <v>0.89934439708332703</v>
      </c>
      <c r="AH70" s="457">
        <f>AG79</f>
        <v>0.81168500816085443</v>
      </c>
    </row>
    <row r="71" spans="1:36" ht="15" customHeight="1">
      <c r="A71" s="495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30">
        <v>1708</v>
      </c>
      <c r="H71" s="254">
        <f>F71*G71</f>
        <v>97714.680000000008</v>
      </c>
      <c r="I71" s="182"/>
      <c r="J71" s="106">
        <f>VLOOKUP(D71,產線配置圖!$A$3:$C$40,2,0)</f>
        <v>17</v>
      </c>
      <c r="K71" s="107">
        <v>1565</v>
      </c>
      <c r="L71" s="238">
        <f>K71/J71</f>
        <v>92.058823529411768</v>
      </c>
      <c r="M71" s="82">
        <v>16</v>
      </c>
      <c r="N71" s="80">
        <f>G71/W71*60</f>
        <v>1205.6470588235245</v>
      </c>
      <c r="O71" s="81">
        <f>N71/M71</f>
        <v>75.352941176470281</v>
      </c>
      <c r="P71" s="74">
        <f>M71-J71</f>
        <v>-1</v>
      </c>
      <c r="Q71" s="83">
        <f>O71-L71</f>
        <v>-16.705882352941487</v>
      </c>
      <c r="R71" s="72">
        <f>O71/L71</f>
        <v>0.81853035143769637</v>
      </c>
      <c r="S71" s="413"/>
      <c r="T71" s="22">
        <v>0.37986111111111098</v>
      </c>
      <c r="U71" s="22">
        <v>0.43888888888888899</v>
      </c>
      <c r="V71" s="30">
        <f>(T71-U70)*24*60</f>
        <v>8.999999999999968</v>
      </c>
      <c r="W71" s="73">
        <f t="shared" si="4"/>
        <v>85.000000000000341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181</v>
      </c>
      <c r="E72" s="77"/>
      <c r="F72" s="75">
        <f>VLOOKUP(D72,廠價表!$C$1:$E$43,3,0)</f>
        <v>43.89</v>
      </c>
      <c r="G72" s="202">
        <v>836</v>
      </c>
      <c r="H72" s="254">
        <f t="shared" ref="H72:H73" si="37">F72*G72</f>
        <v>36692.04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ref="L72:L74" si="38">K72/J72</f>
        <v>96.235294117647058</v>
      </c>
      <c r="M72" s="82">
        <v>16</v>
      </c>
      <c r="N72" s="107">
        <f>G72/W72*60</f>
        <v>1286.1538461538164</v>
      </c>
      <c r="O72" s="238">
        <f>N72/M72</f>
        <v>80.384615384613525</v>
      </c>
      <c r="P72" s="111">
        <f>M72-J72</f>
        <v>-1</v>
      </c>
      <c r="Q72" s="255">
        <f>O72-L72</f>
        <v>-15.850678733033533</v>
      </c>
      <c r="R72" s="85">
        <f>O72/L72</f>
        <v>0.83529245815307451</v>
      </c>
      <c r="S72" s="413"/>
      <c r="T72" s="22">
        <v>0.44583333333333303</v>
      </c>
      <c r="U72" s="22">
        <v>0.47291666666666698</v>
      </c>
      <c r="V72" s="30">
        <f t="shared" ref="V72:V74" si="39">(T72-U71)*24*60</f>
        <v>9.9999999999994049</v>
      </c>
      <c r="W72" s="73">
        <f t="shared" si="4"/>
        <v>39.000000000000902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181</v>
      </c>
      <c r="E73" s="87"/>
      <c r="F73" s="75">
        <f>VLOOKUP(D73,廠價表!$C$1:$E$43,3,0)</f>
        <v>43.89</v>
      </c>
      <c r="G73" s="202">
        <v>1348</v>
      </c>
      <c r="H73" s="254">
        <f t="shared" si="37"/>
        <v>59163.72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8"/>
        <v>96.235294117647058</v>
      </c>
      <c r="M73" s="82">
        <v>16</v>
      </c>
      <c r="N73" s="107">
        <f t="shared" ref="N73:N74" si="40">G73/W73*60</f>
        <v>1325.9016393442669</v>
      </c>
      <c r="O73" s="238">
        <f t="shared" ref="O73:O74" si="41">N73/M73</f>
        <v>82.868852459016679</v>
      </c>
      <c r="P73" s="111">
        <f t="shared" ref="P73:P74" si="42">M73-J73</f>
        <v>-1</v>
      </c>
      <c r="Q73" s="255">
        <f t="shared" ref="Q73:Q74" si="43">O73-L73</f>
        <v>-13.366441658630379</v>
      </c>
      <c r="R73" s="85">
        <f t="shared" ref="R73:R74" si="44">O73/L73</f>
        <v>0.8611066575814692</v>
      </c>
      <c r="S73" s="413"/>
      <c r="T73" s="22">
        <v>0.53541666666666698</v>
      </c>
      <c r="U73" s="22">
        <v>0.57777777777777795</v>
      </c>
      <c r="V73" s="30">
        <f t="shared" si="39"/>
        <v>90</v>
      </c>
      <c r="W73" s="73">
        <f t="shared" si="4"/>
        <v>60.999999999999787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30" t="s">
        <v>81</v>
      </c>
      <c r="C74" s="151"/>
      <c r="D74" s="59" t="s">
        <v>119</v>
      </c>
      <c r="E74" s="87"/>
      <c r="F74" s="75">
        <f>VLOOKUP(D74,廠價表!$C$1:$E$43,3,0)</f>
        <v>57.21</v>
      </c>
      <c r="G74" s="30">
        <v>350</v>
      </c>
      <c r="H74" s="78">
        <f>F74*G74</f>
        <v>20023.5</v>
      </c>
      <c r="I74" s="182"/>
      <c r="J74" s="106">
        <f>VLOOKUP(D74,產線配置圖!$A$3:$C$40,2,0)</f>
        <v>17</v>
      </c>
      <c r="K74" s="107">
        <v>1565</v>
      </c>
      <c r="L74" s="238">
        <f t="shared" si="38"/>
        <v>92.058823529411768</v>
      </c>
      <c r="M74" s="108">
        <v>15</v>
      </c>
      <c r="N74" s="107">
        <f t="shared" si="40"/>
        <v>1235.2941176470167</v>
      </c>
      <c r="O74" s="238">
        <f t="shared" si="41"/>
        <v>82.35294117646778</v>
      </c>
      <c r="P74" s="111">
        <f t="shared" si="42"/>
        <v>-2</v>
      </c>
      <c r="Q74" s="255">
        <f t="shared" si="43"/>
        <v>-9.7058823529439877</v>
      </c>
      <c r="R74" s="85">
        <f t="shared" si="44"/>
        <v>0.89456869009581608</v>
      </c>
      <c r="S74" s="413"/>
      <c r="T74" s="22">
        <v>0.58333333333333304</v>
      </c>
      <c r="U74" s="22">
        <v>0.59513888888888899</v>
      </c>
      <c r="V74" s="30">
        <f t="shared" si="39"/>
        <v>7.9999999999993321</v>
      </c>
      <c r="W74" s="73">
        <f t="shared" si="4"/>
        <v>17.000000000000579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45">AVERAGE(J70:J78)</f>
        <v>15.8</v>
      </c>
      <c r="K79" s="240">
        <f t="shared" si="45"/>
        <v>1607.6</v>
      </c>
      <c r="L79" s="268">
        <f t="shared" si="45"/>
        <v>105.06310160427806</v>
      </c>
      <c r="M79" s="240">
        <f t="shared" si="45"/>
        <v>14.8</v>
      </c>
      <c r="N79" s="240">
        <f t="shared" si="45"/>
        <v>1304.8648191193895</v>
      </c>
      <c r="O79" s="268">
        <f t="shared" si="45"/>
        <v>90.94327792346499</v>
      </c>
      <c r="P79" s="269">
        <f>M79-J79</f>
        <v>-1</v>
      </c>
      <c r="Q79" s="222">
        <f>N79-K79</f>
        <v>-302.73518088061041</v>
      </c>
      <c r="R79" s="223">
        <f>O79/L79</f>
        <v>0.86560625504855526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-302.73518088061041</v>
      </c>
      <c r="AG79" s="124">
        <f>N79/K79</f>
        <v>0.81168500816085443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T3:U3"/>
    <mergeCell ref="V3:V4"/>
    <mergeCell ref="W3:W4"/>
    <mergeCell ref="X3:Y3"/>
    <mergeCell ref="Z3:AA3"/>
    <mergeCell ref="AB13:AC1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8" zoomScale="70" zoomScaleNormal="70" workbookViewId="0">
      <selection activeCell="AB72" sqref="AB72:AC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46224</v>
      </c>
      <c r="E3" s="379"/>
      <c r="F3" s="3" t="s">
        <v>72</v>
      </c>
      <c r="G3" s="380">
        <f>'0721'!E1</f>
        <v>72433</v>
      </c>
      <c r="H3" s="380"/>
      <c r="I3" s="3" t="s">
        <v>2</v>
      </c>
      <c r="J3" s="381">
        <f>'0721'!G1</f>
        <v>3358872.0370000005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122.93894226499567</v>
      </c>
      <c r="G6" s="386"/>
      <c r="H6" s="387">
        <f>AVERAGE(D13:H13)</f>
        <v>123.94216915826158</v>
      </c>
      <c r="I6" s="387"/>
      <c r="J6" s="387">
        <f>AVERAGE(I13:J13)</f>
        <v>120.43087503183091</v>
      </c>
      <c r="K6" s="387"/>
      <c r="L6" s="503">
        <f>SUM(D18:J18)</f>
        <v>24</v>
      </c>
      <c r="M6" s="390">
        <f>SUM(D19:J19)</f>
        <v>24</v>
      </c>
      <c r="N6" s="504">
        <f>SUM(D20:J20)</f>
        <v>1</v>
      </c>
      <c r="O6" s="390">
        <f>SUM(D20:J20)</f>
        <v>1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110.26266431406835</v>
      </c>
      <c r="G7" s="410"/>
      <c r="H7" s="411">
        <f>AVERAGE(D14:H14)</f>
        <v>111.86831732342371</v>
      </c>
      <c r="I7" s="411"/>
      <c r="J7" s="411">
        <f>AVERAGE(I14:J14)</f>
        <v>106.24853179067989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0.89688964523866221</v>
      </c>
      <c r="G8" s="383"/>
      <c r="H8" s="383">
        <f>H7/H6</f>
        <v>0.90258479485363219</v>
      </c>
      <c r="I8" s="383"/>
      <c r="J8" s="383">
        <f>J7/J6</f>
        <v>0.88223665038220056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VALUE('0721'!L15)</f>
        <v>152.67857142857142</v>
      </c>
      <c r="E13" s="13">
        <f>VALUE('0721'!L26)</f>
        <v>164.9780104349432</v>
      </c>
      <c r="F13" s="13">
        <f>VALUE('0721'!L37)</f>
        <v>96.593370681605975</v>
      </c>
      <c r="G13" s="13">
        <f>VALUE('0721'!L48)</f>
        <v>98.681481481481498</v>
      </c>
      <c r="H13" s="13">
        <f>VALUE('0721'!L58)</f>
        <v>106.77941176470588</v>
      </c>
      <c r="I13" s="13">
        <f>VALUE('0721'!L69)</f>
        <v>132.86303030303029</v>
      </c>
      <c r="J13" s="13">
        <f>'0721'!L79</f>
        <v>107.99871976063153</v>
      </c>
    </row>
    <row r="14" spans="2:15" ht="39.950000000000003" customHeight="1">
      <c r="B14" s="404"/>
      <c r="C14" s="12" t="s">
        <v>100</v>
      </c>
      <c r="D14" s="13">
        <f>VALUE('0721'!O15)</f>
        <v>133.68185152099366</v>
      </c>
      <c r="E14" s="13">
        <f>VALUE('0721'!O26)</f>
        <v>147.35736901183114</v>
      </c>
      <c r="F14" s="13">
        <f>VALUE('0721'!O37)</f>
        <v>88.818869671156747</v>
      </c>
      <c r="G14" s="13">
        <f>VALUE('0721'!O48)</f>
        <v>91.868064274458163</v>
      </c>
      <c r="H14" s="13">
        <f>VALUE('0721'!O58)</f>
        <v>97.615432138678898</v>
      </c>
      <c r="I14" s="13">
        <f>VALUE('0721'!O69)</f>
        <v>125.48587725999491</v>
      </c>
      <c r="J14" s="13">
        <f>'0721'!O79</f>
        <v>87.011186321364875</v>
      </c>
    </row>
    <row r="15" spans="2:15" ht="39.950000000000003" customHeight="1">
      <c r="B15" s="405"/>
      <c r="C15" s="10" t="s">
        <v>26</v>
      </c>
      <c r="D15" s="14">
        <f t="shared" ref="D15:I15" si="1">D14/D13</f>
        <v>0.87557703920182994</v>
      </c>
      <c r="E15" s="14">
        <f t="shared" si="1"/>
        <v>0.89319399975392166</v>
      </c>
      <c r="F15" s="14">
        <f t="shared" si="1"/>
        <v>0.91951309954721661</v>
      </c>
      <c r="G15" s="14">
        <f t="shared" si="1"/>
        <v>0.93095546292237275</v>
      </c>
      <c r="H15" s="14">
        <f t="shared" si="1"/>
        <v>0.91417840317176213</v>
      </c>
      <c r="I15" s="14">
        <f t="shared" si="1"/>
        <v>0.94447550213020304</v>
      </c>
      <c r="J15" s="15">
        <f>'0721'!S70</f>
        <v>0.80566868305676731</v>
      </c>
    </row>
    <row r="16" spans="2:15" ht="17.25" customHeight="1">
      <c r="B16" s="406" t="s">
        <v>101</v>
      </c>
      <c r="C16" s="10" t="s">
        <v>34</v>
      </c>
      <c r="D16" s="16">
        <f>'0721'!T5</f>
        <v>0.297222222222222</v>
      </c>
      <c r="E16" s="16">
        <f>'0721'!T16</f>
        <v>0.29166666666666702</v>
      </c>
      <c r="F16" s="16">
        <f>'0721'!T27</f>
        <v>0.28819444444444398</v>
      </c>
      <c r="G16" s="16">
        <f>'0721'!T38</f>
        <v>0.33333333333333298</v>
      </c>
      <c r="H16" s="16">
        <f>'0721'!T49</f>
        <v>0.29166666666666702</v>
      </c>
      <c r="I16" s="16">
        <f>'0721'!T59</f>
        <v>0.29166666666666702</v>
      </c>
      <c r="J16" s="16">
        <f>'0721'!T70</f>
        <v>0.29166666666666702</v>
      </c>
    </row>
    <row r="17" spans="2:10" ht="17.25" customHeight="1">
      <c r="B17" s="407"/>
      <c r="C17" s="10" t="s">
        <v>35</v>
      </c>
      <c r="D17" s="16">
        <v>0.69444444444444398</v>
      </c>
      <c r="E17" s="19">
        <v>0.66874999999999996</v>
      </c>
      <c r="F17" s="19">
        <v>0.64444444444444404</v>
      </c>
      <c r="G17" s="20">
        <v>0.63194444444444398</v>
      </c>
      <c r="H17" s="21">
        <v>0.63124999999999998</v>
      </c>
      <c r="I17" s="22">
        <v>0.63541666666666696</v>
      </c>
      <c r="J17" s="110">
        <v>0.625</v>
      </c>
    </row>
    <row r="18" spans="2:10" ht="17.25" customHeight="1">
      <c r="B18" s="408" t="s">
        <v>102</v>
      </c>
      <c r="C18" s="330" t="s">
        <v>36</v>
      </c>
      <c r="D18" s="357">
        <f>'0721'!Z15</f>
        <v>0</v>
      </c>
      <c r="E18" s="358">
        <f>'0721'!Z26</f>
        <v>18</v>
      </c>
      <c r="F18" s="358">
        <f>'0721'!Z37</f>
        <v>0</v>
      </c>
      <c r="G18" s="359">
        <f>'0721'!Z48</f>
        <v>0</v>
      </c>
      <c r="H18" s="359">
        <f>'0721'!Z58</f>
        <v>0</v>
      </c>
      <c r="I18" s="358">
        <f>'0721'!Z69</f>
        <v>0</v>
      </c>
      <c r="J18" s="358">
        <f>'0721'!AA79</f>
        <v>6</v>
      </c>
    </row>
    <row r="19" spans="2:10" ht="17.25" customHeight="1">
      <c r="B19" s="409"/>
      <c r="C19" s="330" t="s">
        <v>37</v>
      </c>
      <c r="D19" s="357">
        <f>'0721'!AA15</f>
        <v>0</v>
      </c>
      <c r="E19" s="358">
        <f>'0721'!AA26</f>
        <v>24</v>
      </c>
      <c r="F19" s="358">
        <f>'0721'!AA37</f>
        <v>0</v>
      </c>
      <c r="G19" s="359">
        <f>'0721'!AA48</f>
        <v>0</v>
      </c>
      <c r="H19" s="359">
        <f>'0721'!AA58</f>
        <v>0</v>
      </c>
      <c r="I19" s="358">
        <f>'0721'!AA69</f>
        <v>0</v>
      </c>
      <c r="J19" s="358">
        <f>'0721'!AB79</f>
        <v>0</v>
      </c>
    </row>
    <row r="20" spans="2:10" ht="17.25" customHeight="1">
      <c r="B20" s="408" t="s">
        <v>103</v>
      </c>
      <c r="C20" s="330" t="s">
        <v>36</v>
      </c>
      <c r="D20" s="357">
        <f>'0721'!AD15</f>
        <v>0</v>
      </c>
      <c r="E20" s="358">
        <f>'0721'!AD26</f>
        <v>0</v>
      </c>
      <c r="F20" s="358">
        <f>'0721'!AD37</f>
        <v>0</v>
      </c>
      <c r="G20" s="359">
        <f>'0721'!AD48</f>
        <v>0</v>
      </c>
      <c r="H20" s="359">
        <f>'0721'!AD58</f>
        <v>0</v>
      </c>
      <c r="I20" s="358">
        <f>'0721'!AD69</f>
        <v>0</v>
      </c>
      <c r="J20" s="358">
        <f>'0721'!AD79</f>
        <v>1</v>
      </c>
    </row>
    <row r="21" spans="2:10" ht="17.25" customHeight="1">
      <c r="B21" s="409"/>
      <c r="C21" s="330" t="s">
        <v>85</v>
      </c>
      <c r="D21" s="357">
        <f>'0721'!AE15</f>
        <v>0</v>
      </c>
      <c r="E21" s="358">
        <f>'0721'!AE26</f>
        <v>0</v>
      </c>
      <c r="F21" s="358">
        <f>'0721'!AE37</f>
        <v>0</v>
      </c>
      <c r="G21" s="359">
        <f>'0721'!AE48</f>
        <v>0</v>
      </c>
      <c r="H21" s="359">
        <f>'0721'!AE58</f>
        <v>0</v>
      </c>
      <c r="I21" s="358">
        <f>'0721'!AE69</f>
        <v>0</v>
      </c>
      <c r="J21" s="358">
        <f>'0721'!AE79</f>
        <v>1</v>
      </c>
    </row>
    <row r="22" spans="2:10" ht="17.25" customHeight="1">
      <c r="B22" s="392" t="s">
        <v>104</v>
      </c>
      <c r="C22" s="393"/>
      <c r="D22" s="23">
        <f>VALUE('0721'!M15)</f>
        <v>15.2</v>
      </c>
      <c r="E22" s="23">
        <f>VALUE('0721'!M26)</f>
        <v>13.857142857142858</v>
      </c>
      <c r="F22" s="23">
        <f>VALUE('0721'!M37)</f>
        <v>16.714285714285715</v>
      </c>
      <c r="G22" s="23">
        <f>VALUE('0721'!M48)</f>
        <v>16.666666666666668</v>
      </c>
      <c r="H22" s="23">
        <f>VALUE('0721'!M58)</f>
        <v>16.5</v>
      </c>
      <c r="I22" s="23">
        <f>VALUE('0721'!M69)</f>
        <v>12.4</v>
      </c>
      <c r="J22" s="23">
        <f>'0721'!M79</f>
        <v>12.62857142857143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B72" sqref="AB72:AC72"/>
      <selection pane="topRight" activeCell="AB72" sqref="AB72:AC72"/>
      <selection pane="bottomLeft" activeCell="AB72" sqref="AB72:AC72"/>
      <selection pane="bottomRight" activeCell="AB72" sqref="AB72:AC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72433</v>
      </c>
      <c r="F1" s="30" t="s">
        <v>2</v>
      </c>
      <c r="G1" s="31">
        <f>SUM(H5:H79)</f>
        <v>3358872.0370000005</v>
      </c>
      <c r="H1" s="32" t="s">
        <v>3</v>
      </c>
      <c r="I1" s="33">
        <f>M15+M26+M48+M58+M69+M79+M37</f>
        <v>103.96666666666667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195</v>
      </c>
      <c r="B2" s="418"/>
      <c r="C2" s="28"/>
      <c r="D2" s="28" t="s">
        <v>14</v>
      </c>
      <c r="E2" s="35">
        <f>AVERAGE(O15,O26,O37,O48,O58,O69,O79)</f>
        <v>110.26266431406835</v>
      </c>
      <c r="F2" s="36" t="s">
        <v>15</v>
      </c>
      <c r="G2" s="37">
        <f>G1/E1</f>
        <v>46.372123714329113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19</v>
      </c>
      <c r="AA2" s="339">
        <f>AA15+AA26+AA37+AA48+AA58+AA69+AA79</f>
        <v>30</v>
      </c>
      <c r="AB2" s="456"/>
      <c r="AC2" s="456"/>
      <c r="AD2" s="340">
        <f>AD15+AD26+AD37+AD48+AD58+AD69+AD79</f>
        <v>1</v>
      </c>
      <c r="AE2" s="340">
        <f>AE15+AE26+AE37+AE48+AE58+AE69+AE79</f>
        <v>1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75" t="s">
        <v>81</v>
      </c>
      <c r="C5" s="40"/>
      <c r="D5" s="184" t="s">
        <v>196</v>
      </c>
      <c r="E5" s="41"/>
      <c r="F5" s="39">
        <f>VLOOKUP(D5,廠價表!$C$1:$E$43,3,0)</f>
        <v>49.91</v>
      </c>
      <c r="G5" s="42">
        <v>5693</v>
      </c>
      <c r="H5" s="43">
        <f>F5*G5</f>
        <v>284137.63</v>
      </c>
      <c r="I5" s="44"/>
      <c r="J5" s="45">
        <v>16</v>
      </c>
      <c r="K5" s="46">
        <v>2250</v>
      </c>
      <c r="L5" s="47">
        <f>K5/J5</f>
        <v>140.625</v>
      </c>
      <c r="M5" s="48">
        <v>17</v>
      </c>
      <c r="N5" s="46">
        <f>G5/W5*60</f>
        <v>2070.1818181818066</v>
      </c>
      <c r="O5" s="47">
        <f>N5/M5</f>
        <v>121.77540106951804</v>
      </c>
      <c r="P5" s="49">
        <f>M5-J5</f>
        <v>1</v>
      </c>
      <c r="Q5" s="50">
        <f>O5-L5</f>
        <v>-18.84959893048196</v>
      </c>
      <c r="R5" s="51">
        <f>O5/L5</f>
        <v>0.86595840760546161</v>
      </c>
      <c r="S5" s="412">
        <f>R15</f>
        <v>0.87557703920182994</v>
      </c>
      <c r="T5" s="319">
        <v>0.297222222222222</v>
      </c>
      <c r="U5" s="320">
        <v>0.41180555555555598</v>
      </c>
      <c r="V5" s="53"/>
      <c r="W5" s="54">
        <f t="shared" ref="W5:W14" si="0">(U5-T5)*24*60</f>
        <v>165.00000000000094</v>
      </c>
      <c r="X5" s="55"/>
      <c r="Y5" s="290"/>
      <c r="Z5" s="169"/>
      <c r="AA5" s="169"/>
      <c r="AB5" s="464" t="s">
        <v>197</v>
      </c>
      <c r="AC5" s="464"/>
      <c r="AD5" s="135"/>
      <c r="AE5" s="135"/>
      <c r="AF5" s="229">
        <f t="shared" ref="AF5:AF11" si="1">N5-K5</f>
        <v>-179.81818181819335</v>
      </c>
      <c r="AG5" s="52">
        <f t="shared" ref="AG5:AG11" si="2">N5/K5</f>
        <v>0.92008080808080295</v>
      </c>
      <c r="AH5" s="457">
        <f>AG15</f>
        <v>0.89742927458576682</v>
      </c>
    </row>
    <row r="6" spans="1:34" ht="15" customHeight="1">
      <c r="A6" s="424"/>
      <c r="B6" s="57" t="s">
        <v>81</v>
      </c>
      <c r="C6" s="58"/>
      <c r="D6" s="198" t="s">
        <v>117</v>
      </c>
      <c r="E6" s="60"/>
      <c r="F6" s="61">
        <f>VLOOKUP(D6,廠價表!$C$1:$E$43,3,0)</f>
        <v>49.14</v>
      </c>
      <c r="G6" s="62">
        <v>2615</v>
      </c>
      <c r="H6" s="63">
        <f>F6*G6</f>
        <v>128501.1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1937.0370370370365</v>
      </c>
      <c r="O6" s="67">
        <f>N6/M6</f>
        <v>138.35978835978833</v>
      </c>
      <c r="P6" s="69">
        <f>M6-J6</f>
        <v>0</v>
      </c>
      <c r="Q6" s="70">
        <f>O6-L6</f>
        <v>-22.354497354497397</v>
      </c>
      <c r="R6" s="71">
        <f>O6/L6</f>
        <v>0.86090534979423838</v>
      </c>
      <c r="S6" s="413"/>
      <c r="T6" s="16">
        <v>0.422916666666667</v>
      </c>
      <c r="U6" s="16">
        <v>0.47916666666666702</v>
      </c>
      <c r="V6" s="30">
        <f>(T6-U5)*24*60</f>
        <v>15.999999999999863</v>
      </c>
      <c r="W6" s="73">
        <f t="shared" si="0"/>
        <v>81.000000000000028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-312.9629629629635</v>
      </c>
      <c r="AG6" s="72">
        <f t="shared" si="2"/>
        <v>0.86090534979423849</v>
      </c>
      <c r="AH6" s="458"/>
    </row>
    <row r="7" spans="1:34" ht="15" customHeight="1">
      <c r="A7" s="424"/>
      <c r="B7" s="75" t="s">
        <v>81</v>
      </c>
      <c r="C7" s="76"/>
      <c r="D7" s="198" t="s">
        <v>117</v>
      </c>
      <c r="E7" s="77"/>
      <c r="F7" s="75">
        <f>VLOOKUP(D7,廠價表!$C$1:$E$43,3,0)</f>
        <v>49.14</v>
      </c>
      <c r="G7" s="66">
        <v>999</v>
      </c>
      <c r="H7" s="78">
        <f>F7*G7</f>
        <v>49090.86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1873.1250000000255</v>
      </c>
      <c r="O7" s="81">
        <f>N7/M7</f>
        <v>133.79464285714468</v>
      </c>
      <c r="P7" s="74">
        <f>M7-J7</f>
        <v>0</v>
      </c>
      <c r="Q7" s="83">
        <f>O7-L7</f>
        <v>-26.919642857141042</v>
      </c>
      <c r="R7" s="72">
        <f>O7/L7</f>
        <v>0.83250000000001134</v>
      </c>
      <c r="S7" s="413"/>
      <c r="T7" s="18">
        <v>0.54722222222222205</v>
      </c>
      <c r="U7" s="18">
        <v>0.56944444444444398</v>
      </c>
      <c r="V7" s="30">
        <f>(T7-U6)*24*60</f>
        <v>97.999999999999247</v>
      </c>
      <c r="W7" s="73">
        <f t="shared" si="0"/>
        <v>31.999999999999567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-376.87499999997453</v>
      </c>
      <c r="AG7" s="72">
        <f t="shared" si="2"/>
        <v>0.83250000000001134</v>
      </c>
      <c r="AH7" s="458"/>
    </row>
    <row r="8" spans="1:34" ht="15" customHeight="1">
      <c r="A8" s="424"/>
      <c r="B8" s="75" t="s">
        <v>81</v>
      </c>
      <c r="C8" s="76"/>
      <c r="D8" s="198" t="s">
        <v>196</v>
      </c>
      <c r="E8" s="77"/>
      <c r="F8" s="75">
        <f>VLOOKUP(D8,廠價表!$C$1:$E$43,3,0)</f>
        <v>49.91</v>
      </c>
      <c r="G8" s="66">
        <v>3523</v>
      </c>
      <c r="H8" s="78">
        <f t="shared" ref="H8:H9" si="3">F8*G8</f>
        <v>175832.93</v>
      </c>
      <c r="I8" s="73"/>
      <c r="J8" s="79">
        <v>16</v>
      </c>
      <c r="K8" s="80">
        <v>2250</v>
      </c>
      <c r="L8" s="81">
        <f t="shared" ref="L8:L9" si="4">K8/J8</f>
        <v>140.625</v>
      </c>
      <c r="M8" s="82">
        <v>17</v>
      </c>
      <c r="N8" s="80">
        <f t="shared" ref="N8:N9" si="5">G8/W8*60</f>
        <v>2113.8000000000111</v>
      </c>
      <c r="O8" s="81">
        <f t="shared" ref="O8:O9" si="6">N8/M8</f>
        <v>124.34117647058889</v>
      </c>
      <c r="P8" s="74">
        <f t="shared" ref="P8:P9" si="7">M8-J8</f>
        <v>1</v>
      </c>
      <c r="Q8" s="83">
        <f t="shared" ref="Q8:Q9" si="8">O8-L8</f>
        <v>-16.283823529411109</v>
      </c>
      <c r="R8" s="72">
        <f t="shared" ref="R8:R9" si="9">O8/L8</f>
        <v>0.88420392156863215</v>
      </c>
      <c r="S8" s="413"/>
      <c r="T8" s="16">
        <v>0.57638888888888895</v>
      </c>
      <c r="U8" s="16">
        <v>0.64583333333333304</v>
      </c>
      <c r="V8" s="30">
        <f t="shared" ref="V8:V9" si="10">(T8-U7)*24*60</f>
        <v>10.000000000000764</v>
      </c>
      <c r="W8" s="73">
        <f t="shared" si="0"/>
        <v>99.999999999999488</v>
      </c>
      <c r="X8" s="22"/>
      <c r="Y8" s="84"/>
      <c r="Z8" s="90"/>
      <c r="AA8" s="90"/>
      <c r="AB8" s="461" t="s">
        <v>198</v>
      </c>
      <c r="AC8" s="461"/>
      <c r="AD8" s="149"/>
      <c r="AE8" s="149"/>
      <c r="AF8" s="307">
        <f t="shared" si="1"/>
        <v>-136.1999999999889</v>
      </c>
      <c r="AG8" s="72">
        <f t="shared" si="2"/>
        <v>0.93946666666667156</v>
      </c>
      <c r="AH8" s="458"/>
    </row>
    <row r="9" spans="1:34" ht="15" customHeight="1">
      <c r="A9" s="425"/>
      <c r="B9" s="75" t="s">
        <v>81</v>
      </c>
      <c r="C9" s="76"/>
      <c r="D9" s="198" t="s">
        <v>117</v>
      </c>
      <c r="E9" s="77"/>
      <c r="F9" s="75">
        <f>VLOOKUP(D9,廠價表!$C$1:$E$43,3,0)</f>
        <v>49.14</v>
      </c>
      <c r="G9" s="66">
        <v>2172</v>
      </c>
      <c r="H9" s="78">
        <f t="shared" si="3"/>
        <v>106732.08</v>
      </c>
      <c r="I9" s="73"/>
      <c r="J9" s="79"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14</v>
      </c>
      <c r="N9" s="80">
        <f t="shared" si="5"/>
        <v>2101.9354838709969</v>
      </c>
      <c r="O9" s="81">
        <f t="shared" si="6"/>
        <v>150.13824884792834</v>
      </c>
      <c r="P9" s="74">
        <f t="shared" si="7"/>
        <v>0</v>
      </c>
      <c r="Q9" s="83">
        <f t="shared" si="8"/>
        <v>-10.576036866357384</v>
      </c>
      <c r="R9" s="72">
        <f t="shared" si="9"/>
        <v>0.93419354838710966</v>
      </c>
      <c r="S9" s="414"/>
      <c r="T9" s="16">
        <v>0.65138888888888902</v>
      </c>
      <c r="U9" s="16">
        <v>0.69444444444444398</v>
      </c>
      <c r="V9" s="30">
        <f t="shared" si="10"/>
        <v>8.0000000000006111</v>
      </c>
      <c r="W9" s="73">
        <f t="shared" si="0"/>
        <v>61.99999999999914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-148.0645161290031</v>
      </c>
      <c r="AG9" s="72">
        <f t="shared" si="2"/>
        <v>0.93419354838710977</v>
      </c>
      <c r="AH9" s="459"/>
    </row>
    <row r="10" spans="1:34" ht="15" customHeight="1">
      <c r="A10" s="425"/>
      <c r="B10" s="75"/>
      <c r="C10" s="86"/>
      <c r="D10" s="198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198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98"/>
      <c r="E12" s="87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175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11">AVERAGE(J5:J14)</f>
        <v>14.8</v>
      </c>
      <c r="K15" s="120">
        <f t="shared" si="11"/>
        <v>2250</v>
      </c>
      <c r="L15" s="117">
        <f t="shared" si="11"/>
        <v>152.67857142857142</v>
      </c>
      <c r="M15" s="120">
        <f t="shared" si="11"/>
        <v>15.2</v>
      </c>
      <c r="N15" s="120">
        <f t="shared" si="11"/>
        <v>2019.2158678179753</v>
      </c>
      <c r="O15" s="117">
        <f t="shared" si="11"/>
        <v>133.68185152099366</v>
      </c>
      <c r="P15" s="121">
        <f>M15-J15</f>
        <v>0.39999999999999858</v>
      </c>
      <c r="Q15" s="122">
        <f>O15-L15</f>
        <v>-18.996719907577756</v>
      </c>
      <c r="R15" s="123">
        <f>O15/L15</f>
        <v>0.87557703920182994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-230.78413218202468</v>
      </c>
      <c r="AG15" s="124">
        <f>N15/K15</f>
        <v>0.89742927458576682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2911</v>
      </c>
      <c r="H16" s="134">
        <f>F16*G16</f>
        <v>147500.37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2130.0000000000177</v>
      </c>
      <c r="O16" s="141">
        <f>N16/M16</f>
        <v>163.8461538461552</v>
      </c>
      <c r="P16" s="142">
        <f>M16-J16</f>
        <v>0</v>
      </c>
      <c r="Q16" s="143">
        <f>O16-L16</f>
        <v>-9.2307692307678622</v>
      </c>
      <c r="R16" s="144">
        <f>O16/L16</f>
        <v>0.94666666666667454</v>
      </c>
      <c r="S16" s="468">
        <f>R26</f>
        <v>0.89319399975392166</v>
      </c>
      <c r="T16" s="145">
        <v>0.29166666666666702</v>
      </c>
      <c r="U16" s="145">
        <v>0.34861111111111098</v>
      </c>
      <c r="V16" s="135"/>
      <c r="W16" s="146">
        <f t="shared" ref="W16:W78" si="12">(U16-T16)*24*60</f>
        <v>81.999999999999304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-119.99999999998226</v>
      </c>
      <c r="AG16" s="52">
        <f>N16/K16</f>
        <v>0.94666666666667454</v>
      </c>
      <c r="AH16" s="457">
        <f>AG26</f>
        <v>0.89672323856104119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2806</v>
      </c>
      <c r="H17" s="78">
        <f>F17*G17</f>
        <v>159577.22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2158.4615384615659</v>
      </c>
      <c r="O17" s="96">
        <f>N17/M17</f>
        <v>154.17582417582614</v>
      </c>
      <c r="P17" s="97">
        <f>M17-J17</f>
        <v>0</v>
      </c>
      <c r="Q17" s="98">
        <f>O17-L17</f>
        <v>-6.5384615384595861</v>
      </c>
      <c r="R17" s="99">
        <f>O17/L17</f>
        <v>0.95931623931625143</v>
      </c>
      <c r="S17" s="469"/>
      <c r="T17" s="19">
        <v>0.35416666666666702</v>
      </c>
      <c r="U17" s="19">
        <v>0.40833333333333299</v>
      </c>
      <c r="V17" s="30">
        <f>(T17-U16)*24*60</f>
        <v>8.000000000000691</v>
      </c>
      <c r="W17" s="149">
        <f t="shared" si="12"/>
        <v>77.999999999999005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-91.538461538434149</v>
      </c>
      <c r="AG17" s="72">
        <f>N17/K17</f>
        <v>0.95931623931625154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1398</v>
      </c>
      <c r="H18" s="78">
        <f>F18*G18</f>
        <v>81321.66</v>
      </c>
      <c r="I18" s="30"/>
      <c r="J18" s="79">
        <v>17</v>
      </c>
      <c r="K18" s="80">
        <f>VLOOKUP(D18,產線配置圖!$A$3:$C$40,3,0)</f>
        <v>2250</v>
      </c>
      <c r="L18" s="81">
        <f>K18/J18</f>
        <v>132.35294117647058</v>
      </c>
      <c r="M18" s="148">
        <v>17</v>
      </c>
      <c r="N18" s="95">
        <f>G18/W18*60</f>
        <v>2096.9999999999864</v>
      </c>
      <c r="O18" s="96">
        <f>N18/M18</f>
        <v>123.35294117646978</v>
      </c>
      <c r="P18" s="97">
        <f>M18-J18</f>
        <v>0</v>
      </c>
      <c r="Q18" s="98">
        <f>O18-L18</f>
        <v>-9.0000000000007958</v>
      </c>
      <c r="R18" s="99">
        <f>O18/L18</f>
        <v>0.93199999999999394</v>
      </c>
      <c r="S18" s="469"/>
      <c r="T18" s="19">
        <v>0.41458333333333303</v>
      </c>
      <c r="U18" s="19">
        <v>0.44236111111111098</v>
      </c>
      <c r="V18" s="30">
        <f>(T18-U17)*24*60</f>
        <v>9.000000000000048</v>
      </c>
      <c r="W18" s="149">
        <f t="shared" si="12"/>
        <v>40.000000000000256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-153.00000000001364</v>
      </c>
      <c r="AG18" s="72">
        <f>N18/K18</f>
        <v>0.93199999999999394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1536</v>
      </c>
      <c r="H19" s="78">
        <f t="shared" ref="H19:H22" si="13">F19*G19</f>
        <v>77399.040000000008</v>
      </c>
      <c r="I19" s="30"/>
      <c r="J19" s="79">
        <v>12</v>
      </c>
      <c r="K19" s="80">
        <f>VLOOKUP(D19,產線配置圖!$A$3:$C$40,3,0)</f>
        <v>2250</v>
      </c>
      <c r="L19" s="81">
        <f t="shared" ref="L19:L22" si="14">K19/J19</f>
        <v>187.5</v>
      </c>
      <c r="M19" s="148">
        <v>12</v>
      </c>
      <c r="N19" s="95">
        <f t="shared" ref="N19:N22" si="15">G19/W19*60</f>
        <v>1807.0588235293958</v>
      </c>
      <c r="O19" s="96">
        <f t="shared" ref="O19:O22" si="16">N19/M19</f>
        <v>150.58823529411632</v>
      </c>
      <c r="P19" s="97">
        <f t="shared" ref="P19:P22" si="17">M19-J19</f>
        <v>0</v>
      </c>
      <c r="Q19" s="98">
        <f t="shared" ref="Q19:Q22" si="18">O19-L19</f>
        <v>-36.911764705883684</v>
      </c>
      <c r="R19" s="99">
        <f t="shared" ref="R19:R22" si="19">O19/L19</f>
        <v>0.80313725490195365</v>
      </c>
      <c r="S19" s="469"/>
      <c r="T19" s="19">
        <v>0.44722222222222202</v>
      </c>
      <c r="U19" s="19">
        <v>0.48263888888888901</v>
      </c>
      <c r="V19" s="30">
        <f>(T19-U18)*24*60</f>
        <v>6.9999999999998952</v>
      </c>
      <c r="W19" s="149">
        <f t="shared" si="12"/>
        <v>51.000000000000455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-442.9411764706042</v>
      </c>
      <c r="AG19" s="72">
        <f>N19/K19</f>
        <v>0.80313725490195365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3262</v>
      </c>
      <c r="H20" s="78">
        <f t="shared" si="13"/>
        <v>164372.18</v>
      </c>
      <c r="I20" s="30"/>
      <c r="J20" s="79">
        <v>12</v>
      </c>
      <c r="K20" s="80">
        <f>VLOOKUP(D20,產線配置圖!$A$3:$C$40,3,0)</f>
        <v>2250</v>
      </c>
      <c r="L20" s="81">
        <f t="shared" si="14"/>
        <v>187.5</v>
      </c>
      <c r="M20" s="148">
        <v>12</v>
      </c>
      <c r="N20" s="95">
        <f t="shared" si="15"/>
        <v>1900.1941747572737</v>
      </c>
      <c r="O20" s="96">
        <f t="shared" si="16"/>
        <v>158.34951456310614</v>
      </c>
      <c r="P20" s="97">
        <f t="shared" si="17"/>
        <v>0</v>
      </c>
      <c r="Q20" s="98">
        <f t="shared" si="18"/>
        <v>-29.15048543689386</v>
      </c>
      <c r="R20" s="99">
        <f t="shared" si="19"/>
        <v>0.84453074433656605</v>
      </c>
      <c r="S20" s="469"/>
      <c r="T20" s="19">
        <v>0.54513888888888895</v>
      </c>
      <c r="U20" s="19">
        <v>0.61666666666666703</v>
      </c>
      <c r="V20" s="30">
        <f>(T20-U19)*24*60</f>
        <v>89.999999999999915</v>
      </c>
      <c r="W20" s="149">
        <f t="shared" si="12"/>
        <v>103.00000000000043</v>
      </c>
      <c r="X20" s="19"/>
      <c r="Y20" s="297"/>
      <c r="Z20" s="90">
        <v>18</v>
      </c>
      <c r="AA20" s="90">
        <v>24</v>
      </c>
      <c r="AB20" s="462" t="s">
        <v>199</v>
      </c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567</v>
      </c>
      <c r="H21" s="78">
        <f t="shared" si="13"/>
        <v>32982.39</v>
      </c>
      <c r="I21" s="30"/>
      <c r="J21" s="79">
        <v>16</v>
      </c>
      <c r="K21" s="80">
        <f>VLOOKUP(D21,產線配置圖!$A$3:$C$40,3,0)</f>
        <v>2250</v>
      </c>
      <c r="L21" s="81">
        <f t="shared" si="14"/>
        <v>140.625</v>
      </c>
      <c r="M21" s="148">
        <v>16</v>
      </c>
      <c r="N21" s="95">
        <f t="shared" si="15"/>
        <v>2001.1764705881669</v>
      </c>
      <c r="O21" s="96">
        <f t="shared" si="16"/>
        <v>125.07352941176043</v>
      </c>
      <c r="P21" s="97">
        <f t="shared" si="17"/>
        <v>0</v>
      </c>
      <c r="Q21" s="98">
        <f t="shared" si="18"/>
        <v>-15.551470588239567</v>
      </c>
      <c r="R21" s="99">
        <f t="shared" si="19"/>
        <v>0.88941176470585193</v>
      </c>
      <c r="S21" s="469"/>
      <c r="T21" s="19">
        <v>0.62361111111111101</v>
      </c>
      <c r="U21" s="19">
        <v>0.63541666666666696</v>
      </c>
      <c r="V21" s="30">
        <f t="shared" ref="V21:V22" si="20">(T21-U20)*24*60</f>
        <v>9.999999999999325</v>
      </c>
      <c r="W21" s="149">
        <f t="shared" si="12"/>
        <v>17.000000000000579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 t="s">
        <v>81</v>
      </c>
      <c r="C22" s="151"/>
      <c r="D22" s="59" t="s">
        <v>118</v>
      </c>
      <c r="E22" s="87"/>
      <c r="F22" s="75">
        <f>VLOOKUP(D22,廠價表!$C$1:$E$43,3,0)</f>
        <v>50.67</v>
      </c>
      <c r="G22" s="95">
        <v>1353</v>
      </c>
      <c r="H22" s="78">
        <f t="shared" si="13"/>
        <v>68556.510000000009</v>
      </c>
      <c r="I22" s="30"/>
      <c r="J22" s="79">
        <v>13</v>
      </c>
      <c r="K22" s="80">
        <f>VLOOKUP(D22,產線配置圖!$A$3:$C$40,3,0)</f>
        <v>2250</v>
      </c>
      <c r="L22" s="81">
        <f t="shared" si="14"/>
        <v>173.07692307692307</v>
      </c>
      <c r="M22" s="148">
        <v>13</v>
      </c>
      <c r="N22" s="95">
        <f t="shared" si="15"/>
        <v>2029.4999999999909</v>
      </c>
      <c r="O22" s="96">
        <f t="shared" si="16"/>
        <v>156.1153846153839</v>
      </c>
      <c r="P22" s="97">
        <f t="shared" si="17"/>
        <v>0</v>
      </c>
      <c r="Q22" s="98">
        <f t="shared" si="18"/>
        <v>-16.961538461539163</v>
      </c>
      <c r="R22" s="99">
        <f t="shared" si="19"/>
        <v>0.90199999999999592</v>
      </c>
      <c r="S22" s="469"/>
      <c r="T22" s="19">
        <v>0.64097222222222205</v>
      </c>
      <c r="U22" s="19">
        <v>0.66874999999999996</v>
      </c>
      <c r="V22" s="30">
        <f t="shared" si="20"/>
        <v>7.9999999999993321</v>
      </c>
      <c r="W22" s="149">
        <f t="shared" si="12"/>
        <v>40.000000000000178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12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21">AVERAGE(J16:J25)</f>
        <v>13.857142857142858</v>
      </c>
      <c r="K26" s="155">
        <f t="shared" si="21"/>
        <v>2250</v>
      </c>
      <c r="L26" s="158">
        <f t="shared" si="21"/>
        <v>164.9780104349432</v>
      </c>
      <c r="M26" s="155">
        <f t="shared" si="21"/>
        <v>13.857142857142858</v>
      </c>
      <c r="N26" s="155">
        <f t="shared" si="21"/>
        <v>2017.6272867623427</v>
      </c>
      <c r="O26" s="158">
        <f t="shared" si="21"/>
        <v>147.35736901183114</v>
      </c>
      <c r="P26" s="159">
        <f>M26-J26</f>
        <v>0</v>
      </c>
      <c r="Q26" s="160">
        <f>O26-L26</f>
        <v>-17.620641423112062</v>
      </c>
      <c r="R26" s="161">
        <f>O26/L26</f>
        <v>0.89319399975392166</v>
      </c>
      <c r="S26" s="470"/>
      <c r="T26" s="163"/>
      <c r="U26" s="163"/>
      <c r="V26" s="164"/>
      <c r="W26" s="165"/>
      <c r="X26" s="166"/>
      <c r="Y26" s="299"/>
      <c r="Z26" s="334">
        <f>SUM(Z16:Z25)</f>
        <v>18</v>
      </c>
      <c r="AA26" s="334">
        <f>SUM(AA16:AA25)</f>
        <v>24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22">N26-K26</f>
        <v>-232.37271323765731</v>
      </c>
      <c r="AG26" s="124">
        <f t="shared" ref="AG26:AG31" si="23">N26/K26</f>
        <v>0.89672323856104119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1153</v>
      </c>
      <c r="H27" s="134">
        <f>F27*G27</f>
        <v>52645.979999999996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1537.3333333333335</v>
      </c>
      <c r="O27" s="141">
        <f>N27/M27</f>
        <v>90.431372549019613</v>
      </c>
      <c r="P27" s="142">
        <f>M27-J27</f>
        <v>0</v>
      </c>
      <c r="Q27" s="143">
        <f>O27-L27</f>
        <v>-5.8039215686274446</v>
      </c>
      <c r="R27" s="144">
        <f>O27/L27</f>
        <v>0.93969030154849231</v>
      </c>
      <c r="S27" s="468">
        <f>R37</f>
        <v>0.91951309954721661</v>
      </c>
      <c r="T27" s="171">
        <v>0.28819444444444398</v>
      </c>
      <c r="U27" s="171">
        <v>0.31944444444444398</v>
      </c>
      <c r="V27" s="135"/>
      <c r="W27" s="146">
        <f t="shared" si="12"/>
        <v>45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22"/>
        <v>-98.666666666666515</v>
      </c>
      <c r="AG27" s="172">
        <f t="shared" si="23"/>
        <v>0.93969030154849231</v>
      </c>
      <c r="AH27" s="457">
        <f>AG37</f>
        <v>0.91182193927314359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1638</v>
      </c>
      <c r="H28" s="91">
        <f>F28*G28</f>
        <v>75904.920000000013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1512.0000000000293</v>
      </c>
      <c r="O28" s="96">
        <f>N28/M28</f>
        <v>94.500000000001833</v>
      </c>
      <c r="P28" s="97">
        <f>M28-J28</f>
        <v>0</v>
      </c>
      <c r="Q28" s="98">
        <f>O28-L28</f>
        <v>-7.7499999999981668</v>
      </c>
      <c r="R28" s="99">
        <f>O28/L28</f>
        <v>0.92420537897312305</v>
      </c>
      <c r="S28" s="469"/>
      <c r="T28" s="19">
        <v>0.32430555555555601</v>
      </c>
      <c r="U28" s="19">
        <v>0.36944444444444402</v>
      </c>
      <c r="V28" s="92">
        <f>(T28-U27)*24*60</f>
        <v>7.000000000001334</v>
      </c>
      <c r="W28" s="149">
        <f t="shared" si="12"/>
        <v>64.999999999998735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22"/>
        <v>-123.99999999997067</v>
      </c>
      <c r="AG28" s="99">
        <f t="shared" si="23"/>
        <v>0.92420537897312305</v>
      </c>
      <c r="AH28" s="478"/>
    </row>
    <row r="29" spans="1:34" ht="15" customHeight="1">
      <c r="A29" s="466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1605</v>
      </c>
      <c r="H29" s="91">
        <f>F29*G29</f>
        <v>91822.05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1504.6875000000148</v>
      </c>
      <c r="O29" s="96">
        <f>N29/M29</f>
        <v>88.511029411765577</v>
      </c>
      <c r="P29" s="97">
        <f>M29-J29</f>
        <v>0</v>
      </c>
      <c r="Q29" s="98">
        <f>O29-L29</f>
        <v>-3.5477941176461911</v>
      </c>
      <c r="R29" s="99">
        <f>O29/L29</f>
        <v>0.96146166134186251</v>
      </c>
      <c r="S29" s="469"/>
      <c r="T29" s="19">
        <v>0.375</v>
      </c>
      <c r="U29" s="19">
        <v>0.41944444444444401</v>
      </c>
      <c r="V29" s="92">
        <f t="shared" ref="V29:V33" si="24">(T29-U28)*24*60</f>
        <v>8.0000000000006111</v>
      </c>
      <c r="W29" s="149">
        <f t="shared" si="12"/>
        <v>63.999999999999375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22"/>
        <v>-60.312499999985221</v>
      </c>
      <c r="AG29" s="99">
        <f t="shared" si="23"/>
        <v>0.96146166134186251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1744</v>
      </c>
      <c r="H30" s="91">
        <f t="shared" ref="H30:H33" si="25">F30*G30</f>
        <v>99774.24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26">K30/J30</f>
        <v>90.888888888888886</v>
      </c>
      <c r="M30" s="94">
        <v>17</v>
      </c>
      <c r="N30" s="95">
        <f t="shared" ref="N30:N33" si="27">G30/W30*60</f>
        <v>1433.4246575342593</v>
      </c>
      <c r="O30" s="96">
        <f t="shared" ref="O30:O33" si="28">N30/M30</f>
        <v>84.319097502015254</v>
      </c>
      <c r="P30" s="97">
        <f t="shared" ref="P30:P33" si="29">M30-J30</f>
        <v>-1</v>
      </c>
      <c r="Q30" s="98">
        <f t="shared" ref="Q30:Q33" si="30">O30-L30</f>
        <v>-6.5697913868736322</v>
      </c>
      <c r="R30" s="99">
        <f t="shared" ref="R30:R33" si="31">O30/L30</f>
        <v>0.92771623168476447</v>
      </c>
      <c r="S30" s="469"/>
      <c r="T30" s="19">
        <v>0.42499999999999999</v>
      </c>
      <c r="U30" s="19">
        <v>0.47569444444444398</v>
      </c>
      <c r="V30" s="92">
        <f t="shared" si="24"/>
        <v>8.0000000000006111</v>
      </c>
      <c r="W30" s="149">
        <f t="shared" si="12"/>
        <v>72.999999999999346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22"/>
        <v>-202.57534246574073</v>
      </c>
      <c r="AG30" s="99">
        <f t="shared" si="23"/>
        <v>0.87617644103561076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1300</v>
      </c>
      <c r="H31" s="91">
        <f t="shared" si="25"/>
        <v>60242.000000000007</v>
      </c>
      <c r="I31" s="92"/>
      <c r="J31" s="79">
        <f>VLOOKUP(D31,產線配置圖!$A$3:$C$40,2,0)</f>
        <v>16</v>
      </c>
      <c r="K31" s="80">
        <v>1636</v>
      </c>
      <c r="L31" s="93">
        <f t="shared" si="26"/>
        <v>102.25</v>
      </c>
      <c r="M31" s="94">
        <v>16</v>
      </c>
      <c r="N31" s="95">
        <f t="shared" si="27"/>
        <v>1560.0000000000107</v>
      </c>
      <c r="O31" s="96">
        <f t="shared" si="28"/>
        <v>97.500000000000668</v>
      </c>
      <c r="P31" s="97">
        <f t="shared" si="29"/>
        <v>0</v>
      </c>
      <c r="Q31" s="98">
        <f t="shared" si="30"/>
        <v>-4.7499999999993321</v>
      </c>
      <c r="R31" s="99">
        <f t="shared" si="31"/>
        <v>0.95354523227384513</v>
      </c>
      <c r="S31" s="469"/>
      <c r="T31" s="19">
        <v>0.53472222222222199</v>
      </c>
      <c r="U31" s="19">
        <v>0.56944444444444398</v>
      </c>
      <c r="V31" s="92">
        <f t="shared" si="24"/>
        <v>85.000000000000341</v>
      </c>
      <c r="W31" s="149">
        <f t="shared" si="12"/>
        <v>49.999999999999659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22"/>
        <v>-75.999999999989313</v>
      </c>
      <c r="AG31" s="99">
        <f t="shared" si="23"/>
        <v>0.95354523227384513</v>
      </c>
      <c r="AH31" s="459"/>
    </row>
    <row r="32" spans="1:34" ht="15" customHeight="1">
      <c r="A32" s="466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1000</v>
      </c>
      <c r="H32" s="91">
        <f t="shared" si="25"/>
        <v>45660</v>
      </c>
      <c r="I32" s="92"/>
      <c r="J32" s="79">
        <f>VLOOKUP(D32,產線配置圖!$A$3:$C$40,2,0)</f>
        <v>17</v>
      </c>
      <c r="K32" s="80">
        <v>1636</v>
      </c>
      <c r="L32" s="93">
        <f t="shared" si="26"/>
        <v>96.235294117647058</v>
      </c>
      <c r="M32" s="94">
        <v>17</v>
      </c>
      <c r="N32" s="95">
        <f t="shared" si="27"/>
        <v>1499.9999999999873</v>
      </c>
      <c r="O32" s="96">
        <f t="shared" si="28"/>
        <v>88.235294117646305</v>
      </c>
      <c r="P32" s="97">
        <f t="shared" si="29"/>
        <v>0</v>
      </c>
      <c r="Q32" s="98">
        <f t="shared" si="30"/>
        <v>-8.0000000000007532</v>
      </c>
      <c r="R32" s="99">
        <f t="shared" si="31"/>
        <v>0.91687041564791394</v>
      </c>
      <c r="S32" s="469"/>
      <c r="T32" s="19">
        <v>0.57499999999999996</v>
      </c>
      <c r="U32" s="19">
        <v>0.60277777777777797</v>
      </c>
      <c r="V32" s="92">
        <f t="shared" si="24"/>
        <v>8.0000000000006111</v>
      </c>
      <c r="W32" s="149">
        <f t="shared" si="12"/>
        <v>40.000000000000341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 t="s">
        <v>81</v>
      </c>
      <c r="C33" s="177"/>
      <c r="D33" s="59" t="s">
        <v>135</v>
      </c>
      <c r="E33" s="178"/>
      <c r="F33" s="75">
        <f>VLOOKUP(D33,廠價表!$C$1:$E$43,3,0)</f>
        <v>50.289000000000001</v>
      </c>
      <c r="G33" s="90">
        <v>1064</v>
      </c>
      <c r="H33" s="91">
        <f t="shared" si="25"/>
        <v>53507.495999999999</v>
      </c>
      <c r="I33" s="92"/>
      <c r="J33" s="79">
        <f>VLOOKUP(D33,產線配置圖!$A$3:$C$40,2,0)</f>
        <v>17</v>
      </c>
      <c r="K33" s="80">
        <f>VLOOKUP(D33,產線配置圖!$A$3:$C$40,3,0)</f>
        <v>1636</v>
      </c>
      <c r="L33" s="93">
        <f t="shared" si="26"/>
        <v>96.235294117647058</v>
      </c>
      <c r="M33" s="94">
        <v>17</v>
      </c>
      <c r="N33" s="95">
        <f t="shared" si="27"/>
        <v>1330.0000000000134</v>
      </c>
      <c r="O33" s="96">
        <f t="shared" si="28"/>
        <v>78.235294117647854</v>
      </c>
      <c r="P33" s="97">
        <f t="shared" si="29"/>
        <v>0</v>
      </c>
      <c r="Q33" s="98">
        <f t="shared" si="30"/>
        <v>-17.999999999999204</v>
      </c>
      <c r="R33" s="99">
        <f t="shared" si="31"/>
        <v>0.81295843520783218</v>
      </c>
      <c r="S33" s="469"/>
      <c r="T33" s="19">
        <v>0.61111111111111105</v>
      </c>
      <c r="U33" s="19">
        <v>0.64444444444444404</v>
      </c>
      <c r="V33" s="92">
        <f t="shared" si="24"/>
        <v>11.999999999999638</v>
      </c>
      <c r="W33" s="149">
        <f t="shared" si="12"/>
        <v>47.99999999999951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32">AVERAGE(J27:J36)</f>
        <v>16.857142857142858</v>
      </c>
      <c r="K37" s="155">
        <f t="shared" si="32"/>
        <v>1625.8571428571429</v>
      </c>
      <c r="L37" s="158">
        <f t="shared" si="32"/>
        <v>96.593370681605975</v>
      </c>
      <c r="M37" s="155">
        <f t="shared" si="32"/>
        <v>16.714285714285715</v>
      </c>
      <c r="N37" s="155">
        <f t="shared" si="32"/>
        <v>1482.4922129810925</v>
      </c>
      <c r="O37" s="158">
        <f t="shared" si="32"/>
        <v>88.818869671156747</v>
      </c>
      <c r="P37" s="159">
        <f>M37-J37</f>
        <v>-0.14285714285714235</v>
      </c>
      <c r="Q37" s="160">
        <f>N37-K37</f>
        <v>-143.36492987605038</v>
      </c>
      <c r="R37" s="161">
        <f>O37/L37</f>
        <v>0.91951309954721661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-143.36492987605038</v>
      </c>
      <c r="AG37" s="124">
        <f>N37/K37</f>
        <v>0.91182193927314359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2952</v>
      </c>
      <c r="H38" s="134">
        <f>F38*G38</f>
        <v>147334.31999999998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1610.1818181818155</v>
      </c>
      <c r="O38" s="141">
        <f>N38/M38</f>
        <v>107.34545454545437</v>
      </c>
      <c r="P38" s="142">
        <f>M38-J38</f>
        <v>0</v>
      </c>
      <c r="Q38" s="143">
        <f>O38-L38</f>
        <v>-6.9212121212122923</v>
      </c>
      <c r="R38" s="144">
        <f>O38/L38</f>
        <v>0.93942929882252957</v>
      </c>
      <c r="S38" s="490">
        <f>R48</f>
        <v>0.93095546292237275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-103.81818181818448</v>
      </c>
      <c r="AG38" s="195">
        <f>N38/K38</f>
        <v>0.93942929882252946</v>
      </c>
      <c r="AH38" s="480">
        <f>AG48</f>
        <v>0.91385603008582139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2371</v>
      </c>
      <c r="H39" s="91">
        <f>F39*G39</f>
        <v>105035.29999999999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1546.3043478260843</v>
      </c>
      <c r="O39" s="203">
        <f>N39/M39</f>
        <v>85.905797101449124</v>
      </c>
      <c r="P39" s="97">
        <f>M39-J39</f>
        <v>0</v>
      </c>
      <c r="Q39" s="98">
        <f>O39-L39</f>
        <v>-4.9830917874397613</v>
      </c>
      <c r="R39" s="99">
        <f>O39/L39</f>
        <v>0.94517380673966034</v>
      </c>
      <c r="S39" s="491"/>
      <c r="T39" s="20">
        <v>0.422222222222222</v>
      </c>
      <c r="U39" s="20">
        <v>0.48611111111111099</v>
      </c>
      <c r="V39" s="92">
        <f>(T39-U38)*24*60</f>
        <v>18.000000000000014</v>
      </c>
      <c r="W39" s="205">
        <f t="shared" si="12"/>
        <v>92.000000000000156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-89.695652173915732</v>
      </c>
      <c r="AG39" s="206">
        <f>N39/K39</f>
        <v>0.94517380673966034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2800</v>
      </c>
      <c r="H40" s="91">
        <f>F40*G40</f>
        <v>124039.99999999999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1400.0000000000068</v>
      </c>
      <c r="O40" s="203">
        <f>N40/M40</f>
        <v>82.352941176470992</v>
      </c>
      <c r="P40" s="97">
        <f>M40-J40</f>
        <v>-1</v>
      </c>
      <c r="Q40" s="98">
        <f>O40-L40</f>
        <v>-8.5359477124178937</v>
      </c>
      <c r="R40" s="99">
        <f>O40/L40</f>
        <v>0.90608370487559775</v>
      </c>
      <c r="S40" s="413"/>
      <c r="T40" s="20">
        <v>0.54861111111111105</v>
      </c>
      <c r="U40" s="20">
        <v>0.63194444444444398</v>
      </c>
      <c r="V40" s="92">
        <f>(T40-U39)*24*60</f>
        <v>90.000000000000085</v>
      </c>
      <c r="W40" s="205">
        <f t="shared" si="12"/>
        <v>119.99999999999942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-235.99999999999318</v>
      </c>
      <c r="AG40" s="206">
        <f>N40/K40</f>
        <v>0.85574572127139781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33">AVERAGE(J38:J47)</f>
        <v>17</v>
      </c>
      <c r="K48" s="155">
        <f t="shared" si="33"/>
        <v>1662</v>
      </c>
      <c r="L48" s="158">
        <f t="shared" si="33"/>
        <v>98.681481481481498</v>
      </c>
      <c r="M48" s="155">
        <f t="shared" si="33"/>
        <v>16.666666666666668</v>
      </c>
      <c r="N48" s="155">
        <f t="shared" si="33"/>
        <v>1518.8287220026352</v>
      </c>
      <c r="O48" s="158">
        <f t="shared" si="33"/>
        <v>91.868064274458163</v>
      </c>
      <c r="P48" s="221">
        <f>M48-J48</f>
        <v>-0.33333333333333215</v>
      </c>
      <c r="Q48" s="222">
        <f>N48-K48</f>
        <v>-143.17127799736477</v>
      </c>
      <c r="R48" s="223">
        <f>O48/L48</f>
        <v>0.93095546292237275</v>
      </c>
      <c r="S48" s="416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34">N48-K48</f>
        <v>-143.17127799736477</v>
      </c>
      <c r="AG48" s="162">
        <f t="shared" ref="AG48:AG53" si="35">N48/K48</f>
        <v>0.91385603008582139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3121</v>
      </c>
      <c r="H49" s="134">
        <f>F49*G49</f>
        <v>154551.92000000001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1600.5128205128208</v>
      </c>
      <c r="O49" s="141">
        <f>N49/M49</f>
        <v>94.147812971342404</v>
      </c>
      <c r="P49" s="229">
        <f>M49-J49</f>
        <v>0</v>
      </c>
      <c r="Q49" s="230">
        <f>O49-L49</f>
        <v>-11.73453996983406</v>
      </c>
      <c r="R49" s="52">
        <f>O49/L49</f>
        <v>0.88917378917378942</v>
      </c>
      <c r="S49" s="412">
        <f>R58</f>
        <v>0.91417840317176213</v>
      </c>
      <c r="T49" s="191">
        <v>0.29166666666666702</v>
      </c>
      <c r="U49" s="191">
        <v>0.37291666666666701</v>
      </c>
      <c r="V49" s="55"/>
      <c r="W49" s="193">
        <f t="shared" si="12"/>
        <v>116.99999999999999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34"/>
        <v>-199.48717948717922</v>
      </c>
      <c r="AG49" s="52">
        <f t="shared" si="35"/>
        <v>0.88917378917378931</v>
      </c>
      <c r="AH49" s="457">
        <f>AG58</f>
        <v>0.91426272148754184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1499</v>
      </c>
      <c r="H50" s="231">
        <f>F50*G50</f>
        <v>75383.210999999996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1550.6896551724042</v>
      </c>
      <c r="O50" s="235">
        <f>N50/M50</f>
        <v>91.217038539553187</v>
      </c>
      <c r="P50" s="74">
        <f>M50-J50</f>
        <v>0</v>
      </c>
      <c r="Q50" s="83">
        <f>O50-L50</f>
        <v>-5.0182555780938713</v>
      </c>
      <c r="R50" s="72">
        <f>O50/L50</f>
        <v>0.94785431245256979</v>
      </c>
      <c r="S50" s="413"/>
      <c r="T50" s="21">
        <v>0.37986111111111098</v>
      </c>
      <c r="U50" s="21">
        <v>0.42013888888888901</v>
      </c>
      <c r="V50" s="30">
        <f>(T50-U49)*24*60</f>
        <v>9.999999999999325</v>
      </c>
      <c r="W50" s="236">
        <f t="shared" si="12"/>
        <v>58.000000000000355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34"/>
        <v>-85.310344827595827</v>
      </c>
      <c r="AG50" s="72">
        <f t="shared" si="35"/>
        <v>0.94785431245256979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1775</v>
      </c>
      <c r="H51" s="231">
        <f>F51*G51</f>
        <v>88696.75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1613.6363636363751</v>
      </c>
      <c r="O51" s="235">
        <f>N51/M51</f>
        <v>100.85227272727344</v>
      </c>
      <c r="P51" s="74">
        <f>M51-J51</f>
        <v>0</v>
      </c>
      <c r="Q51" s="83">
        <f>O51-L51</f>
        <v>-11.647727272726556</v>
      </c>
      <c r="R51" s="72">
        <f>O51/L51</f>
        <v>0.89646464646465285</v>
      </c>
      <c r="S51" s="413"/>
      <c r="T51" s="21">
        <v>0.42499999999999999</v>
      </c>
      <c r="U51" s="19">
        <v>0.47083333333333299</v>
      </c>
      <c r="V51" s="30">
        <f>(T51-U50)*24*60</f>
        <v>6.9999999999998153</v>
      </c>
      <c r="W51" s="236">
        <f t="shared" si="12"/>
        <v>65.999999999999531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34"/>
        <v>-186.36363636362489</v>
      </c>
      <c r="AG51" s="72">
        <f t="shared" si="35"/>
        <v>0.89646464646465285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3864</v>
      </c>
      <c r="H52" s="231">
        <f>F52*G52</f>
        <v>193084.08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1667.9136690647445</v>
      </c>
      <c r="O52" s="235">
        <f>N52/M52</f>
        <v>104.24460431654653</v>
      </c>
      <c r="P52" s="74">
        <f>M52-J52</f>
        <v>0</v>
      </c>
      <c r="Q52" s="83">
        <f>O52-L52</f>
        <v>-8.2553956834534716</v>
      </c>
      <c r="R52" s="72">
        <f>O52/L52</f>
        <v>0.9266187050359691</v>
      </c>
      <c r="S52" s="413"/>
      <c r="T52" s="21">
        <v>0.53472222222222199</v>
      </c>
      <c r="U52" s="21">
        <v>0.63124999999999998</v>
      </c>
      <c r="V52" s="30">
        <f>(T52-U51)*24*60</f>
        <v>92.000000000000156</v>
      </c>
      <c r="W52" s="236">
        <f t="shared" si="12"/>
        <v>139.00000000000031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34"/>
        <v>-132.08633093525555</v>
      </c>
      <c r="AG52" s="72">
        <f t="shared" si="35"/>
        <v>0.9266187050359691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34"/>
        <v>0</v>
      </c>
      <c r="AG53" s="72" t="e">
        <f t="shared" si="35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6">AVERAGE(J49:J57)</f>
        <v>16.5</v>
      </c>
      <c r="K58" s="120">
        <f t="shared" si="36"/>
        <v>1759</v>
      </c>
      <c r="L58" s="117">
        <f t="shared" si="36"/>
        <v>106.77941176470588</v>
      </c>
      <c r="M58" s="120">
        <f t="shared" si="36"/>
        <v>16.5</v>
      </c>
      <c r="N58" s="120">
        <f t="shared" si="36"/>
        <v>1608.1881270965862</v>
      </c>
      <c r="O58" s="117">
        <f t="shared" si="36"/>
        <v>97.615432138678898</v>
      </c>
      <c r="P58" s="121">
        <f>M58-J58</f>
        <v>0</v>
      </c>
      <c r="Q58" s="122">
        <f>N58-K58</f>
        <v>-150.81187290341381</v>
      </c>
      <c r="R58" s="123">
        <f>O58/L58</f>
        <v>0.91417840317176213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-150.81187290341381</v>
      </c>
      <c r="AG58" s="124">
        <f>N58/K58</f>
        <v>0.91426272148754184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2755</v>
      </c>
      <c r="H59" s="243">
        <f>F59*G59</f>
        <v>74357.45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1574.2857142857295</v>
      </c>
      <c r="O59" s="138">
        <f>N59/M59</f>
        <v>104.95238095238196</v>
      </c>
      <c r="P59" s="56">
        <f>M59-J59</f>
        <v>0</v>
      </c>
      <c r="Q59" s="230">
        <f>O59-L59</f>
        <v>-4.1142857142847049</v>
      </c>
      <c r="R59" s="52">
        <f>O59/L59</f>
        <v>0.96227733147049477</v>
      </c>
      <c r="S59" s="412">
        <f>R69</f>
        <v>0.94447550213020304</v>
      </c>
      <c r="T59" s="245">
        <v>0.29166666666666702</v>
      </c>
      <c r="U59" s="245">
        <v>0.36458333333333298</v>
      </c>
      <c r="V59" s="55"/>
      <c r="W59" s="54">
        <f t="shared" si="12"/>
        <v>104.99999999999899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-61.714285714270545</v>
      </c>
      <c r="AG59" s="246">
        <f>N59/K59</f>
        <v>0.96227733147049477</v>
      </c>
      <c r="AH59" s="457">
        <f>AG69</f>
        <v>0.93378151260504172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1924</v>
      </c>
      <c r="H60" s="78">
        <f>F60*G60</f>
        <v>54372.240000000005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1539.2000000000105</v>
      </c>
      <c r="O60" s="81">
        <f>N60/M60</f>
        <v>139.92727272727367</v>
      </c>
      <c r="P60" s="74">
        <f>M60-J60</f>
        <v>0</v>
      </c>
      <c r="Q60" s="83">
        <f>O60-L60</f>
        <v>-8.799999999999045</v>
      </c>
      <c r="R60" s="72">
        <f>O60/L60</f>
        <v>0.9408312958435272</v>
      </c>
      <c r="S60" s="502"/>
      <c r="T60" s="22">
        <v>0.37152777777777801</v>
      </c>
      <c r="U60" s="22">
        <v>0.42361111111111099</v>
      </c>
      <c r="V60" s="30">
        <f>(T60-U59)*24*60</f>
        <v>10.000000000000844</v>
      </c>
      <c r="W60" s="248">
        <f t="shared" si="12"/>
        <v>74.999999999999488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-96.799999999989495</v>
      </c>
      <c r="AG60" s="249">
        <f>N60/K60</f>
        <v>0.9408312958435272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1911</v>
      </c>
      <c r="H61" s="254">
        <f>F61*G61</f>
        <v>54004.86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1528.8000000000104</v>
      </c>
      <c r="O61" s="238">
        <f>N61/M61</f>
        <v>138.98181818181914</v>
      </c>
      <c r="P61" s="111">
        <f>M61-J61</f>
        <v>0</v>
      </c>
      <c r="Q61" s="255">
        <f>O61-L61</f>
        <v>-9.7454545454535833</v>
      </c>
      <c r="R61" s="85">
        <f>O61/L61</f>
        <v>0.93447432762836835</v>
      </c>
      <c r="S61" s="413"/>
      <c r="T61" s="22">
        <v>0.43055555555555602</v>
      </c>
      <c r="U61" s="22">
        <v>0.48263888888888901</v>
      </c>
      <c r="V61" s="30">
        <f>(T61-U60)*24*60</f>
        <v>10.000000000000844</v>
      </c>
      <c r="W61" s="256">
        <f t="shared" si="12"/>
        <v>74.999999999999488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-107.19999999998959</v>
      </c>
      <c r="AG61" s="247">
        <f>N61/K61</f>
        <v>0.93447432762836824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2150</v>
      </c>
      <c r="H62" s="254">
        <f t="shared" ref="H62:H63" si="37">F62*G62</f>
        <v>60759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8">K62/J62</f>
        <v>148.72727272727272</v>
      </c>
      <c r="M62" s="108">
        <v>11</v>
      </c>
      <c r="N62" s="107">
        <f t="shared" ref="N62:N63" si="39">G62/W62*60</f>
        <v>1517.6470588235234</v>
      </c>
      <c r="O62" s="238">
        <f t="shared" ref="O62:O63" si="40">N62/M62</f>
        <v>137.96791443850213</v>
      </c>
      <c r="P62" s="111">
        <f t="shared" ref="P62:P63" si="41">M62-J62</f>
        <v>0</v>
      </c>
      <c r="Q62" s="255">
        <f t="shared" ref="Q62:Q63" si="42">O62-L62</f>
        <v>-10.759358288770585</v>
      </c>
      <c r="R62" s="85">
        <f t="shared" ref="R62:R63" si="43">O62/L62</f>
        <v>0.92765712642024667</v>
      </c>
      <c r="S62" s="413"/>
      <c r="T62" s="22">
        <v>0.53472222222222199</v>
      </c>
      <c r="U62" s="22">
        <v>0.59375</v>
      </c>
      <c r="V62" s="30">
        <f>(T62-U61)*24*60</f>
        <v>74.999999999999488</v>
      </c>
      <c r="W62" s="248">
        <f t="shared" si="12"/>
        <v>85.000000000000341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-118.35294117647663</v>
      </c>
      <c r="AG62" s="247">
        <f>N62/K62</f>
        <v>0.92765712642024656</v>
      </c>
      <c r="AH62" s="458"/>
    </row>
    <row r="63" spans="1:34" ht="15" customHeight="1">
      <c r="A63" s="500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1232</v>
      </c>
      <c r="H63" s="254">
        <f t="shared" si="37"/>
        <v>33251.68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8"/>
        <v>109.06666666666666</v>
      </c>
      <c r="M63" s="68">
        <v>14</v>
      </c>
      <c r="N63" s="107">
        <f t="shared" si="39"/>
        <v>1478.3999999999673</v>
      </c>
      <c r="O63" s="238">
        <f t="shared" si="40"/>
        <v>105.59999999999766</v>
      </c>
      <c r="P63" s="111">
        <f t="shared" si="41"/>
        <v>-1</v>
      </c>
      <c r="Q63" s="255">
        <f t="shared" si="42"/>
        <v>-3.4666666666689991</v>
      </c>
      <c r="R63" s="85">
        <f t="shared" si="43"/>
        <v>0.96821515892418397</v>
      </c>
      <c r="S63" s="413"/>
      <c r="T63" s="22">
        <v>0.60069444444444398</v>
      </c>
      <c r="U63" s="22">
        <v>0.63541666666666696</v>
      </c>
      <c r="V63" s="30">
        <f>(T63-U62)*24*60</f>
        <v>9.999999999999325</v>
      </c>
      <c r="W63" s="248">
        <f t="shared" si="12"/>
        <v>50.000000000001101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4">AVERAGE(J59:J68)</f>
        <v>12.6</v>
      </c>
      <c r="K69" s="240">
        <f t="shared" si="44"/>
        <v>1636</v>
      </c>
      <c r="L69" s="268">
        <f t="shared" si="44"/>
        <v>132.86303030303029</v>
      </c>
      <c r="M69" s="240">
        <f t="shared" si="44"/>
        <v>12.4</v>
      </c>
      <c r="N69" s="240">
        <f t="shared" si="44"/>
        <v>1527.6665546218483</v>
      </c>
      <c r="O69" s="268">
        <f t="shared" si="44"/>
        <v>125.48587725999491</v>
      </c>
      <c r="P69" s="269">
        <f>M69-J69</f>
        <v>-0.19999999999999929</v>
      </c>
      <c r="Q69" s="222">
        <f>N69-K69</f>
        <v>-108.33344537815174</v>
      </c>
      <c r="R69" s="123">
        <f>O69/L69</f>
        <v>0.94447550213020304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-108.33344537815174</v>
      </c>
      <c r="AG69" s="124">
        <f>N69/K69</f>
        <v>0.93378151260504172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1937</v>
      </c>
      <c r="H70" s="243">
        <f>F70*G70</f>
        <v>54739.62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1417.3170731707437</v>
      </c>
      <c r="O70" s="138">
        <f>N70/M70</f>
        <v>141.73170731707438</v>
      </c>
      <c r="P70" s="56">
        <f>M70-J70</f>
        <v>-1</v>
      </c>
      <c r="Q70" s="230">
        <f>O70-L70</f>
        <v>-6.9955654101983384</v>
      </c>
      <c r="R70" s="52">
        <f>O70/L70</f>
        <v>0.95296380225416766</v>
      </c>
      <c r="S70" s="412">
        <f>R79</f>
        <v>0.80566868305676731</v>
      </c>
      <c r="T70" s="245">
        <v>0.29166666666666702</v>
      </c>
      <c r="U70" s="245">
        <v>0.34861111111111098</v>
      </c>
      <c r="V70" s="55"/>
      <c r="W70" s="54">
        <f t="shared" si="12"/>
        <v>81.999999999999304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-218.6829268292563</v>
      </c>
      <c r="AG70" s="246">
        <f>N70/K70</f>
        <v>0.86633072932197053</v>
      </c>
      <c r="AH70" s="457">
        <f>AG79</f>
        <v>0.66344079355574237</v>
      </c>
    </row>
    <row r="71" spans="1:36" ht="15" customHeight="1">
      <c r="A71" s="495"/>
      <c r="B71" s="75" t="s">
        <v>81</v>
      </c>
      <c r="C71" s="76"/>
      <c r="D71" s="59" t="s">
        <v>153</v>
      </c>
      <c r="E71" s="77"/>
      <c r="F71" s="250">
        <f>VLOOKUP(D71,廠價表!$C$1:$E$43,3,0)</f>
        <v>50.67</v>
      </c>
      <c r="G71" s="202">
        <v>48</v>
      </c>
      <c r="H71" s="78">
        <f t="shared" ref="H71:H74" si="45">F71*G71</f>
        <v>2432.16</v>
      </c>
      <c r="I71" s="232"/>
      <c r="J71" s="106">
        <v>17</v>
      </c>
      <c r="K71" s="107">
        <v>1565</v>
      </c>
      <c r="L71" s="238">
        <f t="shared" ref="L71:L75" si="46">K71/J71</f>
        <v>92.058823529411768</v>
      </c>
      <c r="M71" s="82">
        <v>13</v>
      </c>
      <c r="N71" s="107">
        <f t="shared" ref="N71:N75" si="47">G71/W71*60</f>
        <v>143.99999999999878</v>
      </c>
      <c r="O71" s="238">
        <f t="shared" ref="O71:O75" si="48">N71/M71</f>
        <v>11.076923076922983</v>
      </c>
      <c r="P71" s="111">
        <f t="shared" ref="P71:P75" si="49">M71-J71</f>
        <v>-4</v>
      </c>
      <c r="Q71" s="255">
        <f t="shared" ref="Q71:Q75" si="50">O71-L71</f>
        <v>-80.981900452488787</v>
      </c>
      <c r="R71" s="85">
        <f t="shared" ref="R71:R75" si="51">O71/L71</f>
        <v>0.12032440403047329</v>
      </c>
      <c r="S71" s="413"/>
      <c r="T71" s="22">
        <v>0.37361111111111101</v>
      </c>
      <c r="U71" s="22">
        <v>0.38750000000000001</v>
      </c>
      <c r="V71" s="30">
        <f>(T71-U70)*24*60</f>
        <v>36.000000000000028</v>
      </c>
      <c r="W71" s="73">
        <f t="shared" si="12"/>
        <v>20.000000000000171</v>
      </c>
      <c r="X71" s="271"/>
      <c r="Y71" s="293"/>
      <c r="Z71" s="90"/>
      <c r="AA71" s="90"/>
      <c r="AB71" s="483" t="s">
        <v>200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909</v>
      </c>
      <c r="H72" s="78">
        <f t="shared" si="45"/>
        <v>39896.01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46"/>
        <v>96.235294117647058</v>
      </c>
      <c r="M72" s="82">
        <v>13</v>
      </c>
      <c r="N72" s="107">
        <f t="shared" si="47"/>
        <v>1090.8000000000075</v>
      </c>
      <c r="O72" s="238">
        <f t="shared" si="48"/>
        <v>83.907692307692884</v>
      </c>
      <c r="P72" s="111">
        <f t="shared" si="49"/>
        <v>-4</v>
      </c>
      <c r="Q72" s="255">
        <f t="shared" si="50"/>
        <v>-12.327601809954174</v>
      </c>
      <c r="R72" s="85">
        <f t="shared" si="51"/>
        <v>0.87190144818507276</v>
      </c>
      <c r="S72" s="413"/>
      <c r="T72" s="22">
        <v>0.39930555555555602</v>
      </c>
      <c r="U72" s="22">
        <v>0.43402777777777801</v>
      </c>
      <c r="V72" s="30">
        <f>(T72-U71)*24*60</f>
        <v>17.000000000000661</v>
      </c>
      <c r="W72" s="73">
        <f t="shared" si="12"/>
        <v>49.999999999999659</v>
      </c>
      <c r="X72" s="272"/>
      <c r="Y72" s="288"/>
      <c r="Z72" s="90">
        <v>1</v>
      </c>
      <c r="AA72" s="90">
        <v>6</v>
      </c>
      <c r="AB72" s="462" t="s">
        <v>201</v>
      </c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30" t="s">
        <v>81</v>
      </c>
      <c r="C73" s="151"/>
      <c r="D73" s="59" t="s">
        <v>153</v>
      </c>
      <c r="E73" s="87"/>
      <c r="F73" s="250">
        <f>VLOOKUP(D73,廠價表!$C$1:$E$43,3,0)</f>
        <v>50.67</v>
      </c>
      <c r="G73" s="30">
        <v>1016</v>
      </c>
      <c r="H73" s="78">
        <f t="shared" si="45"/>
        <v>51480.72</v>
      </c>
      <c r="I73" s="182"/>
      <c r="J73" s="106">
        <f>VLOOKUP(D73,產線配置圖!$A$3:$C$40,2,0)</f>
        <v>16</v>
      </c>
      <c r="K73" s="107">
        <v>1565</v>
      </c>
      <c r="L73" s="238">
        <f t="shared" si="46"/>
        <v>97.8125</v>
      </c>
      <c r="M73" s="108">
        <v>13</v>
      </c>
      <c r="N73" s="107">
        <f t="shared" si="47"/>
        <v>1195.2941176470799</v>
      </c>
      <c r="O73" s="238">
        <f t="shared" si="48"/>
        <v>91.945701357467684</v>
      </c>
      <c r="P73" s="111">
        <f t="shared" si="49"/>
        <v>-3</v>
      </c>
      <c r="Q73" s="255">
        <f t="shared" si="50"/>
        <v>-5.8667986425323164</v>
      </c>
      <c r="R73" s="85">
        <f t="shared" si="51"/>
        <v>0.94001994998050031</v>
      </c>
      <c r="S73" s="413"/>
      <c r="T73" s="22">
        <v>0.44305555555555598</v>
      </c>
      <c r="U73" s="22">
        <v>0.47847222222222202</v>
      </c>
      <c r="V73" s="30">
        <f>(T73-U72)*24*60</f>
        <v>13.000000000000274</v>
      </c>
      <c r="W73" s="73">
        <f t="shared" si="12"/>
        <v>50.999999999999098</v>
      </c>
      <c r="X73" s="22"/>
      <c r="Y73" s="84"/>
      <c r="Z73" s="90"/>
      <c r="AA73" s="90"/>
      <c r="AB73" s="462" t="s">
        <v>202</v>
      </c>
      <c r="AC73" s="462"/>
      <c r="AD73" s="92">
        <v>1</v>
      </c>
      <c r="AE73" s="92">
        <v>1</v>
      </c>
      <c r="AF73" s="311"/>
      <c r="AG73" s="99"/>
      <c r="AH73" s="478"/>
    </row>
    <row r="74" spans="1:36" ht="15" customHeight="1">
      <c r="A74" s="495"/>
      <c r="B74" s="101" t="s">
        <v>81</v>
      </c>
      <c r="C74" s="102"/>
      <c r="D74" s="103" t="s">
        <v>181</v>
      </c>
      <c r="E74" s="104"/>
      <c r="F74" s="250">
        <f>VLOOKUP(D74,廠價表!$C$1:$E$43,3,0)</f>
        <v>43.89</v>
      </c>
      <c r="G74" s="30">
        <v>418</v>
      </c>
      <c r="H74" s="78">
        <f t="shared" si="45"/>
        <v>18346.02</v>
      </c>
      <c r="I74" s="182"/>
      <c r="J74" s="106">
        <f>VLOOKUP(D74,產線配置圖!$A$3:$C$40,2,0)</f>
        <v>17</v>
      </c>
      <c r="K74" s="107">
        <f>VLOOKUP(D74,產線配置圖!$A$3:$C$40,3,0)</f>
        <v>1636</v>
      </c>
      <c r="L74" s="238">
        <f t="shared" si="46"/>
        <v>96.235294117647058</v>
      </c>
      <c r="M74" s="108">
        <v>13</v>
      </c>
      <c r="N74" s="107">
        <f t="shared" si="47"/>
        <v>1139.9999999999791</v>
      </c>
      <c r="O74" s="238">
        <f t="shared" si="48"/>
        <v>87.692307692306088</v>
      </c>
      <c r="P74" s="111">
        <f t="shared" si="49"/>
        <v>-4</v>
      </c>
      <c r="Q74" s="255">
        <f t="shared" si="50"/>
        <v>-8.5429864253409704</v>
      </c>
      <c r="R74" s="85">
        <f t="shared" si="51"/>
        <v>0.91122813616699483</v>
      </c>
      <c r="S74" s="413"/>
      <c r="T74" s="22">
        <v>0.54027777777777797</v>
      </c>
      <c r="U74" s="22">
        <v>0.55555555555555602</v>
      </c>
      <c r="V74" s="30">
        <f>(T74-U73)*24*60</f>
        <v>89.000000000000568</v>
      </c>
      <c r="W74" s="73">
        <f t="shared" si="12"/>
        <v>22.000000000000401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101" t="s">
        <v>81</v>
      </c>
      <c r="C75" s="102"/>
      <c r="D75" s="103" t="s">
        <v>153</v>
      </c>
      <c r="E75" s="104"/>
      <c r="F75" s="250">
        <f>VLOOKUP(D75,廠價表!$C$1:$E$43,3,0)</f>
        <v>50.67</v>
      </c>
      <c r="G75" s="30">
        <v>1412</v>
      </c>
      <c r="H75" s="78">
        <f>F75*G75</f>
        <v>71546.040000000008</v>
      </c>
      <c r="I75" s="264"/>
      <c r="J75" s="106">
        <v>17</v>
      </c>
      <c r="K75" s="107">
        <v>1565</v>
      </c>
      <c r="L75" s="238">
        <f t="shared" si="46"/>
        <v>92.058823529411768</v>
      </c>
      <c r="M75" s="94">
        <v>14</v>
      </c>
      <c r="N75" s="107">
        <f t="shared" si="47"/>
        <v>941.33333333333326</v>
      </c>
      <c r="O75" s="238">
        <f t="shared" si="48"/>
        <v>67.238095238095227</v>
      </c>
      <c r="P75" s="111">
        <f t="shared" si="49"/>
        <v>-3</v>
      </c>
      <c r="Q75" s="255">
        <f t="shared" si="50"/>
        <v>-24.820728291316541</v>
      </c>
      <c r="R75" s="85">
        <f t="shared" si="51"/>
        <v>0.73038186520614623</v>
      </c>
      <c r="S75" s="413"/>
      <c r="T75" s="110">
        <v>0.5625</v>
      </c>
      <c r="U75" s="110">
        <v>0.625</v>
      </c>
      <c r="V75" s="30">
        <f>(T75-U74)*24*60</f>
        <v>9.999999999999325</v>
      </c>
      <c r="W75" s="256">
        <f t="shared" si="12"/>
        <v>90</v>
      </c>
      <c r="X75" s="279"/>
      <c r="Y75" s="304"/>
      <c r="Z75" s="90"/>
      <c r="AA75" s="90"/>
      <c r="AB75" s="462" t="s">
        <v>172</v>
      </c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250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12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12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10"/>
      <c r="U78" s="110"/>
      <c r="V78" s="38"/>
      <c r="W78" s="73">
        <f t="shared" si="12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/>
      <c r="D79" s="433" t="s">
        <v>42</v>
      </c>
      <c r="E79" s="433"/>
      <c r="F79" s="116"/>
      <c r="G79" s="117"/>
      <c r="H79" s="118"/>
      <c r="I79" s="267"/>
      <c r="J79" s="240">
        <f t="shared" ref="J79:O79" si="52">AVERAGE(J69:J78)</f>
        <v>15.37142857142857</v>
      </c>
      <c r="K79" s="240">
        <f t="shared" si="52"/>
        <v>1605.5714285714287</v>
      </c>
      <c r="L79" s="268">
        <f t="shared" si="52"/>
        <v>107.99871976063153</v>
      </c>
      <c r="M79" s="240">
        <f t="shared" si="52"/>
        <v>12.62857142857143</v>
      </c>
      <c r="N79" s="240">
        <f t="shared" si="52"/>
        <v>1065.2015826818556</v>
      </c>
      <c r="O79" s="268">
        <f t="shared" si="52"/>
        <v>87.011186321364875</v>
      </c>
      <c r="P79" s="269">
        <f>M79-J79</f>
        <v>-2.7428571428571402</v>
      </c>
      <c r="Q79" s="222">
        <f>N79-K79</f>
        <v>-540.36984588957307</v>
      </c>
      <c r="R79" s="123">
        <f>O79/L79</f>
        <v>0.80566868305676731</v>
      </c>
      <c r="S79" s="416"/>
      <c r="T79" s="365"/>
      <c r="U79" s="365"/>
      <c r="V79" s="126"/>
      <c r="W79" s="242"/>
      <c r="X79" s="128"/>
      <c r="Y79" s="295"/>
      <c r="Z79" s="334">
        <f>SUM(Z70:Z78)</f>
        <v>1</v>
      </c>
      <c r="AA79" s="334">
        <f>SUM(AA70:AA78)</f>
        <v>6</v>
      </c>
      <c r="AB79" s="463"/>
      <c r="AC79" s="463"/>
      <c r="AD79" s="323">
        <f>SUM(AD70:AD78)</f>
        <v>1</v>
      </c>
      <c r="AE79" s="323">
        <f>SUM(AE70:AE78)</f>
        <v>1</v>
      </c>
      <c r="AF79" s="309">
        <f>N79-K79</f>
        <v>-540.36984588957307</v>
      </c>
      <c r="AG79" s="124">
        <f>N79/K79</f>
        <v>0.66344079355574237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17:AC17"/>
    <mergeCell ref="AB18:AC18"/>
    <mergeCell ref="AB19:AC19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AB20:AC20"/>
    <mergeCell ref="AB21:AC21"/>
    <mergeCell ref="AB22:AC22"/>
    <mergeCell ref="AB23:AC23"/>
    <mergeCell ref="AB24:AC24"/>
    <mergeCell ref="AB25:AC25"/>
    <mergeCell ref="A5:A15"/>
    <mergeCell ref="S5:S15"/>
    <mergeCell ref="AB5:AC5"/>
    <mergeCell ref="A2:B2"/>
    <mergeCell ref="A3:A4"/>
    <mergeCell ref="B3:B4"/>
    <mergeCell ref="T1:Y2"/>
    <mergeCell ref="AB1:AC2"/>
    <mergeCell ref="D3:E4"/>
    <mergeCell ref="F3:F4"/>
    <mergeCell ref="AB12:AC12"/>
    <mergeCell ref="AB13:AC13"/>
    <mergeCell ref="G3:G4"/>
    <mergeCell ref="D15:E15"/>
    <mergeCell ref="AB15:AC15"/>
    <mergeCell ref="AB8:AC8"/>
    <mergeCell ref="AB10:AC10"/>
    <mergeCell ref="AB11:AC11"/>
    <mergeCell ref="AH5:AH15"/>
    <mergeCell ref="AB6:AC6"/>
    <mergeCell ref="AB7:AC7"/>
    <mergeCell ref="H3:H4"/>
    <mergeCell ref="I3:I4"/>
    <mergeCell ref="AB14:AC1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B9:AC9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</mergeCells>
  <phoneticPr fontId="0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D1:D4 D6:D7 D9:D1048576</xm:sqref>
        </x14:dataValidation>
        <x14:dataValidation type="list" allowBlank="1" showInputMessage="1" showErrorMessage="1">
          <x14:formula1>
            <xm:f>產線配置圖!$A$3:$A$33</xm:f>
          </x14:formula1>
          <xm:sqref>D5 D8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A3" sqref="A3:A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46225</v>
      </c>
      <c r="E3" s="379"/>
      <c r="F3" s="3" t="s">
        <v>72</v>
      </c>
      <c r="G3" s="380">
        <f>'0722'!E1</f>
        <v>62600</v>
      </c>
      <c r="H3" s="380"/>
      <c r="I3" s="3" t="s">
        <v>2</v>
      </c>
      <c r="J3" s="381">
        <f>'0722'!G1</f>
        <v>2884051.2980000004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124.29049811649601</v>
      </c>
      <c r="G6" s="386"/>
      <c r="H6" s="387">
        <f>AVERAGE(D13:H13)</f>
        <v>124.79026242548301</v>
      </c>
      <c r="I6" s="387"/>
      <c r="J6" s="387">
        <f>AVERAGE(I13:J13)</f>
        <v>123.04108734402851</v>
      </c>
      <c r="K6" s="387"/>
      <c r="L6" s="503">
        <f>SUM(D18:J18)</f>
        <v>7</v>
      </c>
      <c r="M6" s="390">
        <f>SUM(D19:J19)</f>
        <v>25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111.29468986195589</v>
      </c>
      <c r="G7" s="410"/>
      <c r="H7" s="411">
        <f>AVERAGE(D14:H14)</f>
        <v>113.03336826451425</v>
      </c>
      <c r="I7" s="411"/>
      <c r="J7" s="411">
        <f>AVERAGE(I14:J14)</f>
        <v>106.94799385555997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0.89544005011260552</v>
      </c>
      <c r="G8" s="383"/>
      <c r="H8" s="383">
        <f>H7/H6</f>
        <v>0.90578676627121257</v>
      </c>
      <c r="I8" s="383"/>
      <c r="J8" s="383">
        <f>J7/J6</f>
        <v>0.86920553259195843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VALUE('0722'!L15)</f>
        <v>148.60162815126051</v>
      </c>
      <c r="E13" s="13">
        <f>VALUE('0722'!L26)</f>
        <v>173.76373626373626</v>
      </c>
      <c r="F13" s="13">
        <f>VALUE('0722'!L37)</f>
        <v>96.736601307189545</v>
      </c>
      <c r="G13" s="13">
        <f>VALUE('0722'!L48)</f>
        <v>98.069934640522888</v>
      </c>
      <c r="H13" s="13">
        <f>VALUE('0722'!L58)</f>
        <v>106.77941176470588</v>
      </c>
      <c r="I13" s="13">
        <f>VALUE('0722'!L69)</f>
        <v>138.81212121212121</v>
      </c>
      <c r="J13" s="13">
        <f>'0722'!L79</f>
        <v>107.27005347593582</v>
      </c>
    </row>
    <row r="14" spans="2:15" ht="39.950000000000003" customHeight="1">
      <c r="B14" s="404"/>
      <c r="C14" s="12" t="s">
        <v>100</v>
      </c>
      <c r="D14" s="13">
        <f>VALUE('0722'!O15)</f>
        <v>132.57575386147508</v>
      </c>
      <c r="E14" s="13">
        <f>VALUE('0722'!O26)</f>
        <v>158.49250152118447</v>
      </c>
      <c r="F14" s="13">
        <f>VALUE('0722'!O37)</f>
        <v>92.391260480906695</v>
      </c>
      <c r="G14" s="13">
        <f>VALUE('0722'!O48)</f>
        <v>88.915899937183525</v>
      </c>
      <c r="H14" s="13">
        <f>VALUE('0722'!O58)</f>
        <v>92.791425521821481</v>
      </c>
      <c r="I14" s="13">
        <f>VALUE('0722'!O69)</f>
        <v>127.3425144300152</v>
      </c>
      <c r="J14" s="13">
        <f>'0722'!O79</f>
        <v>86.553473281104743</v>
      </c>
    </row>
    <row r="15" spans="2:15" ht="39.950000000000003" customHeight="1">
      <c r="B15" s="405"/>
      <c r="C15" s="10" t="s">
        <v>26</v>
      </c>
      <c r="D15" s="14">
        <f t="shared" ref="D15:I15" si="1">D14/D13</f>
        <v>0.8921554596059148</v>
      </c>
      <c r="E15" s="14">
        <f t="shared" si="1"/>
        <v>0.91211494946578886</v>
      </c>
      <c r="F15" s="14">
        <f t="shared" si="1"/>
        <v>0.9550806957494391</v>
      </c>
      <c r="G15" s="14">
        <f t="shared" si="1"/>
        <v>0.90665809315674939</v>
      </c>
      <c r="H15" s="14">
        <f t="shared" si="1"/>
        <v>0.86900109289131811</v>
      </c>
      <c r="I15" s="14">
        <f t="shared" si="1"/>
        <v>0.91737316106149613</v>
      </c>
      <c r="J15" s="15">
        <f>'0722'!S70</f>
        <v>0.80687452347100319</v>
      </c>
    </row>
    <row r="16" spans="2:15" ht="17.25" customHeight="1">
      <c r="B16" s="406" t="s">
        <v>101</v>
      </c>
      <c r="C16" s="10" t="s">
        <v>34</v>
      </c>
      <c r="D16" s="16">
        <f>'0722'!T5</f>
        <v>0.29375000000000001</v>
      </c>
      <c r="E16" s="16">
        <f>'0722'!T16</f>
        <v>0.29097222222222202</v>
      </c>
      <c r="F16" s="16">
        <f>'0722'!T27</f>
        <v>0.28611111111111098</v>
      </c>
      <c r="G16" s="16">
        <f>'0722'!T38</f>
        <v>0.33333333333333298</v>
      </c>
      <c r="H16" s="16">
        <f>'0722'!T49</f>
        <v>0.29166666666666702</v>
      </c>
      <c r="I16" s="16">
        <f>'0722'!T59</f>
        <v>0.29166666666666702</v>
      </c>
      <c r="J16" s="16">
        <f>'0722'!T70</f>
        <v>0.34027777777777801</v>
      </c>
    </row>
    <row r="17" spans="2:10" ht="17.25" customHeight="1">
      <c r="B17" s="407"/>
      <c r="C17" s="10" t="s">
        <v>35</v>
      </c>
      <c r="D17" s="16">
        <v>0.69444444444444398</v>
      </c>
      <c r="E17" s="19">
        <v>0.66874999999999996</v>
      </c>
      <c r="F17" s="19">
        <v>0.64444444444444404</v>
      </c>
      <c r="G17" s="20">
        <v>0.63194444444444398</v>
      </c>
      <c r="H17" s="21">
        <v>0.63124999999999998</v>
      </c>
      <c r="I17" s="22">
        <v>0.63541666666666696</v>
      </c>
      <c r="J17" s="110">
        <v>0.625</v>
      </c>
    </row>
    <row r="18" spans="2:10" ht="17.25" customHeight="1">
      <c r="B18" s="408" t="s">
        <v>102</v>
      </c>
      <c r="C18" s="330" t="s">
        <v>36</v>
      </c>
      <c r="D18" s="357">
        <f>'0722'!Z15</f>
        <v>2</v>
      </c>
      <c r="E18" s="358">
        <f>'0722'!Z26</f>
        <v>5</v>
      </c>
      <c r="F18" s="358">
        <f>'0722'!Z37</f>
        <v>0</v>
      </c>
      <c r="G18" s="359">
        <f>'0722'!Z48</f>
        <v>0</v>
      </c>
      <c r="H18" s="359">
        <f>'0722'!Z58</f>
        <v>0</v>
      </c>
      <c r="I18" s="358">
        <f>'0722'!Z69</f>
        <v>0</v>
      </c>
      <c r="J18" s="358">
        <f>'0722'!AA79</f>
        <v>0</v>
      </c>
    </row>
    <row r="19" spans="2:10" ht="17.25" customHeight="1">
      <c r="B19" s="409"/>
      <c r="C19" s="330" t="s">
        <v>37</v>
      </c>
      <c r="D19" s="357">
        <f>'0722'!AA15</f>
        <v>15</v>
      </c>
      <c r="E19" s="358">
        <f>'0722'!AA26</f>
        <v>10</v>
      </c>
      <c r="F19" s="358">
        <f>'0722'!AA37</f>
        <v>0</v>
      </c>
      <c r="G19" s="359">
        <f>'0722'!AA48</f>
        <v>0</v>
      </c>
      <c r="H19" s="359">
        <f>'0722'!AA58</f>
        <v>0</v>
      </c>
      <c r="I19" s="358">
        <f>'0722'!AA69</f>
        <v>0</v>
      </c>
      <c r="J19" s="358">
        <f>'0722'!AB79</f>
        <v>0</v>
      </c>
    </row>
    <row r="20" spans="2:10" ht="17.25" customHeight="1">
      <c r="B20" s="408" t="s">
        <v>103</v>
      </c>
      <c r="C20" s="330" t="s">
        <v>36</v>
      </c>
      <c r="D20" s="357">
        <f>'0722'!AD15</f>
        <v>0</v>
      </c>
      <c r="E20" s="358">
        <f>'0722'!AD26</f>
        <v>0</v>
      </c>
      <c r="F20" s="358">
        <f>'0722'!AD37</f>
        <v>0</v>
      </c>
      <c r="G20" s="359">
        <f>'0722'!AD48</f>
        <v>0</v>
      </c>
      <c r="H20" s="359">
        <f>'0722'!AD58</f>
        <v>0</v>
      </c>
      <c r="I20" s="358">
        <f>'0722'!AD69</f>
        <v>0</v>
      </c>
      <c r="J20" s="358">
        <f>'0722'!AD79</f>
        <v>0</v>
      </c>
    </row>
    <row r="21" spans="2:10" ht="17.25" customHeight="1">
      <c r="B21" s="409"/>
      <c r="C21" s="330" t="s">
        <v>85</v>
      </c>
      <c r="D21" s="357">
        <f>'0722'!AE15</f>
        <v>0</v>
      </c>
      <c r="E21" s="358">
        <f>'0722'!AE26</f>
        <v>0</v>
      </c>
      <c r="F21" s="358">
        <f>'0722'!AE37</f>
        <v>0</v>
      </c>
      <c r="G21" s="359">
        <f>'0722'!AE48</f>
        <v>0</v>
      </c>
      <c r="H21" s="359">
        <f>'0722'!AE58</f>
        <v>0</v>
      </c>
      <c r="I21" s="358">
        <f>'0722'!AE69</f>
        <v>0</v>
      </c>
      <c r="J21" s="358">
        <f>'0722'!AE79</f>
        <v>0</v>
      </c>
    </row>
    <row r="22" spans="2:10" ht="17.25" customHeight="1">
      <c r="B22" s="392" t="s">
        <v>104</v>
      </c>
      <c r="C22" s="393"/>
      <c r="D22" s="23">
        <f>VALUE('0722'!M15)</f>
        <v>14.75</v>
      </c>
      <c r="E22" s="23">
        <f>VALUE('0722'!M26)</f>
        <v>13</v>
      </c>
      <c r="F22" s="23">
        <f>VALUE('0722'!M37)</f>
        <v>16.399999999999999</v>
      </c>
      <c r="G22" s="23">
        <f>VALUE('0722'!M48)</f>
        <v>16.5</v>
      </c>
      <c r="H22" s="23">
        <f>VALUE('0722'!M58)</f>
        <v>16.5</v>
      </c>
      <c r="I22" s="23">
        <f>VALUE('0722'!M69)</f>
        <v>12</v>
      </c>
      <c r="J22" s="23">
        <f>'0722'!M79</f>
        <v>12.25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3" sqref="A3:A4"/>
      <selection pane="topRight" activeCell="A3" sqref="A3:A4"/>
      <selection pane="bottomLeft" activeCell="A3" sqref="A3:A4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62600</v>
      </c>
      <c r="F1" s="30" t="s">
        <v>2</v>
      </c>
      <c r="G1" s="31">
        <f>SUM(H5:H79)</f>
        <v>2884051.2980000004</v>
      </c>
      <c r="H1" s="32" t="s">
        <v>3</v>
      </c>
      <c r="I1" s="33">
        <f>M15+M26+M48+M58+M69+M79+M37</f>
        <v>101.4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203</v>
      </c>
      <c r="B2" s="418"/>
      <c r="C2" s="28"/>
      <c r="D2" s="28" t="s">
        <v>14</v>
      </c>
      <c r="E2" s="35">
        <f>AVERAGE(O15,O26,O37,O48,O58,O69,O79)</f>
        <v>111.29468986195589</v>
      </c>
      <c r="F2" s="36" t="s">
        <v>15</v>
      </c>
      <c r="G2" s="37">
        <f>G1/E1</f>
        <v>46.071106996805121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7</v>
      </c>
      <c r="AA2" s="339">
        <f>AA15+AA26+AA37+AA48+AA58+AA69+AA79</f>
        <v>25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167" t="s">
        <v>81</v>
      </c>
      <c r="C5" s="40"/>
      <c r="D5" s="373" t="s">
        <v>196</v>
      </c>
      <c r="E5" s="362"/>
      <c r="F5" s="39">
        <f>VLOOKUP(D5,廠價表!$C$1:$E$43,3,0)</f>
        <v>49.91</v>
      </c>
      <c r="G5" s="42">
        <v>5574</v>
      </c>
      <c r="H5" s="43">
        <f>F5*G5</f>
        <v>278198.33999999997</v>
      </c>
      <c r="I5" s="44"/>
      <c r="J5" s="45">
        <f>VLOOKUP(D5,產線配置圖!$A$3:$C$40,2,0)</f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2002.6347305389263</v>
      </c>
      <c r="O5" s="47">
        <f>N5/M5</f>
        <v>125.16467065868289</v>
      </c>
      <c r="P5" s="49">
        <f>M5-J5</f>
        <v>0</v>
      </c>
      <c r="Q5" s="50">
        <f>O5-L5</f>
        <v>-15.460329341317106</v>
      </c>
      <c r="R5" s="51">
        <f>O5/L5</f>
        <v>0.89005988023952276</v>
      </c>
      <c r="S5" s="412">
        <f>R15</f>
        <v>0.8921554596059148</v>
      </c>
      <c r="T5" s="319">
        <v>0.29375000000000001</v>
      </c>
      <c r="U5" s="320">
        <v>0.40972222222222199</v>
      </c>
      <c r="V5" s="53"/>
      <c r="W5" s="54">
        <f t="shared" ref="W5:W14" si="0">(U5-T5)*24*60</f>
        <v>166.99999999999966</v>
      </c>
      <c r="X5" s="55"/>
      <c r="Y5" s="290"/>
      <c r="Z5" s="169">
        <v>2</v>
      </c>
      <c r="AA5" s="169">
        <v>15</v>
      </c>
      <c r="AB5" s="604" t="s">
        <v>204</v>
      </c>
      <c r="AC5" s="464"/>
      <c r="AD5" s="135"/>
      <c r="AE5" s="135"/>
      <c r="AF5" s="229">
        <f t="shared" ref="AF5:AF11" si="1">N5-K5</f>
        <v>-247.36526946107369</v>
      </c>
      <c r="AG5" s="52">
        <f t="shared" ref="AG5:AG11" si="2">N5/K5</f>
        <v>0.89005988023952276</v>
      </c>
      <c r="AH5" s="457">
        <f>AG15</f>
        <v>0.86494803798596609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3038</v>
      </c>
      <c r="H6" s="63">
        <f>F6*G6</f>
        <v>149287.32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2095.1724137930919</v>
      </c>
      <c r="O6" s="67">
        <f>N6/M6</f>
        <v>149.65517241379229</v>
      </c>
      <c r="P6" s="69">
        <f>M6-J6</f>
        <v>0</v>
      </c>
      <c r="Q6" s="70">
        <f>O6-L6</f>
        <v>-11.059113300493436</v>
      </c>
      <c r="R6" s="71">
        <f>O6/L6</f>
        <v>0.93118773946359645</v>
      </c>
      <c r="S6" s="413"/>
      <c r="T6" s="16">
        <v>0.41875000000000001</v>
      </c>
      <c r="U6" s="16">
        <v>0.47916666666666702</v>
      </c>
      <c r="V6" s="30">
        <f>(T6-U5)*24*60</f>
        <v>13.000000000000353</v>
      </c>
      <c r="W6" s="73">
        <f t="shared" si="0"/>
        <v>87.000000000000483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-154.82758620690811</v>
      </c>
      <c r="AG6" s="72">
        <f t="shared" si="2"/>
        <v>0.93118773946359634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2275</v>
      </c>
      <c r="H7" s="78">
        <f>F7*G7</f>
        <v>111793.5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2037.3134328358087</v>
      </c>
      <c r="O7" s="81">
        <f>N7/M7</f>
        <v>145.52238805970063</v>
      </c>
      <c r="P7" s="74">
        <f>M7-J7</f>
        <v>0</v>
      </c>
      <c r="Q7" s="83">
        <f>O7-L7</f>
        <v>-15.191897654585091</v>
      </c>
      <c r="R7" s="72">
        <f>O7/L7</f>
        <v>0.90547263681591494</v>
      </c>
      <c r="S7" s="413"/>
      <c r="T7" s="18">
        <v>0.54583333333333295</v>
      </c>
      <c r="U7" s="18">
        <v>0.59236111111111101</v>
      </c>
      <c r="V7" s="30">
        <f>(T7-U6)*24*60</f>
        <v>95.999999999998934</v>
      </c>
      <c r="W7" s="73">
        <f t="shared" si="0"/>
        <v>67.000000000000398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-212.68656716419127</v>
      </c>
      <c r="AG7" s="72">
        <f t="shared" si="2"/>
        <v>0.90547263681591494</v>
      </c>
      <c r="AH7" s="458"/>
    </row>
    <row r="8" spans="1:34" ht="15" customHeight="1">
      <c r="A8" s="424"/>
      <c r="B8" s="75" t="s">
        <v>81</v>
      </c>
      <c r="C8" s="76"/>
      <c r="D8" s="59" t="s">
        <v>153</v>
      </c>
      <c r="E8" s="77"/>
      <c r="F8" s="75">
        <f>VLOOKUP(D8,廠價表!$C$1:$E$43,3,0)</f>
        <v>50.67</v>
      </c>
      <c r="G8" s="66">
        <v>1402</v>
      </c>
      <c r="H8" s="78">
        <f>F8*G8</f>
        <v>71039.34</v>
      </c>
      <c r="I8" s="73"/>
      <c r="J8" s="79">
        <v>17</v>
      </c>
      <c r="K8" s="80">
        <f>VLOOKUP(D8,產線配置圖!$A$3:$C$40,3,0)</f>
        <v>2250</v>
      </c>
      <c r="L8" s="81">
        <f>K8/J8</f>
        <v>132.35294117647058</v>
      </c>
      <c r="M8" s="82">
        <v>15</v>
      </c>
      <c r="N8" s="80">
        <f>G8/W8*60</f>
        <v>1649.4117647058674</v>
      </c>
      <c r="O8" s="81">
        <f>N8/M8</f>
        <v>109.96078431372449</v>
      </c>
      <c r="P8" s="74">
        <f>M8-J8</f>
        <v>-2</v>
      </c>
      <c r="Q8" s="83">
        <f>O8-L8</f>
        <v>-22.392156862746091</v>
      </c>
      <c r="R8" s="72">
        <f>O8/L8</f>
        <v>0.83081481481480735</v>
      </c>
      <c r="S8" s="413"/>
      <c r="T8" s="16">
        <v>0.63333333333333297</v>
      </c>
      <c r="U8" s="16">
        <v>0.66874999999999996</v>
      </c>
      <c r="V8" s="30">
        <f>(T8-U7)*24*60</f>
        <v>58.999999999999631</v>
      </c>
      <c r="W8" s="73">
        <f t="shared" si="0"/>
        <v>51.000000000000455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-600.58823529413257</v>
      </c>
      <c r="AG8" s="72">
        <f t="shared" si="2"/>
        <v>0.73307189542482998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15.25</v>
      </c>
      <c r="K15" s="120">
        <f t="shared" si="3"/>
        <v>2250</v>
      </c>
      <c r="L15" s="117">
        <f t="shared" si="3"/>
        <v>148.60162815126051</v>
      </c>
      <c r="M15" s="120">
        <f t="shared" si="3"/>
        <v>14.75</v>
      </c>
      <c r="N15" s="120">
        <f t="shared" si="3"/>
        <v>1946.1330854684236</v>
      </c>
      <c r="O15" s="117">
        <f t="shared" si="3"/>
        <v>132.57575386147508</v>
      </c>
      <c r="P15" s="121">
        <f>M15-J15</f>
        <v>-0.5</v>
      </c>
      <c r="Q15" s="122">
        <f>O15-L15</f>
        <v>-16.025874289785435</v>
      </c>
      <c r="R15" s="123">
        <f>O15/L15</f>
        <v>0.8921554596059148</v>
      </c>
      <c r="S15" s="416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15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-303.86691453157641</v>
      </c>
      <c r="AG15" s="124">
        <f>N15/K15</f>
        <v>0.86494803798596609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2163</v>
      </c>
      <c r="H16" s="134">
        <f>F16*G16</f>
        <v>109599.21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2127.5409836065646</v>
      </c>
      <c r="O16" s="141">
        <f>N16/M16</f>
        <v>163.65699873896651</v>
      </c>
      <c r="P16" s="142">
        <f>M16-J16</f>
        <v>0</v>
      </c>
      <c r="Q16" s="143">
        <f>O16-L16</f>
        <v>-9.4199243379565587</v>
      </c>
      <c r="R16" s="144">
        <f>O16/L16</f>
        <v>0.94557377049180658</v>
      </c>
      <c r="S16" s="468">
        <f>R26</f>
        <v>0.91211494946578886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-122.45901639343538</v>
      </c>
      <c r="AG16" s="52">
        <f>N16/K16</f>
        <v>0.94557377049180646</v>
      </c>
      <c r="AH16" s="457">
        <f>AG26</f>
        <v>0.91420868909201169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2468</v>
      </c>
      <c r="H17" s="78">
        <f>F17*G17</f>
        <v>140355.16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2085.6338028169253</v>
      </c>
      <c r="O17" s="96">
        <f>N17/M17</f>
        <v>148.9738430583518</v>
      </c>
      <c r="P17" s="97">
        <f>M17-J17</f>
        <v>0</v>
      </c>
      <c r="Q17" s="98">
        <f>O17-L17</f>
        <v>-11.740442655933919</v>
      </c>
      <c r="R17" s="99">
        <f>O17/L17</f>
        <v>0.9269483568075223</v>
      </c>
      <c r="S17" s="469"/>
      <c r="T17" s="19">
        <v>0.33888888888888902</v>
      </c>
      <c r="U17" s="19">
        <v>0.38819444444444401</v>
      </c>
      <c r="V17" s="30">
        <f>(T17-U16)*24*60</f>
        <v>8.000000000000691</v>
      </c>
      <c r="W17" s="149">
        <f t="shared" si="4"/>
        <v>70.99999999999919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-164.36619718307475</v>
      </c>
      <c r="AG17" s="72">
        <f>N17/K17</f>
        <v>0.9269483568075223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1645</v>
      </c>
      <c r="H18" s="78">
        <f>F18*G18</f>
        <v>95689.650000000009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2145.6521739130731</v>
      </c>
      <c r="O18" s="96">
        <f>N18/M18</f>
        <v>153.26086956521951</v>
      </c>
      <c r="P18" s="97">
        <f>M18-J18</f>
        <v>0</v>
      </c>
      <c r="Q18" s="98">
        <f>O18-L18</f>
        <v>-7.4534161490662143</v>
      </c>
      <c r="R18" s="99">
        <f>O18/L18</f>
        <v>0.95362318840581017</v>
      </c>
      <c r="S18" s="469"/>
      <c r="T18" s="19">
        <v>0.39305555555555599</v>
      </c>
      <c r="U18" s="19">
        <v>0.42499999999999999</v>
      </c>
      <c r="V18" s="30">
        <f>(T18-U17)*24*60</f>
        <v>7.0000000000012541</v>
      </c>
      <c r="W18" s="149">
        <f t="shared" si="4"/>
        <v>45.999999999999361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-104.34782608692694</v>
      </c>
      <c r="AG18" s="72">
        <f>N18/K18</f>
        <v>0.95362318840581028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2315</v>
      </c>
      <c r="H19" s="78">
        <f t="shared" ref="H19:H21" si="5">F19*G19</f>
        <v>116652.85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2042.6470588234959</v>
      </c>
      <c r="O19" s="96">
        <f t="shared" ref="O19:O21" si="8">N19/M19</f>
        <v>170.22058823529133</v>
      </c>
      <c r="P19" s="97">
        <f t="shared" ref="P19:P21" si="9">M19-J19</f>
        <v>0</v>
      </c>
      <c r="Q19" s="98">
        <f t="shared" ref="Q19:Q21" si="10">O19-L19</f>
        <v>-17.279411764708669</v>
      </c>
      <c r="R19" s="99">
        <f t="shared" ref="R19:R21" si="11">O19/L19</f>
        <v>0.90784313725488708</v>
      </c>
      <c r="S19" s="469"/>
      <c r="T19" s="19">
        <v>0.43194444444444402</v>
      </c>
      <c r="U19" s="19">
        <v>0.47916666666666702</v>
      </c>
      <c r="V19" s="30">
        <f>(T19-U18)*24*60</f>
        <v>9.9999999999994049</v>
      </c>
      <c r="W19" s="149">
        <f t="shared" si="4"/>
        <v>68.000000000001123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-207.35294117650415</v>
      </c>
      <c r="AG19" s="72">
        <f>N19/K19</f>
        <v>0.90784313725488708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2045</v>
      </c>
      <c r="H20" s="78">
        <f t="shared" si="5"/>
        <v>103047.55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1831.3432835821179</v>
      </c>
      <c r="O20" s="96">
        <f t="shared" si="8"/>
        <v>152.61194029850984</v>
      </c>
      <c r="P20" s="97">
        <f t="shared" si="9"/>
        <v>0</v>
      </c>
      <c r="Q20" s="98">
        <f t="shared" si="10"/>
        <v>-34.888059701490164</v>
      </c>
      <c r="R20" s="99">
        <f t="shared" si="11"/>
        <v>0.81393034825871913</v>
      </c>
      <c r="S20" s="469"/>
      <c r="T20" s="19">
        <v>0.54166666666666696</v>
      </c>
      <c r="U20" s="19">
        <v>0.58819444444444402</v>
      </c>
      <c r="V20" s="30">
        <f>(T20-U19)*24*60</f>
        <v>89.999999999999915</v>
      </c>
      <c r="W20" s="149">
        <f t="shared" si="4"/>
        <v>66.999999999998963</v>
      </c>
      <c r="X20" s="19"/>
      <c r="Y20" s="297"/>
      <c r="Z20" s="90">
        <v>5</v>
      </c>
      <c r="AA20" s="90">
        <v>10</v>
      </c>
      <c r="AB20" s="462" t="s">
        <v>205</v>
      </c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1406</v>
      </c>
      <c r="H21" s="78">
        <f t="shared" si="5"/>
        <v>71242.02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2108.9999999999818</v>
      </c>
      <c r="O21" s="96">
        <f t="shared" si="8"/>
        <v>162.23076923076783</v>
      </c>
      <c r="P21" s="97">
        <f t="shared" si="9"/>
        <v>0</v>
      </c>
      <c r="Q21" s="98">
        <f t="shared" si="10"/>
        <v>-10.846153846155232</v>
      </c>
      <c r="R21" s="99">
        <f t="shared" si="11"/>
        <v>0.93733333333332536</v>
      </c>
      <c r="S21" s="469"/>
      <c r="T21" s="19">
        <v>0.59583333333333299</v>
      </c>
      <c r="U21" s="19">
        <v>0.62361111111111101</v>
      </c>
      <c r="V21" s="30">
        <f>(T21-U20)*24*60</f>
        <v>11.000000000000121</v>
      </c>
      <c r="W21" s="149">
        <f t="shared" si="4"/>
        <v>40.000000000000341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2056.9695504570263</v>
      </c>
      <c r="O26" s="158">
        <f t="shared" si="12"/>
        <v>158.49250152118447</v>
      </c>
      <c r="P26" s="159">
        <f t="shared" ref="P26:P31" si="13">M26-J26</f>
        <v>0</v>
      </c>
      <c r="Q26" s="160">
        <f t="shared" ref="Q26:Q31" si="14">O26-L26</f>
        <v>-15.271234742551798</v>
      </c>
      <c r="R26" s="161">
        <f t="shared" ref="R26:R31" si="15">O26/L26</f>
        <v>0.91211494946578886</v>
      </c>
      <c r="S26" s="470"/>
      <c r="T26" s="163"/>
      <c r="U26" s="163"/>
      <c r="V26" s="164"/>
      <c r="W26" s="165"/>
      <c r="X26" s="166"/>
      <c r="Y26" s="299"/>
      <c r="Z26" s="334">
        <f>SUM(Z16:Z25)</f>
        <v>5</v>
      </c>
      <c r="AA26" s="334">
        <f>SUM(AA16:AA25)</f>
        <v>10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6">N26-K26</f>
        <v>-193.03044954297366</v>
      </c>
      <c r="AG26" s="124">
        <f t="shared" ref="AG26:AG31" si="17">N26/K26</f>
        <v>0.91420868909201169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1893</v>
      </c>
      <c r="H27" s="134">
        <f>F27*G27</f>
        <v>86434.37999999999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1456.1538461538364</v>
      </c>
      <c r="O27" s="141">
        <f>N27/M27</f>
        <v>91.009615384614776</v>
      </c>
      <c r="P27" s="142">
        <f t="shared" si="13"/>
        <v>-1</v>
      </c>
      <c r="Q27" s="143">
        <f t="shared" si="14"/>
        <v>-5.2256787330322823</v>
      </c>
      <c r="R27" s="144">
        <f t="shared" si="15"/>
        <v>0.94569893737069144</v>
      </c>
      <c r="S27" s="468">
        <f>R37</f>
        <v>0.9550806957494391</v>
      </c>
      <c r="T27" s="171">
        <v>0.28611111111111098</v>
      </c>
      <c r="U27" s="171">
        <v>0.34027777777777801</v>
      </c>
      <c r="V27" s="135"/>
      <c r="W27" s="146">
        <f t="shared" si="4"/>
        <v>78.000000000000526</v>
      </c>
      <c r="X27" s="135"/>
      <c r="Y27" s="300"/>
      <c r="Z27" s="169"/>
      <c r="AA27" s="169"/>
      <c r="AB27" s="464"/>
      <c r="AC27" s="464"/>
      <c r="AD27" s="135"/>
      <c r="AE27" s="135"/>
      <c r="AF27" s="310">
        <f t="shared" si="16"/>
        <v>-179.84615384616359</v>
      </c>
      <c r="AG27" s="172">
        <f t="shared" si="17"/>
        <v>0.89006958811359194</v>
      </c>
      <c r="AH27" s="457">
        <f>AG37</f>
        <v>0.933197190389908</v>
      </c>
    </row>
    <row r="28" spans="1:34" ht="15" customHeight="1">
      <c r="A28" s="466"/>
      <c r="B28" s="75" t="s">
        <v>81</v>
      </c>
      <c r="C28" s="173"/>
      <c r="D28" s="59" t="s">
        <v>119</v>
      </c>
      <c r="E28" s="104"/>
      <c r="F28" s="75">
        <f>VLOOKUP(D28,廠價表!$C$1:$E$43,3,0)</f>
        <v>57.21</v>
      </c>
      <c r="G28" s="90">
        <v>1530</v>
      </c>
      <c r="H28" s="91">
        <f>F28*G28</f>
        <v>87531.3</v>
      </c>
      <c r="I28" s="92"/>
      <c r="J28" s="79">
        <f>VLOOKUP(D28,產線配置圖!$A$3:$C$40,2,0)</f>
        <v>17</v>
      </c>
      <c r="K28" s="80">
        <v>1565</v>
      </c>
      <c r="L28" s="93">
        <f>K28/J28</f>
        <v>92.058823529411768</v>
      </c>
      <c r="M28" s="94">
        <v>17</v>
      </c>
      <c r="N28" s="95">
        <f>G28/W28*60</f>
        <v>1504.9180327868885</v>
      </c>
      <c r="O28" s="96">
        <f>N28/M28</f>
        <v>88.524590163934619</v>
      </c>
      <c r="P28" s="97">
        <f t="shared" si="13"/>
        <v>0</v>
      </c>
      <c r="Q28" s="98">
        <f t="shared" si="14"/>
        <v>-3.5342333654771494</v>
      </c>
      <c r="R28" s="99">
        <f t="shared" si="15"/>
        <v>0.96160896663698947</v>
      </c>
      <c r="S28" s="469"/>
      <c r="T28" s="19">
        <v>0.34583333333333299</v>
      </c>
      <c r="U28" s="19">
        <v>0.38819444444444401</v>
      </c>
      <c r="V28" s="92">
        <f>(T28-U27)*24*60</f>
        <v>7.9999999999991722</v>
      </c>
      <c r="W28" s="149">
        <f t="shared" si="4"/>
        <v>60.999999999999865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6"/>
        <v>-60.081967213111511</v>
      </c>
      <c r="AG28" s="99">
        <f t="shared" si="17"/>
        <v>0.96160896663698947</v>
      </c>
      <c r="AH28" s="478"/>
    </row>
    <row r="29" spans="1:34" ht="15" customHeight="1">
      <c r="A29" s="466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1487</v>
      </c>
      <c r="H29" s="91">
        <f>F29*G29</f>
        <v>85071.27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1486.9999999999875</v>
      </c>
      <c r="O29" s="96">
        <f>N29/M29</f>
        <v>87.470588235293377</v>
      </c>
      <c r="P29" s="97">
        <f t="shared" si="13"/>
        <v>-1</v>
      </c>
      <c r="Q29" s="98">
        <f t="shared" si="14"/>
        <v>-3.4183006535955087</v>
      </c>
      <c r="R29" s="99">
        <f t="shared" si="15"/>
        <v>0.96239033510713989</v>
      </c>
      <c r="S29" s="469"/>
      <c r="T29" s="19">
        <v>0.39374999999999999</v>
      </c>
      <c r="U29" s="19">
        <v>0.43541666666666701</v>
      </c>
      <c r="V29" s="92">
        <f>(T29-U28)*24*60</f>
        <v>8.0000000000006111</v>
      </c>
      <c r="W29" s="149">
        <f t="shared" si="4"/>
        <v>60.000000000000504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6"/>
        <v>-149.00000000001251</v>
      </c>
      <c r="AG29" s="99">
        <f t="shared" si="17"/>
        <v>0.90892420537896546</v>
      </c>
      <c r="AH29" s="478"/>
    </row>
    <row r="30" spans="1:34" ht="15" customHeight="1">
      <c r="A30" s="466"/>
      <c r="B30" s="75" t="s">
        <v>81</v>
      </c>
      <c r="C30" s="88"/>
      <c r="D30" s="59" t="s">
        <v>141</v>
      </c>
      <c r="E30" s="89"/>
      <c r="F30" s="75">
        <f>VLOOKUP(D30,廠價表!$C$1:$E$43,3,0)</f>
        <v>46.34</v>
      </c>
      <c r="G30" s="90">
        <v>1045</v>
      </c>
      <c r="H30" s="91">
        <f t="shared" ref="H30:H31" si="18">F30*G30</f>
        <v>48425.3</v>
      </c>
      <c r="I30" s="92"/>
      <c r="J30" s="79">
        <f>VLOOKUP(D30,產線配置圖!$A$3:$C$40,2,0)</f>
        <v>16</v>
      </c>
      <c r="K30" s="80">
        <v>1636</v>
      </c>
      <c r="L30" s="93">
        <f t="shared" ref="L30:L31" si="19">K30/J30</f>
        <v>102.25</v>
      </c>
      <c r="M30" s="94">
        <v>16</v>
      </c>
      <c r="N30" s="95">
        <f>G30/W30*60</f>
        <v>1567.4999999999866</v>
      </c>
      <c r="O30" s="96">
        <f>N30/M30</f>
        <v>97.968749999999162</v>
      </c>
      <c r="P30" s="97">
        <f t="shared" si="13"/>
        <v>0</v>
      </c>
      <c r="Q30" s="98">
        <f t="shared" si="14"/>
        <v>-4.2812500000008384</v>
      </c>
      <c r="R30" s="99">
        <f t="shared" si="15"/>
        <v>0.95812958435207007</v>
      </c>
      <c r="S30" s="469"/>
      <c r="T30" s="19">
        <v>0.44097222222222199</v>
      </c>
      <c r="U30" s="19">
        <v>0.46875</v>
      </c>
      <c r="V30" s="92">
        <f t="shared" ref="V30:V31" si="20">(T30-U29)*24*60</f>
        <v>7.9999999999991722</v>
      </c>
      <c r="W30" s="149">
        <f t="shared" si="4"/>
        <v>40.000000000000341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6"/>
        <v>-68.500000000013415</v>
      </c>
      <c r="AG30" s="99">
        <f t="shared" si="17"/>
        <v>0.95812958435207007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1500</v>
      </c>
      <c r="H31" s="91">
        <f t="shared" si="18"/>
        <v>69510</v>
      </c>
      <c r="I31" s="92"/>
      <c r="J31" s="79">
        <f>VLOOKUP(D31,產線配置圖!$A$3:$C$40,2,0)</f>
        <v>16</v>
      </c>
      <c r="K31" s="80">
        <v>1636</v>
      </c>
      <c r="L31" s="93">
        <f t="shared" si="19"/>
        <v>102.25</v>
      </c>
      <c r="M31" s="94">
        <v>16</v>
      </c>
      <c r="N31" s="95">
        <f>G31/W31*60</f>
        <v>1551.7241379310656</v>
      </c>
      <c r="O31" s="96">
        <f>N31/M31</f>
        <v>96.982758620691598</v>
      </c>
      <c r="P31" s="97">
        <f t="shared" si="13"/>
        <v>0</v>
      </c>
      <c r="Q31" s="98">
        <f t="shared" si="14"/>
        <v>-5.2672413793084019</v>
      </c>
      <c r="R31" s="99">
        <f t="shared" si="15"/>
        <v>0.94848663687717949</v>
      </c>
      <c r="S31" s="469"/>
      <c r="T31" s="19">
        <v>0.52916666666666701</v>
      </c>
      <c r="U31" s="19">
        <v>0.56944444444444398</v>
      </c>
      <c r="V31" s="92">
        <f t="shared" si="20"/>
        <v>87.000000000000483</v>
      </c>
      <c r="W31" s="149">
        <f t="shared" si="4"/>
        <v>57.999999999998835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6"/>
        <v>-84.27586206893443</v>
      </c>
      <c r="AG31" s="99">
        <f t="shared" si="17"/>
        <v>0.94848663687717949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1">AVERAGE(J27:J36)</f>
        <v>16.8</v>
      </c>
      <c r="K37" s="155">
        <f t="shared" si="21"/>
        <v>1621.8</v>
      </c>
      <c r="L37" s="158">
        <f t="shared" si="21"/>
        <v>96.736601307189545</v>
      </c>
      <c r="M37" s="155">
        <f t="shared" si="21"/>
        <v>16.399999999999999</v>
      </c>
      <c r="N37" s="155">
        <f t="shared" si="21"/>
        <v>1513.4592033743527</v>
      </c>
      <c r="O37" s="158">
        <f t="shared" si="21"/>
        <v>92.391260480906695</v>
      </c>
      <c r="P37" s="159">
        <f>M37-J37</f>
        <v>-0.40000000000000213</v>
      </c>
      <c r="Q37" s="160">
        <f>N37-K37</f>
        <v>-108.34079662564727</v>
      </c>
      <c r="R37" s="161">
        <f>O37/L37</f>
        <v>0.9550806957494391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-108.34079662564727</v>
      </c>
      <c r="AG37" s="124">
        <f>N37/K37</f>
        <v>0.933197190389908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2454</v>
      </c>
      <c r="H38" s="134">
        <f>F38*G38</f>
        <v>122479.13999999998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1517.9381443298985</v>
      </c>
      <c r="O38" s="141">
        <f>N38/M38</f>
        <v>101.1958762886599</v>
      </c>
      <c r="P38" s="142">
        <f>M38-J38</f>
        <v>0</v>
      </c>
      <c r="Q38" s="143">
        <f>O38-L38</f>
        <v>-13.070790378006762</v>
      </c>
      <c r="R38" s="144">
        <f>O38/L38</f>
        <v>0.88561151944568173</v>
      </c>
      <c r="S38" s="490">
        <f>R48</f>
        <v>0.90665809315674939</v>
      </c>
      <c r="T38" s="191">
        <v>0.33333333333333298</v>
      </c>
      <c r="U38" s="191">
        <v>0.40069444444444402</v>
      </c>
      <c r="V38" s="192"/>
      <c r="W38" s="193">
        <f t="shared" si="4"/>
        <v>96.999999999999901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-196.06185567010152</v>
      </c>
      <c r="AG38" s="195">
        <f>N38/K38</f>
        <v>0.88561151944568173</v>
      </c>
      <c r="AH38" s="480">
        <f>AG48</f>
        <v>0.8824961406147932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2305</v>
      </c>
      <c r="H39" s="91">
        <f>F39*G39</f>
        <v>102111.5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1487.096774193556</v>
      </c>
      <c r="O39" s="203">
        <f>N39/M39</f>
        <v>87.476280834915059</v>
      </c>
      <c r="P39" s="97">
        <f>M39-J39</f>
        <v>-1</v>
      </c>
      <c r="Q39" s="98">
        <f>O39-L39</f>
        <v>-3.4126080539738268</v>
      </c>
      <c r="R39" s="99">
        <f>O39/L39</f>
        <v>0.96245296762131483</v>
      </c>
      <c r="S39" s="491"/>
      <c r="T39" s="20">
        <v>0.40763888888888899</v>
      </c>
      <c r="U39" s="20">
        <v>0.47222222222222199</v>
      </c>
      <c r="V39" s="92">
        <f>(T39-U38)*24*60</f>
        <v>10.000000000000764</v>
      </c>
      <c r="W39" s="205">
        <f t="shared" si="4"/>
        <v>92.999999999999517</v>
      </c>
      <c r="X39" s="22"/>
      <c r="Y39" s="84"/>
      <c r="Z39" s="90"/>
      <c r="AA39" s="90"/>
      <c r="AB39" s="483" t="s">
        <v>206</v>
      </c>
      <c r="AC39" s="483"/>
      <c r="AD39" s="200"/>
      <c r="AE39" s="200"/>
      <c r="AF39" s="314">
        <f>N39-K39</f>
        <v>-148.90322580644397</v>
      </c>
      <c r="AG39" s="206">
        <f>N39/K39</f>
        <v>0.90898335830901955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2398</v>
      </c>
      <c r="H40" s="91">
        <f>F40*G40</f>
        <v>106231.4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1483.2989690721458</v>
      </c>
      <c r="O40" s="203">
        <f>N40/M40</f>
        <v>87.252880533655642</v>
      </c>
      <c r="P40" s="97">
        <f>M40-J40</f>
        <v>-1</v>
      </c>
      <c r="Q40" s="98">
        <f>O40-L40</f>
        <v>-3.6360083552332441</v>
      </c>
      <c r="R40" s="99">
        <f>O40/L40</f>
        <v>0.95999501809645571</v>
      </c>
      <c r="S40" s="413"/>
      <c r="T40" s="20">
        <v>0.53819444444444398</v>
      </c>
      <c r="U40" s="20">
        <v>0.60555555555555596</v>
      </c>
      <c r="V40" s="92">
        <f>(T40-U39)*24*60</f>
        <v>94.999999999999659</v>
      </c>
      <c r="W40" s="205">
        <f t="shared" si="4"/>
        <v>97.000000000001251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-152.70103092785416</v>
      </c>
      <c r="AG40" s="206">
        <f>N40/K40</f>
        <v>0.90666196153554146</v>
      </c>
      <c r="AH40" s="481"/>
    </row>
    <row r="41" spans="1:34" ht="15" customHeight="1">
      <c r="A41" s="488"/>
      <c r="B41" s="75" t="s">
        <v>81</v>
      </c>
      <c r="C41" s="207"/>
      <c r="D41" s="198" t="s">
        <v>181</v>
      </c>
      <c r="E41" s="178"/>
      <c r="F41" s="75">
        <f>VLOOKUP(D41,廠價表!$C$1:$E$43,3,0)</f>
        <v>43.89</v>
      </c>
      <c r="G41" s="199">
        <v>610</v>
      </c>
      <c r="H41" s="91">
        <f>F41*G41</f>
        <v>26772.9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17</v>
      </c>
      <c r="N41" s="202">
        <f>G41/W41*60</f>
        <v>1355.5555555555604</v>
      </c>
      <c r="O41" s="203">
        <f>N41/M41</f>
        <v>79.738562091503553</v>
      </c>
      <c r="P41" s="97">
        <f>M41-J41</f>
        <v>0</v>
      </c>
      <c r="Q41" s="98">
        <f>O41-L41</f>
        <v>-16.496732026143505</v>
      </c>
      <c r="R41" s="99">
        <f>O41/L41</f>
        <v>0.82857919043738415</v>
      </c>
      <c r="S41" s="413"/>
      <c r="T41" s="20">
        <v>0.61319444444444404</v>
      </c>
      <c r="U41" s="210">
        <v>0.63194444444444398</v>
      </c>
      <c r="V41" s="92">
        <f>(T41-U40)*24*60</f>
        <v>10.999999999998842</v>
      </c>
      <c r="W41" s="205">
        <f t="shared" si="4"/>
        <v>26.999999999999904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-280.44444444443957</v>
      </c>
      <c r="AG41" s="206">
        <f>N41/K41</f>
        <v>0.82857919043738415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2">AVERAGE(J38:J47)</f>
        <v>17</v>
      </c>
      <c r="K48" s="155">
        <f t="shared" si="22"/>
        <v>1655.5</v>
      </c>
      <c r="L48" s="158">
        <f t="shared" si="22"/>
        <v>98.069934640522888</v>
      </c>
      <c r="M48" s="155">
        <f t="shared" si="22"/>
        <v>16.5</v>
      </c>
      <c r="N48" s="155">
        <f t="shared" si="22"/>
        <v>1460.9723607877902</v>
      </c>
      <c r="O48" s="158">
        <f t="shared" si="22"/>
        <v>88.915899937183525</v>
      </c>
      <c r="P48" s="221">
        <f>M48-J48</f>
        <v>-0.5</v>
      </c>
      <c r="Q48" s="222">
        <f>N48-K48</f>
        <v>-194.52763921220981</v>
      </c>
      <c r="R48" s="223">
        <f>O48/L48</f>
        <v>0.90665809315674939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3">N48-K48</f>
        <v>-194.52763921220981</v>
      </c>
      <c r="AG48" s="162">
        <f t="shared" ref="AG48:AG53" si="24">N48/K48</f>
        <v>0.8824961406147932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2567</v>
      </c>
      <c r="H49" s="134">
        <f>F49*G49</f>
        <v>127117.84000000001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1604.3750000000164</v>
      </c>
      <c r="O49" s="141">
        <f>N49/M49</f>
        <v>94.375000000000966</v>
      </c>
      <c r="P49" s="229">
        <f>M49-J49</f>
        <v>0</v>
      </c>
      <c r="Q49" s="230">
        <f>O49-L49</f>
        <v>-11.507352941175498</v>
      </c>
      <c r="R49" s="52">
        <f>O49/L49</f>
        <v>0.89131944444445366</v>
      </c>
      <c r="S49" s="412">
        <f>R58</f>
        <v>0.86900109289131811</v>
      </c>
      <c r="T49" s="191">
        <v>0.29166666666666702</v>
      </c>
      <c r="U49" s="191">
        <v>0.358333333333333</v>
      </c>
      <c r="V49" s="55"/>
      <c r="W49" s="193">
        <f t="shared" si="4"/>
        <v>95.999999999999019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3"/>
        <v>-195.62499999998363</v>
      </c>
      <c r="AG49" s="52">
        <f t="shared" si="24"/>
        <v>0.89131944444445355</v>
      </c>
      <c r="AH49" s="457">
        <f>AG58</f>
        <v>0.86869750499733955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2242</v>
      </c>
      <c r="H50" s="231">
        <f>F50*G50</f>
        <v>112747.93800000001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1345.1999999999889</v>
      </c>
      <c r="O50" s="235">
        <f>N50/M50</f>
        <v>79.129411764705225</v>
      </c>
      <c r="P50" s="74">
        <f>M50-J50</f>
        <v>0</v>
      </c>
      <c r="Q50" s="83">
        <f>O50-L50</f>
        <v>-17.105882352941833</v>
      </c>
      <c r="R50" s="72">
        <f>O50/L50</f>
        <v>0.82224938875304943</v>
      </c>
      <c r="S50" s="413"/>
      <c r="T50" s="21">
        <v>0.36458333333333298</v>
      </c>
      <c r="U50" s="21">
        <v>0.43402777777777801</v>
      </c>
      <c r="V50" s="30">
        <f>(T50-U49)*24*60</f>
        <v>8.999999999999968</v>
      </c>
      <c r="W50" s="236">
        <f t="shared" si="4"/>
        <v>100.00000000000084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3"/>
        <v>-290.8000000000111</v>
      </c>
      <c r="AG50" s="72">
        <f t="shared" si="24"/>
        <v>0.82224938875304943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1536</v>
      </c>
      <c r="H51" s="231">
        <f>F51*G51</f>
        <v>76753.919999999998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1486.4516129032099</v>
      </c>
      <c r="O51" s="235">
        <f>N51/M51</f>
        <v>92.903225806450621</v>
      </c>
      <c r="P51" s="74">
        <f>M51-J51</f>
        <v>0</v>
      </c>
      <c r="Q51" s="83">
        <f>O51-L51</f>
        <v>-19.596774193549379</v>
      </c>
      <c r="R51" s="72">
        <f>O51/L51</f>
        <v>0.82580645161289445</v>
      </c>
      <c r="S51" s="413"/>
      <c r="T51" s="21">
        <v>0.43958333333333299</v>
      </c>
      <c r="U51" s="19">
        <v>0.48263888888888901</v>
      </c>
      <c r="V51" s="30">
        <f>(T51-U50)*24*60</f>
        <v>7.9999999999991722</v>
      </c>
      <c r="W51" s="236">
        <f t="shared" si="4"/>
        <v>62.000000000000661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3"/>
        <v>-313.54838709679007</v>
      </c>
      <c r="AG51" s="72">
        <f t="shared" si="24"/>
        <v>0.82580645161289445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3464</v>
      </c>
      <c r="H52" s="231">
        <f>F52*G52</f>
        <v>173096.08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1676.1290322580662</v>
      </c>
      <c r="O52" s="235">
        <f>N52/M52</f>
        <v>104.75806451612914</v>
      </c>
      <c r="P52" s="74">
        <f>M52-J52</f>
        <v>0</v>
      </c>
      <c r="Q52" s="83">
        <f>O52-L52</f>
        <v>-7.7419354838708614</v>
      </c>
      <c r="R52" s="72">
        <f>O52/L52</f>
        <v>0.9311827956989257</v>
      </c>
      <c r="S52" s="413"/>
      <c r="T52" s="21">
        <v>0.54236111111111096</v>
      </c>
      <c r="U52" s="21">
        <v>0.62847222222222199</v>
      </c>
      <c r="V52" s="30">
        <f>(T52-U51)*24*60</f>
        <v>85.999999999999616</v>
      </c>
      <c r="W52" s="236">
        <f t="shared" si="4"/>
        <v>123.99999999999989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3"/>
        <v>-123.87096774193378</v>
      </c>
      <c r="AG52" s="72">
        <f t="shared" si="24"/>
        <v>0.9311827956989257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3"/>
        <v>0</v>
      </c>
      <c r="AG53" s="72" t="e">
        <f t="shared" si="24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5">AVERAGE(J49:J57)</f>
        <v>16.5</v>
      </c>
      <c r="K58" s="120">
        <f t="shared" si="25"/>
        <v>1759</v>
      </c>
      <c r="L58" s="117">
        <f t="shared" si="25"/>
        <v>106.77941176470588</v>
      </c>
      <c r="M58" s="120">
        <f t="shared" si="25"/>
        <v>16.5</v>
      </c>
      <c r="N58" s="120">
        <f t="shared" si="25"/>
        <v>1528.0389112903204</v>
      </c>
      <c r="O58" s="117">
        <f t="shared" si="25"/>
        <v>92.791425521821481</v>
      </c>
      <c r="P58" s="121">
        <f>M58-J58</f>
        <v>0</v>
      </c>
      <c r="Q58" s="122">
        <f>N58-K58</f>
        <v>-230.96108870967964</v>
      </c>
      <c r="R58" s="123">
        <f>O58/L58</f>
        <v>0.86900109289131811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-230.96108870967964</v>
      </c>
      <c r="AG58" s="124">
        <f>N58/K58</f>
        <v>0.86869750499733955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3486</v>
      </c>
      <c r="H59" s="243">
        <f>F59*G59</f>
        <v>94087.14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1549.3333333333335</v>
      </c>
      <c r="O59" s="138">
        <f>N59/M59</f>
        <v>103.28888888888891</v>
      </c>
      <c r="P59" s="56">
        <f>M59-J59</f>
        <v>0</v>
      </c>
      <c r="Q59" s="230">
        <f>O59-L59</f>
        <v>-5.7777777777777573</v>
      </c>
      <c r="R59" s="52">
        <f>O59/L59</f>
        <v>0.94702526487367578</v>
      </c>
      <c r="S59" s="412">
        <f>R69</f>
        <v>0.91737316106149613</v>
      </c>
      <c r="T59" s="245">
        <v>0.29166666666666702</v>
      </c>
      <c r="U59" s="245">
        <v>0.38541666666666702</v>
      </c>
      <c r="V59" s="55"/>
      <c r="W59" s="54">
        <f t="shared" si="4"/>
        <v>135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-86.666666666666515</v>
      </c>
      <c r="AG59" s="246">
        <f>N59/K59</f>
        <v>0.94702526487367578</v>
      </c>
      <c r="AH59" s="457">
        <f>AG69</f>
        <v>0.91934996798230817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1749</v>
      </c>
      <c r="H60" s="78">
        <f>F60*G60</f>
        <v>49426.740000000005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1499.142857142861</v>
      </c>
      <c r="O60" s="81">
        <f>N60/M60</f>
        <v>136.28571428571465</v>
      </c>
      <c r="P60" s="74">
        <f>M60-J60</f>
        <v>0</v>
      </c>
      <c r="Q60" s="83">
        <f>O60-L60</f>
        <v>-12.441558441558072</v>
      </c>
      <c r="R60" s="72">
        <f>O60/L60</f>
        <v>0.91634648969612542</v>
      </c>
      <c r="S60" s="502"/>
      <c r="T60" s="22">
        <v>0.39236111111111099</v>
      </c>
      <c r="U60" s="22">
        <v>0.44097222222222199</v>
      </c>
      <c r="V60" s="30">
        <f>(T60-U59)*24*60</f>
        <v>9.999999999999325</v>
      </c>
      <c r="W60" s="248">
        <f t="shared" si="4"/>
        <v>69.999999999999829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-136.85714285713902</v>
      </c>
      <c r="AG60" s="249">
        <f>N60/K60</f>
        <v>0.91634648969612531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1834</v>
      </c>
      <c r="H61" s="254">
        <f>F61*G61</f>
        <v>51828.840000000004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1375.5000000000143</v>
      </c>
      <c r="O61" s="238">
        <f>N61/M61</f>
        <v>125.04545454545585</v>
      </c>
      <c r="P61" s="111">
        <f>M61-J61</f>
        <v>0</v>
      </c>
      <c r="Q61" s="255">
        <f>O61-L61</f>
        <v>-23.681818181816865</v>
      </c>
      <c r="R61" s="85">
        <f>O61/L61</f>
        <v>0.84077017114915309</v>
      </c>
      <c r="S61" s="413"/>
      <c r="T61" s="22">
        <v>0.44791666666666702</v>
      </c>
      <c r="U61" s="22">
        <v>0.50347222222222199</v>
      </c>
      <c r="V61" s="30">
        <f>(T61-U60)*24*60</f>
        <v>10.000000000000844</v>
      </c>
      <c r="W61" s="256">
        <f t="shared" si="4"/>
        <v>79.999999999999162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-260.49999999998568</v>
      </c>
      <c r="AG61" s="247">
        <f>N61/K61</f>
        <v>0.84077017114915298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2123</v>
      </c>
      <c r="H62" s="78">
        <f>F62*G62</f>
        <v>59995.98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1592.2500000000152</v>
      </c>
      <c r="O62" s="238">
        <f>N62/M62</f>
        <v>144.75000000000139</v>
      </c>
      <c r="P62" s="111">
        <f>M62-J62</f>
        <v>0</v>
      </c>
      <c r="Q62" s="255">
        <f>O62-L62</f>
        <v>-3.9772727272713269</v>
      </c>
      <c r="R62" s="85">
        <f>O62/L62</f>
        <v>0.97325794621027839</v>
      </c>
      <c r="S62" s="413"/>
      <c r="T62" s="22">
        <v>0.55555555555555602</v>
      </c>
      <c r="U62" s="22">
        <v>0.61111111111111105</v>
      </c>
      <c r="V62" s="30">
        <f>(T62-U61)*24*60</f>
        <v>75.000000000001009</v>
      </c>
      <c r="W62" s="248">
        <f t="shared" si="4"/>
        <v>79.999999999999233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-43.749999999984766</v>
      </c>
      <c r="AG62" s="247">
        <f>N62/K62</f>
        <v>0.97325794621027828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6">AVERAGE(J59:J68)</f>
        <v>12</v>
      </c>
      <c r="K69" s="240">
        <f t="shared" si="26"/>
        <v>1636</v>
      </c>
      <c r="L69" s="268">
        <f t="shared" si="26"/>
        <v>138.81212121212121</v>
      </c>
      <c r="M69" s="240">
        <f t="shared" si="26"/>
        <v>12</v>
      </c>
      <c r="N69" s="240">
        <f t="shared" si="26"/>
        <v>1504.0565476190561</v>
      </c>
      <c r="O69" s="268">
        <f t="shared" si="26"/>
        <v>127.3425144300152</v>
      </c>
      <c r="P69" s="269">
        <f>M69-J69</f>
        <v>0</v>
      </c>
      <c r="Q69" s="222">
        <f>N69-K69</f>
        <v>-131.94345238094388</v>
      </c>
      <c r="R69" s="123">
        <f>O69/L69</f>
        <v>0.91737316106149613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-131.94345238094388</v>
      </c>
      <c r="AG69" s="124">
        <f>N69/K69</f>
        <v>0.91934996798230817</v>
      </c>
      <c r="AH69" s="460"/>
    </row>
    <row r="70" spans="1:36" ht="15" customHeight="1">
      <c r="A70" s="494" t="s">
        <v>55</v>
      </c>
      <c r="B70" s="75" t="s">
        <v>136</v>
      </c>
      <c r="C70" s="76"/>
      <c r="D70" s="59" t="s">
        <v>140</v>
      </c>
      <c r="E70" s="77"/>
      <c r="F70" s="250">
        <f>VLOOKUP(D70,廠價表!$C$1:$E$43,3,0)</f>
        <v>28.26</v>
      </c>
      <c r="G70" s="30">
        <v>1837</v>
      </c>
      <c r="H70" s="254">
        <f t="shared" ref="H70:H72" si="27">F70*G70</f>
        <v>51913.62</v>
      </c>
      <c r="I70" s="232"/>
      <c r="J70" s="106">
        <f>VLOOKUP(D70,產線配置圖!$A$3:$C$40,2,0)</f>
        <v>11</v>
      </c>
      <c r="K70" s="107">
        <f>VLOOKUP(D70,產線配置圖!$A$3:$C$40,3,0)</f>
        <v>1636</v>
      </c>
      <c r="L70" s="238">
        <f t="shared" ref="L70:L73" si="28">K70/J70</f>
        <v>148.72727272727272</v>
      </c>
      <c r="M70" s="82">
        <v>9</v>
      </c>
      <c r="N70" s="107">
        <f t="shared" ref="N70:N73" si="29">G70/W70*60</f>
        <v>1252.500000000002</v>
      </c>
      <c r="O70" s="238">
        <f t="shared" ref="O70:O73" si="30">N70/M70</f>
        <v>139.16666666666688</v>
      </c>
      <c r="P70" s="111">
        <f t="shared" ref="P70:P73" si="31">M70-J70</f>
        <v>-2</v>
      </c>
      <c r="Q70" s="255">
        <f t="shared" ref="Q70:Q73" si="32">O70-L70</f>
        <v>-9.560606060605835</v>
      </c>
      <c r="R70" s="85">
        <f t="shared" ref="R70:R73" si="33">O70/L70</f>
        <v>0.9357171964140194</v>
      </c>
      <c r="S70" s="412">
        <f>R79</f>
        <v>0.80687452347100319</v>
      </c>
      <c r="T70" s="22">
        <v>0.34027777777777801</v>
      </c>
      <c r="U70" s="22">
        <v>0.40138888888888902</v>
      </c>
      <c r="V70" s="55"/>
      <c r="W70" s="54">
        <f t="shared" si="4"/>
        <v>87.999999999999844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-383.49999999999795</v>
      </c>
      <c r="AG70" s="246">
        <f>N70/K70</f>
        <v>0.76558679706601596</v>
      </c>
      <c r="AH70" s="457">
        <f>AG79</f>
        <v>0.62453128433249661</v>
      </c>
    </row>
    <row r="71" spans="1:36" ht="15" customHeight="1">
      <c r="A71" s="495"/>
      <c r="B71" s="75" t="s">
        <v>81</v>
      </c>
      <c r="C71" s="86"/>
      <c r="D71" s="59" t="s">
        <v>153</v>
      </c>
      <c r="E71" s="87"/>
      <c r="F71" s="250">
        <f>VLOOKUP(D71,廠價表!$C$1:$E$43,3,0)</f>
        <v>50.67</v>
      </c>
      <c r="G71" s="202">
        <v>797</v>
      </c>
      <c r="H71" s="254">
        <f t="shared" si="27"/>
        <v>40383.99</v>
      </c>
      <c r="I71" s="232"/>
      <c r="J71" s="106">
        <v>17</v>
      </c>
      <c r="K71" s="107">
        <v>1565</v>
      </c>
      <c r="L71" s="238">
        <f t="shared" si="28"/>
        <v>92.058823529411768</v>
      </c>
      <c r="M71" s="82">
        <v>13</v>
      </c>
      <c r="N71" s="107">
        <f t="shared" si="29"/>
        <v>869.45454545453208</v>
      </c>
      <c r="O71" s="238">
        <f t="shared" si="30"/>
        <v>66.881118881117857</v>
      </c>
      <c r="P71" s="111">
        <f t="shared" si="31"/>
        <v>-4</v>
      </c>
      <c r="Q71" s="255">
        <f t="shared" si="32"/>
        <v>-25.177704648293911</v>
      </c>
      <c r="R71" s="85">
        <f t="shared" si="33"/>
        <v>0.72650416675974661</v>
      </c>
      <c r="S71" s="413"/>
      <c r="T71" s="22">
        <v>0.42361111111111099</v>
      </c>
      <c r="U71" s="22">
        <v>0.46180555555555602</v>
      </c>
      <c r="V71" s="30">
        <f>(T71-U70)*24*60</f>
        <v>31.999999999999645</v>
      </c>
      <c r="W71" s="73">
        <f t="shared" si="4"/>
        <v>55.000000000000846</v>
      </c>
      <c r="X71" s="271"/>
      <c r="Y71" s="293"/>
      <c r="Z71" s="90"/>
      <c r="AA71" s="90"/>
      <c r="AB71" s="483" t="s">
        <v>172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932</v>
      </c>
      <c r="H72" s="254">
        <f t="shared" si="27"/>
        <v>40905.480000000003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28"/>
        <v>96.235294117647058</v>
      </c>
      <c r="M72" s="94">
        <v>13</v>
      </c>
      <c r="N72" s="107">
        <f t="shared" si="29"/>
        <v>1118.4000000000078</v>
      </c>
      <c r="O72" s="238">
        <f t="shared" si="30"/>
        <v>86.030769230769835</v>
      </c>
      <c r="P72" s="111">
        <f t="shared" si="31"/>
        <v>-4</v>
      </c>
      <c r="Q72" s="255">
        <f t="shared" si="32"/>
        <v>-10.204524886877223</v>
      </c>
      <c r="R72" s="85">
        <f t="shared" si="33"/>
        <v>0.89396276095543226</v>
      </c>
      <c r="S72" s="413"/>
      <c r="T72" s="22">
        <v>0.46875</v>
      </c>
      <c r="U72" s="22">
        <v>0.50347222222222199</v>
      </c>
      <c r="V72" s="30">
        <f>(T72-U71)*24*60</f>
        <v>9.999999999999325</v>
      </c>
      <c r="W72" s="73">
        <f t="shared" si="4"/>
        <v>49.999999999999659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30" t="s">
        <v>81</v>
      </c>
      <c r="C73" s="151"/>
      <c r="D73" s="59" t="s">
        <v>153</v>
      </c>
      <c r="E73" s="87"/>
      <c r="F73" s="250">
        <f>VLOOKUP(D73,廠價表!$C$1:$E$43,3,0)</f>
        <v>50.67</v>
      </c>
      <c r="G73" s="30">
        <v>480</v>
      </c>
      <c r="H73" s="78">
        <f>F73*G73</f>
        <v>24321.600000000002</v>
      </c>
      <c r="I73" s="182"/>
      <c r="J73" s="106">
        <v>17</v>
      </c>
      <c r="K73" s="107">
        <v>1565</v>
      </c>
      <c r="L73" s="238">
        <f t="shared" si="28"/>
        <v>92.058823529411768</v>
      </c>
      <c r="M73" s="108">
        <v>14</v>
      </c>
      <c r="N73" s="107">
        <f t="shared" si="29"/>
        <v>757.89473684210157</v>
      </c>
      <c r="O73" s="238">
        <f t="shared" si="30"/>
        <v>54.135338345864398</v>
      </c>
      <c r="P73" s="111">
        <f t="shared" si="31"/>
        <v>-3</v>
      </c>
      <c r="Q73" s="255">
        <f t="shared" si="32"/>
        <v>-37.923485183547371</v>
      </c>
      <c r="R73" s="85">
        <f t="shared" si="33"/>
        <v>0.58805159864517231</v>
      </c>
      <c r="S73" s="413"/>
      <c r="T73" s="22">
        <v>0.56388888888888899</v>
      </c>
      <c r="U73" s="22">
        <v>0.59027777777777801</v>
      </c>
      <c r="V73" s="30">
        <f>(T73-U72)*24*60</f>
        <v>87.000000000000483</v>
      </c>
      <c r="W73" s="73">
        <f t="shared" si="4"/>
        <v>38.000000000000185</v>
      </c>
      <c r="X73" s="22"/>
      <c r="Y73" s="84"/>
      <c r="Z73" s="90"/>
      <c r="AA73" s="90"/>
      <c r="AB73" s="462" t="s">
        <v>207</v>
      </c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101"/>
      <c r="C74" s="102"/>
      <c r="D74" s="103"/>
      <c r="E74" s="104"/>
      <c r="F74" s="105"/>
      <c r="G74" s="30"/>
      <c r="H74" s="78"/>
      <c r="I74" s="182"/>
      <c r="J74" s="275"/>
      <c r="K74" s="276"/>
      <c r="L74" s="277"/>
      <c r="M74" s="108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101"/>
      <c r="C75" s="102"/>
      <c r="D75" s="103"/>
      <c r="E75" s="104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4">AVERAGE(J70:J78)</f>
        <v>15.5</v>
      </c>
      <c r="K79" s="240">
        <f t="shared" si="34"/>
        <v>1600.5</v>
      </c>
      <c r="L79" s="268">
        <f t="shared" si="34"/>
        <v>107.27005347593582</v>
      </c>
      <c r="M79" s="240">
        <f t="shared" si="34"/>
        <v>12.25</v>
      </c>
      <c r="N79" s="240">
        <f t="shared" si="34"/>
        <v>999.56232057416082</v>
      </c>
      <c r="O79" s="268">
        <f t="shared" si="34"/>
        <v>86.553473281104743</v>
      </c>
      <c r="P79" s="269">
        <f>M79-J79</f>
        <v>-3.25</v>
      </c>
      <c r="Q79" s="222">
        <f>N79-K79</f>
        <v>-600.93767942583918</v>
      </c>
      <c r="R79" s="223">
        <f>O79/L79</f>
        <v>0.80687452347100319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-600.93767942583918</v>
      </c>
      <c r="AG79" s="124">
        <f>N79/K79</f>
        <v>0.62453128433249661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P3:P4"/>
    <mergeCell ref="Q3:Q4"/>
    <mergeCell ref="R3:R4"/>
    <mergeCell ref="T3:U3"/>
    <mergeCell ref="AB1:AC2"/>
    <mergeCell ref="W3:W4"/>
    <mergeCell ref="X3:Y3"/>
    <mergeCell ref="Z3:AA3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49:A58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H49:AH58"/>
    <mergeCell ref="AB50:AC50"/>
    <mergeCell ref="AB51:AC51"/>
    <mergeCell ref="A59:A69"/>
    <mergeCell ref="S59:S69"/>
    <mergeCell ref="AB59:AC59"/>
    <mergeCell ref="D69:E69"/>
    <mergeCell ref="AB69:AC6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5:AC55"/>
    <mergeCell ref="AB56:AC56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產線配置圖!$A$3:$A$33</xm:f>
          </x14:formula1>
          <xm:sqref>D5</xm:sqref>
        </x14:dataValidation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D1:D4 D6:D1048576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U74" sqref="U7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46226</v>
      </c>
      <c r="E3" s="379"/>
      <c r="F3" s="3" t="s">
        <v>72</v>
      </c>
      <c r="G3" s="380">
        <f>'0723'!E1</f>
        <v>57588</v>
      </c>
      <c r="H3" s="380"/>
      <c r="I3" s="3" t="s">
        <v>2</v>
      </c>
      <c r="J3" s="381">
        <f>'0723'!G1</f>
        <v>2635898.1850000001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124.67485941151907</v>
      </c>
      <c r="G6" s="386"/>
      <c r="H6" s="387">
        <f>AVERAGE(D13:H13)</f>
        <v>125.30946449519979</v>
      </c>
      <c r="I6" s="387"/>
      <c r="J6" s="387">
        <f>AVERAGE(I13:J13)</f>
        <v>123.0883467023173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113.57056738242508</v>
      </c>
      <c r="G7" s="410"/>
      <c r="H7" s="411">
        <f>AVERAGE(D14:H14)</f>
        <v>114.68073069533148</v>
      </c>
      <c r="I7" s="411"/>
      <c r="J7" s="411">
        <f>AVERAGE(I14:J14)</f>
        <v>110.79515910015905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0.91093399197314018</v>
      </c>
      <c r="G8" s="383"/>
      <c r="H8" s="383">
        <f>H7/H6</f>
        <v>0.9151801195329865</v>
      </c>
      <c r="I8" s="383"/>
      <c r="J8" s="383">
        <f>J7/J6</f>
        <v>0.90012712062914724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VALUE('0723'!L15)</f>
        <v>150.66964285714286</v>
      </c>
      <c r="E13" s="13">
        <f>VALUE('0723'!L26)</f>
        <v>173.76373626373626</v>
      </c>
      <c r="F13" s="13">
        <f>VALUE('0723'!L37)</f>
        <v>96.653050108932462</v>
      </c>
      <c r="G13" s="13">
        <f>VALUE('0723'!L48)</f>
        <v>98.681481481481498</v>
      </c>
      <c r="H13" s="13">
        <f>VALUE('0723'!L58)</f>
        <v>106.77941176470588</v>
      </c>
      <c r="I13" s="13">
        <f>VALUE('0723'!L69)</f>
        <v>138.81212121212121</v>
      </c>
      <c r="J13" s="13">
        <f>'0723'!L79</f>
        <v>107.36457219251338</v>
      </c>
    </row>
    <row r="14" spans="2:15" ht="39.950000000000003" customHeight="1">
      <c r="B14" s="404"/>
      <c r="C14" s="12" t="s">
        <v>100</v>
      </c>
      <c r="D14" s="13">
        <f>VALUE('0723'!O15)</f>
        <v>144.81048842462002</v>
      </c>
      <c r="E14" s="13">
        <f>VALUE('0723'!O26)</f>
        <v>159.32710099461397</v>
      </c>
      <c r="F14" s="13">
        <f>VALUE('0723'!O37)</f>
        <v>91.793595512815116</v>
      </c>
      <c r="G14" s="13">
        <f>VALUE('0723'!O48)</f>
        <v>86.132120767632003</v>
      </c>
      <c r="H14" s="13">
        <f>VALUE('0723'!O58)</f>
        <v>91.340347776976216</v>
      </c>
      <c r="I14" s="13">
        <f>VALUE('0723'!O69)</f>
        <v>127.10709475709402</v>
      </c>
      <c r="J14" s="13">
        <f>'0723'!O79</f>
        <v>94.483223443224105</v>
      </c>
    </row>
    <row r="15" spans="2:15" ht="39.950000000000003" customHeight="1">
      <c r="B15" s="405"/>
      <c r="C15" s="10" t="s">
        <v>26</v>
      </c>
      <c r="D15" s="14">
        <f t="shared" ref="D15:I15" si="1">D14/D13</f>
        <v>0.96111257502562619</v>
      </c>
      <c r="E15" s="14">
        <f t="shared" si="1"/>
        <v>0.91691801995319344</v>
      </c>
      <c r="F15" s="14">
        <f t="shared" si="1"/>
        <v>0.94972269793203101</v>
      </c>
      <c r="G15" s="14">
        <f t="shared" si="1"/>
        <v>0.87282962795603647</v>
      </c>
      <c r="H15" s="14">
        <f t="shared" si="1"/>
        <v>0.85541160292444329</v>
      </c>
      <c r="I15" s="14">
        <f t="shared" si="1"/>
        <v>0.91567720201364444</v>
      </c>
      <c r="J15" s="15">
        <f>'0723'!S70</f>
        <v>0.88002235293973907</v>
      </c>
    </row>
    <row r="16" spans="2:15" ht="17.25" customHeight="1">
      <c r="B16" s="406" t="s">
        <v>101</v>
      </c>
      <c r="C16" s="10" t="s">
        <v>34</v>
      </c>
      <c r="D16" s="16">
        <f>'0723'!T5</f>
        <v>0.29375000000000001</v>
      </c>
      <c r="E16" s="16">
        <f>'0723'!T16</f>
        <v>0.28888888888888897</v>
      </c>
      <c r="F16" s="16">
        <f>'0723'!T27</f>
        <v>0.28819444444444398</v>
      </c>
      <c r="G16" s="16">
        <f>'0723'!T38</f>
        <v>0.33333333333333298</v>
      </c>
      <c r="H16" s="16">
        <f>'0723'!T49</f>
        <v>0.29166666666666702</v>
      </c>
      <c r="I16" s="16">
        <f>'0723'!T59</f>
        <v>0.28819444444444398</v>
      </c>
      <c r="J16" s="16">
        <f>'0723'!T70</f>
        <v>0.30902777777777801</v>
      </c>
    </row>
    <row r="17" spans="2:10" ht="17.25" customHeight="1">
      <c r="B17" s="407"/>
      <c r="C17" s="10" t="s">
        <v>35</v>
      </c>
      <c r="D17" s="16">
        <v>0.47569444444444398</v>
      </c>
      <c r="E17" s="19">
        <v>0.59930555555555598</v>
      </c>
      <c r="F17" s="19">
        <v>0.56388888888888899</v>
      </c>
      <c r="G17" s="20">
        <v>0.60416666666666696</v>
      </c>
      <c r="H17" s="21">
        <v>0.57986111111111105</v>
      </c>
      <c r="I17" s="22">
        <v>0.57638888888888895</v>
      </c>
      <c r="J17" s="22">
        <v>0.63888888888888895</v>
      </c>
    </row>
    <row r="18" spans="2:10" ht="17.25" customHeight="1">
      <c r="B18" s="408" t="s">
        <v>102</v>
      </c>
      <c r="C18" s="330" t="s">
        <v>36</v>
      </c>
      <c r="D18" s="357">
        <f>'0723'!Z15</f>
        <v>0</v>
      </c>
      <c r="E18" s="358">
        <f>'0723'!Z26</f>
        <v>0</v>
      </c>
      <c r="F18" s="358">
        <f>'0723'!Z37</f>
        <v>0</v>
      </c>
      <c r="G18" s="359">
        <f>'0723'!Z48</f>
        <v>0</v>
      </c>
      <c r="H18" s="359">
        <f>'0723'!Z58</f>
        <v>0</v>
      </c>
      <c r="I18" s="358">
        <f>'0723'!Z69</f>
        <v>0</v>
      </c>
      <c r="J18" s="358">
        <f>'0723'!AA79</f>
        <v>0</v>
      </c>
    </row>
    <row r="19" spans="2:10" ht="17.25" customHeight="1">
      <c r="B19" s="409"/>
      <c r="C19" s="330" t="s">
        <v>37</v>
      </c>
      <c r="D19" s="357">
        <f>'0723'!AA15</f>
        <v>0</v>
      </c>
      <c r="E19" s="358">
        <f>'0723'!AA26</f>
        <v>0</v>
      </c>
      <c r="F19" s="358">
        <f>'0723'!AA37</f>
        <v>0</v>
      </c>
      <c r="G19" s="359">
        <f>'0723'!AA48</f>
        <v>0</v>
      </c>
      <c r="H19" s="359">
        <f>'0723'!AA58</f>
        <v>0</v>
      </c>
      <c r="I19" s="358">
        <f>'0723'!AA69</f>
        <v>0</v>
      </c>
      <c r="J19" s="358">
        <f>'0723'!AB79</f>
        <v>0</v>
      </c>
    </row>
    <row r="20" spans="2:10" ht="17.25" customHeight="1">
      <c r="B20" s="408" t="s">
        <v>103</v>
      </c>
      <c r="C20" s="330" t="s">
        <v>36</v>
      </c>
      <c r="D20" s="357">
        <f>'0723'!AD15</f>
        <v>0</v>
      </c>
      <c r="E20" s="358">
        <f>'0723'!AD26</f>
        <v>0</v>
      </c>
      <c r="F20" s="358">
        <f>'0723'!AD37</f>
        <v>0</v>
      </c>
      <c r="G20" s="359">
        <f>'0723'!AD48</f>
        <v>0</v>
      </c>
      <c r="H20" s="359">
        <f>'0723'!AD58</f>
        <v>0</v>
      </c>
      <c r="I20" s="358">
        <f>'0723'!AD69</f>
        <v>0</v>
      </c>
      <c r="J20" s="358">
        <f>'0723'!AD79</f>
        <v>0</v>
      </c>
    </row>
    <row r="21" spans="2:10" ht="17.25" customHeight="1">
      <c r="B21" s="409"/>
      <c r="C21" s="330" t="s">
        <v>85</v>
      </c>
      <c r="D21" s="357">
        <f>'0723'!AE15</f>
        <v>0</v>
      </c>
      <c r="E21" s="358">
        <f>'0723'!AE26</f>
        <v>0</v>
      </c>
      <c r="F21" s="358">
        <f>'0723'!AE37</f>
        <v>0</v>
      </c>
      <c r="G21" s="359">
        <f>'0723'!AE48</f>
        <v>0</v>
      </c>
      <c r="H21" s="359">
        <f>'0723'!AE58</f>
        <v>0</v>
      </c>
      <c r="I21" s="358">
        <f>'0723'!AE69</f>
        <v>0</v>
      </c>
      <c r="J21" s="358">
        <f>'0723'!AE79</f>
        <v>0</v>
      </c>
    </row>
    <row r="22" spans="2:10" ht="17.25" customHeight="1">
      <c r="B22" s="392" t="s">
        <v>104</v>
      </c>
      <c r="C22" s="393"/>
      <c r="D22" s="23">
        <f>VALUE('0723'!M15)</f>
        <v>15</v>
      </c>
      <c r="E22" s="23">
        <f>VALUE('0723'!M26)</f>
        <v>13</v>
      </c>
      <c r="F22" s="23">
        <f>VALUE('0723'!M37)</f>
        <v>16.666666666666668</v>
      </c>
      <c r="G22" s="23">
        <f>VALUE('0723'!M48)</f>
        <v>17</v>
      </c>
      <c r="H22" s="23">
        <f>VALUE('0723'!M58)</f>
        <v>16.5</v>
      </c>
      <c r="I22" s="23">
        <f>VALUE('0723'!M69)</f>
        <v>12</v>
      </c>
      <c r="J22" s="23">
        <f>'0723'!M79</f>
        <v>13.8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U74" sqref="U74"/>
      <selection pane="topRight" activeCell="U74" sqref="U74"/>
      <selection pane="bottomLeft" activeCell="U74" sqref="U74"/>
      <selection pane="bottomRight" activeCell="U74" sqref="U7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57588</v>
      </c>
      <c r="F1" s="30" t="s">
        <v>2</v>
      </c>
      <c r="G1" s="31">
        <f>SUM(H5:H79)</f>
        <v>2635898.1850000001</v>
      </c>
      <c r="H1" s="32" t="s">
        <v>3</v>
      </c>
      <c r="I1" s="33">
        <f>M15+M26+M48+M58+M69+M79+M37</f>
        <v>103.96666666666667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208</v>
      </c>
      <c r="B2" s="418"/>
      <c r="C2" s="28"/>
      <c r="D2" s="28" t="s">
        <v>14</v>
      </c>
      <c r="E2" s="35">
        <f>AVERAGE(O15,O26,O37,O48,O58,O69,O79)</f>
        <v>113.57056738242508</v>
      </c>
      <c r="F2" s="36" t="s">
        <v>15</v>
      </c>
      <c r="G2" s="37">
        <f>G1/E1</f>
        <v>45.771657029242206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4966</v>
      </c>
      <c r="H5" s="43">
        <f>F5*G5</f>
        <v>247853.05999999997</v>
      </c>
      <c r="I5" s="44"/>
      <c r="J5" s="45">
        <f>VLOOKUP(D5,產線配置圖!$A$3:$C$40,2,0)</f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2159.1304347826162</v>
      </c>
      <c r="O5" s="47">
        <f>N5/M5</f>
        <v>134.94565217391352</v>
      </c>
      <c r="P5" s="49">
        <f>M5-J5</f>
        <v>0</v>
      </c>
      <c r="Q5" s="50">
        <f>O5-L5</f>
        <v>-5.6793478260864845</v>
      </c>
      <c r="R5" s="51">
        <f>O5/L5</f>
        <v>0.95961352657005161</v>
      </c>
      <c r="S5" s="412">
        <f>R15</f>
        <v>0.96111257502562619</v>
      </c>
      <c r="T5" s="319">
        <v>0.29375000000000001</v>
      </c>
      <c r="U5" s="320">
        <v>0.389583333333333</v>
      </c>
      <c r="V5" s="53"/>
      <c r="W5" s="54">
        <f t="shared" ref="W5:W14" si="0">(U5-T5)*24*60</f>
        <v>137.99999999999952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-90.869565217383752</v>
      </c>
      <c r="AG5" s="52">
        <f t="shared" ref="AG5:AG11" si="2">N5/K5</f>
        <v>0.95961352657005161</v>
      </c>
      <c r="AH5" s="457">
        <f>AG15</f>
        <v>0.961018884497153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3970</v>
      </c>
      <c r="H6" s="63">
        <f>F6*G6</f>
        <v>195085.8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2165.4545454545719</v>
      </c>
      <c r="O6" s="67">
        <f>N6/M6</f>
        <v>154.67532467532655</v>
      </c>
      <c r="P6" s="69">
        <f>M6-J6</f>
        <v>0</v>
      </c>
      <c r="Q6" s="70">
        <f>O6-L6</f>
        <v>-6.0389610389591724</v>
      </c>
      <c r="R6" s="71">
        <f>O6/L6</f>
        <v>0.96242424242425406</v>
      </c>
      <c r="S6" s="413"/>
      <c r="T6" s="16">
        <v>0.39930555555555602</v>
      </c>
      <c r="U6" s="16">
        <v>0.47569444444444398</v>
      </c>
      <c r="V6" s="30">
        <f>(T6-U5)*24*60</f>
        <v>14.000000000001149</v>
      </c>
      <c r="W6" s="73">
        <f t="shared" si="0"/>
        <v>109.99999999999865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-84.545454545428129</v>
      </c>
      <c r="AG6" s="72">
        <f t="shared" si="2"/>
        <v>0.96242424242425417</v>
      </c>
      <c r="AH6" s="458"/>
    </row>
    <row r="7" spans="1:34" ht="15" customHeight="1">
      <c r="A7" s="42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13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0</v>
      </c>
      <c r="AG7" s="72" t="e">
        <f t="shared" si="2"/>
        <v>#DIV/0!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150.66964285714286</v>
      </c>
      <c r="M15" s="120">
        <f t="shared" si="3"/>
        <v>15</v>
      </c>
      <c r="N15" s="120">
        <f t="shared" si="3"/>
        <v>2162.2924901185943</v>
      </c>
      <c r="O15" s="117">
        <f t="shared" si="3"/>
        <v>144.81048842462002</v>
      </c>
      <c r="P15" s="121">
        <f>M15-J15</f>
        <v>0</v>
      </c>
      <c r="Q15" s="122">
        <f>O15-L15</f>
        <v>-5.8591544325228426</v>
      </c>
      <c r="R15" s="123">
        <f>O15/L15</f>
        <v>0.96111257502562619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-87.707509881405713</v>
      </c>
      <c r="AG15" s="124">
        <f>N15/K15</f>
        <v>0.961018884497153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1966</v>
      </c>
      <c r="H16" s="134">
        <f>F16*G16</f>
        <v>99617.22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2144.7272727272962</v>
      </c>
      <c r="O16" s="141">
        <f>N16/M16</f>
        <v>164.97902097902278</v>
      </c>
      <c r="P16" s="142">
        <f>M16-J16</f>
        <v>0</v>
      </c>
      <c r="Q16" s="143">
        <f>O16-L16</f>
        <v>-8.0979020979002883</v>
      </c>
      <c r="R16" s="144">
        <f>O16/L16</f>
        <v>0.95321212121213161</v>
      </c>
      <c r="S16" s="468">
        <f>R26</f>
        <v>0.91691801995319344</v>
      </c>
      <c r="T16" s="145">
        <v>0.28888888888888897</v>
      </c>
      <c r="U16" s="145">
        <v>0.327083333333333</v>
      </c>
      <c r="V16" s="135"/>
      <c r="W16" s="146">
        <f t="shared" ref="W16:W78" si="4">(U16-T16)*24*60</f>
        <v>54.999999999999403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-105.27272727270383</v>
      </c>
      <c r="AG16" s="52">
        <f>N16/K16</f>
        <v>0.95321212121213161</v>
      </c>
      <c r="AH16" s="457">
        <f>AG26</f>
        <v>0.91674172511178587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2532</v>
      </c>
      <c r="H17" s="78">
        <f>F17*G17</f>
        <v>143994.84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2139.7183098591772</v>
      </c>
      <c r="O17" s="96">
        <f>N17/M17</f>
        <v>152.83702213279838</v>
      </c>
      <c r="P17" s="97">
        <f>M17-J17</f>
        <v>0</v>
      </c>
      <c r="Q17" s="98">
        <f>O17-L17</f>
        <v>-7.8772635814873411</v>
      </c>
      <c r="R17" s="99">
        <f>O17/L17</f>
        <v>0.95098591549296763</v>
      </c>
      <c r="S17" s="469"/>
      <c r="T17" s="19">
        <v>0.33402777777777798</v>
      </c>
      <c r="U17" s="19">
        <v>0.38333333333333303</v>
      </c>
      <c r="V17" s="30">
        <f>(T17-U16)*24*60</f>
        <v>10.000000000000764</v>
      </c>
      <c r="W17" s="149">
        <f t="shared" si="4"/>
        <v>70.999999999999261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-110.28169014082277</v>
      </c>
      <c r="AG17" s="72">
        <f>N17/K17</f>
        <v>0.95098591549296763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1572</v>
      </c>
      <c r="H18" s="78">
        <f>F18*G18</f>
        <v>91443.24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1924.8979591836612</v>
      </c>
      <c r="O18" s="96">
        <f>N18/M18</f>
        <v>137.4927113702615</v>
      </c>
      <c r="P18" s="97">
        <f>M18-J18</f>
        <v>0</v>
      </c>
      <c r="Q18" s="98">
        <f>O18-L18</f>
        <v>-23.221574344024219</v>
      </c>
      <c r="R18" s="99">
        <f>O18/L18</f>
        <v>0.85551020408162703</v>
      </c>
      <c r="S18" s="469"/>
      <c r="T18" s="19">
        <v>0.389583333333333</v>
      </c>
      <c r="U18" s="19">
        <v>0.42361111111111099</v>
      </c>
      <c r="V18" s="30">
        <f>(T18-U17)*24*60</f>
        <v>8.999999999999968</v>
      </c>
      <c r="W18" s="149">
        <f t="shared" si="4"/>
        <v>49.000000000000306</v>
      </c>
      <c r="X18" s="22">
        <v>0.48611111111111099</v>
      </c>
      <c r="Y18" s="84">
        <v>0.52777777777777801</v>
      </c>
      <c r="Z18" s="90"/>
      <c r="AA18" s="90"/>
      <c r="AB18" s="462" t="s">
        <v>209</v>
      </c>
      <c r="AC18" s="462"/>
      <c r="AD18" s="92"/>
      <c r="AE18" s="92"/>
      <c r="AF18" s="307">
        <f>N18-K18</f>
        <v>-325.10204081633879</v>
      </c>
      <c r="AG18" s="72">
        <f>N18/K18</f>
        <v>0.85551020408162726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2232</v>
      </c>
      <c r="H19" s="78">
        <f t="shared" ref="H19:H21" si="5">F19*G19</f>
        <v>112470.48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1998.8059701492466</v>
      </c>
      <c r="O19" s="96">
        <f t="shared" ref="O19:O21" si="8">N19/M19</f>
        <v>166.56716417910388</v>
      </c>
      <c r="P19" s="97">
        <f t="shared" ref="P19:P21" si="9">M19-J19</f>
        <v>0</v>
      </c>
      <c r="Q19" s="98">
        <f t="shared" ref="Q19:Q21" si="10">O19-L19</f>
        <v>-20.932835820896116</v>
      </c>
      <c r="R19" s="99">
        <f t="shared" ref="R19:R21" si="11">O19/L19</f>
        <v>0.88835820895522066</v>
      </c>
      <c r="S19" s="469"/>
      <c r="T19" s="19">
        <v>0.42986111111111103</v>
      </c>
      <c r="U19" s="19">
        <v>0.47638888888888897</v>
      </c>
      <c r="V19" s="30">
        <f>(T19-U18)*24*60</f>
        <v>9.000000000000048</v>
      </c>
      <c r="W19" s="149">
        <f t="shared" si="4"/>
        <v>67.000000000000242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-251.1940298507534</v>
      </c>
      <c r="AG19" s="72">
        <f>N19/K19</f>
        <v>0.88835820895522066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1998</v>
      </c>
      <c r="H20" s="78">
        <f t="shared" si="5"/>
        <v>100679.22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2103.1578947368553</v>
      </c>
      <c r="O20" s="96">
        <f t="shared" si="8"/>
        <v>175.26315789473793</v>
      </c>
      <c r="P20" s="97">
        <f t="shared" si="9"/>
        <v>0</v>
      </c>
      <c r="Q20" s="98">
        <f t="shared" si="10"/>
        <v>-12.23684210526207</v>
      </c>
      <c r="R20" s="99">
        <f t="shared" si="11"/>
        <v>0.93473684210526897</v>
      </c>
      <c r="S20" s="469"/>
      <c r="T20" s="19">
        <v>0.54166666666666696</v>
      </c>
      <c r="U20" s="19">
        <v>0.58125000000000004</v>
      </c>
      <c r="V20" s="30">
        <f>(T20-U19)*24*60</f>
        <v>94.000000000000313</v>
      </c>
      <c r="W20" s="149">
        <f t="shared" si="4"/>
        <v>56.999999999999638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585</v>
      </c>
      <c r="H21" s="78">
        <f t="shared" si="5"/>
        <v>29641.95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2064.705882352871</v>
      </c>
      <c r="O21" s="96">
        <f t="shared" si="8"/>
        <v>158.8235294117593</v>
      </c>
      <c r="P21" s="97">
        <f t="shared" si="9"/>
        <v>0</v>
      </c>
      <c r="Q21" s="98">
        <f t="shared" si="10"/>
        <v>-14.25339366516377</v>
      </c>
      <c r="R21" s="99">
        <f t="shared" si="11"/>
        <v>0.91764705882349817</v>
      </c>
      <c r="S21" s="469"/>
      <c r="T21" s="19">
        <v>0.58750000000000002</v>
      </c>
      <c r="U21" s="19">
        <v>0.59930555555555598</v>
      </c>
      <c r="V21" s="30">
        <f>(T21-U20)*24*60</f>
        <v>8.999999999999968</v>
      </c>
      <c r="W21" s="149">
        <f t="shared" si="4"/>
        <v>17.000000000000579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2062.6688815015182</v>
      </c>
      <c r="O26" s="158">
        <f t="shared" si="12"/>
        <v>159.32710099461397</v>
      </c>
      <c r="P26" s="159">
        <f>M26-J26</f>
        <v>0</v>
      </c>
      <c r="Q26" s="160">
        <f>O26-L26</f>
        <v>-14.436635269122291</v>
      </c>
      <c r="R26" s="161">
        <f>O26/L26</f>
        <v>0.91691801995319344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-187.33111849848183</v>
      </c>
      <c r="AG26" s="124">
        <f t="shared" ref="AG26:AG31" si="14">N26/K26</f>
        <v>0.91674172511178587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1147</v>
      </c>
      <c r="H27" s="134">
        <f>F27*G27</f>
        <v>52372.02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1464.2553191489287</v>
      </c>
      <c r="O27" s="141">
        <f>N27/M27</f>
        <v>91.515957446808045</v>
      </c>
      <c r="P27" s="142">
        <f>M27-J27</f>
        <v>-1</v>
      </c>
      <c r="Q27" s="143">
        <f>O27-L27</f>
        <v>-4.719336670839013</v>
      </c>
      <c r="R27" s="144">
        <f>O27/L27</f>
        <v>0.95096043801695407</v>
      </c>
      <c r="S27" s="468">
        <f>R37</f>
        <v>0.94972269793203101</v>
      </c>
      <c r="T27" s="171">
        <v>0.28819444444444398</v>
      </c>
      <c r="U27" s="171">
        <v>0.32083333333333303</v>
      </c>
      <c r="V27" s="135"/>
      <c r="W27" s="146">
        <f t="shared" si="4"/>
        <v>47.000000000000234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-171.74468085107128</v>
      </c>
      <c r="AG27" s="172">
        <f t="shared" si="14"/>
        <v>0.89502158872183912</v>
      </c>
      <c r="AH27" s="457">
        <f>AG37</f>
        <v>0.9401045427510466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1512</v>
      </c>
      <c r="H28" s="91">
        <f>F28*G28</f>
        <v>70066.080000000002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1564.1379310344753</v>
      </c>
      <c r="O28" s="96">
        <f>N28/M28</f>
        <v>97.758620689654705</v>
      </c>
      <c r="P28" s="97">
        <f>M28-J28</f>
        <v>0</v>
      </c>
      <c r="Q28" s="98">
        <f>O28-L28</f>
        <v>-4.4913793103452946</v>
      </c>
      <c r="R28" s="99">
        <f>O28/L28</f>
        <v>0.95607452997217313</v>
      </c>
      <c r="S28" s="469"/>
      <c r="T28" s="19">
        <v>0.32500000000000001</v>
      </c>
      <c r="U28" s="19">
        <v>0.36527777777777798</v>
      </c>
      <c r="V28" s="92">
        <f>(T28-U27)*24*60</f>
        <v>6.0000000000004583</v>
      </c>
      <c r="W28" s="149">
        <f t="shared" si="4"/>
        <v>58.00000000000027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-71.862068965524713</v>
      </c>
      <c r="AG28" s="99">
        <f t="shared" si="14"/>
        <v>0.95607452997217313</v>
      </c>
      <c r="AH28" s="478"/>
    </row>
    <row r="29" spans="1:34" ht="15" customHeight="1">
      <c r="A29" s="466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1601</v>
      </c>
      <c r="H29" s="91">
        <f>F29*G29</f>
        <v>91593.21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1477.8461538461499</v>
      </c>
      <c r="O29" s="96">
        <f>N29/M29</f>
        <v>86.932126696832356</v>
      </c>
      <c r="P29" s="97">
        <f>M29-J29</f>
        <v>0</v>
      </c>
      <c r="Q29" s="98">
        <f>O29-L29</f>
        <v>-5.1266968325794124</v>
      </c>
      <c r="R29" s="99">
        <f>O29/L29</f>
        <v>0.94431064143523957</v>
      </c>
      <c r="S29" s="469"/>
      <c r="T29" s="19">
        <v>0.37013888888888902</v>
      </c>
      <c r="U29" s="19">
        <v>0.41527777777777802</v>
      </c>
      <c r="V29" s="92">
        <f>(T29-U28)*24*60</f>
        <v>6.9999999999998952</v>
      </c>
      <c r="W29" s="149">
        <f t="shared" si="4"/>
        <v>65.000000000000171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-87.153846153850054</v>
      </c>
      <c r="AG29" s="99">
        <f t="shared" si="14"/>
        <v>0.94431064143523957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1403</v>
      </c>
      <c r="H30" s="91">
        <f t="shared" ref="H30:H32" si="15">F30*G30</f>
        <v>80265.63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18</v>
      </c>
      <c r="N30" s="95">
        <f t="shared" ref="N30:N32" si="17">G30/W30*60</f>
        <v>1558.8888888888896</v>
      </c>
      <c r="O30" s="96">
        <f t="shared" ref="O30:O32" si="18">N30/M30</f>
        <v>86.604938271604979</v>
      </c>
      <c r="P30" s="97">
        <f t="shared" ref="P30:P32" si="19">M30-J30</f>
        <v>0</v>
      </c>
      <c r="Q30" s="98">
        <f t="shared" ref="Q30:Q32" si="20">O30-L30</f>
        <v>-4.2839506172839066</v>
      </c>
      <c r="R30" s="99">
        <f t="shared" ref="R30:R32" si="21">O30/L30</f>
        <v>0.95286606900298876</v>
      </c>
      <c r="S30" s="469"/>
      <c r="T30" s="19">
        <v>0.420833333333333</v>
      </c>
      <c r="U30" s="19">
        <v>0.45833333333333298</v>
      </c>
      <c r="V30" s="92">
        <f>(T30-U29)*24*60</f>
        <v>7.9999999999991722</v>
      </c>
      <c r="W30" s="149">
        <f t="shared" si="4"/>
        <v>53.999999999999972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-77.111111111110404</v>
      </c>
      <c r="AG30" s="99">
        <f t="shared" si="14"/>
        <v>0.95286606900298876</v>
      </c>
      <c r="AH30" s="479"/>
    </row>
    <row r="31" spans="1:34" ht="15" customHeight="1">
      <c r="A31" s="466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706</v>
      </c>
      <c r="H31" s="91">
        <f t="shared" si="15"/>
        <v>32235.96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1512.857142857174</v>
      </c>
      <c r="O31" s="96">
        <f t="shared" si="18"/>
        <v>88.991596638657299</v>
      </c>
      <c r="P31" s="97">
        <f t="shared" si="19"/>
        <v>0</v>
      </c>
      <c r="Q31" s="98">
        <f t="shared" si="20"/>
        <v>-7.243697478989759</v>
      </c>
      <c r="R31" s="99">
        <f t="shared" si="21"/>
        <v>0.924729304924923</v>
      </c>
      <c r="S31" s="469"/>
      <c r="T31" s="19">
        <v>0.51388888888888895</v>
      </c>
      <c r="U31" s="19">
        <v>0.53333333333333299</v>
      </c>
      <c r="V31" s="92">
        <f t="shared" ref="V31:V32" si="22">(T31-U30)*24*60</f>
        <v>80.000000000000597</v>
      </c>
      <c r="W31" s="149">
        <f t="shared" si="4"/>
        <v>27.999999999999421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-123.14285714282596</v>
      </c>
      <c r="AG31" s="99">
        <f t="shared" si="14"/>
        <v>0.924729304924923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950</v>
      </c>
      <c r="H32" s="91">
        <f t="shared" si="15"/>
        <v>44023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1583.3333333333321</v>
      </c>
      <c r="O32" s="96">
        <f t="shared" si="18"/>
        <v>98.958333333333258</v>
      </c>
      <c r="P32" s="97">
        <f t="shared" si="19"/>
        <v>0</v>
      </c>
      <c r="Q32" s="98">
        <f t="shared" si="20"/>
        <v>-3.2916666666667425</v>
      </c>
      <c r="R32" s="99">
        <f t="shared" si="21"/>
        <v>0.96780766096169446</v>
      </c>
      <c r="S32" s="469"/>
      <c r="T32" s="19">
        <v>0.53888888888888897</v>
      </c>
      <c r="U32" s="19">
        <v>0.56388888888888899</v>
      </c>
      <c r="V32" s="92">
        <f t="shared" si="22"/>
        <v>8.0000000000006111</v>
      </c>
      <c r="W32" s="149">
        <f t="shared" si="4"/>
        <v>36.000000000000028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16.833333333333332</v>
      </c>
      <c r="K37" s="155">
        <f t="shared" si="23"/>
        <v>1624.1666666666667</v>
      </c>
      <c r="L37" s="158">
        <f t="shared" si="23"/>
        <v>96.653050108932462</v>
      </c>
      <c r="M37" s="155">
        <f t="shared" si="23"/>
        <v>16.666666666666668</v>
      </c>
      <c r="N37" s="155">
        <f t="shared" si="23"/>
        <v>1526.8864615181583</v>
      </c>
      <c r="O37" s="158">
        <f t="shared" si="23"/>
        <v>91.793595512815116</v>
      </c>
      <c r="P37" s="159">
        <f>M37-J37</f>
        <v>-0.1666666666666643</v>
      </c>
      <c r="Q37" s="160">
        <f>N37-K37</f>
        <v>-97.280205148508458</v>
      </c>
      <c r="R37" s="161">
        <f>O37/L37</f>
        <v>0.94972269793203101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-97.280205148508458</v>
      </c>
      <c r="AG37" s="124">
        <f>N37/K37</f>
        <v>0.9401045427510466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2511</v>
      </c>
      <c r="H38" s="134">
        <f>F38*G38</f>
        <v>125324.01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1506.5999999999874</v>
      </c>
      <c r="O38" s="141">
        <f>N38/M38</f>
        <v>100.43999999999916</v>
      </c>
      <c r="P38" s="142">
        <f>M38-J38</f>
        <v>0</v>
      </c>
      <c r="Q38" s="143">
        <f>O38-L38</f>
        <v>-13.826666666667506</v>
      </c>
      <c r="R38" s="144">
        <f>O38/L38</f>
        <v>0.8789964994165621</v>
      </c>
      <c r="S38" s="490">
        <f>R48</f>
        <v>0.87282962795603647</v>
      </c>
      <c r="T38" s="191">
        <v>0.33333333333333298</v>
      </c>
      <c r="U38" s="191">
        <v>0.40277777777777801</v>
      </c>
      <c r="V38" s="192"/>
      <c r="W38" s="193">
        <f t="shared" si="4"/>
        <v>100.00000000000084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-207.4000000000126</v>
      </c>
      <c r="AG38" s="195">
        <f>N38/K38</f>
        <v>0.8789964994165621</v>
      </c>
      <c r="AH38" s="480">
        <f>AG48</f>
        <v>0.87240564008265753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2242</v>
      </c>
      <c r="H39" s="91">
        <f>F39*G39</f>
        <v>99320.599999999991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1331.8811881188094</v>
      </c>
      <c r="O39" s="203">
        <f>N39/M39</f>
        <v>73.993399339933859</v>
      </c>
      <c r="P39" s="97">
        <f>M39-J39</f>
        <v>0</v>
      </c>
      <c r="Q39" s="98">
        <f>O39-L39</f>
        <v>-16.895489548955027</v>
      </c>
      <c r="R39" s="99">
        <f>O39/L39</f>
        <v>0.81410830569609383</v>
      </c>
      <c r="S39" s="491"/>
      <c r="T39" s="20">
        <v>0.41249999999999998</v>
      </c>
      <c r="U39" s="20">
        <v>0.48263888888888901</v>
      </c>
      <c r="V39" s="92">
        <f>(T39-U38)*24*60</f>
        <v>13.999999999999631</v>
      </c>
      <c r="W39" s="205">
        <f t="shared" si="4"/>
        <v>101.0000000000002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-304.1188118811906</v>
      </c>
      <c r="AG39" s="206">
        <f>N39/K39</f>
        <v>0.81410830569609371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2267</v>
      </c>
      <c r="H40" s="91">
        <f>F40*G40</f>
        <v>100428.09999999999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1511.3333333333335</v>
      </c>
      <c r="O40" s="203">
        <f>N40/M40</f>
        <v>83.962962962962976</v>
      </c>
      <c r="P40" s="97">
        <f>M40-J40</f>
        <v>0</v>
      </c>
      <c r="Q40" s="98">
        <f>O40-L40</f>
        <v>-6.9259259259259096</v>
      </c>
      <c r="R40" s="99">
        <f>O40/L40</f>
        <v>0.92379788101059512</v>
      </c>
      <c r="S40" s="413"/>
      <c r="T40" s="20">
        <v>0.54166666666666696</v>
      </c>
      <c r="U40" s="210">
        <v>0.60416666666666696</v>
      </c>
      <c r="V40" s="92">
        <f>(T40-U39)*24*60</f>
        <v>85.000000000000256</v>
      </c>
      <c r="W40" s="205">
        <f t="shared" si="4"/>
        <v>90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-124.66666666666652</v>
      </c>
      <c r="AG40" s="206">
        <f>N40/K40</f>
        <v>0.92379788101059501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 t="s">
        <v>210</v>
      </c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1449.9381738173768</v>
      </c>
      <c r="O48" s="158">
        <f t="shared" si="24"/>
        <v>86.132120767632003</v>
      </c>
      <c r="P48" s="221">
        <f>M48-J48</f>
        <v>0</v>
      </c>
      <c r="Q48" s="222">
        <f>N48-K48</f>
        <v>-212.06182618262324</v>
      </c>
      <c r="R48" s="223">
        <f>O48/L48</f>
        <v>0.87282962795603647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-212.06182618262324</v>
      </c>
      <c r="AG48" s="162">
        <f t="shared" ref="AG48:AG53" si="26">N48/K48</f>
        <v>0.87240564008265753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1842</v>
      </c>
      <c r="H49" s="134">
        <f>F49*G49</f>
        <v>91215.840000000011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1674.5454545454666</v>
      </c>
      <c r="O49" s="141">
        <f>N49/M49</f>
        <v>98.502673796792152</v>
      </c>
      <c r="P49" s="229">
        <f>M49-J49</f>
        <v>0</v>
      </c>
      <c r="Q49" s="230">
        <f>O49-L49</f>
        <v>-7.3796791443843119</v>
      </c>
      <c r="R49" s="52">
        <f>O49/L49</f>
        <v>0.93030303030303707</v>
      </c>
      <c r="S49" s="412">
        <f>R58</f>
        <v>0.85541160292444329</v>
      </c>
      <c r="T49" s="191">
        <v>0.29166666666666702</v>
      </c>
      <c r="U49" s="191">
        <v>0.33750000000000002</v>
      </c>
      <c r="V49" s="55"/>
      <c r="W49" s="193">
        <f t="shared" si="4"/>
        <v>65.999999999999531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-125.45454545453345</v>
      </c>
      <c r="AG49" s="52">
        <f t="shared" si="26"/>
        <v>0.93030303030303696</v>
      </c>
      <c r="AH49" s="457">
        <f>AG58</f>
        <v>0.85623189808165079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2135</v>
      </c>
      <c r="H50" s="231">
        <f>F50*G50</f>
        <v>107367.015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1362.765957446825</v>
      </c>
      <c r="O50" s="235">
        <f>N50/M50</f>
        <v>80.162703379225007</v>
      </c>
      <c r="P50" s="74">
        <f>M50-J50</f>
        <v>0</v>
      </c>
      <c r="Q50" s="83">
        <f>O50-L50</f>
        <v>-16.072590738422051</v>
      </c>
      <c r="R50" s="72">
        <f>O50/L50</f>
        <v>0.8329865265567391</v>
      </c>
      <c r="S50" s="413"/>
      <c r="T50" s="21">
        <v>0.34166666666666701</v>
      </c>
      <c r="U50" s="21">
        <v>0.406944444444444</v>
      </c>
      <c r="V50" s="30">
        <f>(T50-U49)*24*60</f>
        <v>6.0000000000004583</v>
      </c>
      <c r="W50" s="236">
        <f t="shared" si="4"/>
        <v>93.999999999998863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-273.23404255317496</v>
      </c>
      <c r="AG50" s="72">
        <f t="shared" si="26"/>
        <v>0.83298652655673899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1839</v>
      </c>
      <c r="H51" s="231">
        <f>F51*G51</f>
        <v>91894.83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1451.8421052631509</v>
      </c>
      <c r="O51" s="235">
        <f>N51/M51</f>
        <v>90.740131578946929</v>
      </c>
      <c r="P51" s="74">
        <f>M51-J51</f>
        <v>0</v>
      </c>
      <c r="Q51" s="83">
        <f>O51-L51</f>
        <v>-21.759868421053071</v>
      </c>
      <c r="R51" s="72">
        <f>O51/L51</f>
        <v>0.80657894736841718</v>
      </c>
      <c r="S51" s="413"/>
      <c r="T51" s="21">
        <v>0.41249999999999998</v>
      </c>
      <c r="U51" s="19">
        <v>0.46527777777777801</v>
      </c>
      <c r="V51" s="30">
        <f>(T51-U50)*24*60</f>
        <v>8.0000000000006111</v>
      </c>
      <c r="W51" s="236">
        <f t="shared" si="4"/>
        <v>76.000000000000369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-348.15789473684913</v>
      </c>
      <c r="AG51" s="72">
        <f t="shared" si="26"/>
        <v>0.80657894736841718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2175</v>
      </c>
      <c r="H52" s="231">
        <f>F52*G52</f>
        <v>108684.75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1535.2941176470526</v>
      </c>
      <c r="O52" s="235">
        <f>N52/M52</f>
        <v>95.95588235294079</v>
      </c>
      <c r="P52" s="74">
        <f>M52-J52</f>
        <v>0</v>
      </c>
      <c r="Q52" s="83">
        <f>O52-L52</f>
        <v>-16.54411764705921</v>
      </c>
      <c r="R52" s="72">
        <f>O52/L52</f>
        <v>0.85294117647058476</v>
      </c>
      <c r="S52" s="413"/>
      <c r="T52" s="21">
        <v>0.52083333333333304</v>
      </c>
      <c r="U52" s="21">
        <v>0.57986111111111105</v>
      </c>
      <c r="V52" s="30">
        <f>(T52-U51)*24*60</f>
        <v>79.999999999999233</v>
      </c>
      <c r="W52" s="236">
        <f t="shared" si="4"/>
        <v>85.000000000000341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25"/>
        <v>-264.70588235294736</v>
      </c>
      <c r="AG52" s="72">
        <f t="shared" si="26"/>
        <v>0.85294117647058476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1506.1119087256238</v>
      </c>
      <c r="O58" s="117">
        <f t="shared" si="27"/>
        <v>91.340347776976216</v>
      </c>
      <c r="P58" s="121">
        <f>M58-J58</f>
        <v>0</v>
      </c>
      <c r="Q58" s="122">
        <f>N58-K58</f>
        <v>-252.88809127437617</v>
      </c>
      <c r="R58" s="123">
        <f>O58/L58</f>
        <v>0.85541160292444329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-252.88809127437617</v>
      </c>
      <c r="AG58" s="124">
        <f>N58/K58</f>
        <v>0.85623189808165079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3446</v>
      </c>
      <c r="H59" s="243">
        <f>F59*G59</f>
        <v>93007.54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1531.5555555555554</v>
      </c>
      <c r="O59" s="138">
        <f>N59/M59</f>
        <v>102.1037037037037</v>
      </c>
      <c r="P59" s="56">
        <f>M59-J59</f>
        <v>0</v>
      </c>
      <c r="Q59" s="230">
        <f>O59-L59</f>
        <v>-6.9629629629629619</v>
      </c>
      <c r="R59" s="52">
        <f>O59/L59</f>
        <v>0.93615865254007069</v>
      </c>
      <c r="S59" s="412">
        <f>R69</f>
        <v>0.91567720201364444</v>
      </c>
      <c r="T59" s="245">
        <v>0.28819444444444398</v>
      </c>
      <c r="U59" s="245">
        <v>0.38194444444444398</v>
      </c>
      <c r="V59" s="55"/>
      <c r="W59" s="54">
        <f t="shared" si="4"/>
        <v>135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-104.44444444444457</v>
      </c>
      <c r="AG59" s="246">
        <f>N59/K59</f>
        <v>0.93615865254007058</v>
      </c>
      <c r="AH59" s="457">
        <f>AG69</f>
        <v>0.91704263204873948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1767</v>
      </c>
      <c r="H60" s="78">
        <f>F60*G60</f>
        <v>49935.420000000006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1514.5714285714323</v>
      </c>
      <c r="O60" s="81">
        <f>N60/M60</f>
        <v>137.68831168831204</v>
      </c>
      <c r="P60" s="74">
        <f>M60-J60</f>
        <v>0</v>
      </c>
      <c r="Q60" s="83">
        <f>O60-L60</f>
        <v>-11.038961038960679</v>
      </c>
      <c r="R60" s="72">
        <f>O60/L60</f>
        <v>0.92577715682850403</v>
      </c>
      <c r="S60" s="502"/>
      <c r="T60" s="22">
        <v>0.38888888888888901</v>
      </c>
      <c r="U60" s="22">
        <v>0.4375</v>
      </c>
      <c r="V60" s="30">
        <f>(T60-U59)*24*60</f>
        <v>10.000000000000844</v>
      </c>
      <c r="W60" s="248">
        <f t="shared" si="4"/>
        <v>69.999999999999829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-121.42857142856769</v>
      </c>
      <c r="AG60" s="249">
        <f>N60/K60</f>
        <v>0.92577715682850381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1813</v>
      </c>
      <c r="H61" s="254">
        <f>F61*G61</f>
        <v>51235.380000000005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1553.99999999997</v>
      </c>
      <c r="O61" s="238">
        <f>N61/M61</f>
        <v>141.27272727272455</v>
      </c>
      <c r="P61" s="111">
        <f>M61-J61</f>
        <v>0</v>
      </c>
      <c r="Q61" s="255">
        <f>O61-L61</f>
        <v>-7.4545454545481675</v>
      </c>
      <c r="R61" s="85">
        <f>O61/L61</f>
        <v>0.9498777506112287</v>
      </c>
      <c r="S61" s="413"/>
      <c r="T61" s="22">
        <v>0.44444444444444398</v>
      </c>
      <c r="U61" s="22">
        <v>0.49305555555555602</v>
      </c>
      <c r="V61" s="30">
        <f>(T61-U60)*24*60</f>
        <v>9.999999999999325</v>
      </c>
      <c r="W61" s="256">
        <f t="shared" si="4"/>
        <v>70.00000000000135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-82.000000000030013</v>
      </c>
      <c r="AG61" s="247">
        <f>N61/K61</f>
        <v>0.94987775061122859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934</v>
      </c>
      <c r="H62" s="254">
        <f>F62*G62</f>
        <v>26394.84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1400.9999999999936</v>
      </c>
      <c r="O62" s="238">
        <f>N62/M62</f>
        <v>127.36363636363579</v>
      </c>
      <c r="P62" s="111">
        <f>M62-J62</f>
        <v>0</v>
      </c>
      <c r="Q62" s="255">
        <f>O62-L62</f>
        <v>-21.363636363636928</v>
      </c>
      <c r="R62" s="85">
        <f>O62/L62</f>
        <v>0.85635696821515517</v>
      </c>
      <c r="S62" s="413"/>
      <c r="T62" s="22">
        <v>0.54861111111111105</v>
      </c>
      <c r="U62" s="22">
        <v>0.57638888888888895</v>
      </c>
      <c r="V62" s="30">
        <f>(T62-U61)*24*60</f>
        <v>79.999999999999233</v>
      </c>
      <c r="W62" s="248">
        <f t="shared" si="4"/>
        <v>40.000000000000178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-235.00000000000637</v>
      </c>
      <c r="AG62" s="247">
        <f>N62/K62</f>
        <v>0.85635696821515506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1500.2817460317378</v>
      </c>
      <c r="O69" s="268">
        <f t="shared" si="28"/>
        <v>127.10709475709402</v>
      </c>
      <c r="P69" s="269">
        <f>M69-J69</f>
        <v>0</v>
      </c>
      <c r="Q69" s="222">
        <f>N69-K69</f>
        <v>-135.71825396826216</v>
      </c>
      <c r="R69" s="123">
        <f>O69/L69</f>
        <v>0.91567720201364444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-135.71825396826216</v>
      </c>
      <c r="AG69" s="124">
        <f>N69/K69</f>
        <v>0.91704263204873948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3080</v>
      </c>
      <c r="H70" s="243">
        <f>F70*G70</f>
        <v>87040.8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1478.4000000000099</v>
      </c>
      <c r="O70" s="138">
        <f>N70/M70</f>
        <v>134.40000000000089</v>
      </c>
      <c r="P70" s="56">
        <f>M70-J70</f>
        <v>0</v>
      </c>
      <c r="Q70" s="230">
        <f>O70-L70</f>
        <v>-14.327272727271833</v>
      </c>
      <c r="R70" s="52">
        <f>O70/L70</f>
        <v>0.90366748166259769</v>
      </c>
      <c r="S70" s="412">
        <f>R79</f>
        <v>0.88002235293973907</v>
      </c>
      <c r="T70" s="245">
        <v>0.30902777777777801</v>
      </c>
      <c r="U70" s="245">
        <v>0.39583333333333298</v>
      </c>
      <c r="V70" s="55"/>
      <c r="W70" s="54">
        <f t="shared" si="4"/>
        <v>124.99999999999916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-157.59999999999013</v>
      </c>
      <c r="AG70" s="246">
        <f>N70/K70</f>
        <v>0.90366748166259769</v>
      </c>
      <c r="AH70" s="457">
        <f>AG79</f>
        <v>0.79432002019711001</v>
      </c>
    </row>
    <row r="71" spans="1:36" ht="15" customHeight="1">
      <c r="A71" s="495"/>
      <c r="B71" s="75" t="s">
        <v>81</v>
      </c>
      <c r="C71" s="76"/>
      <c r="D71" s="59" t="s">
        <v>153</v>
      </c>
      <c r="E71" s="77"/>
      <c r="F71" s="75">
        <f>VLOOKUP(D71,廠價表!$C$1:$E$43,3,0)</f>
        <v>50.67</v>
      </c>
      <c r="G71" s="30">
        <v>1311</v>
      </c>
      <c r="H71" s="254">
        <f t="shared" ref="H71:H73" si="29">F71*G71</f>
        <v>66428.37</v>
      </c>
      <c r="I71" s="232"/>
      <c r="J71" s="106">
        <f>VLOOKUP(D71,產線配置圖!$A$3:$C$40,2,0)</f>
        <v>16</v>
      </c>
      <c r="K71" s="107">
        <v>1565</v>
      </c>
      <c r="L71" s="238">
        <f t="shared" ref="L71:L74" si="30">K71/J71</f>
        <v>97.8125</v>
      </c>
      <c r="M71" s="82">
        <v>15</v>
      </c>
      <c r="N71" s="107">
        <f t="shared" ref="N71:N74" si="31">G71/W71*60</f>
        <v>1210.153846153843</v>
      </c>
      <c r="O71" s="238">
        <f t="shared" ref="O71:O74" si="32">N71/M71</f>
        <v>80.676923076922861</v>
      </c>
      <c r="P71" s="111">
        <f t="shared" ref="P71:P74" si="33">M71-J71</f>
        <v>-1</v>
      </c>
      <c r="Q71" s="255">
        <f t="shared" ref="Q71:Q74" si="34">O71-L71</f>
        <v>-17.135576923077139</v>
      </c>
      <c r="R71" s="85">
        <f t="shared" ref="R71:R74" si="35">O71/L71</f>
        <v>0.82481199311870013</v>
      </c>
      <c r="S71" s="413"/>
      <c r="T71" s="22">
        <v>0.40625</v>
      </c>
      <c r="U71" s="22">
        <v>0.45138888888888901</v>
      </c>
      <c r="V71" s="30">
        <f t="shared" ref="V71:V74" si="36">(T71-U70)*24*60</f>
        <v>15.000000000000506</v>
      </c>
      <c r="W71" s="73">
        <f t="shared" si="4"/>
        <v>65.000000000000171</v>
      </c>
      <c r="X71" s="271"/>
      <c r="Y71" s="293"/>
      <c r="Z71" s="90"/>
      <c r="AA71" s="90"/>
      <c r="AB71" s="483" t="s">
        <v>211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181</v>
      </c>
      <c r="E72" s="77"/>
      <c r="F72" s="75">
        <f>VLOOKUP(D72,廠價表!$C$1:$E$43,3,0)</f>
        <v>43.89</v>
      </c>
      <c r="G72" s="202">
        <v>520</v>
      </c>
      <c r="H72" s="254">
        <f t="shared" si="29"/>
        <v>22822.799999999999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0"/>
        <v>96.235294117647058</v>
      </c>
      <c r="M72" s="82">
        <v>15</v>
      </c>
      <c r="N72" s="107">
        <f t="shared" si="31"/>
        <v>1248.0000000000086</v>
      </c>
      <c r="O72" s="238">
        <f t="shared" si="32"/>
        <v>83.200000000000571</v>
      </c>
      <c r="P72" s="111">
        <f t="shared" si="33"/>
        <v>-2</v>
      </c>
      <c r="Q72" s="255">
        <f t="shared" si="34"/>
        <v>-13.035294117646487</v>
      </c>
      <c r="R72" s="85">
        <f t="shared" si="35"/>
        <v>0.86454767726161963</v>
      </c>
      <c r="S72" s="413"/>
      <c r="T72" s="22">
        <v>0.45833333333333298</v>
      </c>
      <c r="U72" s="22">
        <v>0.47569444444444398</v>
      </c>
      <c r="V72" s="30">
        <f t="shared" si="36"/>
        <v>9.999999999999325</v>
      </c>
      <c r="W72" s="73">
        <f t="shared" si="4"/>
        <v>24.999999999999829</v>
      </c>
      <c r="X72" s="272"/>
      <c r="Y72" s="288"/>
      <c r="Z72" s="90"/>
      <c r="AA72" s="90"/>
      <c r="AB72" s="462" t="s">
        <v>212</v>
      </c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181</v>
      </c>
      <c r="E73" s="87"/>
      <c r="F73" s="75">
        <f>VLOOKUP(D73,廠價表!$C$1:$E$43,3,0)</f>
        <v>43.89</v>
      </c>
      <c r="G73" s="202">
        <v>968</v>
      </c>
      <c r="H73" s="254">
        <f t="shared" si="29"/>
        <v>42485.520000000004</v>
      </c>
      <c r="I73" s="23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0"/>
        <v>96.235294117647058</v>
      </c>
      <c r="M73" s="82">
        <v>15</v>
      </c>
      <c r="N73" s="107">
        <f t="shared" si="31"/>
        <v>1382.8571428571743</v>
      </c>
      <c r="O73" s="238">
        <f t="shared" si="32"/>
        <v>92.190476190478279</v>
      </c>
      <c r="P73" s="111">
        <f t="shared" si="33"/>
        <v>-2</v>
      </c>
      <c r="Q73" s="255">
        <f t="shared" si="34"/>
        <v>-4.0448179271687792</v>
      </c>
      <c r="R73" s="85">
        <f t="shared" si="35"/>
        <v>0.95796949586682811</v>
      </c>
      <c r="S73" s="413"/>
      <c r="T73" s="22">
        <v>0.54027777777777797</v>
      </c>
      <c r="U73" s="22">
        <v>0.56944444444444398</v>
      </c>
      <c r="V73" s="30">
        <f t="shared" si="36"/>
        <v>93.000000000000952</v>
      </c>
      <c r="W73" s="73">
        <f t="shared" si="4"/>
        <v>41.999999999999048</v>
      </c>
      <c r="X73" s="22"/>
      <c r="Y73" s="84"/>
      <c r="Z73" s="90"/>
      <c r="AA73" s="90"/>
      <c r="AB73" s="462" t="s">
        <v>213</v>
      </c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30" t="s">
        <v>81</v>
      </c>
      <c r="C74" s="151"/>
      <c r="D74" s="59" t="s">
        <v>153</v>
      </c>
      <c r="E74" s="87"/>
      <c r="F74" s="75">
        <f>VLOOKUP(D74,廠價表!$C$1:$E$43,3,0)</f>
        <v>50.67</v>
      </c>
      <c r="G74" s="30">
        <v>1598</v>
      </c>
      <c r="H74" s="78">
        <f>F74*G74</f>
        <v>80970.66</v>
      </c>
      <c r="I74" s="182"/>
      <c r="J74" s="106">
        <f>VLOOKUP(D74,產線配置圖!$A$3:$C$40,2,0)</f>
        <v>16</v>
      </c>
      <c r="K74" s="107">
        <v>1565</v>
      </c>
      <c r="L74" s="238">
        <f t="shared" si="30"/>
        <v>97.8125</v>
      </c>
      <c r="M74" s="108">
        <v>13</v>
      </c>
      <c r="N74" s="107">
        <f t="shared" si="31"/>
        <v>1065.3333333333335</v>
      </c>
      <c r="O74" s="238">
        <f t="shared" si="32"/>
        <v>81.948717948717956</v>
      </c>
      <c r="P74" s="111">
        <f t="shared" si="33"/>
        <v>-3</v>
      </c>
      <c r="Q74" s="255">
        <f t="shared" si="34"/>
        <v>-15.863782051282044</v>
      </c>
      <c r="R74" s="85">
        <f t="shared" si="35"/>
        <v>0.83781436880478422</v>
      </c>
      <c r="S74" s="413"/>
      <c r="T74" s="22">
        <v>0.57638888888888895</v>
      </c>
      <c r="U74" s="22">
        <v>0.63888888888888895</v>
      </c>
      <c r="V74" s="30">
        <f t="shared" si="36"/>
        <v>10.000000000000764</v>
      </c>
      <c r="W74" s="73">
        <f t="shared" si="4"/>
        <v>90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7">AVERAGE(J70:J78)</f>
        <v>15.4</v>
      </c>
      <c r="K79" s="240">
        <f t="shared" si="37"/>
        <v>1607.6</v>
      </c>
      <c r="L79" s="268">
        <f t="shared" si="37"/>
        <v>107.36457219251338</v>
      </c>
      <c r="M79" s="240">
        <f t="shared" si="37"/>
        <v>13.8</v>
      </c>
      <c r="N79" s="240">
        <f t="shared" si="37"/>
        <v>1276.948864468874</v>
      </c>
      <c r="O79" s="268">
        <f t="shared" si="37"/>
        <v>94.483223443224105</v>
      </c>
      <c r="P79" s="269">
        <f>M79-J79</f>
        <v>-1.5999999999999996</v>
      </c>
      <c r="Q79" s="222">
        <f>N79-K79</f>
        <v>-330.65113553112587</v>
      </c>
      <c r="R79" s="223">
        <f>O79/L79</f>
        <v>0.88002235293973907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-330.65113553112587</v>
      </c>
      <c r="AG79" s="124">
        <f>N79/K79</f>
        <v>0.79432002019711001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T3:U3"/>
    <mergeCell ref="V3:V4"/>
    <mergeCell ref="W3:W4"/>
    <mergeCell ref="X3:Y3"/>
    <mergeCell ref="Z3:AA3"/>
    <mergeCell ref="AB13:AC1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W81" sqref="W8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46227</v>
      </c>
      <c r="E3" s="379"/>
      <c r="F3" s="3" t="s">
        <v>72</v>
      </c>
      <c r="G3" s="380">
        <f>'0724'!E1</f>
        <v>50322</v>
      </c>
      <c r="H3" s="380"/>
      <c r="I3" s="3" t="s">
        <v>2</v>
      </c>
      <c r="J3" s="381">
        <f>'0724'!G1</f>
        <v>2302456.3089999999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124.68738098580536</v>
      </c>
      <c r="G6" s="386"/>
      <c r="H6" s="387">
        <f>AVERAGE(D13:H13)</f>
        <v>125.98800480021069</v>
      </c>
      <c r="I6" s="387"/>
      <c r="J6" s="387">
        <f>AVERAGE(I13:J13)</f>
        <v>121.43582144979203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114.03136447354412</v>
      </c>
      <c r="G7" s="410"/>
      <c r="H7" s="411">
        <f>AVERAGE(D14:H14)</f>
        <v>114.51181411731943</v>
      </c>
      <c r="I7" s="411"/>
      <c r="J7" s="411">
        <f>AVERAGE(I14:J14)</f>
        <v>112.83024036410582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0.91453813186216215</v>
      </c>
      <c r="G8" s="383"/>
      <c r="H8" s="383">
        <f>H7/H6</f>
        <v>0.90891044983933211</v>
      </c>
      <c r="I8" s="383"/>
      <c r="J8" s="383">
        <f>J7/J6</f>
        <v>0.92913473979138672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VALUE('0724'!L15)</f>
        <v>155.35714285714286</v>
      </c>
      <c r="E13" s="13">
        <f>VALUE('0724'!L26)</f>
        <v>173.76373626373626</v>
      </c>
      <c r="F13" s="13">
        <f>VALUE('0724'!L37)</f>
        <v>95.358251633986924</v>
      </c>
      <c r="G13" s="13">
        <f>VALUE('0724'!L48)</f>
        <v>98.681481481481498</v>
      </c>
      <c r="H13" s="13">
        <f>VALUE('0724'!L58)</f>
        <v>106.77941176470588</v>
      </c>
      <c r="I13" s="13">
        <f>VALUE('0724'!L69)</f>
        <v>135.50707070707071</v>
      </c>
      <c r="J13" s="13">
        <f>'0724'!L79</f>
        <v>107.36457219251335</v>
      </c>
    </row>
    <row r="14" spans="2:15" ht="39.950000000000003" customHeight="1">
      <c r="B14" s="404"/>
      <c r="C14" s="12" t="s">
        <v>100</v>
      </c>
      <c r="D14" s="13">
        <f>VALUE('0724'!O15)</f>
        <v>140.11483253588466</v>
      </c>
      <c r="E14" s="13">
        <f>VALUE('0724'!O26)</f>
        <v>154.68231125558657</v>
      </c>
      <c r="F14" s="13">
        <f>VALUE('0724'!O37)</f>
        <v>89.075744094181132</v>
      </c>
      <c r="G14" s="13">
        <f>VALUE('0724'!O48)</f>
        <v>89.855618621717952</v>
      </c>
      <c r="H14" s="13">
        <f>VALUE('0724'!O58)</f>
        <v>98.830564079226832</v>
      </c>
      <c r="I14" s="13">
        <f>VALUE('0724'!O69)</f>
        <v>125.98420815021483</v>
      </c>
      <c r="J14" s="13">
        <f>'0724'!O79</f>
        <v>99.676272577996812</v>
      </c>
    </row>
    <row r="15" spans="2:15" ht="39.950000000000003" customHeight="1">
      <c r="B15" s="405"/>
      <c r="C15" s="10" t="s">
        <v>26</v>
      </c>
      <c r="D15" s="14">
        <f t="shared" ref="D15:I15" si="1">D14/D13</f>
        <v>0.90188857724247595</v>
      </c>
      <c r="E15" s="14">
        <f t="shared" si="1"/>
        <v>0.89018753038788156</v>
      </c>
      <c r="F15" s="14">
        <f t="shared" si="1"/>
        <v>0.93411679186485186</v>
      </c>
      <c r="G15" s="14">
        <f t="shared" si="1"/>
        <v>0.91056211634378637</v>
      </c>
      <c r="H15" s="14">
        <f t="shared" si="1"/>
        <v>0.92555823679760696</v>
      </c>
      <c r="I15" s="14">
        <f t="shared" si="1"/>
        <v>0.92972423868978971</v>
      </c>
      <c r="J15" s="15">
        <f>'0724'!S70</f>
        <v>0.928390720909959</v>
      </c>
    </row>
    <row r="16" spans="2:15" ht="17.25" customHeight="1">
      <c r="B16" s="406" t="s">
        <v>101</v>
      </c>
      <c r="C16" s="10" t="s">
        <v>34</v>
      </c>
      <c r="D16" s="16">
        <f>'0724'!T5</f>
        <v>0.29444444444444401</v>
      </c>
      <c r="E16" s="16">
        <f>'0724'!T16</f>
        <v>0.29166666666666702</v>
      </c>
      <c r="F16" s="16">
        <f>'0724'!T27</f>
        <v>0.28819444444444398</v>
      </c>
      <c r="G16" s="16">
        <f>'0724'!T38</f>
        <v>0.33333333333333298</v>
      </c>
      <c r="H16" s="16">
        <f>'0724'!T49</f>
        <v>0.29166666666666702</v>
      </c>
      <c r="I16" s="16">
        <f>'0724'!T59</f>
        <v>0.28819444444444398</v>
      </c>
      <c r="J16" s="16">
        <f>'0724'!T70</f>
        <v>0.29513888888888901</v>
      </c>
    </row>
    <row r="17" spans="2:10" ht="17.25" customHeight="1">
      <c r="B17" s="407"/>
      <c r="C17" s="10" t="s">
        <v>35</v>
      </c>
      <c r="D17" s="16">
        <v>0.44652777777777802</v>
      </c>
      <c r="E17" s="19">
        <v>0.58888888888888902</v>
      </c>
      <c r="F17" s="19">
        <v>0.47569444444444398</v>
      </c>
      <c r="G17" s="20">
        <v>0.58333333333333304</v>
      </c>
      <c r="H17" s="21">
        <v>0.57638888888888895</v>
      </c>
      <c r="I17" s="22">
        <v>0.46527777777777801</v>
      </c>
      <c r="J17" s="22">
        <v>0.62847222222222199</v>
      </c>
    </row>
    <row r="18" spans="2:10" ht="17.25" customHeight="1">
      <c r="B18" s="408" t="s">
        <v>102</v>
      </c>
      <c r="C18" s="330" t="s">
        <v>36</v>
      </c>
      <c r="D18" s="357">
        <f>'0724'!Z15</f>
        <v>0</v>
      </c>
      <c r="E18" s="358">
        <f>'0724'!Z26</f>
        <v>0</v>
      </c>
      <c r="F18" s="358">
        <f>'0724'!Z37</f>
        <v>0</v>
      </c>
      <c r="G18" s="359">
        <f>'0724'!Z48</f>
        <v>0</v>
      </c>
      <c r="H18" s="359">
        <f>'0724'!Z58</f>
        <v>0</v>
      </c>
      <c r="I18" s="358">
        <f>'0724'!Z69</f>
        <v>0</v>
      </c>
      <c r="J18" s="358">
        <f>'0724'!AA79</f>
        <v>0</v>
      </c>
    </row>
    <row r="19" spans="2:10" ht="17.25" customHeight="1">
      <c r="B19" s="409"/>
      <c r="C19" s="330" t="s">
        <v>37</v>
      </c>
      <c r="D19" s="357">
        <f>'0724'!AA15</f>
        <v>0</v>
      </c>
      <c r="E19" s="358">
        <f>'0724'!AA26</f>
        <v>0</v>
      </c>
      <c r="F19" s="358">
        <f>'0724'!AA37</f>
        <v>0</v>
      </c>
      <c r="G19" s="359">
        <f>'0724'!AA48</f>
        <v>0</v>
      </c>
      <c r="H19" s="359">
        <f>'0724'!AA58</f>
        <v>0</v>
      </c>
      <c r="I19" s="358">
        <f>'0724'!AA69</f>
        <v>0</v>
      </c>
      <c r="J19" s="358">
        <f>'0724'!AB79</f>
        <v>0</v>
      </c>
    </row>
    <row r="20" spans="2:10" ht="17.25" customHeight="1">
      <c r="B20" s="408" t="s">
        <v>103</v>
      </c>
      <c r="C20" s="330" t="s">
        <v>36</v>
      </c>
      <c r="D20" s="357">
        <f>'0724'!AD15</f>
        <v>0</v>
      </c>
      <c r="E20" s="358">
        <f>'0724'!AD26</f>
        <v>0</v>
      </c>
      <c r="F20" s="358">
        <f>'0724'!AD37</f>
        <v>0</v>
      </c>
      <c r="G20" s="359">
        <f>'0724'!AD48</f>
        <v>0</v>
      </c>
      <c r="H20" s="359">
        <f>'0724'!AD58</f>
        <v>0</v>
      </c>
      <c r="I20" s="358">
        <f>'0724'!AD69</f>
        <v>0</v>
      </c>
      <c r="J20" s="358">
        <f>'0724'!AD79</f>
        <v>0</v>
      </c>
    </row>
    <row r="21" spans="2:10" ht="17.25" customHeight="1">
      <c r="B21" s="409"/>
      <c r="C21" s="330" t="s">
        <v>85</v>
      </c>
      <c r="D21" s="357">
        <f>'0724'!AE15</f>
        <v>0</v>
      </c>
      <c r="E21" s="358">
        <f>'0724'!AE26</f>
        <v>0</v>
      </c>
      <c r="F21" s="358">
        <f>'0724'!AE37</f>
        <v>0</v>
      </c>
      <c r="G21" s="359">
        <f>'0724'!AE48</f>
        <v>0</v>
      </c>
      <c r="H21" s="359">
        <f>'0724'!AE58</f>
        <v>0</v>
      </c>
      <c r="I21" s="358">
        <f>'0724'!AE69</f>
        <v>0</v>
      </c>
      <c r="J21" s="358">
        <f>'0724'!AE79</f>
        <v>0</v>
      </c>
    </row>
    <row r="22" spans="2:10" ht="17.25" customHeight="1">
      <c r="B22" s="392" t="s">
        <v>104</v>
      </c>
      <c r="C22" s="393"/>
      <c r="D22" s="23">
        <f>VALUE('0724'!M15)</f>
        <v>14.5</v>
      </c>
      <c r="E22" s="23">
        <f>VALUE('0724'!M26)</f>
        <v>13</v>
      </c>
      <c r="F22" s="23">
        <f>VALUE('0724'!M37)</f>
        <v>16.25</v>
      </c>
      <c r="G22" s="23">
        <f>VALUE('0724'!M48)</f>
        <v>16</v>
      </c>
      <c r="H22" s="23">
        <f>VALUE('0724'!M58)</f>
        <v>16.25</v>
      </c>
      <c r="I22" s="23">
        <f>VALUE('0724'!M69)</f>
        <v>12.333333333333334</v>
      </c>
      <c r="J22" s="23">
        <f>'0724'!M79</f>
        <v>13.4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W81" sqref="W81"/>
      <selection pane="topRight" activeCell="W81" sqref="W81"/>
      <selection pane="bottomLeft" activeCell="W81" sqref="W81"/>
      <selection pane="bottomRight" activeCell="W81" sqref="W8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50322</v>
      </c>
      <c r="F1" s="30" t="s">
        <v>2</v>
      </c>
      <c r="G1" s="31">
        <f>SUM(H5:H79)</f>
        <v>2302456.3089999999</v>
      </c>
      <c r="H1" s="32" t="s">
        <v>3</v>
      </c>
      <c r="I1" s="33">
        <f>M15+M26+M48+M58+M69+M79+M37</f>
        <v>101.73333333333333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214</v>
      </c>
      <c r="B2" s="418"/>
      <c r="C2" s="28"/>
      <c r="D2" s="28" t="s">
        <v>14</v>
      </c>
      <c r="E2" s="35">
        <f>AVERAGE(O15,O26,O37,O48,O58,O69,O79)</f>
        <v>114.03136447354412</v>
      </c>
      <c r="F2" s="36" t="s">
        <v>15</v>
      </c>
      <c r="G2" s="37">
        <f>G1/E1</f>
        <v>45.75446740988037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2673</v>
      </c>
      <c r="H5" s="43">
        <f>F5*G5</f>
        <v>133409.43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2110.2631578947289</v>
      </c>
      <c r="O5" s="47">
        <f>N5/M5</f>
        <v>140.68421052631527</v>
      </c>
      <c r="P5" s="49">
        <f>M5-J5</f>
        <v>0</v>
      </c>
      <c r="Q5" s="50">
        <f>O5-L5</f>
        <v>-9.3157894736847311</v>
      </c>
      <c r="R5" s="51">
        <f>O5/L5</f>
        <v>0.93789473684210178</v>
      </c>
      <c r="S5" s="412">
        <f>R15</f>
        <v>0.90188857724247595</v>
      </c>
      <c r="T5" s="319">
        <v>0.29444444444444401</v>
      </c>
      <c r="U5" s="320">
        <v>0.34722222222222199</v>
      </c>
      <c r="V5" s="53"/>
      <c r="W5" s="54">
        <f t="shared" ref="W5:W14" si="0">(U5-T5)*24*60</f>
        <v>76.000000000000284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-139.73684210527108</v>
      </c>
      <c r="AG5" s="52">
        <f t="shared" ref="AG5:AG11" si="2">N5/K5</f>
        <v>0.93789473684210178</v>
      </c>
      <c r="AH5" s="457">
        <f>AG15</f>
        <v>0.90308878256246339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4298</v>
      </c>
      <c r="H6" s="63">
        <f>F6*G6</f>
        <v>211203.72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1953.6363636363565</v>
      </c>
      <c r="O6" s="67">
        <f>N6/M6</f>
        <v>139.54545454545402</v>
      </c>
      <c r="P6" s="69">
        <f>M6-J6</f>
        <v>0</v>
      </c>
      <c r="Q6" s="70">
        <f>O6-L6</f>
        <v>-21.168831168831701</v>
      </c>
      <c r="R6" s="71">
        <f>O6/L6</f>
        <v>0.86828282828282499</v>
      </c>
      <c r="S6" s="413"/>
      <c r="T6" s="16">
        <v>0.35486111111111102</v>
      </c>
      <c r="U6" s="16">
        <v>0.44652777777777802</v>
      </c>
      <c r="V6" s="30">
        <f>(T6-U5)*24*60</f>
        <v>11.000000000000201</v>
      </c>
      <c r="W6" s="73">
        <f t="shared" si="0"/>
        <v>132.00000000000048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-296.36363636364354</v>
      </c>
      <c r="AG6" s="72">
        <f t="shared" si="2"/>
        <v>0.8682828282828251</v>
      </c>
      <c r="AH6" s="458"/>
    </row>
    <row r="7" spans="1:34" ht="15" customHeight="1">
      <c r="A7" s="42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13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0</v>
      </c>
      <c r="AG7" s="72" t="e">
        <f t="shared" si="2"/>
        <v>#DIV/0!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14.5</v>
      </c>
      <c r="K15" s="120">
        <f t="shared" si="3"/>
        <v>2250</v>
      </c>
      <c r="L15" s="117">
        <f t="shared" si="3"/>
        <v>155.35714285714286</v>
      </c>
      <c r="M15" s="120">
        <f t="shared" si="3"/>
        <v>14.5</v>
      </c>
      <c r="N15" s="120">
        <f t="shared" si="3"/>
        <v>2031.9497607655426</v>
      </c>
      <c r="O15" s="117">
        <f t="shared" si="3"/>
        <v>140.11483253588466</v>
      </c>
      <c r="P15" s="121">
        <f>M15-J15</f>
        <v>0</v>
      </c>
      <c r="Q15" s="122">
        <f>O15-L15</f>
        <v>-15.242310321258202</v>
      </c>
      <c r="R15" s="123">
        <f>O15/L15</f>
        <v>0.90188857724247595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-218.05023923445742</v>
      </c>
      <c r="AG15" s="124">
        <f>N15/K15</f>
        <v>0.90308878256246339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1875</v>
      </c>
      <c r="H16" s="134">
        <f>F16*G16</f>
        <v>95006.25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2045.4545454545707</v>
      </c>
      <c r="O16" s="141">
        <f>N16/M16</f>
        <v>157.34265734265929</v>
      </c>
      <c r="P16" s="142">
        <f>M16-J16</f>
        <v>0</v>
      </c>
      <c r="Q16" s="143">
        <f>O16-L16</f>
        <v>-15.734265734263772</v>
      </c>
      <c r="R16" s="144">
        <f>O16/L16</f>
        <v>0.90909090909092038</v>
      </c>
      <c r="S16" s="468">
        <f>R26</f>
        <v>0.89018753038788156</v>
      </c>
      <c r="T16" s="145">
        <v>0.29166666666666702</v>
      </c>
      <c r="U16" s="145">
        <v>0.32986111111111099</v>
      </c>
      <c r="V16" s="135"/>
      <c r="W16" s="146">
        <f t="shared" ref="W16:W78" si="4">(U16-T16)*24*60</f>
        <v>54.999999999999325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-204.54545454542927</v>
      </c>
      <c r="AG16" s="52">
        <f>N16/K16</f>
        <v>0.90909090909092027</v>
      </c>
      <c r="AH16" s="457">
        <f>AG26</f>
        <v>0.89086413925494023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2086</v>
      </c>
      <c r="H17" s="78">
        <f>F17*G17</f>
        <v>118630.81999999999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1986.6666666666686</v>
      </c>
      <c r="O17" s="96">
        <f>N17/M17</f>
        <v>141.90476190476204</v>
      </c>
      <c r="P17" s="97">
        <f>M17-J17</f>
        <v>0</v>
      </c>
      <c r="Q17" s="98">
        <f>O17-L17</f>
        <v>-18.809523809523682</v>
      </c>
      <c r="R17" s="99">
        <f>O17/L17</f>
        <v>0.88296296296296373</v>
      </c>
      <c r="S17" s="469"/>
      <c r="T17" s="19">
        <v>0.33611111111111103</v>
      </c>
      <c r="U17" s="19">
        <v>0.37986111111111098</v>
      </c>
      <c r="V17" s="30">
        <f>(T17-U16)*24*60</f>
        <v>9.000000000000048</v>
      </c>
      <c r="W17" s="149">
        <f t="shared" si="4"/>
        <v>62.999999999999936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-263.33333333333144</v>
      </c>
      <c r="AG17" s="72">
        <f>N17/K17</f>
        <v>0.88296296296296384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1261</v>
      </c>
      <c r="H18" s="78">
        <f>F18*G18</f>
        <v>73352.37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2044.8648648648234</v>
      </c>
      <c r="O18" s="96">
        <f>N18/M18</f>
        <v>146.06177606177309</v>
      </c>
      <c r="P18" s="97">
        <f>M18-J18</f>
        <v>0</v>
      </c>
      <c r="Q18" s="98">
        <f>O18-L18</f>
        <v>-14.652509652512634</v>
      </c>
      <c r="R18" s="99">
        <f>O18/L18</f>
        <v>0.90882882882881033</v>
      </c>
      <c r="S18" s="469"/>
      <c r="T18" s="19">
        <v>0.38611111111111102</v>
      </c>
      <c r="U18" s="19">
        <v>0.41180555555555598</v>
      </c>
      <c r="V18" s="30">
        <f>(T18-U17)*24*60</f>
        <v>9.000000000000048</v>
      </c>
      <c r="W18" s="149">
        <f t="shared" si="4"/>
        <v>37.000000000000746</v>
      </c>
      <c r="X18" s="22">
        <v>0.48611111111111099</v>
      </c>
      <c r="Y18" s="84">
        <v>0.52777777777777801</v>
      </c>
      <c r="Z18" s="90"/>
      <c r="AA18" s="90"/>
      <c r="AB18" s="462"/>
      <c r="AC18" s="462"/>
      <c r="AD18" s="92"/>
      <c r="AE18" s="92"/>
      <c r="AF18" s="307">
        <f>N18-K18</f>
        <v>-205.1351351351766</v>
      </c>
      <c r="AG18" s="72">
        <f>N18/K18</f>
        <v>0.90882882882881044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2913</v>
      </c>
      <c r="H19" s="78">
        <f t="shared" ref="H19:H21" si="5">F19*G19</f>
        <v>146786.07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2008.9655172413679</v>
      </c>
      <c r="O19" s="96">
        <f t="shared" ref="O19:O21" si="8">N19/M19</f>
        <v>167.41379310344732</v>
      </c>
      <c r="P19" s="97">
        <f t="shared" ref="P19:P21" si="9">M19-J19</f>
        <v>0</v>
      </c>
      <c r="Q19" s="98">
        <f t="shared" ref="Q19:Q21" si="10">O19-L19</f>
        <v>-20.086206896552682</v>
      </c>
      <c r="R19" s="99">
        <f t="shared" ref="R19:R21" si="11">O19/L19</f>
        <v>0.89287356321838574</v>
      </c>
      <c r="S19" s="469"/>
      <c r="T19" s="19">
        <v>0.41875000000000001</v>
      </c>
      <c r="U19" s="19">
        <v>0.47916666666666702</v>
      </c>
      <c r="V19" s="30">
        <f>(T19-U18)*24*60</f>
        <v>9.9999999999994049</v>
      </c>
      <c r="W19" s="149">
        <f t="shared" si="4"/>
        <v>87.000000000000483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-241.03448275863207</v>
      </c>
      <c r="AG19" s="72">
        <f>N19/K19</f>
        <v>0.89287356321838574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891</v>
      </c>
      <c r="H20" s="78">
        <f t="shared" si="5"/>
        <v>44897.49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1909.2857142857538</v>
      </c>
      <c r="O20" s="96">
        <f t="shared" si="8"/>
        <v>159.10714285714616</v>
      </c>
      <c r="P20" s="97">
        <f t="shared" si="9"/>
        <v>0</v>
      </c>
      <c r="Q20" s="98">
        <f t="shared" si="10"/>
        <v>-28.392857142853842</v>
      </c>
      <c r="R20" s="99">
        <f t="shared" si="11"/>
        <v>0.84857142857144618</v>
      </c>
      <c r="S20" s="469"/>
      <c r="T20" s="19">
        <v>0.54513888888888895</v>
      </c>
      <c r="U20" s="19">
        <v>0.56458333333333299</v>
      </c>
      <c r="V20" s="30">
        <f>(T20-U19)*24*60</f>
        <v>94.999999999999588</v>
      </c>
      <c r="W20" s="149">
        <f t="shared" si="4"/>
        <v>27.999999999999421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948</v>
      </c>
      <c r="H21" s="78">
        <f t="shared" si="5"/>
        <v>48035.16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2031.428571428509</v>
      </c>
      <c r="O21" s="96">
        <f t="shared" si="8"/>
        <v>156.26373626373146</v>
      </c>
      <c r="P21" s="97">
        <f t="shared" si="9"/>
        <v>0</v>
      </c>
      <c r="Q21" s="98">
        <f t="shared" si="10"/>
        <v>-16.813186813191606</v>
      </c>
      <c r="R21" s="99">
        <f t="shared" si="11"/>
        <v>0.90285714285711516</v>
      </c>
      <c r="S21" s="469"/>
      <c r="T21" s="19">
        <v>0.56944444444444398</v>
      </c>
      <c r="U21" s="19">
        <v>0.58888888888888902</v>
      </c>
      <c r="V21" s="30">
        <f>(T21-U20)*24*60</f>
        <v>6.9999999999998153</v>
      </c>
      <c r="W21" s="149">
        <f t="shared" si="4"/>
        <v>28.00000000000086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2004.4443133236155</v>
      </c>
      <c r="O26" s="158">
        <f t="shared" si="12"/>
        <v>154.68231125558657</v>
      </c>
      <c r="P26" s="159">
        <f>M26-J26</f>
        <v>0</v>
      </c>
      <c r="Q26" s="160">
        <f>O26-L26</f>
        <v>-19.081425008149694</v>
      </c>
      <c r="R26" s="161">
        <f>O26/L26</f>
        <v>0.89018753038788156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-245.55568667638454</v>
      </c>
      <c r="AG26" s="124">
        <f t="shared" ref="AG26:AG31" si="14">N26/K26</f>
        <v>0.89086413925494023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1456</v>
      </c>
      <c r="H27" s="134">
        <f>F27*G27</f>
        <v>66480.959999999992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1455.9999999999877</v>
      </c>
      <c r="O27" s="141">
        <f>N27/M27</f>
        <v>90.999999999999233</v>
      </c>
      <c r="P27" s="142">
        <f>M27-J27</f>
        <v>-1</v>
      </c>
      <c r="Q27" s="143">
        <f>O27-L27</f>
        <v>-5.2352941176478254</v>
      </c>
      <c r="R27" s="144">
        <f>O27/L27</f>
        <v>0.94559902200488199</v>
      </c>
      <c r="S27" s="468">
        <f>R37</f>
        <v>0.93411679186485186</v>
      </c>
      <c r="T27" s="171">
        <v>0.28819444444444398</v>
      </c>
      <c r="U27" s="171">
        <v>0.32986111111111099</v>
      </c>
      <c r="V27" s="135"/>
      <c r="W27" s="146">
        <f t="shared" si="4"/>
        <v>60.000000000000504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-180.00000000001228</v>
      </c>
      <c r="AG27" s="172">
        <f t="shared" si="14"/>
        <v>0.88997555012224183</v>
      </c>
      <c r="AH27" s="457">
        <f>AG37</f>
        <v>0.89291617031718518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2213</v>
      </c>
      <c r="H28" s="91">
        <f>F28*G28</f>
        <v>102550.42000000001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1562.1176470588453</v>
      </c>
      <c r="O28" s="96">
        <f>N28/M28</f>
        <v>97.632352941177828</v>
      </c>
      <c r="P28" s="97">
        <f>M28-J28</f>
        <v>0</v>
      </c>
      <c r="Q28" s="98">
        <f>O28-L28</f>
        <v>-4.6176470588221719</v>
      </c>
      <c r="R28" s="99">
        <f>O28/L28</f>
        <v>0.95483963756653134</v>
      </c>
      <c r="S28" s="469"/>
      <c r="T28" s="19">
        <v>0.33680555555555602</v>
      </c>
      <c r="U28" s="19">
        <v>0.39583333333333298</v>
      </c>
      <c r="V28" s="92">
        <f>(T28-U27)*24*60</f>
        <v>10.000000000000844</v>
      </c>
      <c r="W28" s="149">
        <f t="shared" si="4"/>
        <v>84.99999999999882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-73.88235294115475</v>
      </c>
      <c r="AG28" s="99">
        <f t="shared" si="14"/>
        <v>0.95483963756653134</v>
      </c>
      <c r="AH28" s="478"/>
    </row>
    <row r="29" spans="1:34" ht="15" customHeight="1">
      <c r="A29" s="466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1135</v>
      </c>
      <c r="H29" s="91">
        <f>F29*G29</f>
        <v>64933.35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16</v>
      </c>
      <c r="N29" s="95">
        <f>G29/W29*60</f>
        <v>1418.7500000000143</v>
      </c>
      <c r="O29" s="96">
        <f>N29/M29</f>
        <v>88.671875000000895</v>
      </c>
      <c r="P29" s="97">
        <f>M29-J29</f>
        <v>-1</v>
      </c>
      <c r="Q29" s="98">
        <f>O29-L29</f>
        <v>-3.3869485294108728</v>
      </c>
      <c r="R29" s="99">
        <f>O29/L29</f>
        <v>0.96320886581470622</v>
      </c>
      <c r="S29" s="469"/>
      <c r="T29" s="19">
        <v>0.40277777777777801</v>
      </c>
      <c r="U29" s="19">
        <v>0.43611111111111101</v>
      </c>
      <c r="V29" s="92">
        <f>(T29-U28)*24*60</f>
        <v>10.000000000000844</v>
      </c>
      <c r="W29" s="149">
        <f t="shared" si="4"/>
        <v>47.99999999999951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-146.24999999998568</v>
      </c>
      <c r="AG29" s="99">
        <f t="shared" si="14"/>
        <v>0.9065495207667823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1052</v>
      </c>
      <c r="H30" s="91">
        <f>F30*G30</f>
        <v>60184.92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1342.9787234042922</v>
      </c>
      <c r="O30" s="96">
        <f>N30/M30</f>
        <v>78.998748435546602</v>
      </c>
      <c r="P30" s="97">
        <f>M30-J30</f>
        <v>-1</v>
      </c>
      <c r="Q30" s="98">
        <f>O30-L30</f>
        <v>-11.890140453342283</v>
      </c>
      <c r="R30" s="99">
        <f>O30/L30</f>
        <v>0.86917938376518267</v>
      </c>
      <c r="S30" s="469"/>
      <c r="T30" s="19">
        <v>0.44305555555555598</v>
      </c>
      <c r="U30" s="19">
        <v>0.47569444444444398</v>
      </c>
      <c r="V30" s="92">
        <f>(T30-U29)*24*60</f>
        <v>10.000000000000764</v>
      </c>
      <c r="W30" s="149">
        <f t="shared" si="4"/>
        <v>46.999999999998714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13"/>
        <v>-293.02127659570783</v>
      </c>
      <c r="AG30" s="99">
        <f t="shared" si="14"/>
        <v>0.82089164022267247</v>
      </c>
      <c r="AH30" s="479"/>
    </row>
    <row r="31" spans="1:34" ht="15" customHeight="1">
      <c r="A31" s="466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69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0</v>
      </c>
      <c r="AG31" s="99" t="e">
        <f t="shared" si="14"/>
        <v>#DIV/0!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1618.25</v>
      </c>
      <c r="L37" s="158">
        <f t="shared" si="15"/>
        <v>95.358251633986924</v>
      </c>
      <c r="M37" s="155">
        <f t="shared" si="15"/>
        <v>16.25</v>
      </c>
      <c r="N37" s="155">
        <f t="shared" si="15"/>
        <v>1444.9615926157849</v>
      </c>
      <c r="O37" s="158">
        <f t="shared" si="15"/>
        <v>89.075744094181132</v>
      </c>
      <c r="P37" s="159">
        <f>M37-J37</f>
        <v>-0.75</v>
      </c>
      <c r="Q37" s="160">
        <f>N37-K37</f>
        <v>-173.28840738421513</v>
      </c>
      <c r="R37" s="161">
        <f>O37/L37</f>
        <v>0.93411679186485186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-173.28840738421513</v>
      </c>
      <c r="AG37" s="124">
        <f>N37/K37</f>
        <v>0.89291617031718518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2357</v>
      </c>
      <c r="H38" s="134">
        <f>F38*G38</f>
        <v>117637.87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1571.3333333333335</v>
      </c>
      <c r="O38" s="141">
        <f>N38/M38</f>
        <v>104.75555555555556</v>
      </c>
      <c r="P38" s="142">
        <f>M38-J38</f>
        <v>0</v>
      </c>
      <c r="Q38" s="143">
        <f>O38-L38</f>
        <v>-9.5111111111111057</v>
      </c>
      <c r="R38" s="144">
        <f>O38/L38</f>
        <v>0.91676390509529371</v>
      </c>
      <c r="S38" s="490">
        <f>R48</f>
        <v>0.91056211634378637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-142.66666666666652</v>
      </c>
      <c r="AG38" s="195">
        <f>N38/K38</f>
        <v>0.91676390509529371</v>
      </c>
      <c r="AH38" s="480">
        <f>AG48</f>
        <v>0.8595618609299045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2085</v>
      </c>
      <c r="H39" s="91">
        <f>F39*G39</f>
        <v>92365.5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1316.8421052631627</v>
      </c>
      <c r="O39" s="203">
        <f>N39/M39</f>
        <v>77.461300309597803</v>
      </c>
      <c r="P39" s="97">
        <f>M39-J39</f>
        <v>-1</v>
      </c>
      <c r="Q39" s="98">
        <f>O39-L39</f>
        <v>-13.427588579291083</v>
      </c>
      <c r="R39" s="99">
        <f>O39/L39</f>
        <v>0.85226369533787316</v>
      </c>
      <c r="S39" s="491"/>
      <c r="T39" s="20">
        <v>0.40625</v>
      </c>
      <c r="U39" s="20">
        <v>0.47222222222222199</v>
      </c>
      <c r="V39" s="92">
        <f>(T39-U38)*24*60</f>
        <v>15.000000000000506</v>
      </c>
      <c r="W39" s="205">
        <f t="shared" si="4"/>
        <v>94.999999999999659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-319.15789473683731</v>
      </c>
      <c r="AG39" s="206">
        <f>N39/K39</f>
        <v>0.80491571226354686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1747</v>
      </c>
      <c r="H40" s="91">
        <f>F40*G40</f>
        <v>77392.099999999991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1397.6000000000079</v>
      </c>
      <c r="O40" s="203">
        <f>N40/M40</f>
        <v>87.350000000000492</v>
      </c>
      <c r="P40" s="97">
        <f>M40-J40</f>
        <v>-2</v>
      </c>
      <c r="Q40" s="98">
        <f>O40-L40</f>
        <v>-3.538888888888394</v>
      </c>
      <c r="R40" s="99">
        <f>O40/L40</f>
        <v>0.961063569682157</v>
      </c>
      <c r="S40" s="413"/>
      <c r="T40" s="20">
        <v>0.53125</v>
      </c>
      <c r="U40" s="20">
        <v>0.58333333333333304</v>
      </c>
      <c r="V40" s="92">
        <f>(T40-U39)*24*60</f>
        <v>85.000000000000341</v>
      </c>
      <c r="W40" s="205">
        <f t="shared" si="4"/>
        <v>74.999999999999574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-238.39999999999213</v>
      </c>
      <c r="AG40" s="206">
        <f>N40/K40</f>
        <v>0.85427872860636178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16">AVERAGE(J38:J47)</f>
        <v>17</v>
      </c>
      <c r="K48" s="155">
        <f t="shared" si="16"/>
        <v>1662</v>
      </c>
      <c r="L48" s="158">
        <f t="shared" si="16"/>
        <v>98.681481481481498</v>
      </c>
      <c r="M48" s="155">
        <f t="shared" si="16"/>
        <v>16</v>
      </c>
      <c r="N48" s="155">
        <f t="shared" si="16"/>
        <v>1428.5918128655012</v>
      </c>
      <c r="O48" s="158">
        <f t="shared" si="16"/>
        <v>89.855618621717952</v>
      </c>
      <c r="P48" s="221">
        <f>M48-J48</f>
        <v>-1</v>
      </c>
      <c r="Q48" s="222">
        <f>N48-K48</f>
        <v>-233.4081871344988</v>
      </c>
      <c r="R48" s="223">
        <f>O48/L48</f>
        <v>0.91056211634378637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17">N48-K48</f>
        <v>-233.4081871344988</v>
      </c>
      <c r="AG48" s="162">
        <f t="shared" ref="AG48:AG53" si="18">N48/K48</f>
        <v>0.8595618609299045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1961</v>
      </c>
      <c r="H49" s="134">
        <f>F49*G49</f>
        <v>97108.72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1568.8000000000106</v>
      </c>
      <c r="O49" s="141">
        <f>N49/M49</f>
        <v>92.282352941177095</v>
      </c>
      <c r="P49" s="229">
        <f>M49-J49</f>
        <v>0</v>
      </c>
      <c r="Q49" s="230">
        <f>O49-L49</f>
        <v>-13.599999999999369</v>
      </c>
      <c r="R49" s="52">
        <f>O49/L49</f>
        <v>0.87155555555556152</v>
      </c>
      <c r="S49" s="412">
        <f>R58</f>
        <v>0.92555823679760696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17"/>
        <v>-231.19999999998936</v>
      </c>
      <c r="AG49" s="52">
        <f t="shared" si="18"/>
        <v>0.87155555555556141</v>
      </c>
      <c r="AH49" s="457">
        <f>AG58</f>
        <v>0.91208619300905269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1741</v>
      </c>
      <c r="H50" s="231">
        <f>F50*G50</f>
        <v>87553.149000000005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1492.2857142856853</v>
      </c>
      <c r="O50" s="235">
        <f>N50/M50</f>
        <v>93.267857142855334</v>
      </c>
      <c r="P50" s="74">
        <f>M50-J50</f>
        <v>-1</v>
      </c>
      <c r="Q50" s="83">
        <f>O50-L50</f>
        <v>-2.967436974791724</v>
      </c>
      <c r="R50" s="72">
        <f>O50/L50</f>
        <v>0.96916477471182194</v>
      </c>
      <c r="S50" s="413"/>
      <c r="T50" s="21">
        <v>0.35069444444444398</v>
      </c>
      <c r="U50" s="21">
        <v>0.39930555555555602</v>
      </c>
      <c r="V50" s="30">
        <f>(T50-U49)*24*60</f>
        <v>9.999999999999325</v>
      </c>
      <c r="W50" s="236">
        <f t="shared" si="4"/>
        <v>70.00000000000135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17"/>
        <v>-143.71428571431466</v>
      </c>
      <c r="AG50" s="72">
        <f t="shared" si="18"/>
        <v>0.91215508208171481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2035</v>
      </c>
      <c r="H51" s="231">
        <f>F51*G51</f>
        <v>101688.95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1672.6027397260095</v>
      </c>
      <c r="O51" s="235">
        <f>N51/M51</f>
        <v>104.5376712328756</v>
      </c>
      <c r="P51" s="74">
        <f>M51-J51</f>
        <v>0</v>
      </c>
      <c r="Q51" s="83">
        <f>O51-L51</f>
        <v>-7.9623287671244043</v>
      </c>
      <c r="R51" s="72">
        <f>O51/L51</f>
        <v>0.92922374429222754</v>
      </c>
      <c r="S51" s="413"/>
      <c r="T51" s="21">
        <v>0.40833333333333299</v>
      </c>
      <c r="U51" s="19">
        <v>0.45902777777777798</v>
      </c>
      <c r="V51" s="30">
        <f>(T51-U50)*24*60</f>
        <v>12.999999999998835</v>
      </c>
      <c r="W51" s="236">
        <f t="shared" si="4"/>
        <v>73.000000000000782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17"/>
        <v>-127.39726027399047</v>
      </c>
      <c r="AG51" s="72">
        <f t="shared" si="18"/>
        <v>0.92922374429222754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2245</v>
      </c>
      <c r="H52" s="231">
        <f>F52*G52</f>
        <v>112182.65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1683.7499999999891</v>
      </c>
      <c r="O52" s="235">
        <f>N52/M52</f>
        <v>105.23437499999932</v>
      </c>
      <c r="P52" s="74">
        <f>M52-J52</f>
        <v>0</v>
      </c>
      <c r="Q52" s="83">
        <f>O52-L52</f>
        <v>-7.2656250000006821</v>
      </c>
      <c r="R52" s="72">
        <f>O52/L52</f>
        <v>0.93541666666666057</v>
      </c>
      <c r="S52" s="413"/>
      <c r="T52" s="21">
        <v>0.52083333333333304</v>
      </c>
      <c r="U52" s="21">
        <v>0.57638888888888895</v>
      </c>
      <c r="V52" s="30">
        <f>(T52-U51)*24*60</f>
        <v>88.999999999999289</v>
      </c>
      <c r="W52" s="236">
        <f t="shared" si="4"/>
        <v>80.000000000000512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17"/>
        <v>-116.25000000001091</v>
      </c>
      <c r="AG52" s="72">
        <f t="shared" si="18"/>
        <v>0.93541666666666057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17"/>
        <v>0</v>
      </c>
      <c r="AG53" s="72" t="e">
        <f t="shared" si="18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1759</v>
      </c>
      <c r="L58" s="117">
        <f t="shared" si="19"/>
        <v>106.77941176470588</v>
      </c>
      <c r="M58" s="120">
        <f t="shared" si="19"/>
        <v>16.25</v>
      </c>
      <c r="N58" s="120">
        <f t="shared" si="19"/>
        <v>1604.3596135029236</v>
      </c>
      <c r="O58" s="117">
        <f t="shared" si="19"/>
        <v>98.830564079226832</v>
      </c>
      <c r="P58" s="121">
        <f>M58-J58</f>
        <v>-0.25</v>
      </c>
      <c r="Q58" s="122">
        <f>N58-K58</f>
        <v>-154.64038649707641</v>
      </c>
      <c r="R58" s="123">
        <f>O58/L58</f>
        <v>0.92555823679760696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-154.64038649707641</v>
      </c>
      <c r="AG58" s="124">
        <f>N58/K58</f>
        <v>0.91208619300905269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2950</v>
      </c>
      <c r="H59" s="243">
        <f>F59*G59</f>
        <v>79620.5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1539.1304347825908</v>
      </c>
      <c r="O59" s="138">
        <f>N59/M59</f>
        <v>102.60869565217271</v>
      </c>
      <c r="P59" s="56">
        <f>M59-J59</f>
        <v>0</v>
      </c>
      <c r="Q59" s="230">
        <f>O59-L59</f>
        <v>-6.4579710144939497</v>
      </c>
      <c r="R59" s="52">
        <f>O59/L59</f>
        <v>0.94078877431698704</v>
      </c>
      <c r="S59" s="412">
        <f>R69</f>
        <v>0.92972423868978971</v>
      </c>
      <c r="T59" s="245">
        <v>0.28819444444444398</v>
      </c>
      <c r="U59" s="245">
        <v>0.36805555555555602</v>
      </c>
      <c r="V59" s="55"/>
      <c r="W59" s="54">
        <f t="shared" si="4"/>
        <v>115.00000000000135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-96.869565217409217</v>
      </c>
      <c r="AG59" s="246">
        <f>N59/K59</f>
        <v>0.94078877431698704</v>
      </c>
      <c r="AH59" s="457">
        <f>AG69</f>
        <v>0.93070775296776287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1616</v>
      </c>
      <c r="H60" s="78">
        <f>F60*G60</f>
        <v>45668.160000000003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1491.692307692304</v>
      </c>
      <c r="O60" s="81">
        <f>N60/M60</f>
        <v>135.60839160839126</v>
      </c>
      <c r="P60" s="74">
        <f>M60-J60</f>
        <v>0</v>
      </c>
      <c r="Q60" s="83">
        <f>O60-L60</f>
        <v>-13.118881118881461</v>
      </c>
      <c r="R60" s="72">
        <f>O60/L60</f>
        <v>0.91179236411510023</v>
      </c>
      <c r="S60" s="502"/>
      <c r="T60" s="22">
        <v>0.375</v>
      </c>
      <c r="U60" s="22">
        <v>0.42013888888888901</v>
      </c>
      <c r="V60" s="30">
        <f>(T60-U59)*24*60</f>
        <v>9.999999999999325</v>
      </c>
      <c r="W60" s="248">
        <f t="shared" si="4"/>
        <v>65.000000000000171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-144.30769230769602</v>
      </c>
      <c r="AG60" s="249">
        <f>N60/K60</f>
        <v>0.91179236411510023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1409</v>
      </c>
      <c r="H61" s="254">
        <f>F61*G61</f>
        <v>39818.340000000004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1537.0909090908854</v>
      </c>
      <c r="O61" s="238">
        <f>N61/M61</f>
        <v>139.73553719008049</v>
      </c>
      <c r="P61" s="111">
        <f>M61-J61</f>
        <v>0</v>
      </c>
      <c r="Q61" s="255">
        <f>O61-L61</f>
        <v>-8.991735537192227</v>
      </c>
      <c r="R61" s="85">
        <f>O61/L61</f>
        <v>0.93954212047120145</v>
      </c>
      <c r="S61" s="413"/>
      <c r="T61" s="22">
        <v>0.42708333333333298</v>
      </c>
      <c r="U61" s="22">
        <v>0.46527777777777801</v>
      </c>
      <c r="V61" s="30">
        <f>(T61-U60)*24*60</f>
        <v>9.999999999999325</v>
      </c>
      <c r="W61" s="256">
        <f t="shared" si="4"/>
        <v>55.000000000000846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-98.909090909114639</v>
      </c>
      <c r="AG61" s="247">
        <f>N61/K61</f>
        <v>0.93954212047120134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0">AVERAGE(J59:J68)</f>
        <v>12.333333333333334</v>
      </c>
      <c r="K69" s="240">
        <f t="shared" si="20"/>
        <v>1636</v>
      </c>
      <c r="L69" s="268">
        <f t="shared" si="20"/>
        <v>135.50707070707071</v>
      </c>
      <c r="M69" s="240">
        <f t="shared" si="20"/>
        <v>12.333333333333334</v>
      </c>
      <c r="N69" s="240">
        <f t="shared" si="20"/>
        <v>1522.63788385526</v>
      </c>
      <c r="O69" s="268">
        <f t="shared" si="20"/>
        <v>125.98420815021483</v>
      </c>
      <c r="P69" s="269">
        <f>M69-J69</f>
        <v>0</v>
      </c>
      <c r="Q69" s="222">
        <f>N69-K69</f>
        <v>-113.36211614473996</v>
      </c>
      <c r="R69" s="123">
        <f>O69/L69</f>
        <v>0.92972423868978971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-113.36211614473996</v>
      </c>
      <c r="AG69" s="124">
        <f>N69/K69</f>
        <v>0.93070775296776287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3404</v>
      </c>
      <c r="H70" s="243">
        <f>F70*G70</f>
        <v>96197.040000000008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1276.5000000000014</v>
      </c>
      <c r="O70" s="138">
        <f>N70/M70</f>
        <v>141.83333333333348</v>
      </c>
      <c r="P70" s="56">
        <f>M70-J70</f>
        <v>-2</v>
      </c>
      <c r="Q70" s="230">
        <f>O70-L70</f>
        <v>-6.8939393939392346</v>
      </c>
      <c r="R70" s="52">
        <f>O70/L70</f>
        <v>0.95364710676446729</v>
      </c>
      <c r="S70" s="412">
        <f>R79</f>
        <v>0.928390720909959</v>
      </c>
      <c r="T70" s="245">
        <v>0.29513888888888901</v>
      </c>
      <c r="U70" s="245">
        <v>0.40625</v>
      </c>
      <c r="V70" s="55"/>
      <c r="W70" s="54">
        <f t="shared" si="4"/>
        <v>159.99999999999983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-359.49999999999864</v>
      </c>
      <c r="AG70" s="246">
        <f>N70/K70</f>
        <v>0.78025672371638222</v>
      </c>
      <c r="AH70" s="457">
        <f>AG79</f>
        <v>0.80215926320421427</v>
      </c>
    </row>
    <row r="71" spans="1:36" ht="15" customHeight="1">
      <c r="A71" s="495"/>
      <c r="B71" s="75" t="s">
        <v>81</v>
      </c>
      <c r="C71" s="76"/>
      <c r="D71" s="59" t="s">
        <v>181</v>
      </c>
      <c r="E71" s="77"/>
      <c r="F71" s="75">
        <f>VLOOKUP(D71,廠價表!$C$1:$E$43,3,0)</f>
        <v>43.89</v>
      </c>
      <c r="G71" s="30">
        <v>1040</v>
      </c>
      <c r="H71" s="78">
        <f t="shared" ref="H71:H74" si="21">F71*G71</f>
        <v>45645.599999999999</v>
      </c>
      <c r="I71" s="30"/>
      <c r="J71" s="79">
        <f>VLOOKUP(D71,產線配置圖!$A$3:$C$40,2,0)</f>
        <v>17</v>
      </c>
      <c r="K71" s="80">
        <f>VLOOKUP(D71,產線配置圖!$A$3:$C$40,3,0)</f>
        <v>1636</v>
      </c>
      <c r="L71" s="81">
        <f t="shared" ref="L71:L74" si="22">K71/J71</f>
        <v>96.235294117647058</v>
      </c>
      <c r="M71" s="82">
        <v>14</v>
      </c>
      <c r="N71" s="107">
        <f t="shared" ref="N71:N74" si="23">G71/W71*60</f>
        <v>1200.0000000000043</v>
      </c>
      <c r="O71" s="238">
        <f t="shared" ref="O71:O74" si="24">N71/M71</f>
        <v>85.714285714286021</v>
      </c>
      <c r="P71" s="111">
        <f t="shared" ref="P71:P74" si="25">M71-J71</f>
        <v>-3</v>
      </c>
      <c r="Q71" s="255">
        <f t="shared" ref="Q71:Q74" si="26">O71-L71</f>
        <v>-10.521008403361037</v>
      </c>
      <c r="R71" s="85">
        <f t="shared" ref="R71:R74" si="27">O71/L71</f>
        <v>0.89067411805798435</v>
      </c>
      <c r="S71" s="413"/>
      <c r="T71" s="22">
        <v>0.422222222222222</v>
      </c>
      <c r="U71" s="22">
        <v>0.45833333333333298</v>
      </c>
      <c r="V71" s="30"/>
      <c r="W71" s="73">
        <f t="shared" si="4"/>
        <v>51.999999999999815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153</v>
      </c>
      <c r="E72" s="77"/>
      <c r="F72" s="75">
        <f>VLOOKUP(D72,廠價表!$C$1:$E$43,3,0)</f>
        <v>50.67</v>
      </c>
      <c r="G72" s="202">
        <v>1022</v>
      </c>
      <c r="H72" s="78">
        <f t="shared" si="21"/>
        <v>51784.740000000005</v>
      </c>
      <c r="I72" s="30"/>
      <c r="J72" s="79">
        <f>VLOOKUP(D72,產線配置圖!$A$3:$C$40,2,0)</f>
        <v>16</v>
      </c>
      <c r="K72" s="80">
        <v>1565</v>
      </c>
      <c r="L72" s="81">
        <f t="shared" si="22"/>
        <v>97.8125</v>
      </c>
      <c r="M72" s="82">
        <v>14</v>
      </c>
      <c r="N72" s="107">
        <f t="shared" si="23"/>
        <v>1277.5000000000132</v>
      </c>
      <c r="O72" s="238">
        <f t="shared" si="24"/>
        <v>91.250000000000938</v>
      </c>
      <c r="P72" s="111">
        <f t="shared" si="25"/>
        <v>-2</v>
      </c>
      <c r="Q72" s="255">
        <f t="shared" si="26"/>
        <v>-6.5624999999990621</v>
      </c>
      <c r="R72" s="85">
        <f t="shared" si="27"/>
        <v>0.93290734824282107</v>
      </c>
      <c r="S72" s="413"/>
      <c r="T72" s="22">
        <v>0.46666666666666701</v>
      </c>
      <c r="U72" s="22">
        <v>0.5</v>
      </c>
      <c r="V72" s="30"/>
      <c r="W72" s="73">
        <f t="shared" si="4"/>
        <v>47.99999999999951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153</v>
      </c>
      <c r="E73" s="87"/>
      <c r="F73" s="75">
        <f>VLOOKUP(D73,廠價表!$C$1:$E$43,3,0)</f>
        <v>50.67</v>
      </c>
      <c r="G73" s="202">
        <v>1259</v>
      </c>
      <c r="H73" s="78">
        <f t="shared" si="21"/>
        <v>63793.53</v>
      </c>
      <c r="I73" s="30"/>
      <c r="J73" s="79">
        <f>VLOOKUP(D73,產線配置圖!$A$3:$C$40,2,0)</f>
        <v>16</v>
      </c>
      <c r="K73" s="80">
        <v>1565</v>
      </c>
      <c r="L73" s="81">
        <f t="shared" si="22"/>
        <v>97.8125</v>
      </c>
      <c r="M73" s="82">
        <v>15</v>
      </c>
      <c r="N73" s="107">
        <f t="shared" si="23"/>
        <v>1348.9285714285684</v>
      </c>
      <c r="O73" s="238">
        <f t="shared" si="24"/>
        <v>89.928571428571232</v>
      </c>
      <c r="P73" s="111">
        <f t="shared" si="25"/>
        <v>-1</v>
      </c>
      <c r="Q73" s="255">
        <f t="shared" si="26"/>
        <v>-7.8839285714287684</v>
      </c>
      <c r="R73" s="85">
        <f t="shared" si="27"/>
        <v>0.91939753537197422</v>
      </c>
      <c r="S73" s="413"/>
      <c r="T73" s="22">
        <v>0.55902777777777801</v>
      </c>
      <c r="U73" s="22">
        <v>0.59791666666666698</v>
      </c>
      <c r="V73" s="30"/>
      <c r="W73" s="73">
        <f t="shared" si="4"/>
        <v>56.000000000000121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 t="s">
        <v>81</v>
      </c>
      <c r="C74" s="58"/>
      <c r="D74" s="259" t="s">
        <v>181</v>
      </c>
      <c r="E74" s="60"/>
      <c r="F74" s="75">
        <f>VLOOKUP(D74,廠價表!$C$1:$E$43,3,0)</f>
        <v>43.89</v>
      </c>
      <c r="G74" s="273">
        <v>650</v>
      </c>
      <c r="H74" s="78">
        <f t="shared" si="21"/>
        <v>28528.5</v>
      </c>
      <c r="I74" s="30"/>
      <c r="J74" s="79">
        <f>VLOOKUP(D74,產線配置圖!$A$3:$C$40,2,0)</f>
        <v>17</v>
      </c>
      <c r="K74" s="80">
        <f>VLOOKUP(D74,產線配置圖!$A$3:$C$40,3,0)</f>
        <v>1636</v>
      </c>
      <c r="L74" s="81">
        <f t="shared" si="22"/>
        <v>96.235294117647058</v>
      </c>
      <c r="M74" s="94">
        <v>15</v>
      </c>
      <c r="N74" s="107">
        <f t="shared" si="23"/>
        <v>1344.8275862068865</v>
      </c>
      <c r="O74" s="238">
        <f t="shared" si="24"/>
        <v>89.655172413792428</v>
      </c>
      <c r="P74" s="111">
        <f t="shared" si="25"/>
        <v>-2</v>
      </c>
      <c r="Q74" s="255">
        <f t="shared" si="26"/>
        <v>-6.5801217038546298</v>
      </c>
      <c r="R74" s="85">
        <f t="shared" si="27"/>
        <v>0.93162465222155944</v>
      </c>
      <c r="S74" s="413"/>
      <c r="T74" s="22">
        <v>0.60833333333333295</v>
      </c>
      <c r="U74" s="22">
        <v>0.62847222222222199</v>
      </c>
      <c r="V74" s="30"/>
      <c r="W74" s="73">
        <f t="shared" si="4"/>
        <v>29.000000000000217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28">AVERAGE(J70:J78)</f>
        <v>15.4</v>
      </c>
      <c r="K79" s="240">
        <f t="shared" si="28"/>
        <v>1607.6</v>
      </c>
      <c r="L79" s="268">
        <f t="shared" si="28"/>
        <v>107.36457219251335</v>
      </c>
      <c r="M79" s="240">
        <f t="shared" si="28"/>
        <v>13.4</v>
      </c>
      <c r="N79" s="240">
        <f t="shared" si="28"/>
        <v>1289.5512315270948</v>
      </c>
      <c r="O79" s="268">
        <f t="shared" si="28"/>
        <v>99.676272577996812</v>
      </c>
      <c r="P79" s="269">
        <f>M79-J79</f>
        <v>-2</v>
      </c>
      <c r="Q79" s="222">
        <f>N79-K79</f>
        <v>-318.04876847290507</v>
      </c>
      <c r="R79" s="223">
        <f>O79/L79</f>
        <v>0.928390720909959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-318.04876847290507</v>
      </c>
      <c r="AG79" s="124">
        <f>N79/K79</f>
        <v>0.80215926320421427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46228</v>
      </c>
      <c r="E3" s="379"/>
      <c r="F3" s="3" t="s">
        <v>72</v>
      </c>
      <c r="G3" s="380">
        <f>'0725'!E1</f>
        <v>52314</v>
      </c>
      <c r="H3" s="380"/>
      <c r="I3" s="3" t="s">
        <v>2</v>
      </c>
      <c r="J3" s="381">
        <f>'0725'!G1</f>
        <v>2407181.4640000006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122.19913624346398</v>
      </c>
      <c r="G6" s="386"/>
      <c r="H6" s="387">
        <f>AVERAGE(D13:H13)</f>
        <v>122.50446216093276</v>
      </c>
      <c r="I6" s="387"/>
      <c r="J6" s="387">
        <f>AVERAGE(I13:J13)</f>
        <v>121.43582144979203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112.68629182103612</v>
      </c>
      <c r="G7" s="410"/>
      <c r="H7" s="411">
        <f>AVERAGE(D14:H14)</f>
        <v>113.50892303582998</v>
      </c>
      <c r="I7" s="411"/>
      <c r="J7" s="411">
        <f>AVERAGE(I14:J14)</f>
        <v>110.62971378405148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0.9221529323785489</v>
      </c>
      <c r="G8" s="383"/>
      <c r="H8" s="383">
        <f>H7/H6</f>
        <v>0.92656970230777846</v>
      </c>
      <c r="I8" s="383"/>
      <c r="J8" s="383">
        <f>J7/J6</f>
        <v>0.91101383811852943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VALUE('0725'!L15)</f>
        <v>133.86772486772486</v>
      </c>
      <c r="E13" s="13">
        <f>VALUE('0725'!L26)</f>
        <v>173.76373626373626</v>
      </c>
      <c r="F13" s="13">
        <f>VALUE('0725'!L37)</f>
        <v>95.533660130718957</v>
      </c>
      <c r="G13" s="13">
        <f>VALUE('0725'!L48)</f>
        <v>102.57777777777778</v>
      </c>
      <c r="H13" s="13">
        <f>VALUE('0725'!L58)</f>
        <v>106.77941176470588</v>
      </c>
      <c r="I13" s="13">
        <f>VALUE('0725'!L69)</f>
        <v>135.50707070707071</v>
      </c>
      <c r="J13" s="13">
        <f>'0725'!L79</f>
        <v>107.36457219251335</v>
      </c>
    </row>
    <row r="14" spans="2:15" ht="39.950000000000003" customHeight="1">
      <c r="B14" s="404"/>
      <c r="C14" s="12" t="s">
        <v>100</v>
      </c>
      <c r="D14" s="13">
        <f>VALUE('0725'!O15)</f>
        <v>124.21286535723652</v>
      </c>
      <c r="E14" s="13">
        <f>VALUE('0725'!O26)</f>
        <v>158.17724646197985</v>
      </c>
      <c r="F14" s="13">
        <f>VALUE('0725'!O37)</f>
        <v>90.877258027257284</v>
      </c>
      <c r="G14" s="13">
        <f>VALUE('0725'!O48)</f>
        <v>96.518823529411847</v>
      </c>
      <c r="H14" s="13">
        <f>VALUE('0725'!O58)</f>
        <v>97.758421803264312</v>
      </c>
      <c r="I14" s="13">
        <f>VALUE('0725'!O69)</f>
        <v>128.44117426584884</v>
      </c>
      <c r="J14" s="13">
        <f>'0725'!O79</f>
        <v>92.818253302254107</v>
      </c>
    </row>
    <row r="15" spans="2:15" ht="39.950000000000003" customHeight="1">
      <c r="B15" s="405"/>
      <c r="C15" s="10" t="s">
        <v>26</v>
      </c>
      <c r="D15" s="14">
        <f t="shared" ref="D15:I15" si="1">D14/D13</f>
        <v>0.92787761560877846</v>
      </c>
      <c r="E15" s="14">
        <f t="shared" si="1"/>
        <v>0.91030067529107772</v>
      </c>
      <c r="F15" s="14">
        <f t="shared" si="1"/>
        <v>0.95125904213142987</v>
      </c>
      <c r="G15" s="14">
        <f t="shared" si="1"/>
        <v>0.9409330716688763</v>
      </c>
      <c r="H15" s="14">
        <f t="shared" si="1"/>
        <v>0.9155175158548372</v>
      </c>
      <c r="I15" s="14">
        <f t="shared" si="1"/>
        <v>0.94785588379741148</v>
      </c>
      <c r="J15" s="15">
        <f>'0725'!S70</f>
        <v>0.86451472219181835</v>
      </c>
    </row>
    <row r="16" spans="2:15" ht="17.25" customHeight="1">
      <c r="B16" s="406" t="s">
        <v>101</v>
      </c>
      <c r="C16" s="10" t="s">
        <v>34</v>
      </c>
      <c r="D16" s="16">
        <f>'0725'!T5</f>
        <v>0.29375000000000001</v>
      </c>
      <c r="E16" s="16">
        <f>'0725'!T16</f>
        <v>0.29166666666666702</v>
      </c>
      <c r="F16" s="16">
        <f>'0725'!T27</f>
        <v>0.28819444444444398</v>
      </c>
      <c r="G16" s="16">
        <f>'0725'!T38</f>
        <v>0.33333333333333298</v>
      </c>
      <c r="H16" s="16">
        <f>'0725'!T49</f>
        <v>0.29166666666666702</v>
      </c>
      <c r="I16" s="16">
        <f>'0725'!T59</f>
        <v>0.29166666666666702</v>
      </c>
      <c r="J16" s="16">
        <f>'0725'!T70</f>
        <v>0.29513888888888901</v>
      </c>
    </row>
    <row r="17" spans="2:10" ht="17.25" customHeight="1">
      <c r="B17" s="407"/>
      <c r="C17" s="10" t="s">
        <v>35</v>
      </c>
      <c r="D17" s="18">
        <v>0.58680555555555602</v>
      </c>
      <c r="E17" s="19">
        <v>0.59930555555555598</v>
      </c>
      <c r="F17" s="19">
        <v>0.54513888888888895</v>
      </c>
      <c r="G17" s="20">
        <v>0.48611111111111099</v>
      </c>
      <c r="H17" s="21">
        <v>0.58888888888888902</v>
      </c>
      <c r="I17" s="22">
        <v>0.47013888888888899</v>
      </c>
      <c r="J17" s="22">
        <v>0.62847222222222199</v>
      </c>
    </row>
    <row r="18" spans="2:10" ht="17.25" customHeight="1">
      <c r="B18" s="408" t="s">
        <v>102</v>
      </c>
      <c r="C18" s="330" t="s">
        <v>36</v>
      </c>
      <c r="D18" s="357">
        <f>'0725'!Z15</f>
        <v>0</v>
      </c>
      <c r="E18" s="358">
        <f>'0725'!Z26</f>
        <v>0</v>
      </c>
      <c r="F18" s="358">
        <f>'0725'!Z37</f>
        <v>0</v>
      </c>
      <c r="G18" s="359">
        <f>'0725'!Z48</f>
        <v>0</v>
      </c>
      <c r="H18" s="359">
        <f>'0725'!Z58</f>
        <v>0</v>
      </c>
      <c r="I18" s="358">
        <f>'0725'!Z69</f>
        <v>0</v>
      </c>
      <c r="J18" s="358">
        <f>'0725'!AA79</f>
        <v>0</v>
      </c>
    </row>
    <row r="19" spans="2:10" ht="17.25" customHeight="1">
      <c r="B19" s="409"/>
      <c r="C19" s="330" t="s">
        <v>37</v>
      </c>
      <c r="D19" s="357">
        <f>'0725'!AA15</f>
        <v>0</v>
      </c>
      <c r="E19" s="358">
        <f>'0725'!AA26</f>
        <v>0</v>
      </c>
      <c r="F19" s="358">
        <f>'0725'!AA37</f>
        <v>0</v>
      </c>
      <c r="G19" s="359">
        <f>'0725'!AA48</f>
        <v>0</v>
      </c>
      <c r="H19" s="359">
        <f>'0725'!AA58</f>
        <v>0</v>
      </c>
      <c r="I19" s="358">
        <f>'0725'!AA69</f>
        <v>0</v>
      </c>
      <c r="J19" s="358">
        <f>'0725'!AB79</f>
        <v>0</v>
      </c>
    </row>
    <row r="20" spans="2:10" ht="17.25" customHeight="1">
      <c r="B20" s="408" t="s">
        <v>103</v>
      </c>
      <c r="C20" s="330" t="s">
        <v>36</v>
      </c>
      <c r="D20" s="357">
        <f>'0725'!AD15</f>
        <v>0</v>
      </c>
      <c r="E20" s="358">
        <f>'0725'!AD26</f>
        <v>0</v>
      </c>
      <c r="F20" s="358">
        <f>'0725'!AD37</f>
        <v>0</v>
      </c>
      <c r="G20" s="359">
        <f>'0725'!AD48</f>
        <v>0</v>
      </c>
      <c r="H20" s="359">
        <f>'0725'!AD58</f>
        <v>0</v>
      </c>
      <c r="I20" s="358">
        <f>'0725'!AD69</f>
        <v>0</v>
      </c>
      <c r="J20" s="358">
        <f>'0725'!AD79</f>
        <v>0</v>
      </c>
    </row>
    <row r="21" spans="2:10" ht="17.25" customHeight="1">
      <c r="B21" s="409"/>
      <c r="C21" s="330" t="s">
        <v>85</v>
      </c>
      <c r="D21" s="357">
        <f>'0725'!AE15</f>
        <v>0</v>
      </c>
      <c r="E21" s="358">
        <f>'0725'!AE26</f>
        <v>0</v>
      </c>
      <c r="F21" s="358">
        <f>'0725'!AE37</f>
        <v>0</v>
      </c>
      <c r="G21" s="359">
        <f>'0725'!AE48</f>
        <v>0</v>
      </c>
      <c r="H21" s="359">
        <f>'0725'!AE58</f>
        <v>0</v>
      </c>
      <c r="I21" s="358">
        <f>'0725'!AE69</f>
        <v>0</v>
      </c>
      <c r="J21" s="358">
        <f>'0725'!AE79</f>
        <v>0</v>
      </c>
    </row>
    <row r="22" spans="2:10" ht="17.25" customHeight="1">
      <c r="B22" s="392" t="s">
        <v>104</v>
      </c>
      <c r="C22" s="393"/>
      <c r="D22" s="23">
        <f>VALUE('0725'!M15)</f>
        <v>14.333333333333334</v>
      </c>
      <c r="E22" s="23">
        <f>VALUE('0725'!M26)</f>
        <v>13</v>
      </c>
      <c r="F22" s="23">
        <f>VALUE('0725'!M37)</f>
        <v>15</v>
      </c>
      <c r="G22" s="23">
        <f>VALUE('0725'!M48)</f>
        <v>15.5</v>
      </c>
      <c r="H22" s="23">
        <f>VALUE('0725'!M58)</f>
        <v>15.75</v>
      </c>
      <c r="I22" s="23">
        <f>VALUE('0725'!M69)</f>
        <v>12</v>
      </c>
      <c r="J22" s="23">
        <f>'0725'!M79</f>
        <v>10.6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52314</v>
      </c>
      <c r="F1" s="30" t="s">
        <v>2</v>
      </c>
      <c r="G1" s="31">
        <f>SUM(H5:H79)</f>
        <v>2407181.4640000006</v>
      </c>
      <c r="H1" s="32" t="s">
        <v>3</v>
      </c>
      <c r="I1" s="33">
        <f>M15+M26+M48+M58+M69+M79+M37</f>
        <v>96.183333333333337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215</v>
      </c>
      <c r="B2" s="418"/>
      <c r="C2" s="28"/>
      <c r="D2" s="28" t="s">
        <v>14</v>
      </c>
      <c r="E2" s="35">
        <f>AVERAGE(O15,O26,O37,O48,O58,O69,O79)</f>
        <v>112.68629182103612</v>
      </c>
      <c r="F2" s="36" t="s">
        <v>15</v>
      </c>
      <c r="G2" s="37">
        <f>G1/E1</f>
        <v>46.014096876553133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3689</v>
      </c>
      <c r="H5" s="43">
        <f>F5*G5</f>
        <v>184117.99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2068.5981308411092</v>
      </c>
      <c r="O5" s="47">
        <f>N5/M5</f>
        <v>137.90654205607396</v>
      </c>
      <c r="P5" s="49">
        <f>M5-J5</f>
        <v>0</v>
      </c>
      <c r="Q5" s="50">
        <f>O5-L5</f>
        <v>-12.09345794392604</v>
      </c>
      <c r="R5" s="51">
        <f>O5/L5</f>
        <v>0.91937694704049311</v>
      </c>
      <c r="S5" s="412">
        <f>R15</f>
        <v>0.92787761560877846</v>
      </c>
      <c r="T5" s="319">
        <v>0.29375000000000001</v>
      </c>
      <c r="U5" s="320">
        <v>0.36805555555555602</v>
      </c>
      <c r="V5" s="53"/>
      <c r="W5" s="54">
        <f t="shared" ref="W5:W14" si="0">(U5-T5)*24*60</f>
        <v>107.00000000000065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-181.4018691588908</v>
      </c>
      <c r="AG5" s="52">
        <f t="shared" ref="AG5:AG11" si="2">N5/K5</f>
        <v>0.919376947040493</v>
      </c>
      <c r="AH5" s="457">
        <f>AG15</f>
        <v>0.87269343009452549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4821</v>
      </c>
      <c r="H6" s="63">
        <f>F6*G6</f>
        <v>236903.94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2142.6666666666665</v>
      </c>
      <c r="O6" s="67">
        <f>N6/M6</f>
        <v>153.04761904761904</v>
      </c>
      <c r="P6" s="69">
        <f>M6-J6</f>
        <v>0</v>
      </c>
      <c r="Q6" s="70">
        <f>O6-L6</f>
        <v>-7.6666666666666856</v>
      </c>
      <c r="R6" s="71">
        <f>O6/L6</f>
        <v>0.9522962962962962</v>
      </c>
      <c r="S6" s="413"/>
      <c r="T6" s="16">
        <v>0.375</v>
      </c>
      <c r="U6" s="16">
        <v>0.46875</v>
      </c>
      <c r="V6" s="30">
        <f>(T6-U5)*24*60</f>
        <v>9.999999999999325</v>
      </c>
      <c r="W6" s="73">
        <f t="shared" si="0"/>
        <v>135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-107.33333333333348</v>
      </c>
      <c r="AG6" s="72">
        <f t="shared" si="2"/>
        <v>0.9522962962962962</v>
      </c>
      <c r="AH6" s="458"/>
    </row>
    <row r="7" spans="1:34" ht="15" customHeight="1">
      <c r="A7" s="424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1277</v>
      </c>
      <c r="H7" s="78">
        <f>F7*G7</f>
        <v>56571.1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14</v>
      </c>
      <c r="N7" s="80">
        <f>G7/W7*60</f>
        <v>1143.582089552232</v>
      </c>
      <c r="O7" s="81">
        <f>N7/M7</f>
        <v>81.684434968016575</v>
      </c>
      <c r="P7" s="74">
        <f>M7-J7</f>
        <v>-4</v>
      </c>
      <c r="Q7" s="83">
        <f>O7-L7</f>
        <v>-9.2044539208723108</v>
      </c>
      <c r="R7" s="72">
        <f>O7/L7</f>
        <v>0.89872850209309196</v>
      </c>
      <c r="S7" s="413"/>
      <c r="T7" s="18">
        <v>0.54027777777777797</v>
      </c>
      <c r="U7" s="18">
        <v>0.58680555555555602</v>
      </c>
      <c r="V7" s="30">
        <f>(T7-U6)*24*60</f>
        <v>103.00000000000027</v>
      </c>
      <c r="W7" s="73">
        <f t="shared" si="0"/>
        <v>67.000000000000398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-492.41791044776801</v>
      </c>
      <c r="AG7" s="72">
        <f t="shared" si="2"/>
        <v>0.69901105718351586</v>
      </c>
      <c r="AH7" s="458"/>
    </row>
    <row r="8" spans="1:34" ht="15" customHeight="1">
      <c r="A8" s="42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0</v>
      </c>
      <c r="AG8" s="72" t="e">
        <f t="shared" si="2"/>
        <v>#DIV/0!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15.666666666666666</v>
      </c>
      <c r="K15" s="120">
        <f t="shared" si="3"/>
        <v>2045.3333333333333</v>
      </c>
      <c r="L15" s="117">
        <f t="shared" si="3"/>
        <v>133.86772486772486</v>
      </c>
      <c r="M15" s="120">
        <f t="shared" si="3"/>
        <v>14.333333333333334</v>
      </c>
      <c r="N15" s="120">
        <f t="shared" si="3"/>
        <v>1784.9489623533361</v>
      </c>
      <c r="O15" s="117">
        <f t="shared" si="3"/>
        <v>124.21286535723652</v>
      </c>
      <c r="P15" s="121">
        <f>M15-J15</f>
        <v>-1.3333333333333321</v>
      </c>
      <c r="Q15" s="122">
        <f>O15-L15</f>
        <v>-9.6548595104883361</v>
      </c>
      <c r="R15" s="123">
        <f>O15/L15</f>
        <v>0.92787761560877846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-260.38437097999713</v>
      </c>
      <c r="AG15" s="124">
        <f>N15/K15</f>
        <v>0.87269343009452549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1923</v>
      </c>
      <c r="H16" s="134">
        <f>F16*G16</f>
        <v>97438.41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1989.3103448276263</v>
      </c>
      <c r="O16" s="141">
        <f>N16/M16</f>
        <v>153.02387267904817</v>
      </c>
      <c r="P16" s="142">
        <f>M16-J16</f>
        <v>0</v>
      </c>
      <c r="Q16" s="143">
        <f>O16-L16</f>
        <v>-20.053050397874898</v>
      </c>
      <c r="R16" s="144">
        <f>O16/L16</f>
        <v>0.88413793103450056</v>
      </c>
      <c r="S16" s="468">
        <f>R26</f>
        <v>0.91030067529107772</v>
      </c>
      <c r="T16" s="145">
        <v>0.29166666666666702</v>
      </c>
      <c r="U16" s="145">
        <v>0.33194444444444399</v>
      </c>
      <c r="V16" s="135"/>
      <c r="W16" s="146">
        <f t="shared" ref="W16:W78" si="4">(U16-T16)*24*60</f>
        <v>57.999999999998835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-260.6896551723737</v>
      </c>
      <c r="AG16" s="52">
        <f>N16/K16</f>
        <v>0.88413793103450056</v>
      </c>
      <c r="AH16" s="457">
        <f>AG26</f>
        <v>0.91006034052052043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2181</v>
      </c>
      <c r="H17" s="78">
        <f>F17*G17</f>
        <v>124033.47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2110.6451612903516</v>
      </c>
      <c r="O17" s="96">
        <f>N17/M17</f>
        <v>150.76036866359655</v>
      </c>
      <c r="P17" s="97">
        <f>M17-J17</f>
        <v>0</v>
      </c>
      <c r="Q17" s="98">
        <f>O17-L17</f>
        <v>-9.9539170506891708</v>
      </c>
      <c r="R17" s="99">
        <f>O17/L17</f>
        <v>0.93806451612904518</v>
      </c>
      <c r="S17" s="469"/>
      <c r="T17" s="19">
        <v>0.33888888888888902</v>
      </c>
      <c r="U17" s="19">
        <v>0.38194444444444398</v>
      </c>
      <c r="V17" s="30">
        <f>(T17-U16)*24*60</f>
        <v>10.000000000000844</v>
      </c>
      <c r="W17" s="149">
        <f t="shared" si="4"/>
        <v>61.99999999999914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-139.35483870964845</v>
      </c>
      <c r="AG17" s="72">
        <f>N17/K17</f>
        <v>0.93806451612904518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1291</v>
      </c>
      <c r="H18" s="78">
        <f>F18*G18</f>
        <v>75097.47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1936.4999999999832</v>
      </c>
      <c r="O18" s="96">
        <f>N18/M18</f>
        <v>138.32142857142736</v>
      </c>
      <c r="P18" s="97">
        <f>M18-J18</f>
        <v>0</v>
      </c>
      <c r="Q18" s="98">
        <f>O18-L18</f>
        <v>-22.392857142858361</v>
      </c>
      <c r="R18" s="99">
        <f>O18/L18</f>
        <v>0.86066666666665914</v>
      </c>
      <c r="S18" s="469"/>
      <c r="T18" s="19">
        <v>0.38888888888888901</v>
      </c>
      <c r="U18" s="19">
        <v>0.41666666666666702</v>
      </c>
      <c r="V18" s="30">
        <f>(T18-U17)*24*60</f>
        <v>10.000000000000844</v>
      </c>
      <c r="W18" s="149">
        <f t="shared" si="4"/>
        <v>40.000000000000341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-313.50000000001683</v>
      </c>
      <c r="AG18" s="72">
        <f>N18/K18</f>
        <v>0.86066666666665914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2684</v>
      </c>
      <c r="H19" s="78">
        <f t="shared" ref="H19:H21" si="5">F19*G19</f>
        <v>135246.76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2147.2000000000148</v>
      </c>
      <c r="O19" s="96">
        <f t="shared" ref="O19:O21" si="8">N19/M19</f>
        <v>178.93333333333456</v>
      </c>
      <c r="P19" s="97">
        <f t="shared" ref="P19:P21" si="9">M19-J19</f>
        <v>0</v>
      </c>
      <c r="Q19" s="98">
        <f t="shared" ref="Q19:Q21" si="10">O19-L19</f>
        <v>-8.5666666666654407</v>
      </c>
      <c r="R19" s="99">
        <f t="shared" ref="R19:R21" si="11">O19/L19</f>
        <v>0.95431111111111766</v>
      </c>
      <c r="S19" s="469"/>
      <c r="T19" s="19">
        <v>0.42361111111111099</v>
      </c>
      <c r="U19" s="19">
        <v>0.47569444444444398</v>
      </c>
      <c r="V19" s="30">
        <f>(T19-U18)*24*60</f>
        <v>9.999999999999325</v>
      </c>
      <c r="W19" s="149">
        <f t="shared" si="4"/>
        <v>74.999999999999488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-102.79999999998518</v>
      </c>
      <c r="AG19" s="72">
        <f>N19/K19</f>
        <v>0.95431111111111766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1427</v>
      </c>
      <c r="H20" s="78">
        <f t="shared" si="5"/>
        <v>71906.53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1945.9090909091262</v>
      </c>
      <c r="O20" s="96">
        <f t="shared" si="8"/>
        <v>162.15909090909386</v>
      </c>
      <c r="P20" s="97">
        <f t="shared" si="9"/>
        <v>0</v>
      </c>
      <c r="Q20" s="98">
        <f t="shared" si="10"/>
        <v>-25.340909090906138</v>
      </c>
      <c r="R20" s="99">
        <f t="shared" si="11"/>
        <v>0.86484848484850063</v>
      </c>
      <c r="S20" s="469"/>
      <c r="T20" s="19">
        <v>0.54166666666666696</v>
      </c>
      <c r="U20" s="19">
        <v>0.57222222222222197</v>
      </c>
      <c r="V20" s="30">
        <f>(T20-U19)*24*60</f>
        <v>95.000000000001108</v>
      </c>
      <c r="W20" s="149">
        <f t="shared" si="4"/>
        <v>43.999999999999204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1150</v>
      </c>
      <c r="H21" s="78">
        <f t="shared" si="5"/>
        <v>58270.5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2156.2499999999218</v>
      </c>
      <c r="O21" s="96">
        <f t="shared" si="8"/>
        <v>165.86538461537859</v>
      </c>
      <c r="P21" s="97">
        <f t="shared" si="9"/>
        <v>0</v>
      </c>
      <c r="Q21" s="98">
        <f t="shared" si="10"/>
        <v>-7.2115384615444782</v>
      </c>
      <c r="R21" s="99">
        <f t="shared" si="11"/>
        <v>0.95833333333329862</v>
      </c>
      <c r="S21" s="469"/>
      <c r="T21" s="19">
        <v>0.57708333333333295</v>
      </c>
      <c r="U21" s="19">
        <v>0.59930555555555598</v>
      </c>
      <c r="V21" s="30">
        <f>(T21-U20)*24*60</f>
        <v>6.9999999999998153</v>
      </c>
      <c r="W21" s="149">
        <f t="shared" si="4"/>
        <v>32.000000000001165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9"/>
      <c r="U22" s="19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2047.6357661711709</v>
      </c>
      <c r="O26" s="158">
        <f t="shared" si="12"/>
        <v>158.17724646197985</v>
      </c>
      <c r="P26" s="159">
        <f>M26-J26</f>
        <v>0</v>
      </c>
      <c r="Q26" s="160">
        <f>O26-L26</f>
        <v>-15.586489801756414</v>
      </c>
      <c r="R26" s="161">
        <f>O26/L26</f>
        <v>0.91030067529107772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-202.36423382882913</v>
      </c>
      <c r="AG26" s="124">
        <f t="shared" ref="AG26:AG31" si="14">N26/K26</f>
        <v>0.91006034052052043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854</v>
      </c>
      <c r="H27" s="134">
        <f>F27*G27</f>
        <v>38993.64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15</v>
      </c>
      <c r="N27" s="140">
        <f>G27/W27*60</f>
        <v>1384.8648648648339</v>
      </c>
      <c r="O27" s="141">
        <f>N27/M27</f>
        <v>92.324324324322262</v>
      </c>
      <c r="P27" s="142">
        <f>M27-J27</f>
        <v>-2</v>
      </c>
      <c r="Q27" s="143">
        <f>O27-L27</f>
        <v>-3.9109697933247958</v>
      </c>
      <c r="R27" s="144">
        <f>O27/L27</f>
        <v>0.95936033833342205</v>
      </c>
      <c r="S27" s="468">
        <f>R37</f>
        <v>0.95125904213142987</v>
      </c>
      <c r="T27" s="171">
        <v>0.28819444444444398</v>
      </c>
      <c r="U27" s="171">
        <v>0.31388888888888899</v>
      </c>
      <c r="V27" s="135"/>
      <c r="W27" s="146">
        <f t="shared" si="4"/>
        <v>37.000000000000824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-251.13513513516614</v>
      </c>
      <c r="AG27" s="172">
        <f t="shared" si="14"/>
        <v>0.84649441617654886</v>
      </c>
      <c r="AH27" s="457">
        <f>AG37</f>
        <v>0.84052217931240536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2376</v>
      </c>
      <c r="H28" s="91">
        <f>F28*G28</f>
        <v>110103.84000000001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15</v>
      </c>
      <c r="N28" s="95">
        <f>G28/W28*60</f>
        <v>1484.9999999999916</v>
      </c>
      <c r="O28" s="96">
        <f>N28/M28</f>
        <v>98.999999999999446</v>
      </c>
      <c r="P28" s="97">
        <f>M28-J28</f>
        <v>-1</v>
      </c>
      <c r="Q28" s="98">
        <f>O28-L28</f>
        <v>-3.2500000000005542</v>
      </c>
      <c r="R28" s="99">
        <f>O28/L28</f>
        <v>0.96821515892419996</v>
      </c>
      <c r="S28" s="469"/>
      <c r="T28" s="19">
        <v>0.31944444444444398</v>
      </c>
      <c r="U28" s="19">
        <v>0.38611111111111102</v>
      </c>
      <c r="V28" s="92">
        <f>(T28-U27)*24*60</f>
        <v>7.9999999999991722</v>
      </c>
      <c r="W28" s="149">
        <f t="shared" si="4"/>
        <v>96.00000000000054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-151.00000000000841</v>
      </c>
      <c r="AG28" s="99">
        <f t="shared" si="14"/>
        <v>0.90770171149143741</v>
      </c>
      <c r="AH28" s="478"/>
    </row>
    <row r="29" spans="1:34" ht="15" customHeight="1">
      <c r="A29" s="466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1130</v>
      </c>
      <c r="H29" s="91">
        <f>F29*G29</f>
        <v>64647.3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15</v>
      </c>
      <c r="N29" s="95">
        <f>G29/W29*60</f>
        <v>1303.8461538461586</v>
      </c>
      <c r="O29" s="96">
        <f>N29/M29</f>
        <v>86.923076923077232</v>
      </c>
      <c r="P29" s="97">
        <f>M29-J29</f>
        <v>-2</v>
      </c>
      <c r="Q29" s="98">
        <f>O29-L29</f>
        <v>-5.1357466063345356</v>
      </c>
      <c r="R29" s="99">
        <f>O29/L29</f>
        <v>0.94421233718358655</v>
      </c>
      <c r="S29" s="469"/>
      <c r="T29" s="19">
        <v>0.391666666666667</v>
      </c>
      <c r="U29" s="19">
        <v>0.42777777777777798</v>
      </c>
      <c r="V29" s="92">
        <f>(T29-U28)*24*60</f>
        <v>8.0000000000006111</v>
      </c>
      <c r="W29" s="149">
        <f t="shared" si="4"/>
        <v>51.999999999999815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-261.15384615384141</v>
      </c>
      <c r="AG29" s="99">
        <f t="shared" si="14"/>
        <v>0.83312853280904697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1047</v>
      </c>
      <c r="H30" s="91">
        <f t="shared" ref="H30:H31" si="15">F30*G30</f>
        <v>59898.87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1" si="16">K30/J30</f>
        <v>90.888888888888886</v>
      </c>
      <c r="M30" s="94">
        <v>15</v>
      </c>
      <c r="N30" s="95">
        <f t="shared" ref="N30:N31" si="17">G30/W30*60</f>
        <v>1308.7499999999741</v>
      </c>
      <c r="O30" s="96">
        <f t="shared" ref="O30:O31" si="18">N30/M30</f>
        <v>87.249999999998266</v>
      </c>
      <c r="P30" s="97">
        <f t="shared" ref="P30:P31" si="19">M30-J30</f>
        <v>-3</v>
      </c>
      <c r="Q30" s="98">
        <f t="shared" ref="Q30:Q31" si="20">O30-L30</f>
        <v>-3.6388888888906195</v>
      </c>
      <c r="R30" s="99">
        <f t="shared" ref="R30:R31" si="21">O30/L30</f>
        <v>0.95996332518335503</v>
      </c>
      <c r="S30" s="469"/>
      <c r="T30" s="19">
        <v>0.43333333333333302</v>
      </c>
      <c r="U30" s="19">
        <v>0.46666666666666701</v>
      </c>
      <c r="V30" s="92">
        <f>(T30-U29)*24*60</f>
        <v>7.9999999999992522</v>
      </c>
      <c r="W30" s="149">
        <f t="shared" si="4"/>
        <v>48.000000000000952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-327.25000000002592</v>
      </c>
      <c r="AG30" s="99">
        <f t="shared" si="14"/>
        <v>0.79996943765279593</v>
      </c>
      <c r="AH30" s="479"/>
    </row>
    <row r="31" spans="1:34" ht="15" customHeight="1">
      <c r="A31" s="466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600</v>
      </c>
      <c r="H31" s="91">
        <f t="shared" si="15"/>
        <v>27395.999999999996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15</v>
      </c>
      <c r="N31" s="95">
        <f t="shared" si="17"/>
        <v>1333.333333333338</v>
      </c>
      <c r="O31" s="96">
        <f t="shared" si="18"/>
        <v>88.888888888889198</v>
      </c>
      <c r="P31" s="97">
        <f t="shared" si="19"/>
        <v>-2</v>
      </c>
      <c r="Q31" s="98">
        <f t="shared" si="20"/>
        <v>-7.3464052287578596</v>
      </c>
      <c r="R31" s="99">
        <f t="shared" si="21"/>
        <v>0.92366204835642807</v>
      </c>
      <c r="S31" s="469"/>
      <c r="T31" s="19">
        <v>0.52638888888888902</v>
      </c>
      <c r="U31" s="19">
        <v>0.54513888888888895</v>
      </c>
      <c r="V31" s="92">
        <f>(T31-U30)*24*60</f>
        <v>85.999999999999687</v>
      </c>
      <c r="W31" s="149">
        <f t="shared" si="4"/>
        <v>26.999999999999904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-302.66666666666197</v>
      </c>
      <c r="AG31" s="99">
        <f t="shared" si="14"/>
        <v>0.81499592502037776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2">AVERAGE(J27:J36)</f>
        <v>17</v>
      </c>
      <c r="K37" s="155">
        <f t="shared" si="22"/>
        <v>1621.8</v>
      </c>
      <c r="L37" s="158">
        <f t="shared" si="22"/>
        <v>95.533660130718957</v>
      </c>
      <c r="M37" s="155">
        <f t="shared" si="22"/>
        <v>15</v>
      </c>
      <c r="N37" s="155">
        <f t="shared" si="22"/>
        <v>1363.158870408859</v>
      </c>
      <c r="O37" s="158">
        <f t="shared" si="22"/>
        <v>90.877258027257284</v>
      </c>
      <c r="P37" s="159">
        <f>M37-J37</f>
        <v>-2</v>
      </c>
      <c r="Q37" s="160">
        <f>N37-K37</f>
        <v>-258.64112959114095</v>
      </c>
      <c r="R37" s="161">
        <f>O37/L37</f>
        <v>0.95125904213142987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-258.64112959114095</v>
      </c>
      <c r="AG37" s="124">
        <f>N37/K37</f>
        <v>0.84052217931240536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2238</v>
      </c>
      <c r="H38" s="134">
        <f>F38*G38</f>
        <v>111698.57999999999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1579.7647058823468</v>
      </c>
      <c r="O38" s="141">
        <f>N38/M38</f>
        <v>105.31764705882311</v>
      </c>
      <c r="P38" s="142">
        <f>M38-J38</f>
        <v>0</v>
      </c>
      <c r="Q38" s="143">
        <f>O38-L38</f>
        <v>-8.9490196078435531</v>
      </c>
      <c r="R38" s="144">
        <f>O38/L38</f>
        <v>0.92168302560230264</v>
      </c>
      <c r="S38" s="490">
        <f>R48</f>
        <v>0.9409330716688763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-134.23529411765321</v>
      </c>
      <c r="AG38" s="195">
        <f>N38/K38</f>
        <v>0.92168302560230264</v>
      </c>
      <c r="AH38" s="480">
        <f>AG48</f>
        <v>0.89053274802458393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2924</v>
      </c>
      <c r="H39" s="91">
        <f>F39*G39</f>
        <v>129533.2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1403.5200000000093</v>
      </c>
      <c r="O39" s="203">
        <f>N39/M39</f>
        <v>87.720000000000582</v>
      </c>
      <c r="P39" s="97">
        <f>M39-J39</f>
        <v>-2</v>
      </c>
      <c r="Q39" s="98">
        <f>O39-L39</f>
        <v>-3.1688888888883042</v>
      </c>
      <c r="R39" s="99">
        <f>O39/L39</f>
        <v>0.96513447432763477</v>
      </c>
      <c r="S39" s="491"/>
      <c r="T39" s="20">
        <v>0.39930555555555602</v>
      </c>
      <c r="U39" s="20">
        <v>0.48611111111111099</v>
      </c>
      <c r="V39" s="92">
        <f>(T39-U38)*24*60</f>
        <v>10.000000000000844</v>
      </c>
      <c r="W39" s="205">
        <f t="shared" si="4"/>
        <v>124.99999999999916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-232.4799999999907</v>
      </c>
      <c r="AG39" s="206">
        <f>N39/K39</f>
        <v>0.85789731051345308</v>
      </c>
      <c r="AH39" s="481"/>
    </row>
    <row r="40" spans="1:34" ht="15" customHeight="1">
      <c r="A40" s="48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0</v>
      </c>
      <c r="AG40" s="206" t="e">
        <f>N40/K40</f>
        <v>#DIV/0!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3">AVERAGE(J38:J47)</f>
        <v>16.5</v>
      </c>
      <c r="K48" s="155">
        <f t="shared" si="23"/>
        <v>1675</v>
      </c>
      <c r="L48" s="158">
        <f t="shared" si="23"/>
        <v>102.57777777777778</v>
      </c>
      <c r="M48" s="155">
        <f t="shared" si="23"/>
        <v>15.5</v>
      </c>
      <c r="N48" s="155">
        <f t="shared" si="23"/>
        <v>1491.6423529411782</v>
      </c>
      <c r="O48" s="158">
        <f t="shared" si="23"/>
        <v>96.518823529411847</v>
      </c>
      <c r="P48" s="221">
        <f>M48-J48</f>
        <v>-1</v>
      </c>
      <c r="Q48" s="222">
        <f>N48-K48</f>
        <v>-183.35764705882184</v>
      </c>
      <c r="R48" s="223">
        <f>O48/L48</f>
        <v>0.9409330716688763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4">N48-K48</f>
        <v>-183.35764705882184</v>
      </c>
      <c r="AG48" s="162">
        <f t="shared" ref="AG48:AG53" si="25">N48/K48</f>
        <v>0.89053274802458393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1852</v>
      </c>
      <c r="H49" s="134">
        <f>F49*G49</f>
        <v>91711.040000000008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1610.4347826087183</v>
      </c>
      <c r="O49" s="141">
        <f>N49/M49</f>
        <v>100.65217391304489</v>
      </c>
      <c r="P49" s="229">
        <f>M49-J49</f>
        <v>-1</v>
      </c>
      <c r="Q49" s="230">
        <f>O49-L49</f>
        <v>-5.2301790281315732</v>
      </c>
      <c r="R49" s="52">
        <f>O49/L49</f>
        <v>0.95060386473431291</v>
      </c>
      <c r="S49" s="412">
        <f>R58</f>
        <v>0.9155175158548372</v>
      </c>
      <c r="T49" s="191">
        <v>0.29166666666666702</v>
      </c>
      <c r="U49" s="191">
        <v>0.33958333333333302</v>
      </c>
      <c r="V49" s="55"/>
      <c r="W49" s="193">
        <f t="shared" si="4"/>
        <v>68.999999999999034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4"/>
        <v>-189.56521739128175</v>
      </c>
      <c r="AG49" s="52">
        <f t="shared" si="25"/>
        <v>0.89468599033817675</v>
      </c>
      <c r="AH49" s="457">
        <f>AG58</f>
        <v>0.87401524352948157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1876</v>
      </c>
      <c r="H50" s="231">
        <f>F50*G50</f>
        <v>94342.164000000004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1308.8372093023302</v>
      </c>
      <c r="O50" s="235">
        <f>N50/M50</f>
        <v>81.802325581395635</v>
      </c>
      <c r="P50" s="74">
        <f>M50-J50</f>
        <v>-1</v>
      </c>
      <c r="Q50" s="83">
        <f>O50-L50</f>
        <v>-14.432968536251423</v>
      </c>
      <c r="R50" s="72">
        <f>O50/L50</f>
        <v>0.85002416557684957</v>
      </c>
      <c r="S50" s="413"/>
      <c r="T50" s="21">
        <v>0.34513888888888899</v>
      </c>
      <c r="U50" s="21">
        <v>0.40486111111111101</v>
      </c>
      <c r="V50" s="30">
        <f>(T50-U49)*24*60</f>
        <v>8.0000000000006111</v>
      </c>
      <c r="W50" s="236">
        <f t="shared" si="4"/>
        <v>85.999999999999687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4"/>
        <v>-327.16279069766983</v>
      </c>
      <c r="AG50" s="72">
        <f t="shared" si="25"/>
        <v>0.80002274407232898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2249</v>
      </c>
      <c r="H51" s="231">
        <f>F51*G51</f>
        <v>112382.53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1625.783132530117</v>
      </c>
      <c r="O51" s="235">
        <f>N51/M51</f>
        <v>101.61144578313231</v>
      </c>
      <c r="P51" s="74">
        <f>M51-J51</f>
        <v>0</v>
      </c>
      <c r="Q51" s="83">
        <f>O51-L51</f>
        <v>-10.888554216867689</v>
      </c>
      <c r="R51" s="72">
        <f>O51/L51</f>
        <v>0.90321285140562058</v>
      </c>
      <c r="S51" s="413"/>
      <c r="T51" s="21">
        <v>0.40972222222222199</v>
      </c>
      <c r="U51" s="19">
        <v>0.46736111111111101</v>
      </c>
      <c r="V51" s="30">
        <f>(T51-U50)*24*60</f>
        <v>6.9999999999998153</v>
      </c>
      <c r="W51" s="236">
        <f t="shared" si="4"/>
        <v>83.000000000000185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4"/>
        <v>-174.21686746988303</v>
      </c>
      <c r="AG51" s="72">
        <f t="shared" si="25"/>
        <v>0.90321285140562058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2487</v>
      </c>
      <c r="H52" s="231">
        <f>F52*G52</f>
        <v>124275.39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1604.5161290322665</v>
      </c>
      <c r="O52" s="235">
        <f>N52/M52</f>
        <v>106.96774193548443</v>
      </c>
      <c r="P52" s="74">
        <f>M52-J52</f>
        <v>-1</v>
      </c>
      <c r="Q52" s="83">
        <f>O52-L52</f>
        <v>-5.5322580645155739</v>
      </c>
      <c r="R52" s="72">
        <f>O52/L52</f>
        <v>0.95082437275986154</v>
      </c>
      <c r="S52" s="413"/>
      <c r="T52" s="21">
        <v>0.52430555555555602</v>
      </c>
      <c r="U52" s="21">
        <v>0.58888888888888902</v>
      </c>
      <c r="V52" s="30">
        <f>(T52-U51)*24*60</f>
        <v>82.000000000000824</v>
      </c>
      <c r="W52" s="236">
        <f t="shared" si="4"/>
        <v>92.999999999999517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24"/>
        <v>-195.48387096773354</v>
      </c>
      <c r="AG52" s="72">
        <f t="shared" si="25"/>
        <v>0.89139784946237022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4"/>
        <v>0</v>
      </c>
      <c r="AG53" s="72" t="e">
        <f t="shared" si="25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6">AVERAGE(J49:J57)</f>
        <v>16.5</v>
      </c>
      <c r="K58" s="120">
        <f t="shared" si="26"/>
        <v>1759</v>
      </c>
      <c r="L58" s="117">
        <f t="shared" si="26"/>
        <v>106.77941176470588</v>
      </c>
      <c r="M58" s="120">
        <f t="shared" si="26"/>
        <v>15.75</v>
      </c>
      <c r="N58" s="120">
        <f t="shared" si="26"/>
        <v>1537.392813368358</v>
      </c>
      <c r="O58" s="117">
        <f t="shared" si="26"/>
        <v>97.758421803264312</v>
      </c>
      <c r="P58" s="121">
        <f>M58-J58</f>
        <v>-0.75</v>
      </c>
      <c r="Q58" s="122">
        <f>N58-K58</f>
        <v>-221.60718663164198</v>
      </c>
      <c r="R58" s="123">
        <f>O58/L58</f>
        <v>0.9155175158548372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-221.60718663164198</v>
      </c>
      <c r="AG58" s="124">
        <f>N58/K58</f>
        <v>0.87401524352948157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3079</v>
      </c>
      <c r="H59" s="243">
        <f>F59*G59</f>
        <v>83102.209999999992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1466.1904761904766</v>
      </c>
      <c r="O59" s="138">
        <f>N59/M59</f>
        <v>104.72789115646262</v>
      </c>
      <c r="P59" s="56">
        <f>M59-J59</f>
        <v>-1</v>
      </c>
      <c r="Q59" s="230">
        <f>O59-L59</f>
        <v>-4.3387755102040444</v>
      </c>
      <c r="R59" s="52">
        <f>O59/L59</f>
        <v>0.96021905094556192</v>
      </c>
      <c r="S59" s="412">
        <f>R69</f>
        <v>0.94785588379741148</v>
      </c>
      <c r="T59" s="245">
        <v>0.29166666666666702</v>
      </c>
      <c r="U59" s="245">
        <v>0.37916666666666698</v>
      </c>
      <c r="V59" s="55"/>
      <c r="W59" s="54">
        <f t="shared" si="4"/>
        <v>125.99999999999996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-169.8095238095234</v>
      </c>
      <c r="AG59" s="246">
        <f>N59/K59</f>
        <v>0.89620444754919104</v>
      </c>
      <c r="AH59" s="457">
        <f>AG69</f>
        <v>0.92761663085623469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1437</v>
      </c>
      <c r="H60" s="78">
        <f>F60*G60</f>
        <v>40609.620000000003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1539.6428571428539</v>
      </c>
      <c r="O60" s="81">
        <f>N60/M60</f>
        <v>139.96753246753218</v>
      </c>
      <c r="P60" s="74">
        <f>M60-J60</f>
        <v>0</v>
      </c>
      <c r="Q60" s="83">
        <f>O60-L60</f>
        <v>-8.7597402597405392</v>
      </c>
      <c r="R60" s="72">
        <f>O60/L60</f>
        <v>0.94110199091861491</v>
      </c>
      <c r="S60" s="502"/>
      <c r="T60" s="22">
        <v>0.38611111111111102</v>
      </c>
      <c r="U60" s="22">
        <v>0.42499999999999999</v>
      </c>
      <c r="V60" s="30">
        <f>(T60-U59)*24*60</f>
        <v>9.9999999999994049</v>
      </c>
      <c r="W60" s="248">
        <f t="shared" si="4"/>
        <v>56.000000000000121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-96.357142857146073</v>
      </c>
      <c r="AG60" s="249">
        <f>N60/K60</f>
        <v>0.94110199091861491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1418</v>
      </c>
      <c r="H61" s="254">
        <f>F61*G61</f>
        <v>40072.68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1546.9090909090694</v>
      </c>
      <c r="O61" s="238">
        <f>N61/M61</f>
        <v>140.62809917355176</v>
      </c>
      <c r="P61" s="111">
        <f>M61-J61</f>
        <v>0</v>
      </c>
      <c r="Q61" s="255">
        <f>O61-L61</f>
        <v>-8.0991735537209593</v>
      </c>
      <c r="R61" s="85">
        <f>O61/L61</f>
        <v>0.94554345410089824</v>
      </c>
      <c r="S61" s="413"/>
      <c r="T61" s="22">
        <v>0.43194444444444402</v>
      </c>
      <c r="U61" s="22">
        <v>0.47013888888888899</v>
      </c>
      <c r="V61" s="30">
        <f>(T61-U60)*24*60</f>
        <v>9.9999999999994049</v>
      </c>
      <c r="W61" s="256">
        <f t="shared" si="4"/>
        <v>55.000000000000767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-89.090909090930609</v>
      </c>
      <c r="AG61" s="247">
        <f>N61/K61</f>
        <v>0.94554345410089813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7">AVERAGE(J59:J68)</f>
        <v>12.333333333333334</v>
      </c>
      <c r="K69" s="240">
        <f t="shared" si="27"/>
        <v>1636</v>
      </c>
      <c r="L69" s="268">
        <f t="shared" si="27"/>
        <v>135.50707070707071</v>
      </c>
      <c r="M69" s="240">
        <f t="shared" si="27"/>
        <v>12</v>
      </c>
      <c r="N69" s="240">
        <f t="shared" si="27"/>
        <v>1517.5808080807999</v>
      </c>
      <c r="O69" s="268">
        <f t="shared" si="27"/>
        <v>128.44117426584884</v>
      </c>
      <c r="P69" s="269">
        <f>M69-J69</f>
        <v>-0.33333333333333393</v>
      </c>
      <c r="Q69" s="222">
        <f>N69-K69</f>
        <v>-118.4191919192001</v>
      </c>
      <c r="R69" s="123">
        <f>O69/L69</f>
        <v>0.94785588379741148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-118.4191919192001</v>
      </c>
      <c r="AG69" s="124">
        <f>N69/K69</f>
        <v>0.92761663085623469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3227</v>
      </c>
      <c r="H70" s="243">
        <f>F70*G70</f>
        <v>91195.02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1290.7999999999956</v>
      </c>
      <c r="O70" s="138">
        <f>N70/M70</f>
        <v>129.07999999999956</v>
      </c>
      <c r="P70" s="56">
        <f>M70-J70</f>
        <v>-1</v>
      </c>
      <c r="Q70" s="230">
        <f>O70-L70</f>
        <v>-19.647272727273162</v>
      </c>
      <c r="R70" s="52">
        <f>O70/L70</f>
        <v>0.86789731051344454</v>
      </c>
      <c r="S70" s="412">
        <f>R79</f>
        <v>0.86451472219181835</v>
      </c>
      <c r="T70" s="245">
        <v>0.29513888888888901</v>
      </c>
      <c r="U70" s="245">
        <v>0.39930555555555602</v>
      </c>
      <c r="V70" s="55"/>
      <c r="W70" s="54">
        <f t="shared" si="4"/>
        <v>150.00000000000051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-345.20000000000437</v>
      </c>
      <c r="AG70" s="246">
        <f>N70/K70</f>
        <v>0.78899755501222224</v>
      </c>
      <c r="AH70" s="457">
        <f>AG79</f>
        <v>0.60847992238886017</v>
      </c>
    </row>
    <row r="71" spans="1:36" ht="15" customHeight="1">
      <c r="A71" s="495"/>
      <c r="B71" s="75" t="s">
        <v>81</v>
      </c>
      <c r="C71" s="76"/>
      <c r="D71" s="59" t="s">
        <v>181</v>
      </c>
      <c r="E71" s="77"/>
      <c r="F71" s="75">
        <f>VLOOKUP(D71,廠價表!$C$1:$E$43,3,0)</f>
        <v>43.89</v>
      </c>
      <c r="G71" s="30">
        <v>755</v>
      </c>
      <c r="H71" s="78">
        <f t="shared" ref="H71:H74" si="28">F71*G71</f>
        <v>33136.949999999997</v>
      </c>
      <c r="I71" s="232"/>
      <c r="J71" s="79">
        <f>VLOOKUP(D71,產線配置圖!$A$3:$C$40,2,0)</f>
        <v>17</v>
      </c>
      <c r="K71" s="80">
        <f>VLOOKUP(D71,產線配置圖!$A$3:$C$40,3,0)</f>
        <v>1636</v>
      </c>
      <c r="L71" s="81">
        <f t="shared" ref="L71:L74" si="29">K71/J71</f>
        <v>96.235294117647058</v>
      </c>
      <c r="M71" s="82">
        <v>10</v>
      </c>
      <c r="N71" s="107">
        <f t="shared" ref="N71:N74" si="30">G71/W71*60</f>
        <v>838.88888888888926</v>
      </c>
      <c r="O71" s="238">
        <f t="shared" ref="O71:O74" si="31">N71/M71</f>
        <v>83.888888888888928</v>
      </c>
      <c r="P71" s="111">
        <f t="shared" ref="P71:P74" si="32">M71-J71</f>
        <v>-7</v>
      </c>
      <c r="Q71" s="255">
        <f t="shared" ref="Q71:Q74" si="33">O71-L71</f>
        <v>-12.34640522875813</v>
      </c>
      <c r="R71" s="85">
        <f t="shared" ref="R71:R74" si="34">O71/L71</f>
        <v>0.87170605813637636</v>
      </c>
      <c r="S71" s="413"/>
      <c r="T71" s="22">
        <v>0.406944444444444</v>
      </c>
      <c r="U71" s="22">
        <v>0.44444444444444398</v>
      </c>
      <c r="V71" s="30">
        <f t="shared" ref="V71:V74" si="35">(T71-U70)*24*60</f>
        <v>10.999999999998682</v>
      </c>
      <c r="W71" s="73">
        <f t="shared" si="4"/>
        <v>53.999999999999972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153</v>
      </c>
      <c r="E72" s="77"/>
      <c r="F72" s="75">
        <f>VLOOKUP(D72,廠價表!$C$1:$E$43,3,0)</f>
        <v>50.67</v>
      </c>
      <c r="G72" s="202">
        <v>870</v>
      </c>
      <c r="H72" s="78">
        <f t="shared" si="28"/>
        <v>44082.9</v>
      </c>
      <c r="I72" s="232"/>
      <c r="J72" s="79">
        <f>VLOOKUP(D72,產線配置圖!$A$3:$C$40,2,0)</f>
        <v>16</v>
      </c>
      <c r="K72" s="80">
        <v>1565</v>
      </c>
      <c r="L72" s="81">
        <f t="shared" si="29"/>
        <v>97.8125</v>
      </c>
      <c r="M72" s="82">
        <v>12</v>
      </c>
      <c r="N72" s="107">
        <f t="shared" si="30"/>
        <v>1003.8461538461574</v>
      </c>
      <c r="O72" s="238">
        <f t="shared" si="31"/>
        <v>83.653846153846459</v>
      </c>
      <c r="P72" s="111">
        <f t="shared" si="32"/>
        <v>-4</v>
      </c>
      <c r="Q72" s="255">
        <f t="shared" si="33"/>
        <v>-14.158653846153541</v>
      </c>
      <c r="R72" s="85">
        <f t="shared" si="34"/>
        <v>0.85524698943229605</v>
      </c>
      <c r="S72" s="413"/>
      <c r="T72" s="22">
        <v>0.45138888888888901</v>
      </c>
      <c r="U72" s="22">
        <v>0.48749999999999999</v>
      </c>
      <c r="V72" s="30">
        <f t="shared" si="35"/>
        <v>10.000000000000844</v>
      </c>
      <c r="W72" s="73">
        <f t="shared" si="4"/>
        <v>51.999999999999815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153</v>
      </c>
      <c r="E73" s="87"/>
      <c r="F73" s="75">
        <f>VLOOKUP(D73,廠價表!$C$1:$E$43,3,0)</f>
        <v>50.67</v>
      </c>
      <c r="G73" s="202">
        <v>986</v>
      </c>
      <c r="H73" s="78">
        <f t="shared" si="28"/>
        <v>49960.62</v>
      </c>
      <c r="I73" s="232"/>
      <c r="J73" s="79">
        <f>VLOOKUP(D73,產線配置圖!$A$3:$C$40,2,0)</f>
        <v>16</v>
      </c>
      <c r="K73" s="80">
        <v>1565</v>
      </c>
      <c r="L73" s="81">
        <f t="shared" si="29"/>
        <v>97.8125</v>
      </c>
      <c r="M73" s="82">
        <v>11</v>
      </c>
      <c r="N73" s="107">
        <f t="shared" si="30"/>
        <v>910.15384615386506</v>
      </c>
      <c r="O73" s="238">
        <f t="shared" si="31"/>
        <v>82.741258741260467</v>
      </c>
      <c r="P73" s="111">
        <f t="shared" si="32"/>
        <v>-5</v>
      </c>
      <c r="Q73" s="255">
        <f t="shared" si="33"/>
        <v>-15.071241258739533</v>
      </c>
      <c r="R73" s="85">
        <f t="shared" si="34"/>
        <v>0.84591702227486743</v>
      </c>
      <c r="S73" s="413"/>
      <c r="T73" s="22">
        <v>0.55555555555555602</v>
      </c>
      <c r="U73" s="22">
        <v>0.60069444444444398</v>
      </c>
      <c r="V73" s="30">
        <f t="shared" si="35"/>
        <v>98.000000000000696</v>
      </c>
      <c r="W73" s="73">
        <f t="shared" si="4"/>
        <v>64.99999999999865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 t="s">
        <v>81</v>
      </c>
      <c r="C74" s="58"/>
      <c r="D74" s="259" t="s">
        <v>181</v>
      </c>
      <c r="E74" s="60"/>
      <c r="F74" s="75">
        <f>VLOOKUP(D74,廠價表!$C$1:$E$43,3,0)</f>
        <v>43.89</v>
      </c>
      <c r="G74" s="273">
        <v>466</v>
      </c>
      <c r="H74" s="78">
        <f t="shared" si="28"/>
        <v>20452.740000000002</v>
      </c>
      <c r="I74" s="182"/>
      <c r="J74" s="79">
        <f>VLOOKUP(D74,產線配置圖!$A$3:$C$40,2,0)</f>
        <v>17</v>
      </c>
      <c r="K74" s="80">
        <f>VLOOKUP(D74,產線配置圖!$A$3:$C$40,3,0)</f>
        <v>1636</v>
      </c>
      <c r="L74" s="81">
        <f t="shared" si="29"/>
        <v>96.235294117647058</v>
      </c>
      <c r="M74" s="94">
        <v>10</v>
      </c>
      <c r="N74" s="107">
        <f t="shared" si="30"/>
        <v>847.27272727275079</v>
      </c>
      <c r="O74" s="238">
        <f t="shared" si="31"/>
        <v>84.727272727275079</v>
      </c>
      <c r="P74" s="111">
        <f t="shared" si="32"/>
        <v>-7</v>
      </c>
      <c r="Q74" s="255">
        <f t="shared" si="33"/>
        <v>-11.508021390371979</v>
      </c>
      <c r="R74" s="85">
        <f t="shared" si="34"/>
        <v>0.88041787063794397</v>
      </c>
      <c r="S74" s="413"/>
      <c r="T74" s="22">
        <v>0.60555555555555596</v>
      </c>
      <c r="U74" s="22">
        <v>0.62847222222222199</v>
      </c>
      <c r="V74" s="30">
        <f t="shared" si="35"/>
        <v>7.0000000000012541</v>
      </c>
      <c r="W74" s="73">
        <f t="shared" si="4"/>
        <v>32.999999999999083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6">AVERAGE(J70:J78)</f>
        <v>15.4</v>
      </c>
      <c r="K79" s="240">
        <f t="shared" si="36"/>
        <v>1607.6</v>
      </c>
      <c r="L79" s="268">
        <f t="shared" si="36"/>
        <v>107.36457219251335</v>
      </c>
      <c r="M79" s="240">
        <f t="shared" si="36"/>
        <v>10.6</v>
      </c>
      <c r="N79" s="240">
        <f t="shared" si="36"/>
        <v>978.19232323233155</v>
      </c>
      <c r="O79" s="268">
        <f t="shared" si="36"/>
        <v>92.818253302254107</v>
      </c>
      <c r="P79" s="269">
        <f>M79-J79</f>
        <v>-4.8000000000000007</v>
      </c>
      <c r="Q79" s="222">
        <f>N79-K79</f>
        <v>-629.40767676766836</v>
      </c>
      <c r="R79" s="223">
        <f>O79/L79</f>
        <v>0.86451472219181835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-629.40767676766836</v>
      </c>
      <c r="AG79" s="124">
        <f>N79/K79</f>
        <v>0.60847992238886017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2" zoomScale="70" zoomScaleNormal="70" workbookViewId="0">
      <selection activeCell="U73" sqref="U7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46229</v>
      </c>
      <c r="E3" s="379"/>
      <c r="F3" s="3" t="s">
        <v>72</v>
      </c>
      <c r="G3" s="380">
        <f>'0726'!E1</f>
        <v>68181</v>
      </c>
      <c r="H3" s="380"/>
      <c r="I3" s="3" t="s">
        <v>2</v>
      </c>
      <c r="J3" s="381">
        <f>'0726'!G1</f>
        <v>3147403.476999999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124.74310675591137</v>
      </c>
      <c r="G6" s="386"/>
      <c r="H6" s="387">
        <f>AVERAGE(D13:H13)</f>
        <v>126.03836505542385</v>
      </c>
      <c r="I6" s="387"/>
      <c r="J6" s="387">
        <f>AVERAGE(I13:J13)</f>
        <v>121.50496100713011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111.64713795156614</v>
      </c>
      <c r="G7" s="410"/>
      <c r="H7" s="411">
        <f>AVERAGE(D14:H14)</f>
        <v>114.8886064247769</v>
      </c>
      <c r="I7" s="411"/>
      <c r="J7" s="411">
        <f>AVERAGE(I14:J14)</f>
        <v>103.54346676853925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0.8950164931360054</v>
      </c>
      <c r="G8" s="383"/>
      <c r="H8" s="383">
        <f>H7/H6</f>
        <v>0.91153678782056569</v>
      </c>
      <c r="I8" s="383"/>
      <c r="J8" s="383">
        <f>J7/J6</f>
        <v>0.85217480759870501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VALUE('0726'!L15)</f>
        <v>158.03571428571428</v>
      </c>
      <c r="E13" s="13">
        <f>VALUE('0726'!L26)</f>
        <v>173.76373626373626</v>
      </c>
      <c r="F13" s="13">
        <f>VALUE('0726'!L37)</f>
        <v>95.040305010893249</v>
      </c>
      <c r="G13" s="13">
        <f>VALUE('0726'!L48)</f>
        <v>98.681481481481498</v>
      </c>
      <c r="H13" s="13">
        <f>VALUE('0726'!L58)</f>
        <v>104.67058823529412</v>
      </c>
      <c r="I13" s="13">
        <f>VALUE('0726'!L69)</f>
        <v>132.86303030303029</v>
      </c>
      <c r="J13" s="13">
        <f>'0726'!L79</f>
        <v>110.14689171122994</v>
      </c>
    </row>
    <row r="14" spans="2:15" ht="39.950000000000003" customHeight="1">
      <c r="B14" s="404"/>
      <c r="C14" s="12" t="s">
        <v>100</v>
      </c>
      <c r="D14" s="13">
        <f>VALUE('0726'!O15)</f>
        <v>146.13111150452886</v>
      </c>
      <c r="E14" s="13">
        <f>VALUE('0726'!O26)</f>
        <v>157.08235802658865</v>
      </c>
      <c r="F14" s="13">
        <f>VALUE('0726'!O37)</f>
        <v>86.828088756466968</v>
      </c>
      <c r="G14" s="13">
        <f>VALUE('0726'!O48)</f>
        <v>91.856701475300611</v>
      </c>
      <c r="H14" s="13">
        <f>VALUE('0726'!O58)</f>
        <v>92.54477236099936</v>
      </c>
      <c r="I14" s="13">
        <f>VALUE('0726'!O69)</f>
        <v>115.19784754102193</v>
      </c>
      <c r="J14" s="13">
        <f>'0726'!O79</f>
        <v>91.889085996056565</v>
      </c>
    </row>
    <row r="15" spans="2:15" ht="39.950000000000003" customHeight="1">
      <c r="B15" s="405"/>
      <c r="C15" s="10" t="s">
        <v>26</v>
      </c>
      <c r="D15" s="14">
        <f t="shared" ref="D15:I15" si="1">D14/D13</f>
        <v>0.9246714400286572</v>
      </c>
      <c r="E15" s="14">
        <f t="shared" si="1"/>
        <v>0.90399965725973552</v>
      </c>
      <c r="F15" s="14">
        <f t="shared" si="1"/>
        <v>0.91359227799737153</v>
      </c>
      <c r="G15" s="14">
        <f t="shared" si="1"/>
        <v>0.93084031670661915</v>
      </c>
      <c r="H15" s="14">
        <f t="shared" si="1"/>
        <v>0.88415259645778865</v>
      </c>
      <c r="I15" s="14">
        <f t="shared" si="1"/>
        <v>0.86704215068918644</v>
      </c>
      <c r="J15" s="15">
        <f>'0726'!S70</f>
        <v>0.83424129876456676</v>
      </c>
    </row>
    <row r="16" spans="2:15" ht="17.25" customHeight="1">
      <c r="B16" s="406" t="s">
        <v>101</v>
      </c>
      <c r="C16" s="10" t="s">
        <v>34</v>
      </c>
      <c r="D16" s="16">
        <f>'0726'!T5</f>
        <v>0.29166666666666702</v>
      </c>
      <c r="E16" s="16">
        <f>'0726'!T16</f>
        <v>0.29027777777777802</v>
      </c>
      <c r="F16" s="16">
        <f>'0726'!T27</f>
        <v>0.28888888888888897</v>
      </c>
      <c r="G16" s="16">
        <f>'0726'!T38</f>
        <v>0.33333333333333298</v>
      </c>
      <c r="H16" s="16">
        <f>'0726'!T49</f>
        <v>0.29166666666666702</v>
      </c>
      <c r="I16" s="16">
        <f>'0726'!T59</f>
        <v>0.29166666666666702</v>
      </c>
      <c r="J16" s="16">
        <f>'0726'!T70</f>
        <v>0.30208333333333298</v>
      </c>
    </row>
    <row r="17" spans="2:10" ht="17.25" customHeight="1">
      <c r="B17" s="407"/>
      <c r="C17" s="10" t="s">
        <v>35</v>
      </c>
      <c r="D17" s="16">
        <v>0.625</v>
      </c>
      <c r="E17" s="19">
        <v>0.656944444444444</v>
      </c>
      <c r="F17" s="19">
        <v>0.60069444444444398</v>
      </c>
      <c r="G17" s="20">
        <v>0.63888888888888895</v>
      </c>
      <c r="H17" s="21">
        <v>0.65972222222222199</v>
      </c>
      <c r="I17" s="22">
        <v>0.65277777777777801</v>
      </c>
      <c r="J17" s="22">
        <v>0.60069444444444398</v>
      </c>
    </row>
    <row r="18" spans="2:10" ht="17.25" customHeight="1">
      <c r="B18" s="408" t="s">
        <v>102</v>
      </c>
      <c r="C18" s="330" t="s">
        <v>36</v>
      </c>
      <c r="D18" s="357">
        <f>'0726'!Z15</f>
        <v>0</v>
      </c>
      <c r="E18" s="358">
        <f>'0726'!Z26</f>
        <v>0</v>
      </c>
      <c r="F18" s="358">
        <f>'0726'!Z37</f>
        <v>0</v>
      </c>
      <c r="G18" s="359">
        <f>'0726'!Z48</f>
        <v>0</v>
      </c>
      <c r="H18" s="359">
        <f>'0726'!Z58</f>
        <v>0</v>
      </c>
      <c r="I18" s="358">
        <f>'0726'!Z69</f>
        <v>0</v>
      </c>
      <c r="J18" s="358">
        <f>'0726'!AA79</f>
        <v>0</v>
      </c>
    </row>
    <row r="19" spans="2:10" ht="17.25" customHeight="1">
      <c r="B19" s="409"/>
      <c r="C19" s="330" t="s">
        <v>37</v>
      </c>
      <c r="D19" s="357">
        <f>'0726'!AA15</f>
        <v>0</v>
      </c>
      <c r="E19" s="358">
        <f>'0726'!AA26</f>
        <v>0</v>
      </c>
      <c r="F19" s="358">
        <f>'0726'!AA37</f>
        <v>0</v>
      </c>
      <c r="G19" s="359">
        <f>'0726'!AA48</f>
        <v>0</v>
      </c>
      <c r="H19" s="359">
        <f>'0726'!AA58</f>
        <v>0</v>
      </c>
      <c r="I19" s="358">
        <f>'0726'!AA69</f>
        <v>0</v>
      </c>
      <c r="J19" s="358">
        <f>'0726'!AB79</f>
        <v>0</v>
      </c>
    </row>
    <row r="20" spans="2:10" ht="17.25" customHeight="1">
      <c r="B20" s="408" t="s">
        <v>103</v>
      </c>
      <c r="C20" s="330" t="s">
        <v>36</v>
      </c>
      <c r="D20" s="357">
        <f>'0726'!AD15</f>
        <v>0</v>
      </c>
      <c r="E20" s="358">
        <f>'0726'!AD26</f>
        <v>0</v>
      </c>
      <c r="F20" s="358">
        <f>'0726'!AD37</f>
        <v>0</v>
      </c>
      <c r="G20" s="359">
        <f>'0726'!AD48</f>
        <v>0</v>
      </c>
      <c r="H20" s="359">
        <f>'0726'!AD58</f>
        <v>0</v>
      </c>
      <c r="I20" s="358">
        <f>'0726'!AD69</f>
        <v>0</v>
      </c>
      <c r="J20" s="358">
        <f>'0726'!AD79</f>
        <v>0</v>
      </c>
    </row>
    <row r="21" spans="2:10" ht="17.25" customHeight="1">
      <c r="B21" s="409"/>
      <c r="C21" s="330" t="s">
        <v>85</v>
      </c>
      <c r="D21" s="357">
        <f>'0726'!AE15</f>
        <v>0</v>
      </c>
      <c r="E21" s="358">
        <f>'0726'!AE26</f>
        <v>0</v>
      </c>
      <c r="F21" s="358">
        <f>'0726'!AE37</f>
        <v>0</v>
      </c>
      <c r="G21" s="359">
        <f>'0726'!AE48</f>
        <v>0</v>
      </c>
      <c r="H21" s="359">
        <f>'0726'!AE58</f>
        <v>0</v>
      </c>
      <c r="I21" s="358">
        <f>'0726'!AE69</f>
        <v>0</v>
      </c>
      <c r="J21" s="358">
        <f>'0726'!AE79</f>
        <v>0</v>
      </c>
    </row>
    <row r="22" spans="2:10" ht="17.25" customHeight="1">
      <c r="B22" s="392" t="s">
        <v>104</v>
      </c>
      <c r="C22" s="393"/>
      <c r="D22" s="23">
        <f>VALUE('0726'!M15)</f>
        <v>14</v>
      </c>
      <c r="E22" s="23">
        <f>VALUE('0726'!M26)</f>
        <v>13</v>
      </c>
      <c r="F22" s="23">
        <f>VALUE('0726'!M37)</f>
        <v>17</v>
      </c>
      <c r="G22" s="23">
        <f>VALUE('0726'!M48)</f>
        <v>17</v>
      </c>
      <c r="H22" s="23">
        <f>VALUE('0726'!M58)</f>
        <v>16.2</v>
      </c>
      <c r="I22" s="23">
        <f>VALUE('0726'!M69)</f>
        <v>12.6</v>
      </c>
      <c r="J22" s="23">
        <f>'0726'!M79</f>
        <v>12.5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Normal="100" workbookViewId="0">
      <pane xSplit="5" ySplit="4" topLeftCell="I54" activePane="bottomRight" state="frozen"/>
      <selection activeCell="U73" sqref="U73"/>
      <selection pane="topRight" activeCell="U73" sqref="U73"/>
      <selection pane="bottomLeft" activeCell="U73" sqref="U73"/>
      <selection pane="bottomRight" activeCell="U73" sqref="U7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68181</v>
      </c>
      <c r="F1" s="30" t="s">
        <v>2</v>
      </c>
      <c r="G1" s="31">
        <f>SUM(H5:H79)</f>
        <v>3147403.476999999</v>
      </c>
      <c r="H1" s="32" t="s">
        <v>3</v>
      </c>
      <c r="I1" s="33">
        <f>M15+M26+M48+M58+M69+M79+M37</f>
        <v>102.3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216</v>
      </c>
      <c r="B2" s="418"/>
      <c r="C2" s="28"/>
      <c r="D2" s="28" t="s">
        <v>14</v>
      </c>
      <c r="E2" s="35">
        <f>AVERAGE(O15,O26,O37,O48,O58,O69,O79)</f>
        <v>111.64713795156614</v>
      </c>
      <c r="F2" s="36" t="s">
        <v>15</v>
      </c>
      <c r="G2" s="37">
        <f>G1/E1</f>
        <v>46.162471612326001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5645</v>
      </c>
      <c r="H5" s="43">
        <f>F5*G5</f>
        <v>281741.94999999995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2143.6708860759536</v>
      </c>
      <c r="O5" s="47">
        <f>N5/M5</f>
        <v>142.91139240506357</v>
      </c>
      <c r="P5" s="49">
        <f>M5-J5</f>
        <v>0</v>
      </c>
      <c r="Q5" s="50">
        <f>O5-L5</f>
        <v>-7.088607594936434</v>
      </c>
      <c r="R5" s="51">
        <f>O5/L5</f>
        <v>0.95274261603375709</v>
      </c>
      <c r="S5" s="412">
        <f>R15</f>
        <v>0.9246714400286572</v>
      </c>
      <c r="T5" s="319">
        <v>0.29166666666666702</v>
      </c>
      <c r="U5" s="320">
        <v>0.40138888888888902</v>
      </c>
      <c r="V5" s="53"/>
      <c r="W5" s="54">
        <f t="shared" ref="W5:W14" si="0">(U5-T5)*24*60</f>
        <v>157.99999999999969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-106.3291139240464</v>
      </c>
      <c r="AG5" s="52">
        <f t="shared" ref="AG5:AG11" si="2">N5/K5</f>
        <v>0.95274261603375721</v>
      </c>
      <c r="AH5" s="457">
        <f>AG15</f>
        <v>0.90956819739098016</v>
      </c>
    </row>
    <row r="6" spans="1:34" ht="15" customHeight="1">
      <c r="A6" s="42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3464</v>
      </c>
      <c r="H6" s="63">
        <f>F6*G6</f>
        <v>170220.96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2099.3939393939399</v>
      </c>
      <c r="O6" s="67">
        <f>N6/M6</f>
        <v>149.95670995671</v>
      </c>
      <c r="P6" s="69">
        <f>M6-J6</f>
        <v>0</v>
      </c>
      <c r="Q6" s="70">
        <f>O6-L6</f>
        <v>-10.757575757575722</v>
      </c>
      <c r="R6" s="71">
        <f>O6/L6</f>
        <v>0.93306397306397326</v>
      </c>
      <c r="S6" s="413"/>
      <c r="T6" s="16">
        <v>0.40763888888888899</v>
      </c>
      <c r="U6" s="16">
        <v>0.47638888888888897</v>
      </c>
      <c r="V6" s="30">
        <f>(T6-U5)*24*60</f>
        <v>8.999999999999968</v>
      </c>
      <c r="W6" s="73">
        <f t="shared" si="0"/>
        <v>98.999999999999972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-150.60606060606005</v>
      </c>
      <c r="AG6" s="72">
        <f t="shared" si="2"/>
        <v>0.93306397306397326</v>
      </c>
      <c r="AH6" s="458"/>
    </row>
    <row r="7" spans="1:34" ht="15" customHeight="1">
      <c r="A7" s="42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1002</v>
      </c>
      <c r="H7" s="78">
        <f>F7*G7</f>
        <v>58286.340000000004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13</v>
      </c>
      <c r="N7" s="80">
        <f>G7/W7*60</f>
        <v>1821.8181818181617</v>
      </c>
      <c r="O7" s="81">
        <f>N7/M7</f>
        <v>140.1398601398586</v>
      </c>
      <c r="P7" s="74">
        <f>M7-J7</f>
        <v>-1</v>
      </c>
      <c r="Q7" s="83">
        <f>O7-L7</f>
        <v>-20.574425574427124</v>
      </c>
      <c r="R7" s="72">
        <f>O7/L7</f>
        <v>0.8719813519813423</v>
      </c>
      <c r="S7" s="413"/>
      <c r="T7" s="18">
        <v>0.55208333333333304</v>
      </c>
      <c r="U7" s="18">
        <v>0.57499999999999996</v>
      </c>
      <c r="V7" s="30">
        <f>(T7-U6)*24*60</f>
        <v>108.99999999999946</v>
      </c>
      <c r="W7" s="73">
        <f t="shared" si="0"/>
        <v>33.000000000000362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-428.18181818183825</v>
      </c>
      <c r="AG7" s="72">
        <f t="shared" si="2"/>
        <v>0.80969696969696081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2298</v>
      </c>
      <c r="H8" s="78">
        <f>F8*G8</f>
        <v>112923.72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2121.2307692307663</v>
      </c>
      <c r="O8" s="81">
        <f>N8/M8</f>
        <v>151.51648351648331</v>
      </c>
      <c r="P8" s="74">
        <f>M8-J8</f>
        <v>0</v>
      </c>
      <c r="Q8" s="83">
        <f>O8-L8</f>
        <v>-9.1978021978024174</v>
      </c>
      <c r="R8" s="72">
        <f>O8/L8</f>
        <v>0.94276923076922936</v>
      </c>
      <c r="S8" s="413"/>
      <c r="T8" s="16">
        <v>0.57986111111111105</v>
      </c>
      <c r="U8" s="16">
        <v>0.625</v>
      </c>
      <c r="V8" s="30">
        <f>(T8-U7)*24*60</f>
        <v>6.9999999999999751</v>
      </c>
      <c r="W8" s="73">
        <f t="shared" si="0"/>
        <v>65.000000000000085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-128.76923076923367</v>
      </c>
      <c r="AG8" s="72">
        <f t="shared" si="2"/>
        <v>0.94276923076922947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</v>
      </c>
      <c r="N15" s="120">
        <f t="shared" si="3"/>
        <v>2046.5284441297053</v>
      </c>
      <c r="O15" s="117">
        <f t="shared" si="3"/>
        <v>146.13111150452886</v>
      </c>
      <c r="P15" s="121">
        <f>M15-J15</f>
        <v>-0.25</v>
      </c>
      <c r="Q15" s="122">
        <f>O15-L15</f>
        <v>-11.904602781185417</v>
      </c>
      <c r="R15" s="123">
        <f>O15/L15</f>
        <v>0.9246714400286572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-203.47155587029465</v>
      </c>
      <c r="AG15" s="124">
        <f>N15/K15</f>
        <v>0.90956819739098016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2349</v>
      </c>
      <c r="H16" s="134">
        <f>F16*G16</f>
        <v>119023.83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2168.3076923076896</v>
      </c>
      <c r="O16" s="141">
        <f>N16/M16</f>
        <v>166.79289940828383</v>
      </c>
      <c r="P16" s="142">
        <f>M16-J16</f>
        <v>0</v>
      </c>
      <c r="Q16" s="143">
        <f>O16-L16</f>
        <v>-6.2840236686392359</v>
      </c>
      <c r="R16" s="144">
        <f>O16/L16</f>
        <v>0.96369230769230663</v>
      </c>
      <c r="S16" s="468">
        <f>R26</f>
        <v>0.90399965725973552</v>
      </c>
      <c r="T16" s="145">
        <v>0.29027777777777802</v>
      </c>
      <c r="U16" s="145">
        <v>0.33541666666666697</v>
      </c>
      <c r="V16" s="135"/>
      <c r="W16" s="146">
        <f t="shared" ref="W16:W78" si="4">(U16-T16)*24*60</f>
        <v>65.000000000000085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-81.692307692310351</v>
      </c>
      <c r="AG16" s="52">
        <f>N16/K16</f>
        <v>0.96369230769230652</v>
      </c>
      <c r="AH16" s="457">
        <f>AG26</f>
        <v>0.90367781107781042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3093</v>
      </c>
      <c r="H17" s="78">
        <f>F17*G17</f>
        <v>175898.91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2108.8636363636401</v>
      </c>
      <c r="O17" s="96">
        <f>N17/M17</f>
        <v>150.63311688311714</v>
      </c>
      <c r="P17" s="97">
        <f>M17-J17</f>
        <v>0</v>
      </c>
      <c r="Q17" s="98">
        <f>O17-L17</f>
        <v>-10.081168831168583</v>
      </c>
      <c r="R17" s="99">
        <f>O17/L17</f>
        <v>0.93727272727272881</v>
      </c>
      <c r="S17" s="469"/>
      <c r="T17" s="19">
        <v>0.34166666666666701</v>
      </c>
      <c r="U17" s="19">
        <v>0.40277777777777801</v>
      </c>
      <c r="V17" s="30">
        <f>(T17-U16)*24*60</f>
        <v>9.000000000000048</v>
      </c>
      <c r="W17" s="149">
        <f t="shared" si="4"/>
        <v>87.999999999999844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-141.13636363635987</v>
      </c>
      <c r="AG17" s="72">
        <f>N17/K17</f>
        <v>0.93727272727272892</v>
      </c>
      <c r="AH17" s="458"/>
    </row>
    <row r="18" spans="1:34" ht="15" customHeight="1">
      <c r="A18" s="475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805</v>
      </c>
      <c r="H18" s="78">
        <f>F18*G18</f>
        <v>46826.85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1932.0000000000134</v>
      </c>
      <c r="O18" s="96">
        <f>N18/M18</f>
        <v>138.00000000000097</v>
      </c>
      <c r="P18" s="97">
        <f>M18-J18</f>
        <v>0</v>
      </c>
      <c r="Q18" s="98">
        <f>O18-L18</f>
        <v>-22.714285714284756</v>
      </c>
      <c r="R18" s="99">
        <f>O18/L18</f>
        <v>0.85866666666667268</v>
      </c>
      <c r="S18" s="469"/>
      <c r="T18" s="19">
        <v>0.41041666666666698</v>
      </c>
      <c r="U18" s="19">
        <v>0.42777777777777798</v>
      </c>
      <c r="V18" s="30">
        <f>(T18-U17)*24*60</f>
        <v>11.000000000000121</v>
      </c>
      <c r="W18" s="149">
        <f t="shared" si="4"/>
        <v>24.999999999999829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-317.99999999998658</v>
      </c>
      <c r="AG18" s="72">
        <f>N18/K18</f>
        <v>0.85866666666667268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2076</v>
      </c>
      <c r="H19" s="78">
        <f t="shared" ref="H19:H21" si="5">F19*G19</f>
        <v>104609.64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2075.9999999999827</v>
      </c>
      <c r="O19" s="96">
        <f t="shared" ref="O19:O21" si="8">N19/M19</f>
        <v>172.99999999999855</v>
      </c>
      <c r="P19" s="97">
        <f t="shared" ref="P19:P21" si="9">M19-J19</f>
        <v>0</v>
      </c>
      <c r="Q19" s="98">
        <f t="shared" ref="Q19:Q21" si="10">O19-L19</f>
        <v>-14.50000000000145</v>
      </c>
      <c r="R19" s="99">
        <f t="shared" ref="R19:R21" si="11">O19/L19</f>
        <v>0.92266666666665897</v>
      </c>
      <c r="S19" s="469"/>
      <c r="T19" s="19">
        <v>0.4375</v>
      </c>
      <c r="U19" s="19">
        <v>0.47916666666666702</v>
      </c>
      <c r="V19" s="30">
        <f>(T19-U18)*24*60</f>
        <v>13.99999999999971</v>
      </c>
      <c r="W19" s="149">
        <f t="shared" si="4"/>
        <v>60.000000000000504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-174.00000000001728</v>
      </c>
      <c r="AG19" s="72">
        <f>N19/K19</f>
        <v>0.92266666666665897</v>
      </c>
      <c r="AH19" s="459"/>
    </row>
    <row r="20" spans="1:34" ht="15" customHeight="1">
      <c r="A20" s="475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3065</v>
      </c>
      <c r="H20" s="78">
        <f t="shared" si="5"/>
        <v>154445.35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2020.8791208791033</v>
      </c>
      <c r="O20" s="96">
        <f t="shared" si="8"/>
        <v>168.40659340659195</v>
      </c>
      <c r="P20" s="97">
        <f t="shared" si="9"/>
        <v>0</v>
      </c>
      <c r="Q20" s="98">
        <f t="shared" si="10"/>
        <v>-19.093406593408048</v>
      </c>
      <c r="R20" s="99">
        <f t="shared" si="11"/>
        <v>0.89816849816849043</v>
      </c>
      <c r="S20" s="469"/>
      <c r="T20" s="19">
        <v>0.54861111111111105</v>
      </c>
      <c r="U20" s="19">
        <v>0.61180555555555605</v>
      </c>
      <c r="V20" s="30">
        <f>(T20-U19)*24*60</f>
        <v>99.999999999999403</v>
      </c>
      <c r="W20" s="149">
        <f t="shared" si="4"/>
        <v>91.000000000000796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1578</v>
      </c>
      <c r="H21" s="78">
        <f t="shared" si="5"/>
        <v>79957.260000000009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1893.6000000000129</v>
      </c>
      <c r="O21" s="96">
        <f t="shared" si="8"/>
        <v>145.66153846153946</v>
      </c>
      <c r="P21" s="97">
        <f t="shared" si="9"/>
        <v>0</v>
      </c>
      <c r="Q21" s="98">
        <f t="shared" si="10"/>
        <v>-27.415384615383601</v>
      </c>
      <c r="R21" s="99">
        <f t="shared" si="11"/>
        <v>0.8416000000000059</v>
      </c>
      <c r="S21" s="469"/>
      <c r="T21" s="19">
        <v>0.62222222222222201</v>
      </c>
      <c r="U21" s="19">
        <v>0.656944444444444</v>
      </c>
      <c r="V21" s="30">
        <f>(T21-U20)*24*60</f>
        <v>14.999999999998987</v>
      </c>
      <c r="W21" s="149">
        <f t="shared" si="4"/>
        <v>49.999999999999659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2033.2750749250736</v>
      </c>
      <c r="O26" s="158">
        <f t="shared" si="12"/>
        <v>157.08235802658865</v>
      </c>
      <c r="P26" s="159">
        <f>M26-J26</f>
        <v>0</v>
      </c>
      <c r="Q26" s="160">
        <f>O26-L26</f>
        <v>-16.681378237147612</v>
      </c>
      <c r="R26" s="161">
        <f>O26/L26</f>
        <v>0.90399965725973552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-216.72492507492643</v>
      </c>
      <c r="AG26" s="124">
        <f t="shared" ref="AG26:AG31" si="14">N26/K26</f>
        <v>0.90367781107781042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707</v>
      </c>
      <c r="H27" s="134">
        <f>F27*G27</f>
        <v>32281.62</v>
      </c>
      <c r="I27" s="135"/>
      <c r="J27" s="136">
        <f>VLOOKUP(D27,產線配置圖!$A$3:$C$40,2,0)</f>
        <v>17</v>
      </c>
      <c r="K27" s="137">
        <v>1656</v>
      </c>
      <c r="L27" s="138">
        <f>K27/J27</f>
        <v>97.411764705882348</v>
      </c>
      <c r="M27" s="170">
        <v>17</v>
      </c>
      <c r="N27" s="140">
        <f>G27/W27*60</f>
        <v>1571.1111111111074</v>
      </c>
      <c r="O27" s="141">
        <f>N27/M27</f>
        <v>92.418300653594557</v>
      </c>
      <c r="P27" s="142">
        <f>M27-J27</f>
        <v>0</v>
      </c>
      <c r="Q27" s="143">
        <f>O27-L27</f>
        <v>-4.9934640522877913</v>
      </c>
      <c r="R27" s="144">
        <f>O27/L27</f>
        <v>0.94873859366612778</v>
      </c>
      <c r="S27" s="468">
        <f>R37</f>
        <v>0.91359227799737153</v>
      </c>
      <c r="T27" s="171">
        <v>0.28888888888888897</v>
      </c>
      <c r="U27" s="171">
        <v>0.30763888888888902</v>
      </c>
      <c r="V27" s="135"/>
      <c r="W27" s="146">
        <f t="shared" si="4"/>
        <v>27.000000000000064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-84.888888888892552</v>
      </c>
      <c r="AG27" s="172">
        <f t="shared" si="14"/>
        <v>0.94873859366612767</v>
      </c>
      <c r="AH27" s="457">
        <f>AG37</f>
        <v>0.90510629056306913</v>
      </c>
    </row>
    <row r="28" spans="1:34" ht="15" customHeight="1">
      <c r="A28" s="466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1476</v>
      </c>
      <c r="H28" s="91">
        <f>F28*G28</f>
        <v>68397.840000000011</v>
      </c>
      <c r="I28" s="92"/>
      <c r="J28" s="79">
        <v>17</v>
      </c>
      <c r="K28" s="80">
        <v>1656</v>
      </c>
      <c r="L28" s="93">
        <f>K28/J28</f>
        <v>97.411764705882348</v>
      </c>
      <c r="M28" s="94">
        <v>17</v>
      </c>
      <c r="N28" s="95">
        <f>G28/W28*60</f>
        <v>1581.4285714285656</v>
      </c>
      <c r="O28" s="96">
        <f>N28/M28</f>
        <v>93.025210084033276</v>
      </c>
      <c r="P28" s="97">
        <f>M28-J28</f>
        <v>0</v>
      </c>
      <c r="Q28" s="98">
        <f>O28-L28</f>
        <v>-4.3865546218490721</v>
      </c>
      <c r="R28" s="99">
        <f>O28/L28</f>
        <v>0.95496894409937549</v>
      </c>
      <c r="S28" s="469"/>
      <c r="T28" s="19">
        <v>0.313194444444444</v>
      </c>
      <c r="U28" s="19">
        <v>0.35208333333333303</v>
      </c>
      <c r="V28" s="92">
        <f>(T28-U27)*24*60</f>
        <v>7.9999999999991722</v>
      </c>
      <c r="W28" s="149">
        <f t="shared" si="4"/>
        <v>56.000000000000199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3"/>
        <v>-74.571428571434353</v>
      </c>
      <c r="AG28" s="99">
        <f t="shared" si="14"/>
        <v>0.95496894409937538</v>
      </c>
      <c r="AH28" s="478"/>
    </row>
    <row r="29" spans="1:34" ht="15" customHeight="1">
      <c r="A29" s="466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1612</v>
      </c>
      <c r="H29" s="91">
        <f>F29*G29</f>
        <v>92222.52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1381.7142857142892</v>
      </c>
      <c r="O29" s="96">
        <f>N29/M29</f>
        <v>81.277310924369957</v>
      </c>
      <c r="P29" s="97">
        <f>M29-J29</f>
        <v>0</v>
      </c>
      <c r="Q29" s="98">
        <f>O29-L29</f>
        <v>-10.781512605041812</v>
      </c>
      <c r="R29" s="99">
        <f>O29/L29</f>
        <v>0.88288452761296432</v>
      </c>
      <c r="S29" s="469"/>
      <c r="T29" s="19">
        <v>0.35763888888888901</v>
      </c>
      <c r="U29" s="19">
        <v>0.40625</v>
      </c>
      <c r="V29" s="92">
        <f t="shared" ref="V29:V32" si="15">(T29-U28)*24*60</f>
        <v>8.0000000000006111</v>
      </c>
      <c r="W29" s="149">
        <f t="shared" si="4"/>
        <v>69.999999999999829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-183.28571428571081</v>
      </c>
      <c r="AG29" s="99">
        <f t="shared" si="14"/>
        <v>0.88288452761296432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1481</v>
      </c>
      <c r="H30" s="91">
        <f t="shared" ref="H30:H32" si="16">F30*G30</f>
        <v>84728.01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7">K30/J30</f>
        <v>90.888888888888886</v>
      </c>
      <c r="M30" s="94">
        <v>17</v>
      </c>
      <c r="N30" s="95">
        <f t="shared" ref="N30:N32" si="18">G30/W30*60</f>
        <v>1388.4375000000136</v>
      </c>
      <c r="O30" s="96">
        <f t="shared" ref="O30:O32" si="19">N30/M30</f>
        <v>81.672794117647868</v>
      </c>
      <c r="P30" s="97">
        <f t="shared" ref="P30:P32" si="20">M30-J30</f>
        <v>-1</v>
      </c>
      <c r="Q30" s="98">
        <f t="shared" ref="Q30:Q32" si="21">O30-L30</f>
        <v>-9.2160947712410177</v>
      </c>
      <c r="R30" s="99">
        <f t="shared" ref="R30:R32" si="22">O30/L30</f>
        <v>0.89860042427729936</v>
      </c>
      <c r="S30" s="469"/>
      <c r="T30" s="19">
        <v>0.41249999999999998</v>
      </c>
      <c r="U30" s="19">
        <v>0.45694444444444399</v>
      </c>
      <c r="V30" s="92">
        <f t="shared" si="15"/>
        <v>8.999999999999968</v>
      </c>
      <c r="W30" s="149">
        <f t="shared" si="4"/>
        <v>63.999999999999375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-247.56249999998636</v>
      </c>
      <c r="AG30" s="99">
        <f t="shared" si="14"/>
        <v>0.84867817848411586</v>
      </c>
      <c r="AH30" s="479"/>
    </row>
    <row r="31" spans="1:34" ht="15" customHeight="1">
      <c r="A31" s="466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1128</v>
      </c>
      <c r="H31" s="91">
        <f t="shared" si="16"/>
        <v>51504.479999999996</v>
      </c>
      <c r="I31" s="92"/>
      <c r="J31" s="79">
        <f>VLOOKUP(D31,產線配置圖!$A$3:$C$40,2,0)</f>
        <v>17</v>
      </c>
      <c r="K31" s="80">
        <v>1636</v>
      </c>
      <c r="L31" s="93">
        <f t="shared" si="17"/>
        <v>96.235294117647058</v>
      </c>
      <c r="M31" s="94">
        <v>17</v>
      </c>
      <c r="N31" s="95">
        <f t="shared" si="18"/>
        <v>1409.999999999972</v>
      </c>
      <c r="O31" s="96">
        <f t="shared" si="19"/>
        <v>82.941176470586583</v>
      </c>
      <c r="P31" s="97">
        <f t="shared" si="20"/>
        <v>0</v>
      </c>
      <c r="Q31" s="98">
        <f t="shared" si="21"/>
        <v>-13.294117647060474</v>
      </c>
      <c r="R31" s="99">
        <f t="shared" si="22"/>
        <v>0.86185819070902925</v>
      </c>
      <c r="S31" s="469"/>
      <c r="T31" s="19">
        <v>0.52569444444444402</v>
      </c>
      <c r="U31" s="19">
        <v>0.55902777777777801</v>
      </c>
      <c r="V31" s="92">
        <f t="shared" si="15"/>
        <v>99.000000000000043</v>
      </c>
      <c r="W31" s="149">
        <f t="shared" si="4"/>
        <v>48.000000000000952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-226.00000000002797</v>
      </c>
      <c r="AG31" s="99">
        <f t="shared" si="14"/>
        <v>0.86185819070902936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1346</v>
      </c>
      <c r="H32" s="91">
        <f t="shared" si="16"/>
        <v>62373.640000000007</v>
      </c>
      <c r="I32" s="92"/>
      <c r="J32" s="79">
        <v>17</v>
      </c>
      <c r="K32" s="80">
        <v>1636</v>
      </c>
      <c r="L32" s="93">
        <f t="shared" si="17"/>
        <v>96.235294117647058</v>
      </c>
      <c r="M32" s="94">
        <v>17</v>
      </c>
      <c r="N32" s="95">
        <f t="shared" si="18"/>
        <v>1523.7735849056839</v>
      </c>
      <c r="O32" s="96">
        <f t="shared" si="19"/>
        <v>89.633740288569641</v>
      </c>
      <c r="P32" s="97">
        <f t="shared" si="20"/>
        <v>0</v>
      </c>
      <c r="Q32" s="98">
        <f t="shared" si="21"/>
        <v>-6.6015538290774174</v>
      </c>
      <c r="R32" s="99">
        <f t="shared" si="22"/>
        <v>0.93140194676386545</v>
      </c>
      <c r="S32" s="469"/>
      <c r="T32" s="19">
        <v>0.56388888888888899</v>
      </c>
      <c r="U32" s="19">
        <v>0.60069444444444398</v>
      </c>
      <c r="V32" s="92">
        <f t="shared" si="15"/>
        <v>6.9999999999998153</v>
      </c>
      <c r="W32" s="149">
        <f t="shared" si="4"/>
        <v>52.999999999999176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1630.8333333333333</v>
      </c>
      <c r="L37" s="158">
        <f t="shared" si="23"/>
        <v>95.040305010893249</v>
      </c>
      <c r="M37" s="155">
        <f t="shared" si="23"/>
        <v>17</v>
      </c>
      <c r="N37" s="155">
        <f t="shared" si="23"/>
        <v>1476.0775088599385</v>
      </c>
      <c r="O37" s="158">
        <f t="shared" si="23"/>
        <v>86.828088756466968</v>
      </c>
      <c r="P37" s="159">
        <f>M37-J37</f>
        <v>-0.16666666666666785</v>
      </c>
      <c r="Q37" s="160">
        <f>N37-K37</f>
        <v>-154.7558244733948</v>
      </c>
      <c r="R37" s="161">
        <f>O37/L37</f>
        <v>0.91359227799737153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-154.7558244733948</v>
      </c>
      <c r="AG37" s="124">
        <f>N37/K37</f>
        <v>0.90510629056306913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3138</v>
      </c>
      <c r="H38" s="134">
        <f>F38*G38</f>
        <v>156617.57999999999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1637.2173913043503</v>
      </c>
      <c r="O38" s="141">
        <f>N38/M38</f>
        <v>109.14782608695668</v>
      </c>
      <c r="P38" s="142">
        <f>M38-J38</f>
        <v>0</v>
      </c>
      <c r="Q38" s="143">
        <f>O38-L38</f>
        <v>-5.1188405797099819</v>
      </c>
      <c r="R38" s="144">
        <f>O38/L38</f>
        <v>0.95520267870732223</v>
      </c>
      <c r="S38" s="490">
        <f>R48</f>
        <v>0.93084031670661915</v>
      </c>
      <c r="T38" s="191">
        <v>0.33333333333333298</v>
      </c>
      <c r="U38" s="191">
        <v>0.41319444444444398</v>
      </c>
      <c r="V38" s="192"/>
      <c r="W38" s="193">
        <f t="shared" si="4"/>
        <v>114.99999999999983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-76.782608695649742</v>
      </c>
      <c r="AG38" s="195">
        <f>N38/K38</f>
        <v>0.95520267870732223</v>
      </c>
      <c r="AH38" s="480">
        <f>AG48</f>
        <v>0.92916534324215061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2247</v>
      </c>
      <c r="H39" s="91">
        <f>F39*G39</f>
        <v>99542.099999999991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1532.0454545454572</v>
      </c>
      <c r="O39" s="203">
        <f>N39/M39</f>
        <v>85.113636363636516</v>
      </c>
      <c r="P39" s="97">
        <f>M39-J39</f>
        <v>0</v>
      </c>
      <c r="Q39" s="98">
        <f>O39-L39</f>
        <v>-5.7752525252523697</v>
      </c>
      <c r="R39" s="99">
        <f>O39/L39</f>
        <v>0.93645810180040179</v>
      </c>
      <c r="S39" s="491"/>
      <c r="T39" s="20">
        <v>0.422916666666667</v>
      </c>
      <c r="U39" s="20">
        <v>0.484027777777778</v>
      </c>
      <c r="V39" s="92">
        <f>(T39-U38)*24*60</f>
        <v>14.000000000001149</v>
      </c>
      <c r="W39" s="205">
        <f t="shared" si="4"/>
        <v>87.999999999999844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-103.95454545454277</v>
      </c>
      <c r="AG39" s="206">
        <f>N39/K39</f>
        <v>0.93645810180040168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3293</v>
      </c>
      <c r="H40" s="91">
        <f>F40*G40</f>
        <v>145879.9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1463.5555555555557</v>
      </c>
      <c r="O40" s="203">
        <f>N40/M40</f>
        <v>81.308641975308646</v>
      </c>
      <c r="P40" s="97">
        <f>M40-J40</f>
        <v>0</v>
      </c>
      <c r="Q40" s="98">
        <f>O40-L40</f>
        <v>-9.5802469135802397</v>
      </c>
      <c r="R40" s="99">
        <f>O40/L40</f>
        <v>0.89459386036403155</v>
      </c>
      <c r="S40" s="413"/>
      <c r="T40" s="20">
        <v>0.54513888888888895</v>
      </c>
      <c r="U40" s="20">
        <v>0.63888888888888895</v>
      </c>
      <c r="V40" s="92">
        <f>(T40-U39)*24*60</f>
        <v>87.999999999999773</v>
      </c>
      <c r="W40" s="205">
        <f t="shared" si="4"/>
        <v>135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-172.44444444444434</v>
      </c>
      <c r="AG40" s="206">
        <f>N40/K40</f>
        <v>0.89459386036403155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1544.2728004684543</v>
      </c>
      <c r="O48" s="158">
        <f t="shared" si="24"/>
        <v>91.856701475300611</v>
      </c>
      <c r="P48" s="221">
        <f>M48-J48</f>
        <v>0</v>
      </c>
      <c r="Q48" s="222">
        <f>N48-K48</f>
        <v>-117.72719953154569</v>
      </c>
      <c r="R48" s="223">
        <f>O48/L48</f>
        <v>0.93084031670661915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-117.72719953154569</v>
      </c>
      <c r="AG48" s="162">
        <f t="shared" ref="AG48:AG53" si="26">N48/K48</f>
        <v>0.92916534324215061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2569</v>
      </c>
      <c r="H49" s="134">
        <f>F49*G49</f>
        <v>127216.88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1712.6666666666667</v>
      </c>
      <c r="O49" s="141">
        <f>N49/M49</f>
        <v>100.74509803921569</v>
      </c>
      <c r="P49" s="229">
        <f>M49-J49</f>
        <v>0</v>
      </c>
      <c r="Q49" s="230">
        <f>O49-L49</f>
        <v>-5.1372549019607732</v>
      </c>
      <c r="R49" s="52">
        <f>O49/L49</f>
        <v>0.95148148148148159</v>
      </c>
      <c r="S49" s="412">
        <f>R58</f>
        <v>0.88415259645778865</v>
      </c>
      <c r="T49" s="191">
        <v>0.29166666666666702</v>
      </c>
      <c r="U49" s="191">
        <v>0.35416666666666702</v>
      </c>
      <c r="V49" s="55"/>
      <c r="W49" s="193">
        <f t="shared" si="4"/>
        <v>90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-87.333333333333258</v>
      </c>
      <c r="AG49" s="52">
        <f t="shared" si="26"/>
        <v>0.95148148148148148</v>
      </c>
      <c r="AH49" s="457">
        <f>AG58</f>
        <v>0.8653513476613427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1765</v>
      </c>
      <c r="H50" s="231">
        <f>F50*G50</f>
        <v>88760.085000000006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1412.0000000000098</v>
      </c>
      <c r="O50" s="235">
        <f>N50/M50</f>
        <v>88.250000000000611</v>
      </c>
      <c r="P50" s="74">
        <f>M50-J50</f>
        <v>-1</v>
      </c>
      <c r="Q50" s="83">
        <f>O50-L50</f>
        <v>-7.9852941176464469</v>
      </c>
      <c r="R50" s="72">
        <f>O50/L50</f>
        <v>0.91702322738386943</v>
      </c>
      <c r="S50" s="413"/>
      <c r="T50" s="21">
        <v>0.36111111111111099</v>
      </c>
      <c r="U50" s="21">
        <v>0.41319444444444398</v>
      </c>
      <c r="V50" s="30">
        <f>(T50-U49)*24*60</f>
        <v>9.999999999999325</v>
      </c>
      <c r="W50" s="236">
        <f t="shared" si="4"/>
        <v>74.999999999999488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-223.99999999999022</v>
      </c>
      <c r="AG50" s="72">
        <f t="shared" si="26"/>
        <v>0.86308068459658305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1874</v>
      </c>
      <c r="H51" s="231">
        <f>F51*G51</f>
        <v>93643.78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1561.666666666667</v>
      </c>
      <c r="O51" s="235">
        <f>N51/M51</f>
        <v>97.604166666666686</v>
      </c>
      <c r="P51" s="74">
        <f>M51-J51</f>
        <v>0</v>
      </c>
      <c r="Q51" s="83">
        <f>O51-L51</f>
        <v>-14.895833333333314</v>
      </c>
      <c r="R51" s="72">
        <f>O51/L51</f>
        <v>0.8675925925925928</v>
      </c>
      <c r="S51" s="413"/>
      <c r="T51" s="21">
        <v>0.42013888888888901</v>
      </c>
      <c r="U51" s="19">
        <v>0.47013888888888899</v>
      </c>
      <c r="V51" s="30">
        <f>(T51-U50)*24*60</f>
        <v>10.000000000000844</v>
      </c>
      <c r="W51" s="236">
        <f t="shared" si="4"/>
        <v>71.999999999999986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-238.33333333333303</v>
      </c>
      <c r="AG51" s="72">
        <f t="shared" si="26"/>
        <v>0.8675925925925928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3731</v>
      </c>
      <c r="H52" s="231">
        <f t="shared" ref="H52:H53" si="27">F52*G52</f>
        <v>186438.07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16</v>
      </c>
      <c r="N52" s="234">
        <f t="shared" ref="N52:N53" si="29">G52/W52*60</f>
        <v>1533.2876712328755</v>
      </c>
      <c r="O52" s="235">
        <f t="shared" ref="O52:O53" si="30">N52/M52</f>
        <v>95.830479452054718</v>
      </c>
      <c r="P52" s="74">
        <f t="shared" ref="P52:P53" si="31">M52-J52</f>
        <v>0</v>
      </c>
      <c r="Q52" s="83">
        <f t="shared" ref="Q52:Q53" si="32">O52-L52</f>
        <v>-16.669520547945282</v>
      </c>
      <c r="R52" s="72">
        <f t="shared" ref="R52:R53" si="33">O52/L52</f>
        <v>0.85182648401826411</v>
      </c>
      <c r="S52" s="413"/>
      <c r="T52" s="21">
        <v>0.52777777777777801</v>
      </c>
      <c r="U52" s="21">
        <v>0.62916666666666698</v>
      </c>
      <c r="V52" s="30">
        <f>(T52-U51)*24*60</f>
        <v>83.000000000000185</v>
      </c>
      <c r="W52" s="236">
        <f t="shared" si="4"/>
        <v>146.00000000000011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25"/>
        <v>-266.71232876712452</v>
      </c>
      <c r="AG52" s="72">
        <f t="shared" si="26"/>
        <v>0.85182648401826411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728</v>
      </c>
      <c r="H53" s="231">
        <f t="shared" si="27"/>
        <v>36610.392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16</v>
      </c>
      <c r="N53" s="234">
        <f t="shared" si="29"/>
        <v>1284.7058823529458</v>
      </c>
      <c r="O53" s="235">
        <f t="shared" si="30"/>
        <v>80.29411764705911</v>
      </c>
      <c r="P53" s="74">
        <f t="shared" si="31"/>
        <v>-1</v>
      </c>
      <c r="Q53" s="83">
        <f t="shared" si="32"/>
        <v>-15.941176470587948</v>
      </c>
      <c r="R53" s="72">
        <f t="shared" si="33"/>
        <v>0.83435207823961177</v>
      </c>
      <c r="S53" s="413"/>
      <c r="T53" s="21">
        <v>0.63611111111111096</v>
      </c>
      <c r="U53" s="21">
        <v>0.65972222222222199</v>
      </c>
      <c r="V53" s="30">
        <f>(T53-U52)*24*60</f>
        <v>9.999999999999325</v>
      </c>
      <c r="W53" s="236">
        <f t="shared" si="4"/>
        <v>33.999999999999879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-351.29411764705424</v>
      </c>
      <c r="AG53" s="72">
        <f t="shared" si="26"/>
        <v>0.78527254422551696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1734.4</v>
      </c>
      <c r="L58" s="117">
        <f t="shared" si="34"/>
        <v>104.67058823529412</v>
      </c>
      <c r="M58" s="120">
        <f t="shared" si="34"/>
        <v>16.2</v>
      </c>
      <c r="N58" s="120">
        <f t="shared" si="34"/>
        <v>1500.8653773838328</v>
      </c>
      <c r="O58" s="117">
        <f t="shared" si="34"/>
        <v>92.54477236099936</v>
      </c>
      <c r="P58" s="121">
        <f>M58-J58</f>
        <v>-0.40000000000000213</v>
      </c>
      <c r="Q58" s="122">
        <f>N58-K58</f>
        <v>-233.53462261616733</v>
      </c>
      <c r="R58" s="123">
        <f>O58/L58</f>
        <v>0.88415259645778865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-233.53462261616733</v>
      </c>
      <c r="AG58" s="124">
        <f>N58/K58</f>
        <v>0.8653513476613427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2221</v>
      </c>
      <c r="H59" s="243">
        <f>F59*G59</f>
        <v>59944.789999999994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1402.7368421052684</v>
      </c>
      <c r="O59" s="138">
        <f>N59/M59</f>
        <v>93.515789473684563</v>
      </c>
      <c r="P59" s="56">
        <f>M59-J59</f>
        <v>0</v>
      </c>
      <c r="Q59" s="230">
        <f>O59-L59</f>
        <v>-15.550877192982099</v>
      </c>
      <c r="R59" s="52">
        <f>O59/L59</f>
        <v>0.85741860764380717</v>
      </c>
      <c r="S59" s="412">
        <f>R69</f>
        <v>0.86704215068918644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-233.26315789473165</v>
      </c>
      <c r="AG59" s="246">
        <f>N59/K59</f>
        <v>0.85741860764380706</v>
      </c>
      <c r="AH59" s="457">
        <f>AG69</f>
        <v>0.87106415313581165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1807</v>
      </c>
      <c r="H60" s="78">
        <f>F60*G60</f>
        <v>51065.82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1355.2499999999884</v>
      </c>
      <c r="O60" s="81">
        <f>N60/M60</f>
        <v>123.2045454545444</v>
      </c>
      <c r="P60" s="74">
        <f>M60-J60</f>
        <v>0</v>
      </c>
      <c r="Q60" s="83">
        <f>O60-L60</f>
        <v>-25.522727272728318</v>
      </c>
      <c r="R60" s="72">
        <f>O60/L60</f>
        <v>0.82839242053789031</v>
      </c>
      <c r="S60" s="502"/>
      <c r="T60" s="22">
        <v>0.36458333333333298</v>
      </c>
      <c r="U60" s="22">
        <v>0.42013888888888901</v>
      </c>
      <c r="V60" s="30">
        <f>(T60-U59)*24*60</f>
        <v>9.999999999999325</v>
      </c>
      <c r="W60" s="248">
        <f t="shared" si="4"/>
        <v>80.000000000000682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-280.7500000000116</v>
      </c>
      <c r="AG60" s="249">
        <f>N60/K60</f>
        <v>0.8283924205378902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1844</v>
      </c>
      <c r="H61" s="254">
        <f>F61*G61</f>
        <v>52111.44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1333.0120481927681</v>
      </c>
      <c r="O61" s="238">
        <f>N61/M61</f>
        <v>121.18291347206983</v>
      </c>
      <c r="P61" s="111">
        <f>M61-J61</f>
        <v>0</v>
      </c>
      <c r="Q61" s="255">
        <f>O61-L61</f>
        <v>-27.544359255202892</v>
      </c>
      <c r="R61" s="85">
        <f>O61/L61</f>
        <v>0.81479954046012726</v>
      </c>
      <c r="S61" s="413"/>
      <c r="T61" s="22">
        <v>0.42708333333333298</v>
      </c>
      <c r="U61" s="22">
        <v>0.484722222222222</v>
      </c>
      <c r="V61" s="30">
        <f>(T61-U60)*24*60</f>
        <v>9.999999999999325</v>
      </c>
      <c r="W61" s="256">
        <f t="shared" si="4"/>
        <v>83.000000000000185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-302.98795180723187</v>
      </c>
      <c r="AG61" s="247">
        <f>N61/K61</f>
        <v>0.81479954046012726</v>
      </c>
      <c r="AH61" s="458"/>
    </row>
    <row r="62" spans="1:34" ht="15" customHeight="1">
      <c r="A62" s="500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2092</v>
      </c>
      <c r="H62" s="254">
        <f t="shared" ref="H62:H63" si="35">F62*G62</f>
        <v>59119.920000000006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6">K62/J62</f>
        <v>148.72727272727272</v>
      </c>
      <c r="M62" s="108">
        <v>11</v>
      </c>
      <c r="N62" s="107">
        <f t="shared" ref="N62:N63" si="37">G62/W62*60</f>
        <v>1476.7058823529353</v>
      </c>
      <c r="O62" s="238">
        <f t="shared" ref="O62:O63" si="38">N62/M62</f>
        <v>134.2459893048123</v>
      </c>
      <c r="P62" s="111">
        <f t="shared" ref="P62:P63" si="39">M62-J62</f>
        <v>0</v>
      </c>
      <c r="Q62" s="255">
        <f t="shared" ref="Q62:Q63" si="40">O62-L62</f>
        <v>-14.481283422460422</v>
      </c>
      <c r="R62" s="85">
        <f t="shared" ref="R62:R63" si="41">O62/L62</f>
        <v>0.9026319574284446</v>
      </c>
      <c r="S62" s="413"/>
      <c r="T62" s="22">
        <v>0.53472222222222199</v>
      </c>
      <c r="U62" s="22">
        <v>0.59375</v>
      </c>
      <c r="V62" s="30">
        <f t="shared" ref="V62:V63" si="42">(T62-U61)*24*60</f>
        <v>71.999999999999986</v>
      </c>
      <c r="W62" s="248">
        <f t="shared" si="4"/>
        <v>85.000000000000341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-159.2941176470647</v>
      </c>
      <c r="AG62" s="247">
        <f>N62/K62</f>
        <v>0.9026319574284446</v>
      </c>
      <c r="AH62" s="458"/>
    </row>
    <row r="63" spans="1:34" ht="15" customHeight="1">
      <c r="A63" s="500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1947</v>
      </c>
      <c r="H63" s="254">
        <f t="shared" si="35"/>
        <v>52549.53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6"/>
        <v>109.06666666666666</v>
      </c>
      <c r="M63" s="68">
        <v>15</v>
      </c>
      <c r="N63" s="107">
        <f t="shared" si="37"/>
        <v>1557.599999999979</v>
      </c>
      <c r="O63" s="238">
        <f t="shared" si="38"/>
        <v>103.8399999999986</v>
      </c>
      <c r="P63" s="111">
        <f t="shared" si="39"/>
        <v>0</v>
      </c>
      <c r="Q63" s="255">
        <f t="shared" si="40"/>
        <v>-5.2266666666680663</v>
      </c>
      <c r="R63" s="85">
        <f t="shared" si="41"/>
        <v>0.95207823960878912</v>
      </c>
      <c r="S63" s="413"/>
      <c r="T63" s="22">
        <v>0.60069444444444398</v>
      </c>
      <c r="U63" s="22">
        <v>0.65277777777777801</v>
      </c>
      <c r="V63" s="30">
        <f t="shared" si="42"/>
        <v>9.999999999999325</v>
      </c>
      <c r="W63" s="248">
        <f t="shared" si="4"/>
        <v>75.000000000001009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43">AVERAGE(J59:J68)</f>
        <v>12.6</v>
      </c>
      <c r="K69" s="240">
        <f t="shared" si="43"/>
        <v>1636</v>
      </c>
      <c r="L69" s="268">
        <f t="shared" si="43"/>
        <v>132.86303030303029</v>
      </c>
      <c r="M69" s="240">
        <f t="shared" si="43"/>
        <v>12.6</v>
      </c>
      <c r="N69" s="240">
        <f t="shared" si="43"/>
        <v>1425.0609545301879</v>
      </c>
      <c r="O69" s="268">
        <f t="shared" si="43"/>
        <v>115.19784754102193</v>
      </c>
      <c r="P69" s="269">
        <f>M69-J69</f>
        <v>0</v>
      </c>
      <c r="Q69" s="222">
        <f>N69-K69</f>
        <v>-210.93904546981207</v>
      </c>
      <c r="R69" s="123">
        <f>O69/L69</f>
        <v>0.86704215068918644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-210.93904546981207</v>
      </c>
      <c r="AG69" s="124">
        <f>N69/K69</f>
        <v>0.87106415313581165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1811</v>
      </c>
      <c r="H70" s="243">
        <f>F70*G70</f>
        <v>51178.86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1234.7727272727295</v>
      </c>
      <c r="O70" s="138">
        <f>N70/M70</f>
        <v>137.19696969696994</v>
      </c>
      <c r="P70" s="56">
        <f>M70-J70</f>
        <v>-2</v>
      </c>
      <c r="Q70" s="230">
        <f>O70-L70</f>
        <v>-11.530303030302775</v>
      </c>
      <c r="R70" s="52">
        <f>O70/L70</f>
        <v>0.9224735126324386</v>
      </c>
      <c r="S70" s="412">
        <f>R79</f>
        <v>0.83424129876456676</v>
      </c>
      <c r="T70" s="245">
        <v>0.30208333333333298</v>
      </c>
      <c r="U70" s="245">
        <v>0.36319444444444399</v>
      </c>
      <c r="V70" s="55"/>
      <c r="W70" s="54">
        <f t="shared" si="4"/>
        <v>87.999999999999844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-401.22727272727047</v>
      </c>
      <c r="AG70" s="246">
        <f>N70/K70</f>
        <v>0.75475105579017698</v>
      </c>
      <c r="AH70" s="457">
        <f>AG79</f>
        <v>0.68585317161472892</v>
      </c>
    </row>
    <row r="71" spans="1:36" ht="15" customHeight="1">
      <c r="A71" s="495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30">
        <v>1599</v>
      </c>
      <c r="H71" s="78">
        <f t="shared" ref="H71:H73" si="44">F71*G71</f>
        <v>70180.11</v>
      </c>
      <c r="I71" s="30"/>
      <c r="J71" s="79">
        <f>VLOOKUP(D71,產線配置圖!$A$3:$C$40,2,0)</f>
        <v>17</v>
      </c>
      <c r="K71" s="80">
        <f>VLOOKUP(D71,產線配置圖!$A$3:$C$40,3,0)</f>
        <v>1636</v>
      </c>
      <c r="L71" s="81">
        <f t="shared" ref="L71:L73" si="45">K71/J71</f>
        <v>96.235294117647058</v>
      </c>
      <c r="M71" s="82">
        <v>13</v>
      </c>
      <c r="N71" s="107">
        <f t="shared" ref="N71:N73" si="46">G71/W71*60</f>
        <v>896.6355140186987</v>
      </c>
      <c r="O71" s="238">
        <f t="shared" ref="O71:O73" si="47">N71/M71</f>
        <v>68.971962616822978</v>
      </c>
      <c r="P71" s="111">
        <f t="shared" ref="P71:P73" si="48">M71-J71</f>
        <v>-4</v>
      </c>
      <c r="Q71" s="255">
        <f t="shared" ref="Q71:Q73" si="49">O71-L71</f>
        <v>-27.26333150082408</v>
      </c>
      <c r="R71" s="85">
        <f t="shared" ref="R71:R73" si="50">O71/L71</f>
        <v>0.71670132303544665</v>
      </c>
      <c r="S71" s="413"/>
      <c r="T71" s="22">
        <v>0.37013888888888902</v>
      </c>
      <c r="U71" s="22">
        <v>0.44444444444444398</v>
      </c>
      <c r="V71" s="30">
        <f>(T71-U70)*24*60</f>
        <v>10.000000000000844</v>
      </c>
      <c r="W71" s="73">
        <f t="shared" si="4"/>
        <v>106.99999999999915</v>
      </c>
      <c r="X71" s="271"/>
      <c r="Y71" s="293"/>
      <c r="Z71" s="90"/>
      <c r="AA71" s="90"/>
      <c r="AB71" s="483" t="s">
        <v>217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153</v>
      </c>
      <c r="E72" s="77"/>
      <c r="F72" s="250">
        <f>VLOOKUP(D72,廠價表!$C$1:$E$43,3,0)</f>
        <v>50.67</v>
      </c>
      <c r="G72" s="202">
        <v>1001</v>
      </c>
      <c r="H72" s="78">
        <f t="shared" si="44"/>
        <v>50720.67</v>
      </c>
      <c r="I72" s="30"/>
      <c r="J72" s="79">
        <f>VLOOKUP(D72,產線配置圖!$A$3:$C$40,2,0)</f>
        <v>16</v>
      </c>
      <c r="K72" s="80">
        <v>1565</v>
      </c>
      <c r="L72" s="81">
        <f t="shared" si="45"/>
        <v>97.8125</v>
      </c>
      <c r="M72" s="82">
        <v>14</v>
      </c>
      <c r="N72" s="107">
        <f t="shared" si="46"/>
        <v>1133.207547169829</v>
      </c>
      <c r="O72" s="238">
        <f t="shared" si="47"/>
        <v>80.943396226416354</v>
      </c>
      <c r="P72" s="111">
        <f t="shared" si="48"/>
        <v>-2</v>
      </c>
      <c r="Q72" s="255">
        <f t="shared" si="49"/>
        <v>-16.869103773583646</v>
      </c>
      <c r="R72" s="85">
        <f t="shared" si="50"/>
        <v>0.8275363192477071</v>
      </c>
      <c r="S72" s="413"/>
      <c r="T72" s="22">
        <v>0.452777777777778</v>
      </c>
      <c r="U72" s="22">
        <v>0.48958333333333298</v>
      </c>
      <c r="V72" s="30">
        <f>(T72-U71)*24*60</f>
        <v>12.000000000000997</v>
      </c>
      <c r="W72" s="73">
        <f t="shared" si="4"/>
        <v>52.999999999999176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153</v>
      </c>
      <c r="E73" s="87"/>
      <c r="F73" s="250">
        <f>VLOOKUP(D73,廠價表!$C$1:$E$43,3,0)</f>
        <v>50.67</v>
      </c>
      <c r="G73" s="202">
        <v>1389</v>
      </c>
      <c r="H73" s="78">
        <f t="shared" si="44"/>
        <v>70380.63</v>
      </c>
      <c r="I73" s="30"/>
      <c r="J73" s="79">
        <f>VLOOKUP(D73,產線配置圖!$A$3:$C$40,2,0)</f>
        <v>16</v>
      </c>
      <c r="K73" s="80">
        <v>1565</v>
      </c>
      <c r="L73" s="81">
        <f t="shared" si="45"/>
        <v>97.8125</v>
      </c>
      <c r="M73" s="82">
        <v>14</v>
      </c>
      <c r="N73" s="107">
        <f t="shared" si="46"/>
        <v>1126.2162162162372</v>
      </c>
      <c r="O73" s="238">
        <f t="shared" si="47"/>
        <v>80.444015444016941</v>
      </c>
      <c r="P73" s="111">
        <f t="shared" si="48"/>
        <v>-2</v>
      </c>
      <c r="Q73" s="255">
        <f t="shared" si="49"/>
        <v>-17.368484555983059</v>
      </c>
      <c r="R73" s="85">
        <f t="shared" si="50"/>
        <v>0.82243082882062046</v>
      </c>
      <c r="S73" s="413"/>
      <c r="T73" s="22">
        <v>0.54930555555555605</v>
      </c>
      <c r="U73" s="22">
        <v>0.60069444444444398</v>
      </c>
      <c r="V73" s="30">
        <f>(T73-U72)*24*60</f>
        <v>86.000000000001208</v>
      </c>
      <c r="W73" s="73">
        <f t="shared" si="4"/>
        <v>73.999999999998622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51">AVERAGE(J70:J78)</f>
        <v>15</v>
      </c>
      <c r="K79" s="240">
        <f t="shared" si="51"/>
        <v>1600.5</v>
      </c>
      <c r="L79" s="268">
        <f t="shared" si="51"/>
        <v>110.14689171122994</v>
      </c>
      <c r="M79" s="240">
        <f t="shared" si="51"/>
        <v>12.5</v>
      </c>
      <c r="N79" s="240">
        <f t="shared" si="51"/>
        <v>1097.7080011693736</v>
      </c>
      <c r="O79" s="268">
        <f t="shared" si="51"/>
        <v>91.889085996056565</v>
      </c>
      <c r="P79" s="269">
        <f>M79-J79</f>
        <v>-2.5</v>
      </c>
      <c r="Q79" s="222">
        <f>N79-K79</f>
        <v>-502.79199883062643</v>
      </c>
      <c r="R79" s="223">
        <f>O79/L79</f>
        <v>0.83424129876456676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-502.79199883062643</v>
      </c>
      <c r="AG79" s="124">
        <f>N79/K79</f>
        <v>0.68585317161472892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17:AC17"/>
    <mergeCell ref="AB18:AC18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H3:H4"/>
    <mergeCell ref="I3:I4"/>
    <mergeCell ref="AB14:AC14"/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</mergeCells>
  <phoneticPr fontId="0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A3" zoomScale="70" zoomScaleNormal="70" workbookViewId="0">
      <selection activeCell="K82" sqref="K8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46230</v>
      </c>
      <c r="E3" s="379"/>
      <c r="F3" s="3" t="s">
        <v>72</v>
      </c>
      <c r="G3" s="380">
        <f>'0727'!E1</f>
        <v>69382</v>
      </c>
      <c r="H3" s="380"/>
      <c r="I3" s="3" t="s">
        <v>2</v>
      </c>
      <c r="J3" s="381">
        <f>'0727'!G1</f>
        <v>3197817.259000001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125.08069769088675</v>
      </c>
      <c r="G6" s="386"/>
      <c r="H6" s="387">
        <f>AVERAGE(D13:H13)</f>
        <v>126.5870587636764</v>
      </c>
      <c r="I6" s="387"/>
      <c r="J6" s="387">
        <f>AVERAGE(I13:J13)</f>
        <v>121.31479500891265</v>
      </c>
      <c r="K6" s="387"/>
      <c r="L6" s="503">
        <f>SUM(D18:J18)</f>
        <v>3</v>
      </c>
      <c r="M6" s="390">
        <f>SUM(D19:J19)</f>
        <v>15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114.10234925826144</v>
      </c>
      <c r="G7" s="410"/>
      <c r="H7" s="411">
        <f>AVERAGE(D14:H14)</f>
        <v>115.16350820698827</v>
      </c>
      <c r="I7" s="411"/>
      <c r="J7" s="411">
        <f>AVERAGE(I14:J14)</f>
        <v>111.44945188644431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0.912229875310128</v>
      </c>
      <c r="G8" s="383"/>
      <c r="H8" s="383">
        <f>H7/H6</f>
        <v>0.90975735854630613</v>
      </c>
      <c r="I8" s="383"/>
      <c r="J8" s="383">
        <f>J7/J6</f>
        <v>0.91867980223068779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VALUE('0727'!L15)</f>
        <v>158.03571428571428</v>
      </c>
      <c r="E13" s="13">
        <f>VALUE('0727'!L26)</f>
        <v>176.37362637362637</v>
      </c>
      <c r="F13" s="13">
        <f>VALUE('0727'!L37)</f>
        <v>95.17388344226579</v>
      </c>
      <c r="G13" s="13">
        <f>VALUE('0727'!L48)</f>
        <v>98.681481481481498</v>
      </c>
      <c r="H13" s="13">
        <f>VALUE('0727'!L58)</f>
        <v>104.67058823529412</v>
      </c>
      <c r="I13" s="13">
        <f>VALUE('0727'!L69)</f>
        <v>128.89696969696968</v>
      </c>
      <c r="J13" s="13">
        <f>'0727'!L79</f>
        <v>113.73262032085562</v>
      </c>
    </row>
    <row r="14" spans="2:15" ht="39.950000000000003" customHeight="1">
      <c r="B14" s="404"/>
      <c r="C14" s="12" t="s">
        <v>100</v>
      </c>
      <c r="D14" s="13">
        <f>VALUE('0727'!O15)</f>
        <v>144.58910419546731</v>
      </c>
      <c r="E14" s="13">
        <f>VALUE('0727'!O26)</f>
        <v>162.29168145823596</v>
      </c>
      <c r="F14" s="13">
        <f>VALUE('0727'!O37)</f>
        <v>82.958435485291048</v>
      </c>
      <c r="G14" s="13">
        <f>VALUE('0727'!O48)</f>
        <v>92.619462599854685</v>
      </c>
      <c r="H14" s="13">
        <f>VALUE('0727'!O58)</f>
        <v>93.358857296092381</v>
      </c>
      <c r="I14" s="13">
        <f>VALUE('0727'!O69)</f>
        <v>118.87599949070562</v>
      </c>
      <c r="J14" s="13">
        <f>'0727'!O79</f>
        <v>104.02290428218301</v>
      </c>
    </row>
    <row r="15" spans="2:15" ht="39.950000000000003" customHeight="1">
      <c r="B15" s="405"/>
      <c r="C15" s="10" t="s">
        <v>26</v>
      </c>
      <c r="D15" s="14">
        <f t="shared" ref="D15:I15" si="1">D14/D13</f>
        <v>0.91491410564363507</v>
      </c>
      <c r="E15" s="14">
        <f t="shared" si="1"/>
        <v>0.92015844315884565</v>
      </c>
      <c r="F15" s="14">
        <f t="shared" si="1"/>
        <v>0.87165126066979437</v>
      </c>
      <c r="G15" s="14">
        <f t="shared" si="1"/>
        <v>0.93856984319024028</v>
      </c>
      <c r="H15" s="14">
        <f t="shared" si="1"/>
        <v>0.89193018659861212</v>
      </c>
      <c r="I15" s="14">
        <f t="shared" si="1"/>
        <v>0.92225596746127658</v>
      </c>
      <c r="J15" s="15">
        <f>'0727'!S70</f>
        <v>0.91462681496935405</v>
      </c>
    </row>
    <row r="16" spans="2:15" ht="17.25" customHeight="1">
      <c r="B16" s="406" t="s">
        <v>101</v>
      </c>
      <c r="C16" s="10" t="s">
        <v>34</v>
      </c>
      <c r="D16" s="16">
        <f>'0727'!T5</f>
        <v>0.29375000000000001</v>
      </c>
      <c r="E16" s="16">
        <f>'0727'!T16</f>
        <v>0.29166666666666702</v>
      </c>
      <c r="F16" s="16">
        <f>'0727'!T27</f>
        <v>0.29166666666666702</v>
      </c>
      <c r="G16" s="16">
        <f>'0727'!T38</f>
        <v>0.33333333333333298</v>
      </c>
      <c r="H16" s="16">
        <f>'0727'!T49</f>
        <v>0.29166666666666702</v>
      </c>
      <c r="I16" s="16">
        <f>'0727'!T59</f>
        <v>0.29166666666666702</v>
      </c>
      <c r="J16" s="16">
        <f>'0727'!T70</f>
        <v>0.29513888888888901</v>
      </c>
    </row>
    <row r="17" spans="2:10" ht="17.25" customHeight="1">
      <c r="B17" s="407"/>
      <c r="C17" s="10" t="s">
        <v>35</v>
      </c>
      <c r="D17" s="16">
        <v>0.59166666666666701</v>
      </c>
      <c r="E17" s="19">
        <v>0.63333333333333297</v>
      </c>
      <c r="F17" s="19">
        <v>0.66874999999999996</v>
      </c>
      <c r="G17" s="20">
        <v>0.64930555555555602</v>
      </c>
      <c r="H17" s="21">
        <v>0.66388888888888897</v>
      </c>
      <c r="I17" s="22">
        <v>0.60069444444444398</v>
      </c>
      <c r="J17" s="22">
        <v>0.70138888888888895</v>
      </c>
    </row>
    <row r="18" spans="2:10" ht="17.25" customHeight="1">
      <c r="B18" s="408" t="s">
        <v>102</v>
      </c>
      <c r="C18" s="330" t="s">
        <v>36</v>
      </c>
      <c r="D18" s="357">
        <f>'0727'!Z15</f>
        <v>0</v>
      </c>
      <c r="E18" s="358">
        <f>'0727'!Z26</f>
        <v>0</v>
      </c>
      <c r="F18" s="358">
        <f>'0727'!Z37</f>
        <v>3</v>
      </c>
      <c r="G18" s="359">
        <f>'0727'!Z48</f>
        <v>0</v>
      </c>
      <c r="H18" s="359">
        <f>'0727'!Z58</f>
        <v>0</v>
      </c>
      <c r="I18" s="358">
        <f>'0727'!Z69</f>
        <v>0</v>
      </c>
      <c r="J18" s="358">
        <f>'0727'!AA79</f>
        <v>0</v>
      </c>
    </row>
    <row r="19" spans="2:10" ht="17.25" customHeight="1">
      <c r="B19" s="409"/>
      <c r="C19" s="330" t="s">
        <v>37</v>
      </c>
      <c r="D19" s="357">
        <f>'0727'!AA15</f>
        <v>0</v>
      </c>
      <c r="E19" s="358">
        <f>'0727'!AA26</f>
        <v>0</v>
      </c>
      <c r="F19" s="358">
        <f>'0727'!AA37</f>
        <v>15</v>
      </c>
      <c r="G19" s="359">
        <f>'0727'!AA48</f>
        <v>0</v>
      </c>
      <c r="H19" s="359">
        <f>'0727'!AA58</f>
        <v>0</v>
      </c>
      <c r="I19" s="358">
        <f>'0727'!AA69</f>
        <v>0</v>
      </c>
      <c r="J19" s="358">
        <f>'0727'!AB79</f>
        <v>0</v>
      </c>
    </row>
    <row r="20" spans="2:10" ht="17.25" customHeight="1">
      <c r="B20" s="408" t="s">
        <v>103</v>
      </c>
      <c r="C20" s="330" t="s">
        <v>36</v>
      </c>
      <c r="D20" s="357">
        <f>'0727'!AD15</f>
        <v>0</v>
      </c>
      <c r="E20" s="358">
        <f>'0727'!AD26</f>
        <v>0</v>
      </c>
      <c r="F20" s="358">
        <f>'0727'!AD37</f>
        <v>0</v>
      </c>
      <c r="G20" s="359">
        <f>'0727'!AD48</f>
        <v>0</v>
      </c>
      <c r="H20" s="359">
        <f>'0727'!AD58</f>
        <v>0</v>
      </c>
      <c r="I20" s="358">
        <f>'0727'!AD69</f>
        <v>0</v>
      </c>
      <c r="J20" s="358">
        <f>'0727'!AD79</f>
        <v>0</v>
      </c>
    </row>
    <row r="21" spans="2:10" ht="17.25" customHeight="1">
      <c r="B21" s="409"/>
      <c r="C21" s="330" t="s">
        <v>85</v>
      </c>
      <c r="D21" s="357">
        <f>'0727'!AE15</f>
        <v>0</v>
      </c>
      <c r="E21" s="358">
        <f>'0727'!AE26</f>
        <v>0</v>
      </c>
      <c r="F21" s="358">
        <f>'0727'!AE37</f>
        <v>0</v>
      </c>
      <c r="G21" s="359">
        <f>'0727'!AE48</f>
        <v>0</v>
      </c>
      <c r="H21" s="359">
        <f>'0727'!AE58</f>
        <v>0</v>
      </c>
      <c r="I21" s="358">
        <f>'0727'!AE69</f>
        <v>0</v>
      </c>
      <c r="J21" s="358">
        <f>'0727'!AE79</f>
        <v>0</v>
      </c>
    </row>
    <row r="22" spans="2:10" ht="17.25" customHeight="1">
      <c r="B22" s="392" t="s">
        <v>104</v>
      </c>
      <c r="C22" s="393"/>
      <c r="D22" s="23">
        <f>VALUE('0727'!M15)</f>
        <v>14.25</v>
      </c>
      <c r="E22" s="23">
        <f>VALUE('0727'!M26)</f>
        <v>12.8</v>
      </c>
      <c r="F22" s="23">
        <f>VALUE('0727'!M37)</f>
        <v>16.5</v>
      </c>
      <c r="G22" s="23">
        <f>VALUE('0727'!M48)</f>
        <v>16.666666666666668</v>
      </c>
      <c r="H22" s="23">
        <f>VALUE('0727'!M58)</f>
        <v>16.399999999999999</v>
      </c>
      <c r="I22" s="23">
        <f>VALUE('0727'!M69)</f>
        <v>12.75</v>
      </c>
      <c r="J22" s="23">
        <f>'0727'!M79</f>
        <v>11.666666666666666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Normal="100" workbookViewId="0">
      <pane xSplit="5" ySplit="4" topLeftCell="I26" activePane="bottomRight" state="frozen"/>
      <selection activeCell="K82" sqref="K82"/>
      <selection pane="topRight" activeCell="K82" sqref="K82"/>
      <selection pane="bottomLeft" activeCell="K82" sqref="K82"/>
      <selection pane="bottomRight" activeCell="K82" sqref="K8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69382</v>
      </c>
      <c r="F1" s="30" t="s">
        <v>2</v>
      </c>
      <c r="G1" s="31">
        <f>SUM(H5:H79)</f>
        <v>3197817.259000001</v>
      </c>
      <c r="H1" s="32" t="s">
        <v>3</v>
      </c>
      <c r="I1" s="33">
        <f>M15+M26+M48+M58+M69+M79+M37</f>
        <v>101.03333333333335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218</v>
      </c>
      <c r="B2" s="418"/>
      <c r="C2" s="28"/>
      <c r="D2" s="28" t="s">
        <v>14</v>
      </c>
      <c r="E2" s="35">
        <f>AVERAGE(O15,O26,O37,O48,O58,O69,O79)</f>
        <v>114.10234925826144</v>
      </c>
      <c r="F2" s="36" t="s">
        <v>15</v>
      </c>
      <c r="G2" s="37">
        <f>G1/E1</f>
        <v>46.090012668991974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3</v>
      </c>
      <c r="AA2" s="339">
        <f>AA15+AA26+AA37+AA48+AA58+AA69+AA79</f>
        <v>15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2480</v>
      </c>
      <c r="H5" s="43">
        <f>F5*G5</f>
        <v>125661.6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2066.666666666667</v>
      </c>
      <c r="O5" s="47">
        <f>N5/M5</f>
        <v>137.7777777777778</v>
      </c>
      <c r="P5" s="49">
        <f>M5-J5</f>
        <v>0</v>
      </c>
      <c r="Q5" s="50">
        <f>O5-L5</f>
        <v>-12.2222222222222</v>
      </c>
      <c r="R5" s="51">
        <f>O5/L5</f>
        <v>0.91851851851851862</v>
      </c>
      <c r="S5" s="412">
        <f>R15</f>
        <v>0.91491410564363507</v>
      </c>
      <c r="T5" s="319">
        <v>0.29375000000000001</v>
      </c>
      <c r="U5" s="320">
        <v>0.34375</v>
      </c>
      <c r="V5" s="53"/>
      <c r="W5" s="54">
        <f t="shared" ref="W5:W14" si="0">(U5-T5)*24*60</f>
        <v>71.999999999999986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-183.33333333333303</v>
      </c>
      <c r="AG5" s="52">
        <f t="shared" ref="AG5:AG11" si="2">N5/K5</f>
        <v>0.91851851851851862</v>
      </c>
      <c r="AH5" s="457">
        <f>AG15</f>
        <v>0.91497417919154966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2011</v>
      </c>
      <c r="H6" s="63">
        <f>F6*G6</f>
        <v>116979.87000000001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2045.0847457627219</v>
      </c>
      <c r="O6" s="67">
        <f>N6/M6</f>
        <v>146.07748184019442</v>
      </c>
      <c r="P6" s="69">
        <f>M6-J6</f>
        <v>0</v>
      </c>
      <c r="Q6" s="70">
        <f>O6-L6</f>
        <v>-14.636803874091299</v>
      </c>
      <c r="R6" s="71">
        <f>O6/L6</f>
        <v>0.90892655367232078</v>
      </c>
      <c r="S6" s="413"/>
      <c r="T6" s="16">
        <v>0.359027777777778</v>
      </c>
      <c r="U6" s="16">
        <v>0.4</v>
      </c>
      <c r="V6" s="30">
        <f>(T6-U5)*24*60</f>
        <v>22.00000000000032</v>
      </c>
      <c r="W6" s="73">
        <f t="shared" si="0"/>
        <v>58.999999999999709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-204.91525423727808</v>
      </c>
      <c r="AG6" s="72">
        <f t="shared" si="2"/>
        <v>0.90892655367232089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3459</v>
      </c>
      <c r="H7" s="78">
        <f>F7*G7</f>
        <v>169975.26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2139.5876288659833</v>
      </c>
      <c r="O7" s="81">
        <f>N7/M7</f>
        <v>152.82768777614166</v>
      </c>
      <c r="P7" s="74">
        <f>M7-J7</f>
        <v>0</v>
      </c>
      <c r="Q7" s="83">
        <f>O7-L7</f>
        <v>-7.8865979381440638</v>
      </c>
      <c r="R7" s="72">
        <f>O7/L7</f>
        <v>0.9509278350515481</v>
      </c>
      <c r="S7" s="413"/>
      <c r="T7" s="18">
        <v>0.40902777777777799</v>
      </c>
      <c r="U7" s="18">
        <v>0.47638888888888897</v>
      </c>
      <c r="V7" s="30">
        <f>(T7-U6)*24*60</f>
        <v>13.000000000000274</v>
      </c>
      <c r="W7" s="73">
        <f t="shared" si="0"/>
        <v>96.999999999999815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-110.41237113401667</v>
      </c>
      <c r="AG7" s="72">
        <f t="shared" si="2"/>
        <v>0.9509278350515481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2314</v>
      </c>
      <c r="H8" s="78">
        <f>F8*G8</f>
        <v>113709.96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1983.4285714285741</v>
      </c>
      <c r="O8" s="67">
        <f>N8/M8</f>
        <v>141.67346938775529</v>
      </c>
      <c r="P8" s="69">
        <f>M8-J8</f>
        <v>0</v>
      </c>
      <c r="Q8" s="70">
        <f>O8-L8</f>
        <v>-19.040816326530432</v>
      </c>
      <c r="R8" s="71">
        <f>O8/L8</f>
        <v>0.8815238095238106</v>
      </c>
      <c r="S8" s="413"/>
      <c r="T8" s="16">
        <v>0.54305555555555596</v>
      </c>
      <c r="U8" s="16">
        <v>0.59166666666666701</v>
      </c>
      <c r="V8" s="30">
        <f>(T8-U7)*24*60</f>
        <v>96.000000000000455</v>
      </c>
      <c r="W8" s="73">
        <f t="shared" si="0"/>
        <v>69.999999999999915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-266.57142857142594</v>
      </c>
      <c r="AG8" s="72">
        <f t="shared" si="2"/>
        <v>0.88152380952381071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14.25</v>
      </c>
      <c r="N15" s="120">
        <f t="shared" si="3"/>
        <v>2058.6919031809866</v>
      </c>
      <c r="O15" s="117">
        <f t="shared" si="3"/>
        <v>144.58910419546731</v>
      </c>
      <c r="P15" s="121">
        <f>M15-J15</f>
        <v>0</v>
      </c>
      <c r="Q15" s="122">
        <f>O15-L15</f>
        <v>-13.446610090246963</v>
      </c>
      <c r="R15" s="123">
        <f>O15/L15</f>
        <v>0.91491410564363507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-191.30809681901337</v>
      </c>
      <c r="AG15" s="124">
        <f>N15/K15</f>
        <v>0.91497417919154966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2189</v>
      </c>
      <c r="H16" s="134">
        <f>F16*G16</f>
        <v>110916.63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2118.3870967742228</v>
      </c>
      <c r="O16" s="141">
        <f>N16/M16</f>
        <v>162.95285359801713</v>
      </c>
      <c r="P16" s="142">
        <f>M16-J16</f>
        <v>0</v>
      </c>
      <c r="Q16" s="143">
        <f>O16-L16</f>
        <v>-10.124069478905938</v>
      </c>
      <c r="R16" s="144">
        <f>O16/L16</f>
        <v>0.94150537634409903</v>
      </c>
      <c r="S16" s="468">
        <f>R26</f>
        <v>0.92015844315884565</v>
      </c>
      <c r="T16" s="145">
        <v>0.29166666666666702</v>
      </c>
      <c r="U16" s="145">
        <v>0.33472222222222198</v>
      </c>
      <c r="V16" s="135"/>
      <c r="W16" s="146">
        <f t="shared" ref="W16:W78" si="4">(U16-T16)*24*60</f>
        <v>61.99999999999914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-131.61290322577725</v>
      </c>
      <c r="AG16" s="52">
        <f>N16/K16</f>
        <v>0.94150537634409903</v>
      </c>
      <c r="AH16" s="457">
        <f>AG26</f>
        <v>0.92189517491388973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3260</v>
      </c>
      <c r="H17" s="78">
        <f>F17*G17</f>
        <v>185396.19999999998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2149.4505494505643</v>
      </c>
      <c r="O17" s="96">
        <f>N17/M17</f>
        <v>153.53218210361175</v>
      </c>
      <c r="P17" s="97">
        <f>M17-J17</f>
        <v>0</v>
      </c>
      <c r="Q17" s="98">
        <f>O17-L17</f>
        <v>-7.1821036106739768</v>
      </c>
      <c r="R17" s="99">
        <f>O17/L17</f>
        <v>0.95531135531136191</v>
      </c>
      <c r="S17" s="469"/>
      <c r="T17" s="19">
        <v>0.34166666666666701</v>
      </c>
      <c r="U17" s="19">
        <v>0.40486111111111101</v>
      </c>
      <c r="V17" s="30">
        <f>(T17-U16)*24*60</f>
        <v>10.000000000000844</v>
      </c>
      <c r="W17" s="149">
        <f t="shared" si="4"/>
        <v>90.999999999999361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-100.54945054943573</v>
      </c>
      <c r="AG17" s="72">
        <f>N17/K17</f>
        <v>0.95531135531136191</v>
      </c>
      <c r="AH17" s="458"/>
    </row>
    <row r="18" spans="1:34" ht="15" customHeight="1">
      <c r="A18" s="475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3181</v>
      </c>
      <c r="H18" s="78">
        <f>F18*G18</f>
        <v>160290.59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2052.2580645161397</v>
      </c>
      <c r="O18" s="96">
        <f>N18/M18</f>
        <v>171.02150537634498</v>
      </c>
      <c r="P18" s="97">
        <f>M18-J18</f>
        <v>0</v>
      </c>
      <c r="Q18" s="98">
        <f>O18-L18</f>
        <v>-16.478494623655024</v>
      </c>
      <c r="R18" s="99">
        <f>O18/L18</f>
        <v>0.91211469534050649</v>
      </c>
      <c r="S18" s="469"/>
      <c r="T18" s="19">
        <v>0.41180555555555598</v>
      </c>
      <c r="U18" s="19">
        <v>0.47638888888888897</v>
      </c>
      <c r="V18" s="30">
        <f>(T18-U17)*24*60</f>
        <v>10.000000000000764</v>
      </c>
      <c r="W18" s="149">
        <f t="shared" si="4"/>
        <v>92.999999999999517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-197.74193548386029</v>
      </c>
      <c r="AG18" s="72">
        <f>N18/K18</f>
        <v>0.91211469534050649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2146</v>
      </c>
      <c r="H19" s="78">
        <f t="shared" ref="H19:H20" si="5">F19*G19</f>
        <v>108136.94</v>
      </c>
      <c r="I19" s="30"/>
      <c r="J19" s="79"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1921.7910447761492</v>
      </c>
      <c r="O19" s="96">
        <f t="shared" ref="O19:O20" si="8">N19/M19</f>
        <v>160.14925373134577</v>
      </c>
      <c r="P19" s="97">
        <f t="shared" ref="P19:P20" si="9">M19-J19</f>
        <v>0</v>
      </c>
      <c r="Q19" s="98">
        <f t="shared" ref="Q19:Q20" si="10">O19-L19</f>
        <v>-27.350746268654234</v>
      </c>
      <c r="R19" s="99">
        <f t="shared" ref="R19:R20" si="11">O19/L19</f>
        <v>0.85412935323384409</v>
      </c>
      <c r="S19" s="469"/>
      <c r="T19" s="19">
        <v>0.54166666666666696</v>
      </c>
      <c r="U19" s="19">
        <v>0.58819444444444402</v>
      </c>
      <c r="V19" s="30">
        <f>(T19-U18)*24*60</f>
        <v>94.000000000000313</v>
      </c>
      <c r="W19" s="149">
        <f t="shared" si="4"/>
        <v>66.999999999998963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-328.20895522385081</v>
      </c>
      <c r="AG19" s="72">
        <f>N19/K19</f>
        <v>0.85412935323384409</v>
      </c>
      <c r="AH19" s="459"/>
    </row>
    <row r="20" spans="1:34" ht="15" customHeight="1">
      <c r="A20" s="475"/>
      <c r="B20" s="75" t="s">
        <v>81</v>
      </c>
      <c r="C20" s="76"/>
      <c r="D20" s="59" t="s">
        <v>118</v>
      </c>
      <c r="E20" s="77"/>
      <c r="F20" s="75">
        <f>VLOOKUP(D20,廠價表!$C$1:$E$43,3,0)</f>
        <v>50.67</v>
      </c>
      <c r="G20" s="147">
        <v>1881</v>
      </c>
      <c r="H20" s="78">
        <f t="shared" si="5"/>
        <v>95310.27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2129.4339622641842</v>
      </c>
      <c r="O20" s="96">
        <f t="shared" si="8"/>
        <v>163.80261248186031</v>
      </c>
      <c r="P20" s="97">
        <f t="shared" si="9"/>
        <v>0</v>
      </c>
      <c r="Q20" s="98">
        <f t="shared" si="10"/>
        <v>-9.274310595062758</v>
      </c>
      <c r="R20" s="99">
        <f t="shared" si="11"/>
        <v>0.94641509433963744</v>
      </c>
      <c r="S20" s="469"/>
      <c r="T20" s="19">
        <v>0.59652777777777799</v>
      </c>
      <c r="U20" s="19">
        <v>0.63333333333333297</v>
      </c>
      <c r="V20" s="30">
        <f>(T20-U19)*24*60</f>
        <v>12.000000000000917</v>
      </c>
      <c r="W20" s="149">
        <f t="shared" si="4"/>
        <v>52.999999999999176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12.8</v>
      </c>
      <c r="K26" s="155">
        <f t="shared" si="12"/>
        <v>2250</v>
      </c>
      <c r="L26" s="158">
        <f t="shared" si="12"/>
        <v>176.37362637362637</v>
      </c>
      <c r="M26" s="155">
        <f t="shared" si="12"/>
        <v>12.8</v>
      </c>
      <c r="N26" s="155">
        <f t="shared" si="12"/>
        <v>2074.2641435562518</v>
      </c>
      <c r="O26" s="158">
        <f t="shared" si="12"/>
        <v>162.29168145823596</v>
      </c>
      <c r="P26" s="159">
        <f>M26-J26</f>
        <v>0</v>
      </c>
      <c r="Q26" s="160">
        <f>O26-L26</f>
        <v>-14.081944915390409</v>
      </c>
      <c r="R26" s="161">
        <f>O26/L26</f>
        <v>0.92015844315884565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-175.73585644374816</v>
      </c>
      <c r="AG26" s="124">
        <f t="shared" ref="AG26:AG31" si="14">N26/K26</f>
        <v>0.92189517491388973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1665</v>
      </c>
      <c r="H27" s="134">
        <f>F27*G27</f>
        <v>77156.100000000006</v>
      </c>
      <c r="I27" s="135"/>
      <c r="J27" s="136"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1513.6363636363744</v>
      </c>
      <c r="O27" s="141">
        <f>N27/M27</f>
        <v>89.037433155080848</v>
      </c>
      <c r="P27" s="142">
        <f>M27-J27</f>
        <v>0</v>
      </c>
      <c r="Q27" s="143">
        <f>O27-L27</f>
        <v>-7.1978609625662102</v>
      </c>
      <c r="R27" s="144">
        <f>O27/L27</f>
        <v>0.92520560124472762</v>
      </c>
      <c r="S27" s="468">
        <f>R37</f>
        <v>0.87165126066979437</v>
      </c>
      <c r="T27" s="171">
        <v>0.29166666666666702</v>
      </c>
      <c r="U27" s="171">
        <v>0.33750000000000002</v>
      </c>
      <c r="V27" s="135"/>
      <c r="W27" s="146">
        <f t="shared" si="4"/>
        <v>65.999999999999531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3"/>
        <v>-122.36363636362557</v>
      </c>
      <c r="AG27" s="172">
        <f t="shared" si="14"/>
        <v>0.92520560124472762</v>
      </c>
      <c r="AH27" s="457">
        <f>AG37</f>
        <v>0.85400937423259093</v>
      </c>
    </row>
    <row r="28" spans="1:34" ht="15" customHeight="1">
      <c r="A28" s="466"/>
      <c r="B28" s="75" t="s">
        <v>81</v>
      </c>
      <c r="C28" s="173"/>
      <c r="D28" s="59" t="s">
        <v>119</v>
      </c>
      <c r="E28" s="104"/>
      <c r="F28" s="75">
        <f>VLOOKUP(D28,廠價表!$C$1:$E$43,3,0)</f>
        <v>57.21</v>
      </c>
      <c r="G28" s="90">
        <v>2003</v>
      </c>
      <c r="H28" s="91">
        <f>F28*G28</f>
        <v>114591.63</v>
      </c>
      <c r="I28" s="92"/>
      <c r="J28" s="79">
        <f>VLOOKUP(D28,產線配置圖!$A$3:$C$40,2,0)</f>
        <v>17</v>
      </c>
      <c r="K28" s="80">
        <v>1565</v>
      </c>
      <c r="L28" s="93">
        <f>K28/J28</f>
        <v>92.058823529411768</v>
      </c>
      <c r="M28" s="94">
        <v>17</v>
      </c>
      <c r="N28" s="95">
        <f>G28/W28*60</f>
        <v>1133.7735849056619</v>
      </c>
      <c r="O28" s="96">
        <f>N28/M28</f>
        <v>66.692563817980115</v>
      </c>
      <c r="P28" s="97">
        <f>M28-J28</f>
        <v>0</v>
      </c>
      <c r="Q28" s="98">
        <f>O28-L28</f>
        <v>-25.366259711431653</v>
      </c>
      <c r="R28" s="99">
        <f>O28/L28</f>
        <v>0.72445596479595009</v>
      </c>
      <c r="S28" s="469"/>
      <c r="T28" s="19">
        <v>0.34166666666666701</v>
      </c>
      <c r="U28" s="19">
        <v>0.41527777777777802</v>
      </c>
      <c r="V28" s="92">
        <f>(T28-U27)*24*60</f>
        <v>6.0000000000004583</v>
      </c>
      <c r="W28" s="149">
        <f t="shared" si="4"/>
        <v>105.99999999999986</v>
      </c>
      <c r="X28" s="174"/>
      <c r="Y28" s="301"/>
      <c r="Z28" s="335">
        <v>3</v>
      </c>
      <c r="AA28" s="335">
        <v>15</v>
      </c>
      <c r="AB28" s="461" t="s">
        <v>219</v>
      </c>
      <c r="AC28" s="462"/>
      <c r="AD28" s="92"/>
      <c r="AE28" s="92"/>
      <c r="AF28" s="311">
        <f t="shared" si="13"/>
        <v>-431.22641509433811</v>
      </c>
      <c r="AG28" s="99">
        <f t="shared" si="14"/>
        <v>0.72445596479595009</v>
      </c>
      <c r="AH28" s="478"/>
    </row>
    <row r="29" spans="1:34" ht="15" customHeight="1">
      <c r="A29" s="466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1822</v>
      </c>
      <c r="H29" s="91">
        <f>F29*G29</f>
        <v>104236.62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1401.5384615384535</v>
      </c>
      <c r="O29" s="96">
        <f>N29/M29</f>
        <v>87.596153846153342</v>
      </c>
      <c r="P29" s="97">
        <f>M29-J29</f>
        <v>-2</v>
      </c>
      <c r="Q29" s="98">
        <f>O29-L29</f>
        <v>-3.2927350427355435</v>
      </c>
      <c r="R29" s="99">
        <f>O29/L29</f>
        <v>0.96377186383298297</v>
      </c>
      <c r="S29" s="469"/>
      <c r="T29" s="19">
        <v>0.42013888888888901</v>
      </c>
      <c r="U29" s="19">
        <v>0.47430555555555598</v>
      </c>
      <c r="V29" s="92">
        <f>(T29-U28)*24*60</f>
        <v>6.9999999999998153</v>
      </c>
      <c r="W29" s="149">
        <f t="shared" si="4"/>
        <v>78.000000000000441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-234.46153846154652</v>
      </c>
      <c r="AG29" s="99">
        <f t="shared" si="14"/>
        <v>0.85668610118487376</v>
      </c>
      <c r="AH29" s="478"/>
    </row>
    <row r="30" spans="1:34" ht="15" customHeight="1">
      <c r="A30" s="466"/>
      <c r="B30" s="75" t="s">
        <v>81</v>
      </c>
      <c r="C30" s="88"/>
      <c r="D30" s="59" t="s">
        <v>196</v>
      </c>
      <c r="E30" s="89"/>
      <c r="F30" s="75">
        <f>VLOOKUP(D30,廠價表!$C$1:$E$43,3,0)</f>
        <v>49.91</v>
      </c>
      <c r="G30" s="90">
        <v>1037</v>
      </c>
      <c r="H30" s="91">
        <f t="shared" ref="H30:H32" si="15">F30*G30</f>
        <v>51756.67</v>
      </c>
      <c r="I30" s="92"/>
      <c r="J30" s="79">
        <f>VLOOKUP(D30,產線配置圖!$A$3:$C$40,2,0)</f>
        <v>16</v>
      </c>
      <c r="K30" s="80">
        <v>1565</v>
      </c>
      <c r="L30" s="93">
        <f t="shared" ref="L30:L32" si="16">K30/J30</f>
        <v>97.8125</v>
      </c>
      <c r="M30" s="94">
        <v>16</v>
      </c>
      <c r="N30" s="95">
        <f t="shared" ref="N30:N32" si="17">G30/W30*60</f>
        <v>1269.7959183673784</v>
      </c>
      <c r="O30" s="96">
        <f t="shared" ref="O30:O32" si="18">N30/M30</f>
        <v>79.362244897961148</v>
      </c>
      <c r="P30" s="97">
        <f t="shared" ref="P30:P32" si="19">M30-J30</f>
        <v>0</v>
      </c>
      <c r="Q30" s="98">
        <f t="shared" ref="Q30:Q32" si="20">O30-L30</f>
        <v>-18.450255102038852</v>
      </c>
      <c r="R30" s="99">
        <f t="shared" ref="R30:R32" si="21">O30/L30</f>
        <v>0.81137119384497025</v>
      </c>
      <c r="S30" s="469"/>
      <c r="T30" s="19">
        <v>0.47916666666666702</v>
      </c>
      <c r="U30" s="19">
        <v>0.51319444444444395</v>
      </c>
      <c r="V30" s="92">
        <f>(T30-U29)*24*60</f>
        <v>6.9999999999998952</v>
      </c>
      <c r="W30" s="149">
        <f t="shared" si="4"/>
        <v>48.999999999998785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-295.20408163262164</v>
      </c>
      <c r="AG30" s="99">
        <f t="shared" si="14"/>
        <v>0.81137119384497025</v>
      </c>
      <c r="AH30" s="479"/>
    </row>
    <row r="31" spans="1:34" ht="15" customHeight="1">
      <c r="A31" s="466"/>
      <c r="B31" s="75" t="s">
        <v>81</v>
      </c>
      <c r="C31" s="88"/>
      <c r="D31" s="59" t="s">
        <v>196</v>
      </c>
      <c r="E31" s="89"/>
      <c r="F31" s="75">
        <f>VLOOKUP(D31,廠價表!$C$1:$E$43,3,0)</f>
        <v>49.91</v>
      </c>
      <c r="G31" s="90">
        <v>2150</v>
      </c>
      <c r="H31" s="91">
        <f t="shared" si="15"/>
        <v>107306.49999999999</v>
      </c>
      <c r="I31" s="92"/>
      <c r="J31" s="79">
        <f>VLOOKUP(D31,產線配置圖!$A$3:$C$40,2,0)</f>
        <v>16</v>
      </c>
      <c r="K31" s="80">
        <v>1565</v>
      </c>
      <c r="L31" s="93">
        <f t="shared" si="16"/>
        <v>97.8125</v>
      </c>
      <c r="M31" s="94">
        <v>16</v>
      </c>
      <c r="N31" s="95">
        <f t="shared" si="17"/>
        <v>1500.0000000000055</v>
      </c>
      <c r="O31" s="96">
        <f t="shared" si="18"/>
        <v>93.750000000000341</v>
      </c>
      <c r="P31" s="97">
        <f t="shared" si="19"/>
        <v>0</v>
      </c>
      <c r="Q31" s="98">
        <f t="shared" si="20"/>
        <v>-4.0624999999996589</v>
      </c>
      <c r="R31" s="99">
        <f t="shared" si="21"/>
        <v>0.95846645367412486</v>
      </c>
      <c r="S31" s="469"/>
      <c r="T31" s="19">
        <v>0.56597222222222199</v>
      </c>
      <c r="U31" s="19">
        <v>0.625694444444444</v>
      </c>
      <c r="V31" s="92">
        <f t="shared" ref="V31:V32" si="22">(T31-U30)*24*60</f>
        <v>76.000000000000369</v>
      </c>
      <c r="W31" s="149">
        <f t="shared" si="4"/>
        <v>85.999999999999687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-64.999999999994543</v>
      </c>
      <c r="AG31" s="99">
        <f t="shared" si="14"/>
        <v>0.95846645367412486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1198</v>
      </c>
      <c r="H32" s="91">
        <f t="shared" si="15"/>
        <v>55515.320000000007</v>
      </c>
      <c r="I32" s="92"/>
      <c r="J32" s="79"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1382.3076923076974</v>
      </c>
      <c r="O32" s="96">
        <f t="shared" si="18"/>
        <v>81.312217194570437</v>
      </c>
      <c r="P32" s="97">
        <f t="shared" si="19"/>
        <v>0</v>
      </c>
      <c r="Q32" s="98">
        <f t="shared" si="20"/>
        <v>-14.923076923076621</v>
      </c>
      <c r="R32" s="99">
        <f t="shared" si="21"/>
        <v>0.84493135226631877</v>
      </c>
      <c r="S32" s="469"/>
      <c r="T32" s="19">
        <v>0.63263888888888897</v>
      </c>
      <c r="U32" s="19">
        <v>0.66874999999999996</v>
      </c>
      <c r="V32" s="92">
        <f t="shared" si="22"/>
        <v>10.000000000000764</v>
      </c>
      <c r="W32" s="149">
        <f t="shared" si="4"/>
        <v>51.999999999999815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16.833333333333332</v>
      </c>
      <c r="K37" s="155">
        <f t="shared" si="23"/>
        <v>1600.5</v>
      </c>
      <c r="L37" s="158">
        <f t="shared" si="23"/>
        <v>95.17388344226579</v>
      </c>
      <c r="M37" s="155">
        <f t="shared" si="23"/>
        <v>16.5</v>
      </c>
      <c r="N37" s="155">
        <f t="shared" si="23"/>
        <v>1366.8420034592618</v>
      </c>
      <c r="O37" s="158">
        <f t="shared" si="23"/>
        <v>82.958435485291048</v>
      </c>
      <c r="P37" s="159">
        <f>M37-J37</f>
        <v>-0.33333333333333215</v>
      </c>
      <c r="Q37" s="160">
        <f>N37-K37</f>
        <v>-233.65799654073817</v>
      </c>
      <c r="R37" s="161">
        <f>O37/L37</f>
        <v>0.87165126066979437</v>
      </c>
      <c r="S37" s="470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15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-233.65799654073817</v>
      </c>
      <c r="AG37" s="124">
        <f>N37/K37</f>
        <v>0.85400937423259093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3185</v>
      </c>
      <c r="H38" s="134">
        <f>F38*G38</f>
        <v>158963.34999999998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1605.8823529411736</v>
      </c>
      <c r="O38" s="141">
        <f>N38/M38</f>
        <v>107.05882352941157</v>
      </c>
      <c r="P38" s="142">
        <f>M38-J38</f>
        <v>0</v>
      </c>
      <c r="Q38" s="143">
        <f>O38-L38</f>
        <v>-7.2078431372550966</v>
      </c>
      <c r="R38" s="144">
        <f>O38/L38</f>
        <v>0.93692085935891101</v>
      </c>
      <c r="S38" s="490">
        <f>R48</f>
        <v>0.93856984319024028</v>
      </c>
      <c r="T38" s="191">
        <v>0.33333333333333298</v>
      </c>
      <c r="U38" s="191">
        <v>0.41597222222222202</v>
      </c>
      <c r="V38" s="192"/>
      <c r="W38" s="193">
        <f t="shared" si="4"/>
        <v>119.00000000000021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-108.11764705882638</v>
      </c>
      <c r="AG38" s="195">
        <f>N38/K38</f>
        <v>0.93692085935891112</v>
      </c>
      <c r="AH38" s="480">
        <f>AG48</f>
        <v>0.921044283470842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2237</v>
      </c>
      <c r="H39" s="91">
        <f>F39*G39</f>
        <v>99099.099999999991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1491.3333333333333</v>
      </c>
      <c r="O39" s="203">
        <f>N39/M39</f>
        <v>82.851851851851848</v>
      </c>
      <c r="P39" s="97">
        <f>M39-J39</f>
        <v>0</v>
      </c>
      <c r="Q39" s="98">
        <f>O39-L39</f>
        <v>-8.0370370370370381</v>
      </c>
      <c r="R39" s="99">
        <f>O39/L39</f>
        <v>0.91157294213528928</v>
      </c>
      <c r="S39" s="491"/>
      <c r="T39" s="20">
        <v>0.43055555555555602</v>
      </c>
      <c r="U39" s="20">
        <v>0.49305555555555602</v>
      </c>
      <c r="V39" s="92">
        <f>(T39-U38)*24*60</f>
        <v>21.000000000000966</v>
      </c>
      <c r="W39" s="205">
        <f t="shared" si="4"/>
        <v>90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-144.66666666666674</v>
      </c>
      <c r="AG39" s="206">
        <f>N39/K39</f>
        <v>0.91157294213528928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3364</v>
      </c>
      <c r="H40" s="91">
        <f>F40*G40</f>
        <v>149025.19999999998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1495.1111111111111</v>
      </c>
      <c r="O40" s="203">
        <f>N40/M40</f>
        <v>87.947712418300654</v>
      </c>
      <c r="P40" s="97">
        <f>M40-J40</f>
        <v>-1</v>
      </c>
      <c r="Q40" s="98">
        <f>O40-L40</f>
        <v>-2.941176470588232</v>
      </c>
      <c r="R40" s="99">
        <f>O40/L40</f>
        <v>0.96763986768301458</v>
      </c>
      <c r="S40" s="413"/>
      <c r="T40" s="20">
        <v>0.55555555555555602</v>
      </c>
      <c r="U40" s="20">
        <v>0.64930555555555602</v>
      </c>
      <c r="V40" s="92">
        <f>(T40-U39)*24*60</f>
        <v>90</v>
      </c>
      <c r="W40" s="205">
        <f t="shared" si="4"/>
        <v>135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-140.88888888888891</v>
      </c>
      <c r="AG40" s="206">
        <f>N40/K40</f>
        <v>0.91388209725618041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16.666666666666668</v>
      </c>
      <c r="N48" s="155">
        <f t="shared" si="24"/>
        <v>1530.7755991285394</v>
      </c>
      <c r="O48" s="158">
        <f t="shared" si="24"/>
        <v>92.619462599854685</v>
      </c>
      <c r="P48" s="221">
        <f>M48-J48</f>
        <v>-0.33333333333333215</v>
      </c>
      <c r="Q48" s="222">
        <f>N48-K48</f>
        <v>-131.2244008714606</v>
      </c>
      <c r="R48" s="223">
        <f t="shared" ref="R48:R53" si="25">O48/L48</f>
        <v>0.93856984319024028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6">N48-K48</f>
        <v>-131.2244008714606</v>
      </c>
      <c r="AG48" s="162">
        <f t="shared" ref="AG48:AG53" si="27">N48/K48</f>
        <v>0.921044283470842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2862</v>
      </c>
      <c r="H49" s="134">
        <f>F49*G49</f>
        <v>141726.24000000002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1635.4285714285872</v>
      </c>
      <c r="O49" s="141">
        <f>N49/M49</f>
        <v>96.201680672269845</v>
      </c>
      <c r="P49" s="229">
        <f>M49-J49</f>
        <v>0</v>
      </c>
      <c r="Q49" s="230">
        <f>O49-L49</f>
        <v>-9.6806722689066191</v>
      </c>
      <c r="R49" s="52">
        <f t="shared" si="25"/>
        <v>0.90857142857143747</v>
      </c>
      <c r="S49" s="412">
        <f>R58</f>
        <v>0.89193018659861212</v>
      </c>
      <c r="T49" s="191">
        <v>0.29166666666666702</v>
      </c>
      <c r="U49" s="191">
        <v>0.36458333333333298</v>
      </c>
      <c r="V49" s="55"/>
      <c r="W49" s="193">
        <f t="shared" si="4"/>
        <v>104.99999999999899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6"/>
        <v>-164.57142857141275</v>
      </c>
      <c r="AG49" s="52">
        <f t="shared" si="27"/>
        <v>0.90857142857143736</v>
      </c>
      <c r="AH49" s="457">
        <f>AG58</f>
        <v>0.88307772898232895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2032</v>
      </c>
      <c r="H50" s="231">
        <f>F50*G50</f>
        <v>102187.24800000001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1583.3766233766305</v>
      </c>
      <c r="O50" s="235">
        <f>N50/M50</f>
        <v>93.139801375095914</v>
      </c>
      <c r="P50" s="74">
        <f>M50-J50</f>
        <v>0</v>
      </c>
      <c r="Q50" s="83">
        <f>O50-L50</f>
        <v>-3.0954927425511443</v>
      </c>
      <c r="R50" s="72">
        <f t="shared" si="25"/>
        <v>0.96783412186835605</v>
      </c>
      <c r="S50" s="413"/>
      <c r="T50" s="21">
        <v>0.37013888888888902</v>
      </c>
      <c r="U50" s="21">
        <v>0.42361111111111099</v>
      </c>
      <c r="V50" s="30">
        <f>(T50-U49)*24*60</f>
        <v>8.000000000000691</v>
      </c>
      <c r="W50" s="236">
        <f t="shared" si="4"/>
        <v>76.999999999999645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6"/>
        <v>-52.623376623369495</v>
      </c>
      <c r="AG50" s="72">
        <f t="shared" si="27"/>
        <v>0.96783412186835605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1729</v>
      </c>
      <c r="H51" s="231">
        <f>F51*G51</f>
        <v>86398.13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1525.5882352941251</v>
      </c>
      <c r="O51" s="235">
        <f>N51/M51</f>
        <v>95.349264705882817</v>
      </c>
      <c r="P51" s="74">
        <f>M51-J51</f>
        <v>0</v>
      </c>
      <c r="Q51" s="83">
        <f>O51-L51</f>
        <v>-17.150735294117183</v>
      </c>
      <c r="R51" s="72">
        <f t="shared" si="25"/>
        <v>0.84754901960784723</v>
      </c>
      <c r="S51" s="413"/>
      <c r="T51" s="21">
        <v>0.42916666666666697</v>
      </c>
      <c r="U51" s="19">
        <v>0.47638888888888897</v>
      </c>
      <c r="V51" s="30">
        <f>(T51-U50)*24*60</f>
        <v>8.0000000000006111</v>
      </c>
      <c r="W51" s="236">
        <f t="shared" si="4"/>
        <v>67.999999999999673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6"/>
        <v>-274.41176470587493</v>
      </c>
      <c r="AG51" s="72">
        <f t="shared" si="27"/>
        <v>0.84754901960784723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3972</v>
      </c>
      <c r="H52" s="231">
        <f t="shared" ref="H52:H53" si="28">F52*G52</f>
        <v>198480.84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9">K52/J52</f>
        <v>112.5</v>
      </c>
      <c r="M52" s="233">
        <v>16</v>
      </c>
      <c r="N52" s="234">
        <f>G52/W52*60</f>
        <v>1599.463087248326</v>
      </c>
      <c r="O52" s="235">
        <f>N52/M52</f>
        <v>99.966442953020376</v>
      </c>
      <c r="P52" s="74">
        <f>M52-J52</f>
        <v>0</v>
      </c>
      <c r="Q52" s="83">
        <f>O52-L52</f>
        <v>-12.533557046979624</v>
      </c>
      <c r="R52" s="72">
        <f t="shared" si="25"/>
        <v>0.88859060402684775</v>
      </c>
      <c r="S52" s="413"/>
      <c r="T52" s="21">
        <v>0.53263888888888899</v>
      </c>
      <c r="U52" s="21">
        <v>0.63611111111111096</v>
      </c>
      <c r="V52" s="30">
        <f>(T52-U51)*24*60</f>
        <v>81.000000000000028</v>
      </c>
      <c r="W52" s="236">
        <f t="shared" si="4"/>
        <v>148.99999999999963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6"/>
        <v>-200.53691275167398</v>
      </c>
      <c r="AG52" s="72">
        <f t="shared" si="27"/>
        <v>0.88859060402684775</v>
      </c>
      <c r="AH52" s="458"/>
    </row>
    <row r="53" spans="1:34" ht="15" customHeight="1">
      <c r="A53" s="485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679</v>
      </c>
      <c r="H53" s="231">
        <f t="shared" si="28"/>
        <v>34146.231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9"/>
        <v>96.235294117647058</v>
      </c>
      <c r="M53" s="108">
        <v>16</v>
      </c>
      <c r="N53" s="234">
        <f>G53/W53*60</f>
        <v>1314.193548387088</v>
      </c>
      <c r="O53" s="235">
        <f>N53/M53</f>
        <v>82.137096774192997</v>
      </c>
      <c r="P53" s="74">
        <f>M53-J53</f>
        <v>-1</v>
      </c>
      <c r="Q53" s="83">
        <f>O53-L53</f>
        <v>-14.098197343454061</v>
      </c>
      <c r="R53" s="72">
        <f t="shared" si="25"/>
        <v>0.85350283934063631</v>
      </c>
      <c r="S53" s="413"/>
      <c r="T53" s="21">
        <v>0.64236111111111105</v>
      </c>
      <c r="U53" s="21">
        <v>0.66388888888888897</v>
      </c>
      <c r="V53" s="30">
        <f>(T53-U52)*24*60</f>
        <v>9.0000000000001279</v>
      </c>
      <c r="W53" s="236">
        <f t="shared" si="4"/>
        <v>31.00000000000021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6"/>
        <v>-321.80645161291204</v>
      </c>
      <c r="AG53" s="72">
        <f t="shared" si="27"/>
        <v>0.80329678996765763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30">AVERAGE(J49:J57)</f>
        <v>16.600000000000001</v>
      </c>
      <c r="K58" s="120">
        <f t="shared" si="30"/>
        <v>1734.4</v>
      </c>
      <c r="L58" s="117">
        <f t="shared" si="30"/>
        <v>104.67058823529412</v>
      </c>
      <c r="M58" s="120">
        <f t="shared" si="30"/>
        <v>16.399999999999999</v>
      </c>
      <c r="N58" s="120">
        <f t="shared" si="30"/>
        <v>1531.6100131469514</v>
      </c>
      <c r="O58" s="117">
        <f t="shared" si="30"/>
        <v>93.358857296092381</v>
      </c>
      <c r="P58" s="121">
        <f>M58-J58</f>
        <v>-0.20000000000000284</v>
      </c>
      <c r="Q58" s="122">
        <f>N58-K58</f>
        <v>-202.78998685304873</v>
      </c>
      <c r="R58" s="123">
        <f>O58/L58</f>
        <v>0.89193018659861212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-202.78998685304873</v>
      </c>
      <c r="AG58" s="124">
        <f>N58/K58</f>
        <v>0.88307772898232895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2657</v>
      </c>
      <c r="H59" s="243">
        <f>F59*G59</f>
        <v>71712.429999999993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1518.285714285729</v>
      </c>
      <c r="O59" s="138">
        <f>N59/M59</f>
        <v>101.2190476190486</v>
      </c>
      <c r="P59" s="56">
        <f>M59-J59</f>
        <v>0</v>
      </c>
      <c r="Q59" s="230">
        <f>O59-L59</f>
        <v>-7.8476190476180676</v>
      </c>
      <c r="R59" s="52">
        <f>O59/L59</f>
        <v>0.92804750261963875</v>
      </c>
      <c r="S59" s="412">
        <f>R69</f>
        <v>0.92225596746127658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-117.714285714271</v>
      </c>
      <c r="AG59" s="246">
        <f>N59/K59</f>
        <v>0.92804750261963875</v>
      </c>
      <c r="AH59" s="457">
        <f>AG69</f>
        <v>0.90831167430297599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2060</v>
      </c>
      <c r="H60" s="78">
        <f>F60*G60</f>
        <v>58215.600000000006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1544.9999999999868</v>
      </c>
      <c r="O60" s="81">
        <f>N60/M60</f>
        <v>140.45454545454425</v>
      </c>
      <c r="P60" s="74">
        <f>M60-J60</f>
        <v>0</v>
      </c>
      <c r="Q60" s="83">
        <f>O60-L60</f>
        <v>-8.2727272727284742</v>
      </c>
      <c r="R60" s="72">
        <f>O60/L60</f>
        <v>0.94437652811735129</v>
      </c>
      <c r="S60" s="502"/>
      <c r="T60" s="22">
        <v>0.37847222222222199</v>
      </c>
      <c r="U60" s="22">
        <v>0.43402777777777801</v>
      </c>
      <c r="V60" s="30">
        <f>(T60-U59)*24*60</f>
        <v>20.000000000000171</v>
      </c>
      <c r="W60" s="248">
        <f t="shared" si="4"/>
        <v>80.000000000000682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-91.000000000013188</v>
      </c>
      <c r="AG60" s="249">
        <f>N60/K60</f>
        <v>0.9443765281173514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2041</v>
      </c>
      <c r="H61" s="254">
        <f>F61*G61</f>
        <v>57678.66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1440.7058823529355</v>
      </c>
      <c r="O61" s="238">
        <f>N61/M61</f>
        <v>130.97326203208505</v>
      </c>
      <c r="P61" s="111">
        <f>M61-J61</f>
        <v>0</v>
      </c>
      <c r="Q61" s="255">
        <f>O61-L61</f>
        <v>-17.754010695187674</v>
      </c>
      <c r="R61" s="85">
        <f>O61/L61</f>
        <v>0.88062706745289465</v>
      </c>
      <c r="S61" s="413"/>
      <c r="T61" s="22">
        <v>0.44097222222222199</v>
      </c>
      <c r="U61" s="22">
        <v>0.5</v>
      </c>
      <c r="V61" s="30">
        <f>(T61-U60)*24*60</f>
        <v>9.999999999999325</v>
      </c>
      <c r="W61" s="256">
        <f t="shared" si="4"/>
        <v>85.000000000000341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-195.29411764706447</v>
      </c>
      <c r="AG61" s="247">
        <f>N61/K61</f>
        <v>0.88062706745289454</v>
      </c>
      <c r="AH61" s="458"/>
    </row>
    <row r="62" spans="1:34" ht="15" customHeight="1">
      <c r="A62" s="500"/>
      <c r="B62" s="250" t="s">
        <v>136</v>
      </c>
      <c r="C62" s="251"/>
      <c r="D62" s="257" t="s">
        <v>137</v>
      </c>
      <c r="E62" s="253"/>
      <c r="F62" s="250">
        <f>VLOOKUP(D62,廠價表!$C$1:$E$43,3,0)</f>
        <v>26.99</v>
      </c>
      <c r="G62" s="38">
        <v>1440</v>
      </c>
      <c r="H62" s="254">
        <f>F62*G62</f>
        <v>38865.599999999999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>K62/J62</f>
        <v>109.06666666666666</v>
      </c>
      <c r="M62" s="108">
        <v>14</v>
      </c>
      <c r="N62" s="107">
        <f>G62/W62*60</f>
        <v>1440.0000000000243</v>
      </c>
      <c r="O62" s="238">
        <f>N62/M62</f>
        <v>102.85714285714459</v>
      </c>
      <c r="P62" s="111">
        <f>M62-J62</f>
        <v>-1</v>
      </c>
      <c r="Q62" s="255">
        <f>O62-L62</f>
        <v>-6.2095238095220679</v>
      </c>
      <c r="R62" s="85">
        <f>O62/L62</f>
        <v>0.94306671323787838</v>
      </c>
      <c r="S62" s="413"/>
      <c r="T62" s="22">
        <v>0.55902777777777801</v>
      </c>
      <c r="U62" s="22">
        <v>0.60069444444444398</v>
      </c>
      <c r="V62" s="30">
        <f>(T62-U61)*24*60</f>
        <v>85.000000000000341</v>
      </c>
      <c r="W62" s="248">
        <f t="shared" si="4"/>
        <v>59.999999999998991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-195.99999999997567</v>
      </c>
      <c r="AG62" s="247">
        <f>N62/K62</f>
        <v>0.88019559902201971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31">AVERAGE(J59:J68)</f>
        <v>13</v>
      </c>
      <c r="K69" s="240">
        <f t="shared" si="31"/>
        <v>1636</v>
      </c>
      <c r="L69" s="268">
        <f t="shared" si="31"/>
        <v>128.89696969696968</v>
      </c>
      <c r="M69" s="240">
        <f t="shared" si="31"/>
        <v>12.75</v>
      </c>
      <c r="N69" s="240">
        <f t="shared" si="31"/>
        <v>1485.9978991596688</v>
      </c>
      <c r="O69" s="268">
        <f t="shared" si="31"/>
        <v>118.87599949070562</v>
      </c>
      <c r="P69" s="269">
        <f>M69-J69</f>
        <v>-0.25</v>
      </c>
      <c r="Q69" s="222">
        <f>N69-K69</f>
        <v>-150.0021008403312</v>
      </c>
      <c r="R69" s="123">
        <f>O69/L69</f>
        <v>0.92225596746127658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-150.0021008403312</v>
      </c>
      <c r="AG69" s="124">
        <f>N69/K69</f>
        <v>0.90831167430297599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2553</v>
      </c>
      <c r="H70" s="243">
        <f>F70*G70</f>
        <v>72147.78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1458.8571428571358</v>
      </c>
      <c r="O70" s="138">
        <f>N70/M70</f>
        <v>132.62337662337598</v>
      </c>
      <c r="P70" s="56">
        <f>M70-J70</f>
        <v>0</v>
      </c>
      <c r="Q70" s="230">
        <f>O70-L70</f>
        <v>-16.103896103896744</v>
      </c>
      <c r="R70" s="52">
        <f>O70/L70</f>
        <v>0.89172196996157449</v>
      </c>
      <c r="S70" s="412">
        <f>R79</f>
        <v>0.91462681496935405</v>
      </c>
      <c r="T70" s="245">
        <v>0.29513888888888901</v>
      </c>
      <c r="U70" s="245">
        <v>0.36805555555555602</v>
      </c>
      <c r="V70" s="55"/>
      <c r="W70" s="54">
        <f t="shared" si="4"/>
        <v>105.00000000000051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-177.14285714286416</v>
      </c>
      <c r="AG70" s="246">
        <f>N70/K70</f>
        <v>0.89172196996157449</v>
      </c>
      <c r="AH70" s="457">
        <f>AG79</f>
        <v>0.72834739609984855</v>
      </c>
    </row>
    <row r="71" spans="1:36" ht="15" customHeight="1">
      <c r="A71" s="495"/>
      <c r="B71" s="75" t="s">
        <v>81</v>
      </c>
      <c r="C71" s="76"/>
      <c r="D71" s="59" t="s">
        <v>123</v>
      </c>
      <c r="E71" s="77"/>
      <c r="F71" s="250">
        <f>VLOOKUP(D71,廠價表!$C$1:$E$43,3,0)</f>
        <v>45.66</v>
      </c>
      <c r="G71" s="30">
        <v>1228</v>
      </c>
      <c r="H71" s="254">
        <f t="shared" ref="H71:H73" si="32">F71*G71</f>
        <v>56070.479999999996</v>
      </c>
      <c r="I71" s="232"/>
      <c r="J71" s="106">
        <f>VLOOKUP(D71,產線配置圖!$A$3:$C$40,2,0)</f>
        <v>17</v>
      </c>
      <c r="K71" s="107">
        <v>1636</v>
      </c>
      <c r="L71" s="238">
        <f t="shared" ref="L71:L73" si="33">K71/J71</f>
        <v>96.235294117647058</v>
      </c>
      <c r="M71" s="82">
        <v>13</v>
      </c>
      <c r="N71" s="107">
        <f t="shared" ref="N71:N73" si="34">G71/W71*60</f>
        <v>1133.5384615384585</v>
      </c>
      <c r="O71" s="238">
        <f t="shared" ref="O71:O73" si="35">N71/M71</f>
        <v>87.195266272189116</v>
      </c>
      <c r="P71" s="111">
        <f t="shared" ref="P71:P73" si="36">M71-J71</f>
        <v>-4</v>
      </c>
      <c r="Q71" s="255">
        <f t="shared" ref="Q71:Q73" si="37">O71-L71</f>
        <v>-9.0400278454579421</v>
      </c>
      <c r="R71" s="85">
        <f t="shared" ref="R71:R73" si="38">O71/L71</f>
        <v>0.90606328033448347</v>
      </c>
      <c r="S71" s="413"/>
      <c r="T71" s="22">
        <v>0.39791666666666697</v>
      </c>
      <c r="U71" s="22">
        <v>0.44305555555555598</v>
      </c>
      <c r="V71" s="30">
        <f>(T71-U70)*24*60</f>
        <v>42.999999999999766</v>
      </c>
      <c r="W71" s="73">
        <f t="shared" si="4"/>
        <v>65.000000000000171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181</v>
      </c>
      <c r="E72" s="77"/>
      <c r="F72" s="250">
        <f>VLOOKUP(D72,廠價表!$C$1:$E$43,3,0)</f>
        <v>43.89</v>
      </c>
      <c r="G72" s="202">
        <v>893</v>
      </c>
      <c r="H72" s="254">
        <f t="shared" si="32"/>
        <v>39193.770000000004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3"/>
        <v>96.235294117647058</v>
      </c>
      <c r="M72" s="82">
        <v>13</v>
      </c>
      <c r="N72" s="107">
        <f t="shared" si="34"/>
        <v>1050.5882352941085</v>
      </c>
      <c r="O72" s="238">
        <f t="shared" si="35"/>
        <v>80.814479638008351</v>
      </c>
      <c r="P72" s="111">
        <f t="shared" si="36"/>
        <v>-4</v>
      </c>
      <c r="Q72" s="255">
        <f t="shared" si="37"/>
        <v>-15.420814479638707</v>
      </c>
      <c r="R72" s="85">
        <f t="shared" si="38"/>
        <v>0.83975926274214052</v>
      </c>
      <c r="S72" s="413"/>
      <c r="T72" s="22">
        <v>0.45</v>
      </c>
      <c r="U72" s="22">
        <v>0.485416666666667</v>
      </c>
      <c r="V72" s="30">
        <f>(T72-U71)*24*60</f>
        <v>9.9999999999994049</v>
      </c>
      <c r="W72" s="73">
        <f t="shared" si="4"/>
        <v>51.000000000000455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181</v>
      </c>
      <c r="E73" s="87"/>
      <c r="F73" s="250">
        <f>VLOOKUP(D73,廠價表!$C$1:$E$43,3,0)</f>
        <v>43.89</v>
      </c>
      <c r="G73" s="202">
        <v>1140</v>
      </c>
      <c r="H73" s="254">
        <f t="shared" si="32"/>
        <v>50034.6</v>
      </c>
      <c r="I73" s="23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3"/>
        <v>96.235294117647058</v>
      </c>
      <c r="M73" s="82">
        <v>11</v>
      </c>
      <c r="N73" s="107">
        <f t="shared" si="34"/>
        <v>977.14285714285836</v>
      </c>
      <c r="O73" s="238">
        <f t="shared" si="35"/>
        <v>88.831168831168938</v>
      </c>
      <c r="P73" s="111">
        <f t="shared" si="36"/>
        <v>-6</v>
      </c>
      <c r="Q73" s="255">
        <f t="shared" si="37"/>
        <v>-7.40412528647812</v>
      </c>
      <c r="R73" s="85">
        <f t="shared" si="38"/>
        <v>0.92306226780554523</v>
      </c>
      <c r="S73" s="413"/>
      <c r="T73" s="22">
        <v>0.53472222222222199</v>
      </c>
      <c r="U73" s="22">
        <v>0.58333333333333304</v>
      </c>
      <c r="V73" s="30">
        <f>(T73-U72)*24*60</f>
        <v>70.99999999999919</v>
      </c>
      <c r="W73" s="73">
        <f t="shared" si="4"/>
        <v>69.999999999999915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30" t="s">
        <v>81</v>
      </c>
      <c r="C74" s="151"/>
      <c r="D74" s="59" t="s">
        <v>123</v>
      </c>
      <c r="E74" s="87"/>
      <c r="F74" s="250">
        <f>VLOOKUP(D74,廠價表!$C$1:$E$43,3,0)</f>
        <v>45.66</v>
      </c>
      <c r="G74" s="30">
        <v>913</v>
      </c>
      <c r="H74" s="78">
        <f>F74*G74</f>
        <v>41687.579999999994</v>
      </c>
      <c r="I74" s="182"/>
      <c r="J74" s="106">
        <f>VLOOKUP(D74,產線配置圖!$A$3:$C$40,2,0)</f>
        <v>17</v>
      </c>
      <c r="K74" s="107">
        <v>1636</v>
      </c>
      <c r="L74" s="238">
        <f>K74/J74</f>
        <v>96.235294117647058</v>
      </c>
      <c r="M74" s="108">
        <v>12</v>
      </c>
      <c r="N74" s="107">
        <f>G74/W74*60</f>
        <v>1095.5999999999758</v>
      </c>
      <c r="O74" s="238">
        <f>N74/M74</f>
        <v>91.299999999997979</v>
      </c>
      <c r="P74" s="111">
        <f>M74-J74</f>
        <v>-5</v>
      </c>
      <c r="Q74" s="255">
        <f>O74-L74</f>
        <v>-4.9352941176490788</v>
      </c>
      <c r="R74" s="85">
        <f>O74/L74</f>
        <v>0.94871638141807191</v>
      </c>
      <c r="S74" s="413"/>
      <c r="T74" s="22">
        <v>0.61458333333333304</v>
      </c>
      <c r="U74" s="22">
        <v>0.64930555555555602</v>
      </c>
      <c r="V74" s="30">
        <f>(T74-U73)*24*60</f>
        <v>45</v>
      </c>
      <c r="W74" s="73">
        <f t="shared" si="4"/>
        <v>50.000000000001101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101" t="s">
        <v>136</v>
      </c>
      <c r="C75" s="102"/>
      <c r="D75" s="103" t="s">
        <v>140</v>
      </c>
      <c r="E75" s="104"/>
      <c r="F75" s="250">
        <f>VLOOKUP(D75,廠價表!$C$1:$E$43,3,0)</f>
        <v>28.26</v>
      </c>
      <c r="G75" s="30">
        <v>1601</v>
      </c>
      <c r="H75" s="78">
        <f>F75*G75</f>
        <v>45244.26</v>
      </c>
      <c r="I75" s="182"/>
      <c r="J75" s="106">
        <f>VLOOKUP(D75,產線配置圖!$A$3:$C$40,2,0)</f>
        <v>11</v>
      </c>
      <c r="K75" s="107">
        <f>VLOOKUP(D75,產線配置圖!$A$3:$C$40,3,0)</f>
        <v>1636</v>
      </c>
      <c r="L75" s="238">
        <f>K75/J75</f>
        <v>148.72727272727272</v>
      </c>
      <c r="M75" s="108">
        <v>10</v>
      </c>
      <c r="N75" s="107">
        <f>G75/W75*60</f>
        <v>1433.731343283577</v>
      </c>
      <c r="O75" s="238">
        <f>N75/M75</f>
        <v>143.37313432835771</v>
      </c>
      <c r="P75" s="111">
        <f>M75-J75</f>
        <v>-1</v>
      </c>
      <c r="Q75" s="255">
        <f>O75-L75</f>
        <v>-5.354138398915012</v>
      </c>
      <c r="R75" s="85">
        <f>O75/L75</f>
        <v>0.96400029193883552</v>
      </c>
      <c r="S75" s="413"/>
      <c r="T75" s="22">
        <v>0.65486111111111101</v>
      </c>
      <c r="U75" s="22">
        <v>0.70138888888888895</v>
      </c>
      <c r="V75" s="30">
        <f>(T75-U74)*24*60</f>
        <v>7.9999999999991722</v>
      </c>
      <c r="W75" s="256">
        <f t="shared" si="4"/>
        <v>67.000000000000242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250"/>
      <c r="G76" s="30"/>
      <c r="H76" s="78"/>
      <c r="I76" s="182"/>
      <c r="J76" s="106"/>
      <c r="K76" s="107"/>
      <c r="L76" s="238"/>
      <c r="M76" s="108"/>
      <c r="N76" s="107"/>
      <c r="O76" s="238"/>
      <c r="P76" s="111"/>
      <c r="Q76" s="255"/>
      <c r="R76" s="85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9">AVERAGE(J70:J78)</f>
        <v>15</v>
      </c>
      <c r="K79" s="240">
        <f t="shared" si="39"/>
        <v>1636</v>
      </c>
      <c r="L79" s="268">
        <f t="shared" si="39"/>
        <v>113.73262032085562</v>
      </c>
      <c r="M79" s="240">
        <f t="shared" si="39"/>
        <v>11.666666666666666</v>
      </c>
      <c r="N79" s="240">
        <f t="shared" si="39"/>
        <v>1191.5763400193523</v>
      </c>
      <c r="O79" s="268">
        <f t="shared" si="39"/>
        <v>104.02290428218301</v>
      </c>
      <c r="P79" s="269">
        <f>M79-J79</f>
        <v>-3.3333333333333339</v>
      </c>
      <c r="Q79" s="222">
        <f>N79-K79</f>
        <v>-444.4236599806477</v>
      </c>
      <c r="R79" s="223">
        <f>O79/L79</f>
        <v>0.91462681496935405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-444.4236599806477</v>
      </c>
      <c r="AG79" s="124">
        <f>N79/K79</f>
        <v>0.72834739609984855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17:AC17"/>
    <mergeCell ref="AB18:AC18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H3:H4"/>
    <mergeCell ref="I3:I4"/>
    <mergeCell ref="AB14:AC14"/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</mergeCells>
  <phoneticPr fontId="0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46231</v>
      </c>
      <c r="E3" s="379"/>
      <c r="F3" s="3" t="s">
        <v>72</v>
      </c>
      <c r="G3" s="380">
        <f>'0728'!E1</f>
        <v>60478</v>
      </c>
      <c r="H3" s="380"/>
      <c r="I3" s="3" t="s">
        <v>2</v>
      </c>
      <c r="J3" s="381">
        <f>'0728'!G1</f>
        <v>2776279.7850000001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125.60743848821581</v>
      </c>
      <c r="G6" s="386"/>
      <c r="H6" s="387">
        <f>AVERAGE(D13:H13)</f>
        <v>126.87734198807728</v>
      </c>
      <c r="I6" s="387"/>
      <c r="J6" s="387">
        <f>AVERAGE(I13:J13)</f>
        <v>122.43267973856209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113.82652482529456</v>
      </c>
      <c r="G7" s="410"/>
      <c r="H7" s="411">
        <f>AVERAGE(D14:H14)</f>
        <v>113.8854706999216</v>
      </c>
      <c r="I7" s="411"/>
      <c r="J7" s="411">
        <f>AVERAGE(I14:J14)</f>
        <v>113.67916013872698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0.90620847137149041</v>
      </c>
      <c r="G8" s="383"/>
      <c r="H8" s="383">
        <f>H7/H6</f>
        <v>0.89760290462755332</v>
      </c>
      <c r="I8" s="383"/>
      <c r="J8" s="383">
        <f>J7/J6</f>
        <v>0.9285034059654087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VALUE('0728'!L15)</f>
        <v>158.03571428571428</v>
      </c>
      <c r="E13" s="13">
        <f>VALUE('0728'!L26)</f>
        <v>176.37362637362637</v>
      </c>
      <c r="F13" s="13">
        <f>VALUE('0728'!L37)</f>
        <v>94.516476034858385</v>
      </c>
      <c r="G13" s="13">
        <f>VALUE('0728'!L48)</f>
        <v>98.681481481481498</v>
      </c>
      <c r="H13" s="13">
        <f>VALUE('0728'!L58)</f>
        <v>106.77941176470588</v>
      </c>
      <c r="I13" s="13">
        <f>VALUE('0728'!L69)</f>
        <v>135.50707070707071</v>
      </c>
      <c r="J13" s="13">
        <f>'0728'!L79</f>
        <v>109.35828877005348</v>
      </c>
    </row>
    <row r="14" spans="2:15" ht="39.950000000000003" customHeight="1">
      <c r="B14" s="404"/>
      <c r="C14" s="12" t="s">
        <v>100</v>
      </c>
      <c r="D14" s="13">
        <f>VALUE('0728'!O15)</f>
        <v>144.55241290655394</v>
      </c>
      <c r="E14" s="13">
        <f>VALUE('0728'!O26)</f>
        <v>155.11291047890001</v>
      </c>
      <c r="F14" s="13">
        <f>VALUE('0728'!O37)</f>
        <v>88.499869803060378</v>
      </c>
      <c r="G14" s="13">
        <f>VALUE('0728'!O48)</f>
        <v>88.956507936507705</v>
      </c>
      <c r="H14" s="13">
        <f>VALUE('0728'!O58)</f>
        <v>92.305652374586032</v>
      </c>
      <c r="I14" s="13">
        <f>VALUE('0728'!O69)</f>
        <v>130.3454545454546</v>
      </c>
      <c r="J14" s="13">
        <f>'0728'!O79</f>
        <v>97.012865731999355</v>
      </c>
    </row>
    <row r="15" spans="2:15" ht="39.950000000000003" customHeight="1">
      <c r="B15" s="405"/>
      <c r="C15" s="10" t="s">
        <v>26</v>
      </c>
      <c r="D15" s="14">
        <f t="shared" ref="D15:I15" si="1">D14/D13</f>
        <v>0.91468193477593462</v>
      </c>
      <c r="E15" s="14">
        <f t="shared" si="1"/>
        <v>0.87945637717008729</v>
      </c>
      <c r="F15" s="14">
        <f t="shared" si="1"/>
        <v>0.9363433077045844</v>
      </c>
      <c r="G15" s="14">
        <f t="shared" si="1"/>
        <v>0.90145087610182695</v>
      </c>
      <c r="H15" s="14">
        <f t="shared" si="1"/>
        <v>0.86445177819471841</v>
      </c>
      <c r="I15" s="14">
        <f t="shared" si="1"/>
        <v>0.96190887947999326</v>
      </c>
      <c r="J15" s="15">
        <f>'0728'!S70</f>
        <v>0.88711031256155892</v>
      </c>
    </row>
    <row r="16" spans="2:15" ht="17.25" customHeight="1">
      <c r="B16" s="406" t="s">
        <v>101</v>
      </c>
      <c r="C16" s="10" t="s">
        <v>34</v>
      </c>
      <c r="D16" s="16">
        <f>'0728'!T5</f>
        <v>0.29861111111111099</v>
      </c>
      <c r="E16" s="16">
        <f>'0728'!T16</f>
        <v>0.29861111111111099</v>
      </c>
      <c r="F16" s="16">
        <f>'0728'!T27</f>
        <v>0.28819444444444398</v>
      </c>
      <c r="G16" s="16">
        <f>'0728'!T38</f>
        <v>0.33333333333333298</v>
      </c>
      <c r="H16" s="16">
        <f>'0728'!T49</f>
        <v>0.29166666666666702</v>
      </c>
      <c r="I16" s="16">
        <f>'0728'!T59</f>
        <v>0.29027777777777802</v>
      </c>
      <c r="J16" s="16">
        <f>'0728'!T70</f>
        <v>0.29513888888888901</v>
      </c>
    </row>
    <row r="17" spans="2:10" ht="17.25" customHeight="1">
      <c r="B17" s="407"/>
      <c r="C17" s="10" t="s">
        <v>35</v>
      </c>
      <c r="D17" s="16">
        <v>0.57777777777777795</v>
      </c>
      <c r="E17" s="19">
        <v>0.624305555555556</v>
      </c>
      <c r="F17" s="19">
        <v>0.58680555555555602</v>
      </c>
      <c r="G17" s="20">
        <v>0.63194444444444398</v>
      </c>
      <c r="H17" s="21">
        <v>0.64583333333333304</v>
      </c>
      <c r="I17" s="22">
        <v>0.49652777777777801</v>
      </c>
      <c r="J17" s="22">
        <v>0.57291666666666696</v>
      </c>
    </row>
    <row r="18" spans="2:10" ht="17.25" customHeight="1">
      <c r="B18" s="408" t="s">
        <v>102</v>
      </c>
      <c r="C18" s="330" t="s">
        <v>36</v>
      </c>
      <c r="D18" s="357">
        <f>'0728'!Z15</f>
        <v>0</v>
      </c>
      <c r="E18" s="358">
        <f>'0728'!Z26</f>
        <v>0</v>
      </c>
      <c r="F18" s="358">
        <f>'0728'!Z37</f>
        <v>0</v>
      </c>
      <c r="G18" s="359">
        <f>'0728'!Z48</f>
        <v>0</v>
      </c>
      <c r="H18" s="359">
        <f>'0728'!Z58</f>
        <v>0</v>
      </c>
      <c r="I18" s="358">
        <f>'0728'!Z69</f>
        <v>0</v>
      </c>
      <c r="J18" s="358">
        <f>'0728'!AA79</f>
        <v>0</v>
      </c>
    </row>
    <row r="19" spans="2:10" ht="17.25" customHeight="1">
      <c r="B19" s="409"/>
      <c r="C19" s="330" t="s">
        <v>37</v>
      </c>
      <c r="D19" s="357">
        <f>'0728'!AA15</f>
        <v>0</v>
      </c>
      <c r="E19" s="358">
        <f>'0728'!AA26</f>
        <v>0</v>
      </c>
      <c r="F19" s="358">
        <f>'0728'!AA37</f>
        <v>0</v>
      </c>
      <c r="G19" s="359">
        <f>'0728'!AA48</f>
        <v>0</v>
      </c>
      <c r="H19" s="359">
        <f>'0728'!AA58</f>
        <v>0</v>
      </c>
      <c r="I19" s="358">
        <f>'0728'!AA69</f>
        <v>0</v>
      </c>
      <c r="J19" s="358">
        <f>'0728'!AB79</f>
        <v>0</v>
      </c>
    </row>
    <row r="20" spans="2:10" ht="17.25" customHeight="1">
      <c r="B20" s="408" t="s">
        <v>103</v>
      </c>
      <c r="C20" s="330" t="s">
        <v>36</v>
      </c>
      <c r="D20" s="357">
        <f>'0728'!AD15</f>
        <v>0</v>
      </c>
      <c r="E20" s="358">
        <f>'0728'!AD26</f>
        <v>0</v>
      </c>
      <c r="F20" s="358">
        <f>'0728'!AD37</f>
        <v>0</v>
      </c>
      <c r="G20" s="359">
        <f>'0728'!AD48</f>
        <v>0</v>
      </c>
      <c r="H20" s="359">
        <f>'0728'!AD58</f>
        <v>0</v>
      </c>
      <c r="I20" s="358">
        <f>'0728'!AD69</f>
        <v>0</v>
      </c>
      <c r="J20" s="358">
        <f>'0728'!AD79</f>
        <v>0</v>
      </c>
    </row>
    <row r="21" spans="2:10" ht="17.25" customHeight="1">
      <c r="B21" s="409"/>
      <c r="C21" s="330" t="s">
        <v>85</v>
      </c>
      <c r="D21" s="357">
        <f>'0728'!AE15</f>
        <v>0</v>
      </c>
      <c r="E21" s="358">
        <f>'0728'!AE26</f>
        <v>0</v>
      </c>
      <c r="F21" s="358">
        <f>'0728'!AE37</f>
        <v>0</v>
      </c>
      <c r="G21" s="359">
        <f>'0728'!AE48</f>
        <v>0</v>
      </c>
      <c r="H21" s="359">
        <f>'0728'!AE58</f>
        <v>0</v>
      </c>
      <c r="I21" s="358">
        <f>'0728'!AE69</f>
        <v>0</v>
      </c>
      <c r="J21" s="358">
        <f>'0728'!AE79</f>
        <v>0</v>
      </c>
    </row>
    <row r="22" spans="2:10" ht="17.25" customHeight="1">
      <c r="B22" s="392" t="s">
        <v>104</v>
      </c>
      <c r="C22" s="393"/>
      <c r="D22" s="23">
        <f>VALUE('0728'!M15)</f>
        <v>14</v>
      </c>
      <c r="E22" s="23">
        <f>VALUE('0728'!M26)</f>
        <v>12.8</v>
      </c>
      <c r="F22" s="23">
        <f>VALUE('0728'!M37)</f>
        <v>16.833333333333332</v>
      </c>
      <c r="G22" s="23">
        <f>VALUE('0728'!M48)</f>
        <v>17</v>
      </c>
      <c r="H22" s="23">
        <f>VALUE('0728'!M58)</f>
        <v>16.5</v>
      </c>
      <c r="I22" s="23">
        <f>VALUE('0728'!M69)</f>
        <v>12.333333333333334</v>
      </c>
      <c r="J22" s="23">
        <f>'0728'!M79</f>
        <v>14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75" zoomScaleNormal="75" workbookViewId="0">
      <pane xSplit="5" ySplit="4" topLeftCell="H40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60478</v>
      </c>
      <c r="F1" s="30" t="s">
        <v>2</v>
      </c>
      <c r="G1" s="31">
        <f>SUM(H5:H79)</f>
        <v>2776279.7850000001</v>
      </c>
      <c r="H1" s="32" t="s">
        <v>3</v>
      </c>
      <c r="I1" s="33">
        <f>M15+M26+M48+M58+M69+M79+M37</f>
        <v>103.46666666666665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235</v>
      </c>
      <c r="B2" s="418"/>
      <c r="C2" s="28"/>
      <c r="D2" s="28" t="s">
        <v>14</v>
      </c>
      <c r="E2" s="35">
        <f>AVERAGE(O15,O26,O37,O48,O58,O69,O79)</f>
        <v>113.82652482529456</v>
      </c>
      <c r="F2" s="36" t="s">
        <v>15</v>
      </c>
      <c r="G2" s="37">
        <f>G1/E1</f>
        <v>45.905615017030989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2173</v>
      </c>
      <c r="H5" s="43">
        <f>F5*G5</f>
        <v>110105.91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2005.8461538461486</v>
      </c>
      <c r="O5" s="47">
        <f>N5/M5</f>
        <v>143.27472527472489</v>
      </c>
      <c r="P5" s="49">
        <f>M5-J5</f>
        <v>-1</v>
      </c>
      <c r="Q5" s="50">
        <f>O5-L5</f>
        <v>-6.7252747252751135</v>
      </c>
      <c r="R5" s="51">
        <f>O5/L5</f>
        <v>0.95516483516483253</v>
      </c>
      <c r="S5" s="412">
        <f>R15</f>
        <v>0.91468193477593462</v>
      </c>
      <c r="T5" s="319">
        <v>0.29861111111111099</v>
      </c>
      <c r="U5" s="320">
        <v>0.34375</v>
      </c>
      <c r="V5" s="53"/>
      <c r="W5" s="54">
        <f t="shared" ref="W5:W14" si="0">(U5-T5)*24*60</f>
        <v>65.000000000000171</v>
      </c>
      <c r="X5" s="55"/>
      <c r="Y5" s="290"/>
      <c r="Z5" s="169"/>
      <c r="AA5" s="169"/>
      <c r="AB5" s="464" t="s">
        <v>236</v>
      </c>
      <c r="AC5" s="464"/>
      <c r="AD5" s="135"/>
      <c r="AE5" s="135"/>
      <c r="AF5" s="229">
        <f t="shared" ref="AF5:AF11" si="1">N5-K5</f>
        <v>-244.15384615385142</v>
      </c>
      <c r="AG5" s="52">
        <f t="shared" ref="AG5:AG11" si="2">N5/K5</f>
        <v>0.89148717948717715</v>
      </c>
      <c r="AH5" s="457">
        <f>AG15</f>
        <v>0.89943723586300239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1676</v>
      </c>
      <c r="H6" s="63">
        <f>F6*G6</f>
        <v>97492.92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1971.7647058823352</v>
      </c>
      <c r="O6" s="67">
        <f>N6/M6</f>
        <v>140.84033613445251</v>
      </c>
      <c r="P6" s="69">
        <f>M6-J6</f>
        <v>0</v>
      </c>
      <c r="Q6" s="70">
        <f>O6-L6</f>
        <v>-19.873949579833209</v>
      </c>
      <c r="R6" s="71">
        <f>O6/L6</f>
        <v>0.8763398692810378</v>
      </c>
      <c r="S6" s="413"/>
      <c r="T6" s="16">
        <v>0.358333333333333</v>
      </c>
      <c r="U6" s="16">
        <v>0.39374999999999999</v>
      </c>
      <c r="V6" s="30">
        <f>(T6-U5)*24*60</f>
        <v>20.999999999999524</v>
      </c>
      <c r="W6" s="73">
        <f t="shared" si="0"/>
        <v>51.000000000000455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-278.23529411766481</v>
      </c>
      <c r="AG6" s="72">
        <f t="shared" si="2"/>
        <v>0.87633986928103791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3748</v>
      </c>
      <c r="H7" s="78">
        <f>F7*G7</f>
        <v>184176.72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2082.2222222222235</v>
      </c>
      <c r="O7" s="81">
        <f>N7/M7</f>
        <v>148.73015873015882</v>
      </c>
      <c r="P7" s="74">
        <f>M7-J7</f>
        <v>0</v>
      </c>
      <c r="Q7" s="83">
        <f>O7-L7</f>
        <v>-11.984126984126902</v>
      </c>
      <c r="R7" s="72">
        <f>O7/L7</f>
        <v>0.92543209876543264</v>
      </c>
      <c r="S7" s="413"/>
      <c r="T7" s="18">
        <v>0.40069444444444402</v>
      </c>
      <c r="U7" s="18">
        <v>0.47569444444444398</v>
      </c>
      <c r="V7" s="30">
        <f>(T7-U6)*24*60</f>
        <v>9.9999999999994049</v>
      </c>
      <c r="W7" s="73">
        <f t="shared" si="0"/>
        <v>107.99999999999994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-167.77777777777646</v>
      </c>
      <c r="AG7" s="72">
        <f t="shared" si="2"/>
        <v>0.92543209876543264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1662</v>
      </c>
      <c r="H8" s="78">
        <f>F8*G8</f>
        <v>81670.680000000008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2035.102040816314</v>
      </c>
      <c r="O8" s="67">
        <f>N8/M8</f>
        <v>145.36443148687957</v>
      </c>
      <c r="P8" s="69">
        <f>M8-J8</f>
        <v>0</v>
      </c>
      <c r="Q8" s="70">
        <f>O8-L8</f>
        <v>-15.349854227406155</v>
      </c>
      <c r="R8" s="71">
        <f>O8/L8</f>
        <v>0.90448979591836176</v>
      </c>
      <c r="S8" s="413"/>
      <c r="T8" s="16">
        <v>0.54374999999999996</v>
      </c>
      <c r="U8" s="16">
        <v>0.57777777777777795</v>
      </c>
      <c r="V8" s="30">
        <f>(T8-U7)*24*60</f>
        <v>98.000000000000611</v>
      </c>
      <c r="W8" s="73">
        <f t="shared" si="0"/>
        <v>49.000000000000306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-214.897959183686</v>
      </c>
      <c r="AG8" s="72">
        <f t="shared" si="2"/>
        <v>0.90448979591836176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</v>
      </c>
      <c r="N15" s="120">
        <f t="shared" si="3"/>
        <v>2023.7337806917553</v>
      </c>
      <c r="O15" s="117">
        <f t="shared" si="3"/>
        <v>144.55241290655394</v>
      </c>
      <c r="P15" s="121">
        <f>M15-J15</f>
        <v>-0.25</v>
      </c>
      <c r="Q15" s="122">
        <f>O15-L15</f>
        <v>-13.483301379160338</v>
      </c>
      <c r="R15" s="123">
        <f>O15/L15</f>
        <v>0.91468193477593462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-226.26621930824467</v>
      </c>
      <c r="AG15" s="124">
        <f>N15/K15</f>
        <v>0.89943723586300239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1772</v>
      </c>
      <c r="H16" s="134">
        <f>F16*G16</f>
        <v>89787.24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2084.7058823529228</v>
      </c>
      <c r="O16" s="141">
        <f>N16/M16</f>
        <v>160.36199095022482</v>
      </c>
      <c r="P16" s="142">
        <f>M16-J16</f>
        <v>0</v>
      </c>
      <c r="Q16" s="143">
        <f>O16-L16</f>
        <v>-12.714932126698244</v>
      </c>
      <c r="R16" s="144">
        <f>O16/L16</f>
        <v>0.9265359477124101</v>
      </c>
      <c r="S16" s="468">
        <f>R26</f>
        <v>0.87945637717008729</v>
      </c>
      <c r="T16" s="145">
        <v>0.29861111111111099</v>
      </c>
      <c r="U16" s="145">
        <v>0.33402777777777798</v>
      </c>
      <c r="V16" s="135"/>
      <c r="W16" s="146">
        <f t="shared" ref="W16:W78" si="4">(U16-T16)*24*60</f>
        <v>51.000000000000455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-165.2941176470772</v>
      </c>
      <c r="AG16" s="52">
        <f>N16/K16</f>
        <v>0.9265359477124101</v>
      </c>
      <c r="AH16" s="457">
        <f>AG26</f>
        <v>0.88151005852489828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f>2837+20</f>
        <v>2857</v>
      </c>
      <c r="H17" s="78">
        <f>F17*G17</f>
        <v>162477.59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2169.8734177215247</v>
      </c>
      <c r="O17" s="96">
        <f>N17/M17</f>
        <v>154.99095840868034</v>
      </c>
      <c r="P17" s="97">
        <f>M17-J17</f>
        <v>0</v>
      </c>
      <c r="Q17" s="98">
        <f>O17-L17</f>
        <v>-5.7233273056053804</v>
      </c>
      <c r="R17" s="99">
        <f>O17/L17</f>
        <v>0.96438818565401097</v>
      </c>
      <c r="S17" s="469"/>
      <c r="T17" s="19">
        <v>0.34236111111111101</v>
      </c>
      <c r="U17" s="19">
        <v>0.39722222222222198</v>
      </c>
      <c r="V17" s="30">
        <f>(T17-U16)*24*60</f>
        <v>11.999999999999558</v>
      </c>
      <c r="W17" s="149">
        <f t="shared" si="4"/>
        <v>78.999999999999801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-80.126582278475325</v>
      </c>
      <c r="AG17" s="72">
        <f>N17/K17</f>
        <v>0.96438818565401097</v>
      </c>
      <c r="AH17" s="458"/>
    </row>
    <row r="18" spans="1:34" ht="15" customHeight="1">
      <c r="A18" s="475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3439</v>
      </c>
      <c r="H18" s="78">
        <f>F18*G18</f>
        <v>173291.21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1946.6037735849084</v>
      </c>
      <c r="O18" s="96">
        <f>N18/M18</f>
        <v>162.21698113207569</v>
      </c>
      <c r="P18" s="97">
        <f>M18-J18</f>
        <v>0</v>
      </c>
      <c r="Q18" s="98">
        <f>O18-L18</f>
        <v>-25.283018867924312</v>
      </c>
      <c r="R18" s="99">
        <f>O18/L18</f>
        <v>0.8651572327044037</v>
      </c>
      <c r="S18" s="469"/>
      <c r="T18" s="19">
        <v>0.405555555555556</v>
      </c>
      <c r="U18" s="19">
        <v>0.47916666666666702</v>
      </c>
      <c r="V18" s="30">
        <f>(T18-U17)*24*60</f>
        <v>12.000000000000997</v>
      </c>
      <c r="W18" s="149">
        <f t="shared" si="4"/>
        <v>105.99999999999986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-303.39622641509163</v>
      </c>
      <c r="AG18" s="72">
        <f>N18/K18</f>
        <v>0.8651572327044037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1518</v>
      </c>
      <c r="H19" s="78">
        <f t="shared" ref="H19:H20" si="5">F19*G19</f>
        <v>76492.02</v>
      </c>
      <c r="I19" s="30"/>
      <c r="J19" s="79"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1897.5000000000193</v>
      </c>
      <c r="O19" s="96">
        <f t="shared" ref="O19:O20" si="8">N19/M19</f>
        <v>158.12500000000162</v>
      </c>
      <c r="P19" s="97">
        <f t="shared" ref="P19:P20" si="9">M19-J19</f>
        <v>0</v>
      </c>
      <c r="Q19" s="98">
        <f t="shared" ref="Q19:Q20" si="10">O19-L19</f>
        <v>-29.37499999999838</v>
      </c>
      <c r="R19" s="99">
        <f t="shared" ref="R19:R20" si="11">O19/L19</f>
        <v>0.84333333333334193</v>
      </c>
      <c r="S19" s="469"/>
      <c r="T19" s="19">
        <v>0.54166666666666696</v>
      </c>
      <c r="U19" s="19">
        <v>0.57499999999999996</v>
      </c>
      <c r="V19" s="30">
        <f>(T19-U18)*24*60</f>
        <v>89.999999999999915</v>
      </c>
      <c r="W19" s="149">
        <f t="shared" si="4"/>
        <v>47.99999999999951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-352.49999999998067</v>
      </c>
      <c r="AG19" s="72">
        <f>N19/K19</f>
        <v>0.84333333333334193</v>
      </c>
      <c r="AH19" s="459"/>
    </row>
    <row r="20" spans="1:34" ht="15" customHeight="1">
      <c r="A20" s="475"/>
      <c r="B20" s="75" t="s">
        <v>81</v>
      </c>
      <c r="C20" s="76"/>
      <c r="D20" s="59" t="s">
        <v>118</v>
      </c>
      <c r="E20" s="77"/>
      <c r="F20" s="75">
        <f>VLOOKUP(D20,廠價表!$C$1:$E$43,3,0)</f>
        <v>50.67</v>
      </c>
      <c r="G20" s="147">
        <v>1788</v>
      </c>
      <c r="H20" s="78">
        <f t="shared" si="5"/>
        <v>90597.96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1818.30508474573</v>
      </c>
      <c r="O20" s="96">
        <f t="shared" si="8"/>
        <v>139.8696219035177</v>
      </c>
      <c r="P20" s="97">
        <f t="shared" si="9"/>
        <v>0</v>
      </c>
      <c r="Q20" s="98">
        <f t="shared" si="10"/>
        <v>-33.207301173405369</v>
      </c>
      <c r="R20" s="99">
        <f t="shared" si="11"/>
        <v>0.80813559322032447</v>
      </c>
      <c r="S20" s="469"/>
      <c r="T20" s="19">
        <v>0.58333333333333304</v>
      </c>
      <c r="U20" s="19">
        <v>0.624305555555556</v>
      </c>
      <c r="V20" s="30">
        <f>(T20-U19)*24*60</f>
        <v>11.999999999999638</v>
      </c>
      <c r="W20" s="149">
        <f t="shared" si="4"/>
        <v>59.000000000001066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2">AVERAGE(J16:J25)</f>
        <v>12.8</v>
      </c>
      <c r="K26" s="155">
        <f t="shared" si="12"/>
        <v>2250</v>
      </c>
      <c r="L26" s="158">
        <f t="shared" si="12"/>
        <v>176.37362637362637</v>
      </c>
      <c r="M26" s="155">
        <f t="shared" si="12"/>
        <v>12.8</v>
      </c>
      <c r="N26" s="155">
        <f t="shared" si="12"/>
        <v>1983.397631681021</v>
      </c>
      <c r="O26" s="158">
        <f t="shared" si="12"/>
        <v>155.11291047890001</v>
      </c>
      <c r="P26" s="159">
        <f>M26-J26</f>
        <v>0</v>
      </c>
      <c r="Q26" s="160">
        <f>O26-L26</f>
        <v>-21.26071589472636</v>
      </c>
      <c r="R26" s="161">
        <f>O26/L26</f>
        <v>0.87945637717008729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3">N26-K26</f>
        <v>-266.60236831897896</v>
      </c>
      <c r="AG26" s="124">
        <f t="shared" ref="AG26:AG31" si="14">N26/K26</f>
        <v>0.88151005852489828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1033</v>
      </c>
      <c r="H27" s="134">
        <f>F27*G27</f>
        <v>47869.22</v>
      </c>
      <c r="I27" s="135"/>
      <c r="J27" s="136"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1549.4999999999868</v>
      </c>
      <c r="O27" s="141">
        <f>N27/M27</f>
        <v>91.147058823528639</v>
      </c>
      <c r="P27" s="142">
        <f>M27-J27</f>
        <v>0</v>
      </c>
      <c r="Q27" s="143">
        <f>O27-L27</f>
        <v>-5.0882352941184195</v>
      </c>
      <c r="R27" s="144">
        <f>O27/L27</f>
        <v>0.94712713936429516</v>
      </c>
      <c r="S27" s="468">
        <f>R37</f>
        <v>0.9363433077045844</v>
      </c>
      <c r="T27" s="171">
        <v>0.28819444444444398</v>
      </c>
      <c r="U27" s="171">
        <v>0.31597222222222199</v>
      </c>
      <c r="V27" s="135"/>
      <c r="W27" s="146">
        <f t="shared" si="4"/>
        <v>40.000000000000341</v>
      </c>
      <c r="X27" s="135"/>
      <c r="Y27" s="300"/>
      <c r="Z27" s="169"/>
      <c r="AA27" s="169"/>
      <c r="AB27" s="464"/>
      <c r="AC27" s="464"/>
      <c r="AD27" s="135"/>
      <c r="AE27" s="135"/>
      <c r="AF27" s="310">
        <f t="shared" si="13"/>
        <v>-86.500000000013188</v>
      </c>
      <c r="AG27" s="172">
        <f t="shared" si="14"/>
        <v>0.94712713936429516</v>
      </c>
      <c r="AH27" s="457">
        <f>AG37</f>
        <v>0.93599375709175325</v>
      </c>
    </row>
    <row r="28" spans="1:34" ht="15" customHeight="1">
      <c r="A28" s="466"/>
      <c r="B28" s="75" t="s">
        <v>81</v>
      </c>
      <c r="C28" s="173"/>
      <c r="D28" s="59" t="s">
        <v>196</v>
      </c>
      <c r="E28" s="104"/>
      <c r="F28" s="75">
        <f>VLOOKUP(D28,廠價表!$C$1:$E$43,3,0)</f>
        <v>49.91</v>
      </c>
      <c r="G28" s="90">
        <f>1664+19+54</f>
        <v>1737</v>
      </c>
      <c r="H28" s="91">
        <f>F28*G28</f>
        <v>86693.67</v>
      </c>
      <c r="I28" s="92"/>
      <c r="J28" s="79">
        <f>VLOOKUP(D28,產線配置圖!$A$3:$C$40,2,0)</f>
        <v>16</v>
      </c>
      <c r="K28" s="80">
        <v>1565</v>
      </c>
      <c r="L28" s="93">
        <f>K28/J28</f>
        <v>97.8125</v>
      </c>
      <c r="M28" s="94">
        <v>16</v>
      </c>
      <c r="N28" s="95">
        <f>G28/W28*60</f>
        <v>1488.8571428571463</v>
      </c>
      <c r="O28" s="96">
        <f>N28/M28</f>
        <v>93.053571428571644</v>
      </c>
      <c r="P28" s="97">
        <f>M28-J28</f>
        <v>0</v>
      </c>
      <c r="Q28" s="98">
        <f>O28-L28</f>
        <v>-4.7589285714283562</v>
      </c>
      <c r="R28" s="99">
        <f>O28/L28</f>
        <v>0.9513464171611159</v>
      </c>
      <c r="S28" s="469"/>
      <c r="T28" s="19">
        <v>0.32083333333333303</v>
      </c>
      <c r="U28" s="19">
        <v>0.36944444444444402</v>
      </c>
      <c r="V28" s="92">
        <f>(T28-U27)*24*60</f>
        <v>6.9999999999998952</v>
      </c>
      <c r="W28" s="149">
        <f t="shared" si="4"/>
        <v>69.999999999999829</v>
      </c>
      <c r="X28" s="174"/>
      <c r="Y28" s="301"/>
      <c r="Z28" s="335"/>
      <c r="AA28" s="335"/>
      <c r="AB28" s="461"/>
      <c r="AC28" s="462"/>
      <c r="AD28" s="92"/>
      <c r="AE28" s="92"/>
      <c r="AF28" s="311">
        <f t="shared" si="13"/>
        <v>-76.1428571428537</v>
      </c>
      <c r="AG28" s="99">
        <f t="shared" si="14"/>
        <v>0.9513464171611159</v>
      </c>
      <c r="AH28" s="478"/>
    </row>
    <row r="29" spans="1:34" ht="15" customHeight="1">
      <c r="A29" s="466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1487</v>
      </c>
      <c r="H29" s="91">
        <f>F29*G29</f>
        <v>85071.27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1462.6229508196755</v>
      </c>
      <c r="O29" s="96">
        <f>N29/M29</f>
        <v>86.036644165863265</v>
      </c>
      <c r="P29" s="97">
        <f>M29-J29</f>
        <v>0</v>
      </c>
      <c r="Q29" s="98">
        <f>O29-L29</f>
        <v>-6.0221793635485028</v>
      </c>
      <c r="R29" s="99">
        <f>O29/L29</f>
        <v>0.93458335515634217</v>
      </c>
      <c r="S29" s="469"/>
      <c r="T29" s="19">
        <v>0.374305555555556</v>
      </c>
      <c r="U29" s="19">
        <v>0.41666666666666702</v>
      </c>
      <c r="V29" s="92">
        <f>(T29-U28)*24*60</f>
        <v>7.0000000000012541</v>
      </c>
      <c r="W29" s="149">
        <f t="shared" si="4"/>
        <v>60.999999999999865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3"/>
        <v>-102.37704918032455</v>
      </c>
      <c r="AG29" s="99">
        <f t="shared" si="14"/>
        <v>0.93458335515634217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1343</v>
      </c>
      <c r="H30" s="91">
        <f t="shared" ref="H30:H32" si="15">F30*G30</f>
        <v>76833.03</v>
      </c>
      <c r="I30" s="92"/>
      <c r="J30" s="79">
        <f>VLOOKUP(D30,產線配置圖!$A$3:$C$40,2,0)</f>
        <v>18</v>
      </c>
      <c r="K30" s="80">
        <v>1565</v>
      </c>
      <c r="L30" s="93">
        <f t="shared" ref="L30:L32" si="16">K30/J30</f>
        <v>86.944444444444443</v>
      </c>
      <c r="M30" s="94">
        <v>18</v>
      </c>
      <c r="N30" s="95">
        <f t="shared" ref="N30:N32" si="17">G30/W30*60</f>
        <v>1438.9285714285684</v>
      </c>
      <c r="O30" s="96">
        <f t="shared" ref="O30:O32" si="18">N30/M30</f>
        <v>79.940476190476019</v>
      </c>
      <c r="P30" s="97">
        <f t="shared" ref="P30:P32" si="19">M30-J30</f>
        <v>0</v>
      </c>
      <c r="Q30" s="98">
        <f t="shared" ref="Q30:Q32" si="20">O30-L30</f>
        <v>-7.0039682539684236</v>
      </c>
      <c r="R30" s="99">
        <f t="shared" ref="R30:R32" si="21">O30/L30</f>
        <v>0.91944317663167308</v>
      </c>
      <c r="S30" s="469"/>
      <c r="T30" s="19">
        <v>0.421527777777778</v>
      </c>
      <c r="U30" s="19">
        <v>0.46041666666666697</v>
      </c>
      <c r="V30" s="92">
        <f>(T30-U29)*24*60</f>
        <v>6.9999999999998153</v>
      </c>
      <c r="W30" s="149">
        <f t="shared" si="4"/>
        <v>56.000000000000121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3"/>
        <v>-126.07142857143162</v>
      </c>
      <c r="AG30" s="99">
        <f t="shared" si="14"/>
        <v>0.91944317663167308</v>
      </c>
      <c r="AH30" s="479"/>
    </row>
    <row r="31" spans="1:34" ht="15" customHeight="1">
      <c r="A31" s="466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1300</v>
      </c>
      <c r="H31" s="91">
        <f t="shared" si="15"/>
        <v>60242.000000000007</v>
      </c>
      <c r="I31" s="92"/>
      <c r="J31" s="79">
        <f>VLOOKUP(D31,產線配置圖!$A$3:$C$40,2,0)</f>
        <v>16</v>
      </c>
      <c r="K31" s="80">
        <v>1565</v>
      </c>
      <c r="L31" s="93">
        <f t="shared" si="16"/>
        <v>97.8125</v>
      </c>
      <c r="M31" s="94">
        <v>16</v>
      </c>
      <c r="N31" s="95">
        <f t="shared" si="17"/>
        <v>1471.6981132075302</v>
      </c>
      <c r="O31" s="96">
        <f t="shared" si="18"/>
        <v>91.98113207547064</v>
      </c>
      <c r="P31" s="97">
        <f t="shared" si="19"/>
        <v>0</v>
      </c>
      <c r="Q31" s="98">
        <f t="shared" si="20"/>
        <v>-5.8313679245293599</v>
      </c>
      <c r="R31" s="99">
        <f t="shared" si="21"/>
        <v>0.94038218096327808</v>
      </c>
      <c r="S31" s="469"/>
      <c r="T31" s="19">
        <v>0.52083333333333304</v>
      </c>
      <c r="U31" s="19">
        <v>0.55763888888888902</v>
      </c>
      <c r="V31" s="92">
        <f t="shared" ref="V31:V32" si="22">(T31-U30)*24*60</f>
        <v>86.999999999999133</v>
      </c>
      <c r="W31" s="149">
        <f t="shared" si="4"/>
        <v>53.000000000000611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3"/>
        <v>-93.301886792469759</v>
      </c>
      <c r="AG31" s="99">
        <f t="shared" si="14"/>
        <v>0.94038218096327808</v>
      </c>
      <c r="AH31" s="459"/>
    </row>
    <row r="32" spans="1:34" ht="15" customHeight="1">
      <c r="A32" s="466"/>
      <c r="B32" s="75" t="s">
        <v>81</v>
      </c>
      <c r="C32" s="102"/>
      <c r="D32" s="175" t="s">
        <v>196</v>
      </c>
      <c r="E32" s="176"/>
      <c r="F32" s="75">
        <f>VLOOKUP(D32,廠價表!$C$1:$E$43,3,0)</f>
        <v>49.91</v>
      </c>
      <c r="G32" s="90">
        <v>881</v>
      </c>
      <c r="H32" s="91">
        <f t="shared" si="15"/>
        <v>43970.71</v>
      </c>
      <c r="I32" s="92"/>
      <c r="J32" s="79"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1510.2857142856853</v>
      </c>
      <c r="O32" s="96">
        <f t="shared" si="18"/>
        <v>88.840336134452073</v>
      </c>
      <c r="P32" s="97">
        <f t="shared" si="19"/>
        <v>0</v>
      </c>
      <c r="Q32" s="98">
        <f t="shared" si="20"/>
        <v>-7.3949579831949848</v>
      </c>
      <c r="R32" s="99">
        <f t="shared" si="21"/>
        <v>0.92315752706948973</v>
      </c>
      <c r="S32" s="469"/>
      <c r="T32" s="19">
        <v>0.5625</v>
      </c>
      <c r="U32" s="19">
        <v>0.58680555555555602</v>
      </c>
      <c r="V32" s="92">
        <f t="shared" si="22"/>
        <v>6.9999999999998153</v>
      </c>
      <c r="W32" s="149">
        <f t="shared" si="4"/>
        <v>35.000000000000675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16.833333333333332</v>
      </c>
      <c r="K37" s="155">
        <f t="shared" si="23"/>
        <v>1588.6666666666667</v>
      </c>
      <c r="L37" s="158">
        <f t="shared" si="23"/>
        <v>94.516476034858385</v>
      </c>
      <c r="M37" s="155">
        <f t="shared" si="23"/>
        <v>16.833333333333332</v>
      </c>
      <c r="N37" s="155">
        <f t="shared" si="23"/>
        <v>1486.9820820997654</v>
      </c>
      <c r="O37" s="158">
        <f t="shared" si="23"/>
        <v>88.499869803060378</v>
      </c>
      <c r="P37" s="159">
        <f>M37-J37</f>
        <v>0</v>
      </c>
      <c r="Q37" s="160">
        <f>N37-K37</f>
        <v>-101.68458456690132</v>
      </c>
      <c r="R37" s="161">
        <f>O37/L37</f>
        <v>0.9363433077045844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-101.68458456690132</v>
      </c>
      <c r="AG37" s="124">
        <f>N37/K37</f>
        <v>0.93599375709175325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2886</v>
      </c>
      <c r="H38" s="134">
        <f>F38*G38</f>
        <v>144040.25999999998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1649.1428571428492</v>
      </c>
      <c r="O38" s="141">
        <f>N38/M38</f>
        <v>109.94285714285661</v>
      </c>
      <c r="P38" s="142">
        <f>M38-J38</f>
        <v>0</v>
      </c>
      <c r="Q38" s="143">
        <f>O38-L38</f>
        <v>-4.3238095238100556</v>
      </c>
      <c r="R38" s="144">
        <f>O38/L38</f>
        <v>0.96216036006000538</v>
      </c>
      <c r="S38" s="490">
        <f>R48</f>
        <v>0.90145087610182695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-64.857142857150848</v>
      </c>
      <c r="AG38" s="195">
        <f>N38/K38</f>
        <v>0.96216036006000538</v>
      </c>
      <c r="AH38" s="480">
        <f>AG48</f>
        <v>0.89727694687983262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2403</v>
      </c>
      <c r="H39" s="91">
        <f>F39*G39</f>
        <v>106452.9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1441.7999999999879</v>
      </c>
      <c r="O39" s="203">
        <f>N39/M39</f>
        <v>80.099999999999326</v>
      </c>
      <c r="P39" s="97">
        <f>M39-J39</f>
        <v>0</v>
      </c>
      <c r="Q39" s="98">
        <f>O39-L39</f>
        <v>-10.788888888889559</v>
      </c>
      <c r="R39" s="99">
        <f>O39/L39</f>
        <v>0.88129584352077506</v>
      </c>
      <c r="S39" s="491"/>
      <c r="T39" s="20">
        <v>0.41319444444444398</v>
      </c>
      <c r="U39" s="20">
        <v>0.48263888888888901</v>
      </c>
      <c r="V39" s="92">
        <f>(T39-U38)*24*60</f>
        <v>9.999999999999325</v>
      </c>
      <c r="W39" s="205">
        <f t="shared" si="4"/>
        <v>100.00000000000084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-194.2000000000121</v>
      </c>
      <c r="AG39" s="206">
        <f>N39/K39</f>
        <v>0.88129584352077506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2881</v>
      </c>
      <c r="H40" s="91">
        <f>F40*G40</f>
        <v>127628.29999999999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1382.8800000000085</v>
      </c>
      <c r="O40" s="203">
        <f>N40/M40</f>
        <v>76.826666666667137</v>
      </c>
      <c r="P40" s="97">
        <f>M40-J40</f>
        <v>0</v>
      </c>
      <c r="Q40" s="98">
        <f>O40-L40</f>
        <v>-14.062222222221749</v>
      </c>
      <c r="R40" s="99">
        <f>O40/L40</f>
        <v>0.84528117359413724</v>
      </c>
      <c r="S40" s="413"/>
      <c r="T40" s="20">
        <v>0.54513888888888895</v>
      </c>
      <c r="U40" s="20">
        <v>0.63194444444444398</v>
      </c>
      <c r="V40" s="92">
        <f>(T40-U39)*24*60</f>
        <v>89.999999999999915</v>
      </c>
      <c r="W40" s="205">
        <f t="shared" si="4"/>
        <v>124.99999999999923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-253.11999999999148</v>
      </c>
      <c r="AG40" s="206">
        <f>N40/K40</f>
        <v>0.84528117359413724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1491.2742857142819</v>
      </c>
      <c r="O48" s="158">
        <f t="shared" si="24"/>
        <v>88.956507936507705</v>
      </c>
      <c r="P48" s="221">
        <f>M48-J48</f>
        <v>0</v>
      </c>
      <c r="Q48" s="222">
        <f>N48-K48</f>
        <v>-170.72571428571814</v>
      </c>
      <c r="R48" s="223">
        <f t="shared" ref="R48:R52" si="25">O48/L48</f>
        <v>0.90145087610182695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6">N48-K48</f>
        <v>-170.72571428571814</v>
      </c>
      <c r="AG48" s="162">
        <f t="shared" ref="AG48:AG53" si="27">N48/K48</f>
        <v>0.89727694687983262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2392</v>
      </c>
      <c r="H49" s="134">
        <f>F49*G49</f>
        <v>118451.84000000001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1630.9090909090937</v>
      </c>
      <c r="O49" s="141">
        <f>N49/M49</f>
        <v>95.93582887700552</v>
      </c>
      <c r="P49" s="229">
        <f>M49-J49</f>
        <v>0</v>
      </c>
      <c r="Q49" s="230">
        <f>O49-L49</f>
        <v>-9.9465240641709443</v>
      </c>
      <c r="R49" s="52">
        <f t="shared" si="25"/>
        <v>0.90606060606060779</v>
      </c>
      <c r="S49" s="412">
        <f>R58</f>
        <v>0.86445177819471841</v>
      </c>
      <c r="T49" s="191">
        <v>0.29166666666666702</v>
      </c>
      <c r="U49" s="191">
        <v>0.35277777777777802</v>
      </c>
      <c r="V49" s="55"/>
      <c r="W49" s="193">
        <f t="shared" si="4"/>
        <v>87.999999999999844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6"/>
        <v>-169.09090909090628</v>
      </c>
      <c r="AG49" s="52">
        <f t="shared" si="27"/>
        <v>0.90606060606060768</v>
      </c>
      <c r="AH49" s="457">
        <f>AG58</f>
        <v>0.86576702622751367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2245</v>
      </c>
      <c r="H50" s="231">
        <f>F50*G50</f>
        <v>112898.80500000001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1496.6666666666665</v>
      </c>
      <c r="O50" s="235">
        <f>N50/M50</f>
        <v>88.039215686274503</v>
      </c>
      <c r="P50" s="74">
        <f>M50-J50</f>
        <v>0</v>
      </c>
      <c r="Q50" s="83">
        <f>O50-L50</f>
        <v>-8.1960784313725554</v>
      </c>
      <c r="R50" s="72">
        <f t="shared" si="25"/>
        <v>0.91483292583537079</v>
      </c>
      <c r="S50" s="413"/>
      <c r="T50" s="21">
        <v>0.35763888888888901</v>
      </c>
      <c r="U50" s="21">
        <v>0.42013888888888901</v>
      </c>
      <c r="V50" s="30">
        <f>(T50-U49)*24*60</f>
        <v>6.9999999999998153</v>
      </c>
      <c r="W50" s="236">
        <f t="shared" si="4"/>
        <v>90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6"/>
        <v>-139.33333333333348</v>
      </c>
      <c r="AG50" s="72">
        <f t="shared" si="27"/>
        <v>0.91483292583537068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1616</v>
      </c>
      <c r="H51" s="231">
        <f>F51*G51</f>
        <v>80751.520000000004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1514.9999999999809</v>
      </c>
      <c r="O51" s="235">
        <f>N51/M51</f>
        <v>94.687499999998806</v>
      </c>
      <c r="P51" s="74">
        <f>M51-J51</f>
        <v>0</v>
      </c>
      <c r="Q51" s="83">
        <f>O51-L51</f>
        <v>-17.812500000001194</v>
      </c>
      <c r="R51" s="72">
        <f t="shared" si="25"/>
        <v>0.84166666666665602</v>
      </c>
      <c r="S51" s="413"/>
      <c r="T51" s="21">
        <v>0.42708333333333298</v>
      </c>
      <c r="U51" s="19">
        <v>0.47152777777777799</v>
      </c>
      <c r="V51" s="30">
        <f>(T51-U50)*24*60</f>
        <v>9.999999999999325</v>
      </c>
      <c r="W51" s="236">
        <f t="shared" si="4"/>
        <v>64.00000000000081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6"/>
        <v>-285.0000000000191</v>
      </c>
      <c r="AG51" s="72">
        <f t="shared" si="27"/>
        <v>0.84166666666665602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3719</v>
      </c>
      <c r="H52" s="231">
        <f>F52*G52</f>
        <v>185838.43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1448.9610389610441</v>
      </c>
      <c r="O52" s="235">
        <f>N52/M52</f>
        <v>90.560064935065256</v>
      </c>
      <c r="P52" s="74">
        <f>M52-J52</f>
        <v>0</v>
      </c>
      <c r="Q52" s="83">
        <f>O52-L52</f>
        <v>-21.939935064934744</v>
      </c>
      <c r="R52" s="72">
        <f t="shared" si="25"/>
        <v>0.80497835497835779</v>
      </c>
      <c r="S52" s="413"/>
      <c r="T52" s="21">
        <v>0.53888888888888897</v>
      </c>
      <c r="U52" s="21">
        <v>0.64583333333333304</v>
      </c>
      <c r="V52" s="30">
        <f>(T52-U51)*24*60</f>
        <v>96.999999999999815</v>
      </c>
      <c r="W52" s="236">
        <f t="shared" si="4"/>
        <v>153.99999999999946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6"/>
        <v>-351.0389610389559</v>
      </c>
      <c r="AG52" s="72">
        <f t="shared" si="27"/>
        <v>0.80497835497835779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6"/>
        <v>0</v>
      </c>
      <c r="AG53" s="72" t="e">
        <f t="shared" si="27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16.5</v>
      </c>
      <c r="N58" s="120">
        <f t="shared" si="28"/>
        <v>1522.8841991341965</v>
      </c>
      <c r="O58" s="117">
        <f t="shared" si="28"/>
        <v>92.305652374586032</v>
      </c>
      <c r="P58" s="121">
        <f>M58-J58</f>
        <v>0</v>
      </c>
      <c r="Q58" s="122">
        <f>N58-K58</f>
        <v>-236.11580086580352</v>
      </c>
      <c r="R58" s="123">
        <f>O58/L58</f>
        <v>0.86445177819471841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-236.11580086580352</v>
      </c>
      <c r="AG58" s="124">
        <f>N58/K58</f>
        <v>0.86576702622751367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3759</v>
      </c>
      <c r="H59" s="243">
        <f>F59*G59</f>
        <v>101455.40999999999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1611.0000000000039</v>
      </c>
      <c r="O59" s="138">
        <f>N59/M59</f>
        <v>107.40000000000026</v>
      </c>
      <c r="P59" s="56">
        <f>M59-J59</f>
        <v>0</v>
      </c>
      <c r="Q59" s="230">
        <f>O59-L59</f>
        <v>-1.6666666666664014</v>
      </c>
      <c r="R59" s="52">
        <f>O59/L59</f>
        <v>0.98471882640587038</v>
      </c>
      <c r="S59" s="412">
        <f>R69</f>
        <v>0.96190887947999326</v>
      </c>
      <c r="T59" s="245">
        <v>0.29027777777777802</v>
      </c>
      <c r="U59" s="245">
        <v>0.38750000000000001</v>
      </c>
      <c r="V59" s="55"/>
      <c r="W59" s="54">
        <f t="shared" si="4"/>
        <v>139.99999999999966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-24.999999999996135</v>
      </c>
      <c r="AG59" s="246">
        <f>N59/K59</f>
        <v>0.98471882640587038</v>
      </c>
      <c r="AH59" s="457">
        <f>AG69</f>
        <v>0.96393643031784915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1778</v>
      </c>
      <c r="H60" s="78">
        <f>F60*G60</f>
        <v>50246.280000000006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1524.0000000000036</v>
      </c>
      <c r="O60" s="81">
        <f>N60/M60</f>
        <v>138.54545454545487</v>
      </c>
      <c r="P60" s="74">
        <f>M60-J60</f>
        <v>0</v>
      </c>
      <c r="Q60" s="83">
        <f>O60-L60</f>
        <v>-10.181818181817846</v>
      </c>
      <c r="R60" s="72">
        <f>O60/L60</f>
        <v>0.93154034229829075</v>
      </c>
      <c r="S60" s="502"/>
      <c r="T60" s="22">
        <v>0.39583333333333298</v>
      </c>
      <c r="U60" s="22">
        <v>0.44444444444444398</v>
      </c>
      <c r="V60" s="30">
        <f>(T60-U59)*24*60</f>
        <v>11.999999999999478</v>
      </c>
      <c r="W60" s="248">
        <f t="shared" si="4"/>
        <v>69.999999999999829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-111.99999999999636</v>
      </c>
      <c r="AG60" s="249">
        <f>N60/K60</f>
        <v>0.93154034229829075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1729</v>
      </c>
      <c r="H61" s="254">
        <f>F61*G61</f>
        <v>48861.54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1595.9999999999959</v>
      </c>
      <c r="O61" s="238">
        <f>N61/M61</f>
        <v>145.09090909090872</v>
      </c>
      <c r="P61" s="111">
        <f>M61-J61</f>
        <v>0</v>
      </c>
      <c r="Q61" s="255">
        <f>O61-L61</f>
        <v>-3.6363636363639955</v>
      </c>
      <c r="R61" s="85">
        <f>O61/L61</f>
        <v>0.97555012224938631</v>
      </c>
      <c r="S61" s="413"/>
      <c r="T61" s="22">
        <v>0.45138888888888901</v>
      </c>
      <c r="U61" s="22">
        <v>0.49652777777777801</v>
      </c>
      <c r="V61" s="30">
        <f>(T61-U60)*24*60</f>
        <v>10.000000000000844</v>
      </c>
      <c r="W61" s="256">
        <f t="shared" si="4"/>
        <v>65.000000000000171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-40.000000000004093</v>
      </c>
      <c r="AG61" s="247">
        <f>N61/K61</f>
        <v>0.9755501222493862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1577.0000000000011</v>
      </c>
      <c r="O69" s="268">
        <f t="shared" si="29"/>
        <v>130.3454545454546</v>
      </c>
      <c r="P69" s="269">
        <f>M69-J69</f>
        <v>0</v>
      </c>
      <c r="Q69" s="222">
        <f>N69-K69</f>
        <v>-58.999999999998863</v>
      </c>
      <c r="R69" s="123">
        <f>O69/L69</f>
        <v>0.96190887947999326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-58.999999999998863</v>
      </c>
      <c r="AG69" s="124">
        <f>N69/K69</f>
        <v>0.96393643031784915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3969</v>
      </c>
      <c r="H70" s="243">
        <f>F70*G70</f>
        <v>112163.94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1536.3870967741918</v>
      </c>
      <c r="O70" s="138">
        <f>N70/M70</f>
        <v>139.67155425219926</v>
      </c>
      <c r="P70" s="56">
        <f>M70-J70</f>
        <v>0</v>
      </c>
      <c r="Q70" s="230">
        <f>O70-L70</f>
        <v>-9.0557184750734621</v>
      </c>
      <c r="R70" s="52">
        <f>O70/L70</f>
        <v>0.93911191734363808</v>
      </c>
      <c r="S70" s="412">
        <f>R79</f>
        <v>0.88711031256155892</v>
      </c>
      <c r="T70" s="245">
        <v>0.29513888888888901</v>
      </c>
      <c r="U70" s="245">
        <v>0.40277777777777801</v>
      </c>
      <c r="V70" s="55"/>
      <c r="W70" s="54">
        <f t="shared" si="4"/>
        <v>155.00000000000017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-99.612903225808168</v>
      </c>
      <c r="AG70" s="246">
        <f>N70/K70</f>
        <v>0.93911191734363808</v>
      </c>
      <c r="AH70" s="457">
        <f>AG79</f>
        <v>0.80410845460133917</v>
      </c>
    </row>
    <row r="71" spans="1:36" ht="15" customHeight="1">
      <c r="A71" s="495"/>
      <c r="B71" s="75" t="s">
        <v>81</v>
      </c>
      <c r="C71" s="76"/>
      <c r="D71" s="59" t="s">
        <v>123</v>
      </c>
      <c r="E71" s="77"/>
      <c r="F71" s="250">
        <f>VLOOKUP(D71,廠價表!$C$1:$E$43,3,0)</f>
        <v>45.66</v>
      </c>
      <c r="G71" s="30">
        <v>1574</v>
      </c>
      <c r="H71" s="254">
        <f t="shared" ref="H71:H73" si="30">F71*G71</f>
        <v>71868.84</v>
      </c>
      <c r="I71" s="232"/>
      <c r="J71" s="106">
        <f>VLOOKUP(D71,產線配置圖!$A$3:$C$40,2,0)</f>
        <v>17</v>
      </c>
      <c r="K71" s="107">
        <v>1636</v>
      </c>
      <c r="L71" s="238">
        <f t="shared" ref="L71:L73" si="31">K71/J71</f>
        <v>96.235294117647058</v>
      </c>
      <c r="M71" s="82">
        <v>15</v>
      </c>
      <c r="N71" s="107">
        <f t="shared" ref="N71:N73" si="32">G71/W71*60</f>
        <v>1293.698630136998</v>
      </c>
      <c r="O71" s="238">
        <f t="shared" ref="O71:O73" si="33">N71/M71</f>
        <v>86.246575342466528</v>
      </c>
      <c r="P71" s="111">
        <f t="shared" ref="P71:P73" si="34">M71-J71</f>
        <v>-2</v>
      </c>
      <c r="Q71" s="255">
        <f t="shared" ref="Q71:Q73" si="35">O71-L71</f>
        <v>-9.98871877518053</v>
      </c>
      <c r="R71" s="85">
        <f t="shared" ref="R71:R73" si="36">O71/L71</f>
        <v>0.89620524500118026</v>
      </c>
      <c r="S71" s="413"/>
      <c r="T71" s="22">
        <v>0.41666666666666702</v>
      </c>
      <c r="U71" s="22">
        <v>0.46736111111111101</v>
      </c>
      <c r="V71" s="30">
        <f>(T71-U70)*24*60</f>
        <v>20.000000000000171</v>
      </c>
      <c r="W71" s="73">
        <f t="shared" si="4"/>
        <v>72.999999999999346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181</v>
      </c>
      <c r="E72" s="77"/>
      <c r="F72" s="250">
        <f>VLOOKUP(D72,廠價表!$C$1:$E$43,3,0)</f>
        <v>43.89</v>
      </c>
      <c r="G72" s="202">
        <v>515</v>
      </c>
      <c r="H72" s="254">
        <f t="shared" si="30"/>
        <v>22603.35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1"/>
        <v>96.235294117647058</v>
      </c>
      <c r="M72" s="82">
        <v>15</v>
      </c>
      <c r="N72" s="107">
        <f t="shared" si="32"/>
        <v>1236.0000000000084</v>
      </c>
      <c r="O72" s="238">
        <f t="shared" si="33"/>
        <v>82.40000000000056</v>
      </c>
      <c r="P72" s="111">
        <f t="shared" si="34"/>
        <v>-2</v>
      </c>
      <c r="Q72" s="255">
        <f t="shared" si="35"/>
        <v>-13.835294117646498</v>
      </c>
      <c r="R72" s="85">
        <f t="shared" si="36"/>
        <v>0.85623471882641167</v>
      </c>
      <c r="S72" s="413"/>
      <c r="T72" s="22">
        <v>0.47222222222222199</v>
      </c>
      <c r="U72" s="22">
        <v>0.48958333333333298</v>
      </c>
      <c r="V72" s="30">
        <f>(T72-U71)*24*60</f>
        <v>6.9999999999998153</v>
      </c>
      <c r="W72" s="73">
        <f t="shared" si="4"/>
        <v>24.999999999999829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181</v>
      </c>
      <c r="E73" s="87"/>
      <c r="F73" s="250">
        <f>VLOOKUP(D73,廠價表!$C$1:$E$43,3,0)</f>
        <v>43.89</v>
      </c>
      <c r="G73" s="202">
        <v>598</v>
      </c>
      <c r="H73" s="254">
        <f t="shared" si="30"/>
        <v>26246.22</v>
      </c>
      <c r="I73" s="23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1"/>
        <v>96.235294117647058</v>
      </c>
      <c r="M73" s="82">
        <v>15</v>
      </c>
      <c r="N73" s="107">
        <f t="shared" si="32"/>
        <v>1195.9999999999659</v>
      </c>
      <c r="O73" s="238">
        <f t="shared" si="33"/>
        <v>79.733333333331061</v>
      </c>
      <c r="P73" s="111">
        <f t="shared" si="34"/>
        <v>-2</v>
      </c>
      <c r="Q73" s="255">
        <f t="shared" si="35"/>
        <v>-16.501960784315997</v>
      </c>
      <c r="R73" s="85">
        <f t="shared" si="36"/>
        <v>0.82852485737568948</v>
      </c>
      <c r="S73" s="413"/>
      <c r="T73" s="22">
        <v>0.55208333333333304</v>
      </c>
      <c r="U73" s="22">
        <v>0.57291666666666696</v>
      </c>
      <c r="V73" s="30">
        <f>(T73-U72)*24*60</f>
        <v>90.000000000000085</v>
      </c>
      <c r="W73" s="73">
        <f t="shared" si="4"/>
        <v>30.000000000000853</v>
      </c>
      <c r="X73" s="272"/>
      <c r="Y73" s="288"/>
      <c r="Z73" s="90"/>
      <c r="AA73" s="90"/>
      <c r="AB73" s="462"/>
      <c r="AC73" s="462"/>
      <c r="AD73" s="92"/>
      <c r="AE73" s="92"/>
      <c r="AF73" s="311">
        <v>-129.333333333333</v>
      </c>
      <c r="AG73" s="99">
        <v>1.9167199148029801</v>
      </c>
      <c r="AH73" s="478"/>
    </row>
    <row r="74" spans="1:36" ht="15" customHeight="1">
      <c r="A74" s="495"/>
      <c r="B74" s="30"/>
      <c r="C74" s="151"/>
      <c r="D74" s="59"/>
      <c r="E74" s="87"/>
      <c r="F74" s="250"/>
      <c r="G74" s="30"/>
      <c r="H74" s="78"/>
      <c r="I74" s="182"/>
      <c r="J74" s="106"/>
      <c r="K74" s="107"/>
      <c r="L74" s="238"/>
      <c r="M74" s="108"/>
      <c r="N74" s="107"/>
      <c r="O74" s="238"/>
      <c r="P74" s="111"/>
      <c r="Q74" s="255"/>
      <c r="R74" s="85"/>
      <c r="S74" s="41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101"/>
      <c r="C75" s="102"/>
      <c r="D75" s="103"/>
      <c r="E75" s="104"/>
      <c r="F75" s="250"/>
      <c r="G75" s="30"/>
      <c r="H75" s="78"/>
      <c r="I75" s="182"/>
      <c r="J75" s="106"/>
      <c r="K75" s="107"/>
      <c r="L75" s="238"/>
      <c r="M75" s="108"/>
      <c r="N75" s="107"/>
      <c r="O75" s="238"/>
      <c r="P75" s="111"/>
      <c r="Q75" s="255"/>
      <c r="R75" s="85"/>
      <c r="S75" s="41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250"/>
      <c r="G76" s="30"/>
      <c r="H76" s="78"/>
      <c r="I76" s="182"/>
      <c r="J76" s="106"/>
      <c r="K76" s="107"/>
      <c r="L76" s="238"/>
      <c r="M76" s="108"/>
      <c r="N76" s="107"/>
      <c r="O76" s="238"/>
      <c r="P76" s="111"/>
      <c r="Q76" s="255"/>
      <c r="R76" s="85"/>
      <c r="S76" s="414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7">AVERAGE(J70:J78)</f>
        <v>15.5</v>
      </c>
      <c r="K79" s="240">
        <f t="shared" si="37"/>
        <v>1636</v>
      </c>
      <c r="L79" s="268">
        <f t="shared" si="37"/>
        <v>109.35828877005348</v>
      </c>
      <c r="M79" s="240">
        <f t="shared" si="37"/>
        <v>14</v>
      </c>
      <c r="N79" s="240">
        <f t="shared" si="37"/>
        <v>1315.521431727791</v>
      </c>
      <c r="O79" s="268">
        <f t="shared" si="37"/>
        <v>97.012865731999355</v>
      </c>
      <c r="P79" s="269">
        <f>M79-J79</f>
        <v>-1.5</v>
      </c>
      <c r="Q79" s="222">
        <f>N79-K79</f>
        <v>-320.47856827220903</v>
      </c>
      <c r="R79" s="223">
        <f>O79/L79</f>
        <v>0.88711031256155892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-320.47856827220903</v>
      </c>
      <c r="AG79" s="124">
        <f>N79/K79</f>
        <v>0.80410845460133917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T3:U3"/>
    <mergeCell ref="V3:V4"/>
    <mergeCell ref="W3:W4"/>
    <mergeCell ref="X3:Y3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H3:AH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46232</v>
      </c>
      <c r="E3" s="379"/>
      <c r="F3" s="3" t="s">
        <v>72</v>
      </c>
      <c r="G3" s="380">
        <f>'0729'!E1</f>
        <v>58465</v>
      </c>
      <c r="H3" s="380"/>
      <c r="I3" s="3" t="s">
        <v>2</v>
      </c>
      <c r="J3" s="381">
        <f>'0729'!G1</f>
        <v>2695741.5660000006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124.94268378291487</v>
      </c>
      <c r="G6" s="386"/>
      <c r="H6" s="387">
        <f>AVERAGE(D13:H13)</f>
        <v>126.74668540065598</v>
      </c>
      <c r="I6" s="387"/>
      <c r="J6" s="387">
        <f>AVERAGE(I13:J13)</f>
        <v>120.43267973856209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112.45238430963205</v>
      </c>
      <c r="G7" s="410"/>
      <c r="H7" s="411">
        <f>AVERAGE(D14:H14)</f>
        <v>114.50824726242095</v>
      </c>
      <c r="I7" s="411"/>
      <c r="J7" s="411">
        <f>AVERAGE(I14:J14)</f>
        <v>107.31272692765981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0.90003176580563582</v>
      </c>
      <c r="G8" s="383"/>
      <c r="H8" s="383">
        <f>H7/H6</f>
        <v>0.90344174997911475</v>
      </c>
      <c r="I8" s="383"/>
      <c r="J8" s="383">
        <f>J7/J6</f>
        <v>0.89105986149786454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VALUE('0729'!L15)</f>
        <v>156.42857142857142</v>
      </c>
      <c r="E13" s="13">
        <f>VALUE('0729'!L26)</f>
        <v>177.19780219780219</v>
      </c>
      <c r="F13" s="13">
        <f>VALUE('0729'!L37)</f>
        <v>94.646160130718954</v>
      </c>
      <c r="G13" s="13">
        <f>VALUE('0729'!L48)</f>
        <v>98.681481481481498</v>
      </c>
      <c r="H13" s="13">
        <f>VALUE('0729'!L58)</f>
        <v>106.77941176470588</v>
      </c>
      <c r="I13" s="13">
        <f>VALUE('0729'!L69)</f>
        <v>135.50707070707071</v>
      </c>
      <c r="J13" s="13">
        <f>'0729'!L79</f>
        <v>105.35828877005348</v>
      </c>
    </row>
    <row r="14" spans="2:15" ht="39.950000000000003" customHeight="1">
      <c r="B14" s="404"/>
      <c r="C14" s="12" t="s">
        <v>100</v>
      </c>
      <c r="D14" s="13">
        <f>VALUE('0729'!O15)</f>
        <v>137.62791605625964</v>
      </c>
      <c r="E14" s="13">
        <f>VALUE('0729'!O26)</f>
        <v>163.10237214828203</v>
      </c>
      <c r="F14" s="13">
        <f>VALUE('0729'!O37)</f>
        <v>90.158996263931513</v>
      </c>
      <c r="G14" s="13">
        <f>VALUE('0729'!O48)</f>
        <v>87.962914338055043</v>
      </c>
      <c r="H14" s="13">
        <f>VALUE('0729'!O58)</f>
        <v>93.689037505576437</v>
      </c>
      <c r="I14" s="13">
        <f>VALUE('0729'!O69)</f>
        <v>122.58728922777549</v>
      </c>
      <c r="J14" s="13">
        <f>'0729'!O79</f>
        <v>92.038164627544134</v>
      </c>
    </row>
    <row r="15" spans="2:15" ht="39.950000000000003" customHeight="1">
      <c r="B15" s="405"/>
      <c r="C15" s="10" t="s">
        <v>26</v>
      </c>
      <c r="D15" s="14">
        <f t="shared" ref="D15:I15" si="1">D14/D13</f>
        <v>0.87981316200348636</v>
      </c>
      <c r="E15" s="14">
        <f t="shared" si="1"/>
        <v>0.92045369708487845</v>
      </c>
      <c r="F15" s="14">
        <f t="shared" si="1"/>
        <v>0.95259011183771147</v>
      </c>
      <c r="G15" s="14">
        <f t="shared" si="1"/>
        <v>0.89138218252795598</v>
      </c>
      <c r="H15" s="14">
        <f t="shared" si="1"/>
        <v>0.87740731998060839</v>
      </c>
      <c r="I15" s="14">
        <f t="shared" si="1"/>
        <v>0.90465603446462017</v>
      </c>
      <c r="J15" s="15">
        <f>'0729'!S70</f>
        <v>0.87357307813169993</v>
      </c>
    </row>
    <row r="16" spans="2:15" ht="17.25" customHeight="1">
      <c r="B16" s="406" t="s">
        <v>101</v>
      </c>
      <c r="C16" s="10" t="s">
        <v>34</v>
      </c>
      <c r="D16" s="16">
        <f>'0729'!T5</f>
        <v>0.29375000000000001</v>
      </c>
      <c r="E16" s="16">
        <f>'0729'!T16</f>
        <v>0.29166666666666702</v>
      </c>
      <c r="F16" s="16">
        <f>'0729'!T27</f>
        <v>0.28819444444444398</v>
      </c>
      <c r="G16" s="16">
        <f>'0729'!T38</f>
        <v>0.32986111111111099</v>
      </c>
      <c r="H16" s="16">
        <f>'0729'!T49</f>
        <v>0.29166666666666702</v>
      </c>
      <c r="I16" s="16">
        <f>'0729'!T59</f>
        <v>0.29166666666666702</v>
      </c>
      <c r="J16" s="16">
        <f>'0729'!T70</f>
        <v>0.29305555555555601</v>
      </c>
    </row>
    <row r="17" spans="2:10" ht="17.25" customHeight="1">
      <c r="B17" s="407"/>
      <c r="C17" s="10" t="s">
        <v>35</v>
      </c>
      <c r="D17" s="16">
        <v>0.60138888888888897</v>
      </c>
      <c r="E17" s="19">
        <v>0.58333333333333304</v>
      </c>
      <c r="F17" s="19">
        <v>0.54861111111111105</v>
      </c>
      <c r="G17" s="20">
        <v>0.63541666666666696</v>
      </c>
      <c r="H17" s="21">
        <v>0.62986111111111098</v>
      </c>
      <c r="I17" s="22">
        <v>0.47916666666666702</v>
      </c>
      <c r="J17" s="22">
        <v>0.56527777777777799</v>
      </c>
    </row>
    <row r="18" spans="2:10" ht="17.25" customHeight="1">
      <c r="B18" s="408" t="s">
        <v>102</v>
      </c>
      <c r="C18" s="330" t="s">
        <v>36</v>
      </c>
      <c r="D18" s="357">
        <f>'0729'!Z15</f>
        <v>0</v>
      </c>
      <c r="E18" s="358">
        <f>'0729'!Z26</f>
        <v>0</v>
      </c>
      <c r="F18" s="358">
        <f>'0729'!Z37</f>
        <v>0</v>
      </c>
      <c r="G18" s="359">
        <f>'0729'!Z48</f>
        <v>0</v>
      </c>
      <c r="H18" s="359">
        <f>'0729'!Z58</f>
        <v>0</v>
      </c>
      <c r="I18" s="358">
        <f>'0729'!Z69</f>
        <v>0</v>
      </c>
      <c r="J18" s="358">
        <f>'0729'!AA79</f>
        <v>0</v>
      </c>
    </row>
    <row r="19" spans="2:10" ht="17.25" customHeight="1">
      <c r="B19" s="409"/>
      <c r="C19" s="330" t="s">
        <v>37</v>
      </c>
      <c r="D19" s="357">
        <f>'0729'!AA15</f>
        <v>0</v>
      </c>
      <c r="E19" s="358">
        <f>'0729'!AA26</f>
        <v>0</v>
      </c>
      <c r="F19" s="358">
        <f>'0729'!AA37</f>
        <v>0</v>
      </c>
      <c r="G19" s="359">
        <f>'0729'!AA48</f>
        <v>0</v>
      </c>
      <c r="H19" s="359">
        <f>'0729'!AA58</f>
        <v>0</v>
      </c>
      <c r="I19" s="358">
        <f>'0729'!AA69</f>
        <v>0</v>
      </c>
      <c r="J19" s="358">
        <f>'0729'!AB79</f>
        <v>0</v>
      </c>
    </row>
    <row r="20" spans="2:10" ht="17.25" customHeight="1">
      <c r="B20" s="408" t="s">
        <v>103</v>
      </c>
      <c r="C20" s="330" t="s">
        <v>36</v>
      </c>
      <c r="D20" s="357">
        <f>'0729'!AD15</f>
        <v>0</v>
      </c>
      <c r="E20" s="358">
        <f>'0729'!AD26</f>
        <v>0</v>
      </c>
      <c r="F20" s="358">
        <f>'0729'!AD37</f>
        <v>0</v>
      </c>
      <c r="G20" s="359">
        <f>'0729'!AD48</f>
        <v>0</v>
      </c>
      <c r="H20" s="359">
        <f>'0729'!AD58</f>
        <v>0</v>
      </c>
      <c r="I20" s="358">
        <f>'0729'!AD69</f>
        <v>0</v>
      </c>
      <c r="J20" s="358">
        <f>'0729'!AD79</f>
        <v>0</v>
      </c>
    </row>
    <row r="21" spans="2:10" ht="17.25" customHeight="1">
      <c r="B21" s="409"/>
      <c r="C21" s="330" t="s">
        <v>85</v>
      </c>
      <c r="D21" s="357">
        <f>'0729'!AE15</f>
        <v>0</v>
      </c>
      <c r="E21" s="358">
        <f>'0729'!AE26</f>
        <v>0</v>
      </c>
      <c r="F21" s="358">
        <f>'0729'!AE37</f>
        <v>0</v>
      </c>
      <c r="G21" s="359">
        <f>'0729'!AE48</f>
        <v>0</v>
      </c>
      <c r="H21" s="359">
        <f>'0729'!AE58</f>
        <v>0</v>
      </c>
      <c r="I21" s="358">
        <f>'0729'!AE69</f>
        <v>0</v>
      </c>
      <c r="J21" s="358">
        <f>'0729'!AE79</f>
        <v>0</v>
      </c>
    </row>
    <row r="22" spans="2:10" ht="17.25" customHeight="1">
      <c r="B22" s="392" t="s">
        <v>104</v>
      </c>
      <c r="C22" s="393"/>
      <c r="D22" s="23">
        <f>VALUE('0729'!M15)</f>
        <v>14.4</v>
      </c>
      <c r="E22" s="23">
        <f>VALUE('0729'!M26)</f>
        <v>12.75</v>
      </c>
      <c r="F22" s="23">
        <f>VALUE('0729'!M37)</f>
        <v>16.8</v>
      </c>
      <c r="G22" s="23">
        <f>VALUE('0729'!M48)</f>
        <v>16.666666666666668</v>
      </c>
      <c r="H22" s="23">
        <f>VALUE('0729'!M58)</f>
        <v>16.5</v>
      </c>
      <c r="I22" s="23">
        <f>VALUE('0729'!M69)</f>
        <v>12.333333333333334</v>
      </c>
      <c r="J22" s="23">
        <f>'0729'!M79</f>
        <v>14.25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75" zoomScaleNormal="75" workbookViewId="0">
      <pane xSplit="5" ySplit="4" topLeftCell="H43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58465</v>
      </c>
      <c r="F1" s="30" t="s">
        <v>2</v>
      </c>
      <c r="G1" s="31">
        <f>SUM(H5:H79)</f>
        <v>2695741.5660000006</v>
      </c>
      <c r="H1" s="32" t="s">
        <v>3</v>
      </c>
      <c r="I1" s="33">
        <f>M15+M26+M48+M58+M69+M79+M37</f>
        <v>103.69999999999999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237</v>
      </c>
      <c r="B2" s="418"/>
      <c r="C2" s="28"/>
      <c r="D2" s="28" t="s">
        <v>14</v>
      </c>
      <c r="E2" s="35">
        <f>AVERAGE(O15,O26,O37,O48,O58,O69,O79)</f>
        <v>112.45238430963205</v>
      </c>
      <c r="F2" s="36" t="s">
        <v>15</v>
      </c>
      <c r="G2" s="37">
        <f>G1/E1</f>
        <v>46.108638775335677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1986</v>
      </c>
      <c r="H5" s="43">
        <f>F5*G5</f>
        <v>100630.62000000001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2206.6666666666679</v>
      </c>
      <c r="O5" s="47">
        <f>N5/M5</f>
        <v>147.1111111111112</v>
      </c>
      <c r="P5" s="49">
        <f>M5-J5</f>
        <v>0</v>
      </c>
      <c r="Q5" s="50">
        <f>O5-L5</f>
        <v>-2.8888888888888005</v>
      </c>
      <c r="R5" s="51">
        <f>O5/L5</f>
        <v>0.98074074074074136</v>
      </c>
      <c r="S5" s="412">
        <f>R15</f>
        <v>0.87981316200348636</v>
      </c>
      <c r="T5" s="319">
        <v>0.29375000000000001</v>
      </c>
      <c r="U5" s="320">
        <v>0.33124999999999999</v>
      </c>
      <c r="V5" s="53"/>
      <c r="W5" s="54">
        <f t="shared" ref="W5:W14" si="0">(U5-T5)*24*60</f>
        <v>53.999999999999972</v>
      </c>
      <c r="X5" s="55"/>
      <c r="Y5" s="290"/>
      <c r="Z5" s="169"/>
      <c r="AA5" s="169"/>
      <c r="AB5" s="464" t="s">
        <v>238</v>
      </c>
      <c r="AC5" s="464"/>
      <c r="AD5" s="135"/>
      <c r="AE5" s="135"/>
      <c r="AF5" s="229">
        <f t="shared" ref="AF5:AF11" si="1">N5-K5</f>
        <v>-43.333333333332121</v>
      </c>
      <c r="AG5" s="52">
        <f t="shared" ref="AG5:AG11" si="2">N5/K5</f>
        <v>0.98074074074074125</v>
      </c>
      <c r="AH5" s="457">
        <f>AG15</f>
        <v>0.88053913200438128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1524</v>
      </c>
      <c r="H6" s="63">
        <f>F6*G6</f>
        <v>88651.08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1866.1224489796352</v>
      </c>
      <c r="O6" s="67">
        <f>N6/M6</f>
        <v>133.29446064140251</v>
      </c>
      <c r="P6" s="69">
        <f>M6-J6</f>
        <v>0</v>
      </c>
      <c r="Q6" s="70">
        <f>O6-L6</f>
        <v>-27.419825072883214</v>
      </c>
      <c r="R6" s="71">
        <f>O6/L6</f>
        <v>0.82938775510205998</v>
      </c>
      <c r="S6" s="413"/>
      <c r="T6" s="16">
        <v>0.343055555555556</v>
      </c>
      <c r="U6" s="16">
        <v>0.37708333333333299</v>
      </c>
      <c r="V6" s="30">
        <f>(T6-U5)*24*60</f>
        <v>17.000000000000661</v>
      </c>
      <c r="W6" s="73">
        <f t="shared" si="0"/>
        <v>48.999999999998863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-383.87755102036476</v>
      </c>
      <c r="AG6" s="72">
        <f t="shared" si="2"/>
        <v>0.82938775510206009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4455</v>
      </c>
      <c r="H7" s="78">
        <f>F7*G7</f>
        <v>218918.7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1994.7761194029765</v>
      </c>
      <c r="O7" s="81">
        <f>N7/M7</f>
        <v>142.48400852878405</v>
      </c>
      <c r="P7" s="74">
        <f>M7-J7</f>
        <v>0</v>
      </c>
      <c r="Q7" s="83">
        <f>O7-L7</f>
        <v>-18.230277185501677</v>
      </c>
      <c r="R7" s="72">
        <f>O7/L7</f>
        <v>0.88656716417910064</v>
      </c>
      <c r="S7" s="413"/>
      <c r="T7" s="18">
        <v>0.38333333333333303</v>
      </c>
      <c r="U7" s="18">
        <v>0.47638888888888897</v>
      </c>
      <c r="V7" s="30">
        <f>(T7-U6)*24*60</f>
        <v>9.000000000000048</v>
      </c>
      <c r="W7" s="73">
        <f t="shared" si="0"/>
        <v>134.00000000000057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-255.22388059702348</v>
      </c>
      <c r="AG7" s="72">
        <f t="shared" si="2"/>
        <v>0.88656716417910064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1309</v>
      </c>
      <c r="H8" s="78">
        <f t="shared" ref="H8:H9" si="3">F8*G8</f>
        <v>64324.26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1963.4999999999834</v>
      </c>
      <c r="O8" s="81">
        <f t="shared" ref="O8:O9" si="6">N8/M8</f>
        <v>140.24999999999881</v>
      </c>
      <c r="P8" s="74">
        <f t="shared" ref="P8:P9" si="7">M8-J8</f>
        <v>0</v>
      </c>
      <c r="Q8" s="83">
        <f t="shared" ref="Q8:Q9" si="8">O8-L8</f>
        <v>-20.464285714286916</v>
      </c>
      <c r="R8" s="72">
        <f t="shared" ref="R8:R9" si="9">O8/L8</f>
        <v>0.87266666666665915</v>
      </c>
      <c r="S8" s="413"/>
      <c r="T8" s="16">
        <v>0.54444444444444395</v>
      </c>
      <c r="U8" s="16">
        <v>0.57222222222222197</v>
      </c>
      <c r="V8" s="30">
        <f t="shared" ref="V8:V9" si="10">(T8-U7)*24*60</f>
        <v>97.999999999999176</v>
      </c>
      <c r="W8" s="73">
        <f t="shared" si="0"/>
        <v>40.000000000000341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-286.5000000000166</v>
      </c>
      <c r="AG8" s="72">
        <f t="shared" si="2"/>
        <v>0.87266666666665926</v>
      </c>
      <c r="AH8" s="458"/>
    </row>
    <row r="9" spans="1:34" ht="15" customHeight="1">
      <c r="A9" s="425"/>
      <c r="B9" s="75" t="s">
        <v>81</v>
      </c>
      <c r="C9" s="76"/>
      <c r="D9" s="59" t="s">
        <v>196</v>
      </c>
      <c r="E9" s="77"/>
      <c r="F9" s="75">
        <f>VLOOKUP(D9,廠價表!$C$1:$E$43,3,0)</f>
        <v>49.91</v>
      </c>
      <c r="G9" s="66">
        <v>1000</v>
      </c>
      <c r="H9" s="78">
        <f t="shared" si="3"/>
        <v>49910</v>
      </c>
      <c r="I9" s="73"/>
      <c r="J9" s="79"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1875.0000000000255</v>
      </c>
      <c r="O9" s="81">
        <f t="shared" si="6"/>
        <v>125.00000000000169</v>
      </c>
      <c r="P9" s="74">
        <f t="shared" si="7"/>
        <v>0</v>
      </c>
      <c r="Q9" s="83">
        <f t="shared" si="8"/>
        <v>-24.999999999998309</v>
      </c>
      <c r="R9" s="72">
        <f t="shared" si="9"/>
        <v>0.83333333333334458</v>
      </c>
      <c r="S9" s="414"/>
      <c r="T9" s="16">
        <v>0.57916666666666705</v>
      </c>
      <c r="U9" s="16">
        <v>0.60138888888888897</v>
      </c>
      <c r="V9" s="30">
        <f t="shared" si="10"/>
        <v>10.000000000000924</v>
      </c>
      <c r="W9" s="73">
        <f t="shared" si="0"/>
        <v>31.999999999999567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-374.99999999997453</v>
      </c>
      <c r="AG9" s="72">
        <f t="shared" si="2"/>
        <v>0.83333333333334469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11">AVERAGE(J5:J14)</f>
        <v>14.4</v>
      </c>
      <c r="K15" s="120">
        <f t="shared" si="11"/>
        <v>2250</v>
      </c>
      <c r="L15" s="117">
        <f t="shared" si="11"/>
        <v>156.42857142857142</v>
      </c>
      <c r="M15" s="120">
        <f t="shared" si="11"/>
        <v>14.4</v>
      </c>
      <c r="N15" s="120">
        <f t="shared" si="11"/>
        <v>1981.2130470098577</v>
      </c>
      <c r="O15" s="117">
        <f t="shared" si="11"/>
        <v>137.62791605625964</v>
      </c>
      <c r="P15" s="121">
        <f>M15-J15</f>
        <v>0</v>
      </c>
      <c r="Q15" s="122">
        <f>O15-L15</f>
        <v>-18.80065537231178</v>
      </c>
      <c r="R15" s="123">
        <f>O15/L15</f>
        <v>0.87981316200348636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-268.78695299014225</v>
      </c>
      <c r="AG15" s="124">
        <f>N15/K15</f>
        <v>0.88053913200438128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3344</v>
      </c>
      <c r="H16" s="134">
        <f>F16*G16</f>
        <v>169440.48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2180.8695652173874</v>
      </c>
      <c r="O16" s="141">
        <f>N16/M16</f>
        <v>167.7591973244144</v>
      </c>
      <c r="P16" s="142">
        <f>M16-J16</f>
        <v>0</v>
      </c>
      <c r="Q16" s="143">
        <f>O16-L16</f>
        <v>-5.3177257525086645</v>
      </c>
      <c r="R16" s="144">
        <f>O16/L16</f>
        <v>0.96927536231883882</v>
      </c>
      <c r="S16" s="468">
        <f>R26</f>
        <v>0.92045369708487845</v>
      </c>
      <c r="T16" s="145">
        <v>0.29166666666666702</v>
      </c>
      <c r="U16" s="145">
        <v>0.35555555555555601</v>
      </c>
      <c r="V16" s="135"/>
      <c r="W16" s="146">
        <f t="shared" ref="W16:W78" si="12">(U16-T16)*24*60</f>
        <v>92.000000000000156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-69.13043478261261</v>
      </c>
      <c r="AG16" s="52">
        <f>N16/K16</f>
        <v>0.96927536231883882</v>
      </c>
      <c r="AH16" s="457">
        <f>AG26</f>
        <v>0.92242900337408451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2706</v>
      </c>
      <c r="H17" s="78">
        <f>F17*G17</f>
        <v>153890.22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2136.3157894736737</v>
      </c>
      <c r="O17" s="96">
        <f>N17/M17</f>
        <v>152.59398496240527</v>
      </c>
      <c r="P17" s="97">
        <f>M17-J17</f>
        <v>0</v>
      </c>
      <c r="Q17" s="98">
        <f>O17-L17</f>
        <v>-8.1203007518804498</v>
      </c>
      <c r="R17" s="99">
        <f>O17/L17</f>
        <v>0.9494736842105217</v>
      </c>
      <c r="S17" s="469"/>
      <c r="T17" s="19">
        <v>0.36458333333333298</v>
      </c>
      <c r="U17" s="19">
        <v>0.41736111111111102</v>
      </c>
      <c r="V17" s="30">
        <f>(T17-U16)*24*60</f>
        <v>12.999999999998835</v>
      </c>
      <c r="W17" s="149">
        <f t="shared" si="12"/>
        <v>76.000000000000369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-113.6842105263263</v>
      </c>
      <c r="AG17" s="72">
        <f>N17/K17</f>
        <v>0.9494736842105217</v>
      </c>
      <c r="AH17" s="458"/>
    </row>
    <row r="18" spans="1:34" ht="15" customHeight="1">
      <c r="A18" s="475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2449</v>
      </c>
      <c r="H18" s="78">
        <f>F18*G18</f>
        <v>123405.11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1985.675675675672</v>
      </c>
      <c r="O18" s="96">
        <f>N18/M18</f>
        <v>165.47297297297266</v>
      </c>
      <c r="P18" s="97">
        <f>M18-J18</f>
        <v>0</v>
      </c>
      <c r="Q18" s="98">
        <f>O18-L18</f>
        <v>-22.027027027027344</v>
      </c>
      <c r="R18" s="99">
        <f>O18/L18</f>
        <v>0.88252252252252084</v>
      </c>
      <c r="S18" s="469"/>
      <c r="T18" s="19">
        <v>0.42499999999999999</v>
      </c>
      <c r="U18" s="19">
        <v>0.47638888888888897</v>
      </c>
      <c r="V18" s="30">
        <f>(T18-U17)*24*60</f>
        <v>11.000000000000121</v>
      </c>
      <c r="W18" s="149">
        <f t="shared" si="12"/>
        <v>74.000000000000142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-264.32432432432802</v>
      </c>
      <c r="AG18" s="72">
        <f>N18/K18</f>
        <v>0.88252252252252084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1999</v>
      </c>
      <c r="H19" s="78">
        <f>F19*G19</f>
        <v>100729.61</v>
      </c>
      <c r="I19" s="30"/>
      <c r="J19" s="79"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1999.0000000000284</v>
      </c>
      <c r="O19" s="96">
        <f>N19/M19</f>
        <v>166.5833333333357</v>
      </c>
      <c r="P19" s="97">
        <f>M19-J19</f>
        <v>0</v>
      </c>
      <c r="Q19" s="98">
        <f>O19-L19</f>
        <v>-20.916666666664298</v>
      </c>
      <c r="R19" s="99">
        <f>O19/L19</f>
        <v>0.88844444444445703</v>
      </c>
      <c r="S19" s="469"/>
      <c r="T19" s="19">
        <v>0.54166666666666696</v>
      </c>
      <c r="U19" s="19">
        <v>0.58333333333333304</v>
      </c>
      <c r="V19" s="30">
        <f>(T19-U18)*24*60</f>
        <v>94.000000000000313</v>
      </c>
      <c r="W19" s="149">
        <f t="shared" si="12"/>
        <v>59.999999999999147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-250.99999999997158</v>
      </c>
      <c r="AG19" s="72">
        <f>N19/K19</f>
        <v>0.88844444444445703</v>
      </c>
      <c r="AH19" s="459"/>
    </row>
    <row r="20" spans="1:34" ht="15" customHeight="1">
      <c r="A20" s="475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69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12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2075.4652575916903</v>
      </c>
      <c r="O26" s="158">
        <f t="shared" si="13"/>
        <v>163.10237214828203</v>
      </c>
      <c r="P26" s="159">
        <f>M26-J26</f>
        <v>0</v>
      </c>
      <c r="Q26" s="160">
        <f>O26-L26</f>
        <v>-14.095430049520161</v>
      </c>
      <c r="R26" s="161">
        <f>O26/L26</f>
        <v>0.92045369708487845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4">N26-K26</f>
        <v>-174.53474240830974</v>
      </c>
      <c r="AG26" s="124">
        <f t="shared" ref="AG26:AG31" si="15">N26/K26</f>
        <v>0.92242900337408451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1084</v>
      </c>
      <c r="H27" s="134">
        <f>F27*G27</f>
        <v>50232.560000000005</v>
      </c>
      <c r="I27" s="135"/>
      <c r="J27" s="136"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1548.5714285714105</v>
      </c>
      <c r="O27" s="141">
        <f>N27/M27</f>
        <v>91.092436974788853</v>
      </c>
      <c r="P27" s="142">
        <f>M27-J27</f>
        <v>0</v>
      </c>
      <c r="Q27" s="143">
        <f>O27-L27</f>
        <v>-5.1428571428582046</v>
      </c>
      <c r="R27" s="144">
        <f>O27/L27</f>
        <v>0.94655955291651006</v>
      </c>
      <c r="S27" s="468">
        <f>R37</f>
        <v>0.95259011183771147</v>
      </c>
      <c r="T27" s="171">
        <v>0.28819444444444398</v>
      </c>
      <c r="U27" s="171">
        <v>0.31736111111111098</v>
      </c>
      <c r="V27" s="135"/>
      <c r="W27" s="146">
        <f t="shared" si="12"/>
        <v>42.00000000000049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14"/>
        <v>-87.428571428589521</v>
      </c>
      <c r="AG27" s="172">
        <f t="shared" si="15"/>
        <v>0.94655955291651006</v>
      </c>
      <c r="AH27" s="457">
        <f>AG37</f>
        <v>0.94170786029182973</v>
      </c>
    </row>
    <row r="28" spans="1:34" ht="15" customHeight="1">
      <c r="A28" s="466"/>
      <c r="B28" s="75" t="s">
        <v>81</v>
      </c>
      <c r="C28" s="173"/>
      <c r="D28" s="59" t="s">
        <v>196</v>
      </c>
      <c r="E28" s="104"/>
      <c r="F28" s="75">
        <f>VLOOKUP(D28,廠價表!$C$1:$E$43,3,0)</f>
        <v>49.91</v>
      </c>
      <c r="G28" s="90">
        <v>1781</v>
      </c>
      <c r="H28" s="91">
        <f>F28*G28</f>
        <v>88889.709999999992</v>
      </c>
      <c r="I28" s="92"/>
      <c r="J28" s="79">
        <f>VLOOKUP(D28,產線配置圖!$A$3:$C$40,2,0)</f>
        <v>16</v>
      </c>
      <c r="K28" s="80">
        <v>1565</v>
      </c>
      <c r="L28" s="93">
        <f>K28/J28</f>
        <v>97.8125</v>
      </c>
      <c r="M28" s="94">
        <v>16</v>
      </c>
      <c r="N28" s="95">
        <f>G28/W28*60</f>
        <v>1505.0704225352285</v>
      </c>
      <c r="O28" s="96">
        <f>N28/M28</f>
        <v>94.066901408451784</v>
      </c>
      <c r="P28" s="97">
        <f>M28-J28</f>
        <v>0</v>
      </c>
      <c r="Q28" s="98">
        <f>O28-L28</f>
        <v>-3.7455985915482159</v>
      </c>
      <c r="R28" s="99">
        <f>O28/L28</f>
        <v>0.96170634027810131</v>
      </c>
      <c r="S28" s="469"/>
      <c r="T28" s="19">
        <v>0.32291666666666702</v>
      </c>
      <c r="U28" s="19">
        <v>0.37222222222222201</v>
      </c>
      <c r="V28" s="92">
        <f>(T28-U27)*24*60</f>
        <v>8.000000000000691</v>
      </c>
      <c r="W28" s="149">
        <f t="shared" si="12"/>
        <v>70.99999999999919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4"/>
        <v>-59.929577464771455</v>
      </c>
      <c r="AG28" s="99">
        <f t="shared" si="15"/>
        <v>0.96170634027810131</v>
      </c>
      <c r="AH28" s="478"/>
    </row>
    <row r="29" spans="1:34" ht="15" customHeight="1">
      <c r="A29" s="466"/>
      <c r="B29" s="75" t="s">
        <v>81</v>
      </c>
      <c r="C29" s="88"/>
      <c r="D29" s="59" t="s">
        <v>119</v>
      </c>
      <c r="E29" s="89"/>
      <c r="F29" s="75">
        <f>VLOOKUP(D29,廠價表!$C$1:$E$43,3,0)</f>
        <v>57.21</v>
      </c>
      <c r="G29" s="90">
        <v>1484</v>
      </c>
      <c r="H29" s="91">
        <f t="shared" ref="H29:H31" si="16">F29*G29</f>
        <v>84899.64</v>
      </c>
      <c r="I29" s="92"/>
      <c r="J29" s="79">
        <f>VLOOKUP(D29,產線配置圖!$A$3:$C$40,2,0)</f>
        <v>17</v>
      </c>
      <c r="K29" s="80">
        <v>1565</v>
      </c>
      <c r="L29" s="93">
        <f t="shared" ref="L29:L31" si="17">K29/J29</f>
        <v>92.058823529411768</v>
      </c>
      <c r="M29" s="94">
        <v>17</v>
      </c>
      <c r="N29" s="95">
        <f t="shared" ref="N29:N31" si="18">G29/W29*60</f>
        <v>1483.9999999999875</v>
      </c>
      <c r="O29" s="96">
        <f t="shared" ref="O29:O31" si="19">N29/M29</f>
        <v>87.294117647058087</v>
      </c>
      <c r="P29" s="97">
        <f t="shared" ref="P29:P31" si="20">M29-J29</f>
        <v>0</v>
      </c>
      <c r="Q29" s="98">
        <f t="shared" ref="Q29:Q31" si="21">O29-L29</f>
        <v>-4.764705882353681</v>
      </c>
      <c r="R29" s="99">
        <f t="shared" ref="R29:R31" si="22">O29/L29</f>
        <v>0.9482428115015894</v>
      </c>
      <c r="S29" s="469"/>
      <c r="T29" s="19">
        <v>0.37847222222222199</v>
      </c>
      <c r="U29" s="19">
        <v>0.42013888888888901</v>
      </c>
      <c r="V29" s="92">
        <f>(T29-U28)*24*60</f>
        <v>8.999999999999968</v>
      </c>
      <c r="W29" s="149">
        <f t="shared" si="12"/>
        <v>60.000000000000504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4"/>
        <v>-81.000000000012506</v>
      </c>
      <c r="AG29" s="99">
        <f t="shared" si="15"/>
        <v>0.9482428115015894</v>
      </c>
      <c r="AH29" s="478"/>
    </row>
    <row r="30" spans="1:34" ht="15" customHeight="1">
      <c r="A30" s="466"/>
      <c r="B30" s="75" t="s">
        <v>81</v>
      </c>
      <c r="C30" s="102"/>
      <c r="D30" s="175" t="s">
        <v>124</v>
      </c>
      <c r="E30" s="176"/>
      <c r="F30" s="75">
        <f>VLOOKUP(D30,廠價表!$C$1:$E$43,3,0)</f>
        <v>57.21</v>
      </c>
      <c r="G30" s="90">
        <v>1290</v>
      </c>
      <c r="H30" s="91">
        <f t="shared" si="16"/>
        <v>73800.899999999994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7"/>
        <v>90.888888888888886</v>
      </c>
      <c r="M30" s="94">
        <v>17</v>
      </c>
      <c r="N30" s="95">
        <f t="shared" si="18"/>
        <v>1460.3773584905471</v>
      </c>
      <c r="O30" s="96">
        <f t="shared" si="19"/>
        <v>85.904550499443943</v>
      </c>
      <c r="P30" s="97">
        <f t="shared" si="20"/>
        <v>-1</v>
      </c>
      <c r="Q30" s="98">
        <f t="shared" si="21"/>
        <v>-4.9843383894449431</v>
      </c>
      <c r="R30" s="99">
        <f t="shared" si="22"/>
        <v>0.94516009106967669</v>
      </c>
      <c r="S30" s="469"/>
      <c r="T30" s="19">
        <v>0.42499999999999999</v>
      </c>
      <c r="U30" s="19">
        <v>0.46180555555555602</v>
      </c>
      <c r="V30" s="92">
        <f>(T30-U29)*24*60</f>
        <v>6.9999999999998153</v>
      </c>
      <c r="W30" s="149">
        <f t="shared" si="12"/>
        <v>53.000000000000689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4"/>
        <v>-175.62264150945293</v>
      </c>
      <c r="AG30" s="99">
        <f t="shared" si="15"/>
        <v>0.89265119712136132</v>
      </c>
      <c r="AH30" s="479"/>
    </row>
    <row r="31" spans="1:34" ht="15" customHeight="1">
      <c r="A31" s="466"/>
      <c r="B31" s="75" t="s">
        <v>81</v>
      </c>
      <c r="C31" s="177"/>
      <c r="D31" s="59" t="s">
        <v>141</v>
      </c>
      <c r="E31" s="178"/>
      <c r="F31" s="75">
        <f>VLOOKUP(D31,廠價表!$C$1:$E$43,3,0)</f>
        <v>46.34</v>
      </c>
      <c r="G31" s="90">
        <v>1100</v>
      </c>
      <c r="H31" s="91">
        <f t="shared" si="16"/>
        <v>50974.000000000007</v>
      </c>
      <c r="I31" s="92"/>
      <c r="J31" s="79">
        <v>17</v>
      </c>
      <c r="K31" s="80">
        <v>1636</v>
      </c>
      <c r="L31" s="93">
        <f t="shared" si="17"/>
        <v>96.235294117647058</v>
      </c>
      <c r="M31" s="94">
        <v>17</v>
      </c>
      <c r="N31" s="95">
        <f t="shared" si="18"/>
        <v>1571.4285714285531</v>
      </c>
      <c r="O31" s="96">
        <f t="shared" si="19"/>
        <v>92.436974789914885</v>
      </c>
      <c r="P31" s="97">
        <f t="shared" si="20"/>
        <v>0</v>
      </c>
      <c r="Q31" s="98">
        <f t="shared" si="21"/>
        <v>-3.7983193277321732</v>
      </c>
      <c r="R31" s="99">
        <f t="shared" si="22"/>
        <v>0.9605309116311449</v>
      </c>
      <c r="S31" s="469"/>
      <c r="T31" s="19">
        <v>0.51944444444444404</v>
      </c>
      <c r="U31" s="19">
        <v>0.54861111111111105</v>
      </c>
      <c r="V31" s="92">
        <f>(T31-U30)*24*60</f>
        <v>82.999999999998749</v>
      </c>
      <c r="W31" s="149">
        <f t="shared" si="12"/>
        <v>42.00000000000049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4"/>
        <v>-64.571428571446859</v>
      </c>
      <c r="AG31" s="99">
        <f t="shared" si="15"/>
        <v>0.9605309116311449</v>
      </c>
      <c r="AH31" s="459"/>
    </row>
    <row r="32" spans="1:34" ht="15" customHeight="1">
      <c r="A32" s="466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69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1607.6</v>
      </c>
      <c r="L37" s="158">
        <f t="shared" si="23"/>
        <v>94.646160130718954</v>
      </c>
      <c r="M37" s="155">
        <f t="shared" si="23"/>
        <v>16.8</v>
      </c>
      <c r="N37" s="155">
        <f t="shared" si="23"/>
        <v>1513.8895562051455</v>
      </c>
      <c r="O37" s="158">
        <f t="shared" si="23"/>
        <v>90.158996263931513</v>
      </c>
      <c r="P37" s="159">
        <f>M37-J37</f>
        <v>-0.19999999999999929</v>
      </c>
      <c r="Q37" s="160">
        <f>N37-K37</f>
        <v>-93.710443794854427</v>
      </c>
      <c r="R37" s="161">
        <f>O37/L37</f>
        <v>0.95259011183771147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-93.710443794854427</v>
      </c>
      <c r="AG37" s="124">
        <f>N37/K37</f>
        <v>0.94170786029182973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2641</v>
      </c>
      <c r="H38" s="134">
        <f>F38*G38</f>
        <v>131812.31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1616.9387755101939</v>
      </c>
      <c r="O38" s="141">
        <f>N38/M38</f>
        <v>107.79591836734626</v>
      </c>
      <c r="P38" s="142">
        <f>M38-J38</f>
        <v>0</v>
      </c>
      <c r="Q38" s="143">
        <f>O38-L38</f>
        <v>-6.4707482993204053</v>
      </c>
      <c r="R38" s="144">
        <f>O38/L38</f>
        <v>0.94337151429999644</v>
      </c>
      <c r="S38" s="490">
        <f>R48</f>
        <v>0.89138218252795598</v>
      </c>
      <c r="T38" s="191">
        <v>0.32986111111111099</v>
      </c>
      <c r="U38" s="191">
        <v>0.39791666666666697</v>
      </c>
      <c r="V38" s="192"/>
      <c r="W38" s="193">
        <f t="shared" si="12"/>
        <v>98.000000000000611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-97.061224489806136</v>
      </c>
      <c r="AG38" s="195">
        <f>N38/K38</f>
        <v>0.94337151429999644</v>
      </c>
      <c r="AH38" s="480">
        <f>AG48</f>
        <v>0.87142394295642633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2546</v>
      </c>
      <c r="H39" s="91">
        <f>F39*G39</f>
        <v>112787.79999999999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1388.7272727272705</v>
      </c>
      <c r="O39" s="203">
        <f>N39/M39</f>
        <v>81.689839572192383</v>
      </c>
      <c r="P39" s="97">
        <f>M39-J39</f>
        <v>-1</v>
      </c>
      <c r="Q39" s="98">
        <f>O39-L39</f>
        <v>-9.1990493166965024</v>
      </c>
      <c r="R39" s="99">
        <f>O39/L39</f>
        <v>0.89878796595321697</v>
      </c>
      <c r="S39" s="491"/>
      <c r="T39" s="20">
        <v>0.40277777777777801</v>
      </c>
      <c r="U39" s="20">
        <v>0.47916666666666702</v>
      </c>
      <c r="V39" s="92">
        <f>(T39-U38)*24*60</f>
        <v>6.9999999999998952</v>
      </c>
      <c r="W39" s="205">
        <f t="shared" si="12"/>
        <v>110.00000000000017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-247.27272727272953</v>
      </c>
      <c r="AG39" s="206">
        <f>N39/K39</f>
        <v>0.8488553011780382</v>
      </c>
      <c r="AH39" s="481"/>
    </row>
    <row r="40" spans="1:34" ht="15" customHeight="1">
      <c r="A40" s="48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2991</v>
      </c>
      <c r="H40" s="91">
        <f>F40*G40</f>
        <v>132501.29999999999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1339.253731343277</v>
      </c>
      <c r="O40" s="203">
        <f>N40/M40</f>
        <v>74.4029850746265</v>
      </c>
      <c r="P40" s="97">
        <f>M40-J40</f>
        <v>0</v>
      </c>
      <c r="Q40" s="98">
        <f>O40-L40</f>
        <v>-16.485903814262386</v>
      </c>
      <c r="R40" s="99">
        <f>O40/L40</f>
        <v>0.81861475020982699</v>
      </c>
      <c r="S40" s="413"/>
      <c r="T40" s="20">
        <v>0.54236111111111096</v>
      </c>
      <c r="U40" s="20">
        <v>0.63541666666666696</v>
      </c>
      <c r="V40" s="92">
        <f>(T40-U39)*24*60</f>
        <v>90.999999999999275</v>
      </c>
      <c r="W40" s="205">
        <f t="shared" si="12"/>
        <v>134.00000000000065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-296.74626865672303</v>
      </c>
      <c r="AG40" s="206">
        <f>N40/K40</f>
        <v>0.81861475020982699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16.666666666666668</v>
      </c>
      <c r="N48" s="155">
        <f t="shared" si="24"/>
        <v>1448.3065931935805</v>
      </c>
      <c r="O48" s="158">
        <f t="shared" si="24"/>
        <v>87.962914338055043</v>
      </c>
      <c r="P48" s="221">
        <f>M48-J48</f>
        <v>-0.33333333333333215</v>
      </c>
      <c r="Q48" s="222">
        <f>N48-K48</f>
        <v>-213.69340680641949</v>
      </c>
      <c r="R48" s="223">
        <f>O48/L48</f>
        <v>0.89138218252795598</v>
      </c>
      <c r="S48" s="416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5">N48-K48</f>
        <v>-213.69340680641949</v>
      </c>
      <c r="AG48" s="162">
        <f t="shared" ref="AG48:AG53" si="26">N48/K48</f>
        <v>0.87142394295642633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2189</v>
      </c>
      <c r="H49" s="134">
        <f>F49*G49</f>
        <v>108399.28000000001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1492.5000000000025</v>
      </c>
      <c r="O49" s="141">
        <f>N49/M49</f>
        <v>87.794117647058968</v>
      </c>
      <c r="P49" s="229">
        <f>M49-J49</f>
        <v>0</v>
      </c>
      <c r="Q49" s="230">
        <f>O49-L49</f>
        <v>-18.088235294117496</v>
      </c>
      <c r="R49" s="52">
        <f>O49/L49</f>
        <v>0.82916666666666805</v>
      </c>
      <c r="S49" s="412">
        <f>R58</f>
        <v>0.87740731998060839</v>
      </c>
      <c r="T49" s="191">
        <v>0.29166666666666702</v>
      </c>
      <c r="U49" s="191">
        <v>0.35277777777777802</v>
      </c>
      <c r="V49" s="55"/>
      <c r="W49" s="193">
        <f t="shared" si="12"/>
        <v>87.999999999999844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5"/>
        <v>-307.4999999999975</v>
      </c>
      <c r="AG49" s="52">
        <f t="shared" si="26"/>
        <v>0.82916666666666805</v>
      </c>
      <c r="AH49" s="457">
        <f>AG58</f>
        <v>0.87618443639490329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2064</v>
      </c>
      <c r="H50" s="231">
        <f>F50*G50</f>
        <v>103796.496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1376</v>
      </c>
      <c r="O50" s="235">
        <f>N50/M50</f>
        <v>80.941176470588232</v>
      </c>
      <c r="P50" s="74">
        <f>M50-J50</f>
        <v>0</v>
      </c>
      <c r="Q50" s="83">
        <f>O50-L50</f>
        <v>-15.294117647058826</v>
      </c>
      <c r="R50" s="72">
        <f>O50/L50</f>
        <v>0.84107579462102688</v>
      </c>
      <c r="S50" s="413"/>
      <c r="T50" s="21">
        <v>0.359027777777778</v>
      </c>
      <c r="U50" s="19">
        <v>0.421527777777778</v>
      </c>
      <c r="V50" s="30">
        <f>(T50-U49)*24*60</f>
        <v>8.999999999999968</v>
      </c>
      <c r="W50" s="236">
        <f t="shared" si="12"/>
        <v>90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5"/>
        <v>-260</v>
      </c>
      <c r="AG50" s="72">
        <f t="shared" si="26"/>
        <v>0.84107579462102688</v>
      </c>
      <c r="AH50" s="458"/>
    </row>
    <row r="51" spans="1:34" ht="15" customHeight="1">
      <c r="A51" s="485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1773</v>
      </c>
      <c r="H51" s="231">
        <f t="shared" ref="H51:H52" si="27">F51*G51</f>
        <v>88596.81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28">K51/J51</f>
        <v>112.5</v>
      </c>
      <c r="M51" s="233">
        <v>16</v>
      </c>
      <c r="N51" s="234">
        <f>G51/W51*60</f>
        <v>1636.6153846153802</v>
      </c>
      <c r="O51" s="235">
        <f>N51/M51</f>
        <v>102.28846153846126</v>
      </c>
      <c r="P51" s="74">
        <f>M51-J51</f>
        <v>0</v>
      </c>
      <c r="Q51" s="83">
        <f>O51-L51</f>
        <v>-10.211538461538737</v>
      </c>
      <c r="R51" s="72">
        <f>O51/L51</f>
        <v>0.90923076923076673</v>
      </c>
      <c r="S51" s="413"/>
      <c r="T51" s="21">
        <v>0.42638888888888898</v>
      </c>
      <c r="U51" s="21">
        <v>0.47152777777777799</v>
      </c>
      <c r="V51" s="30">
        <f>(T51-U50)*24*60</f>
        <v>6.9999999999998153</v>
      </c>
      <c r="W51" s="236">
        <f t="shared" si="12"/>
        <v>65.000000000000171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5"/>
        <v>-163.38461538461979</v>
      </c>
      <c r="AG51" s="72">
        <f t="shared" si="26"/>
        <v>0.90923076923076673</v>
      </c>
      <c r="AH51" s="458"/>
    </row>
    <row r="52" spans="1:34" ht="15" customHeight="1">
      <c r="A52" s="485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3928</v>
      </c>
      <c r="H52" s="231">
        <f t="shared" si="27"/>
        <v>196282.16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28"/>
        <v>112.5</v>
      </c>
      <c r="M52" s="108">
        <v>16</v>
      </c>
      <c r="N52" s="234">
        <f>G52/W52*60</f>
        <v>1659.7183098591568</v>
      </c>
      <c r="O52" s="235">
        <f>N52/M52</f>
        <v>103.7323943661973</v>
      </c>
      <c r="P52" s="74">
        <f>M52-J52</f>
        <v>0</v>
      </c>
      <c r="Q52" s="83">
        <f>O52-L52</f>
        <v>-8.7676056338027024</v>
      </c>
      <c r="R52" s="72">
        <f>O52/L52</f>
        <v>0.92206572769953155</v>
      </c>
      <c r="S52" s="413"/>
      <c r="T52" s="21">
        <v>0.53125</v>
      </c>
      <c r="U52" s="21">
        <v>0.62986111111111098</v>
      </c>
      <c r="V52" s="30">
        <f>(T52-U51)*24*60</f>
        <v>85.999999999999687</v>
      </c>
      <c r="W52" s="236">
        <f t="shared" si="12"/>
        <v>141.99999999999983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5"/>
        <v>-140.28169014084324</v>
      </c>
      <c r="AG52" s="72">
        <f t="shared" si="26"/>
        <v>0.92206572769953155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5"/>
        <v>0</v>
      </c>
      <c r="AG53" s="72" t="e">
        <f t="shared" si="26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16.5</v>
      </c>
      <c r="N58" s="120">
        <f t="shared" si="29"/>
        <v>1541.2084236186349</v>
      </c>
      <c r="O58" s="117">
        <f t="shared" si="29"/>
        <v>93.689037505576437</v>
      </c>
      <c r="P58" s="121">
        <f>M58-J58</f>
        <v>0</v>
      </c>
      <c r="Q58" s="122">
        <f>N58-K58</f>
        <v>-217.79157638136508</v>
      </c>
      <c r="R58" s="123">
        <f>O58/L58</f>
        <v>0.87740731998060839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-217.79157638136508</v>
      </c>
      <c r="AG58" s="124">
        <f>N58/K58</f>
        <v>0.87618443639490329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3322</v>
      </c>
      <c r="H59" s="243">
        <f>F59*G59</f>
        <v>89660.78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1569.4488188976463</v>
      </c>
      <c r="O59" s="138">
        <f>N59/M59</f>
        <v>104.62992125984309</v>
      </c>
      <c r="P59" s="56">
        <f>M59-J59</f>
        <v>0</v>
      </c>
      <c r="Q59" s="230">
        <f>O59-L59</f>
        <v>-4.4367454068235759</v>
      </c>
      <c r="R59" s="52">
        <f>O59/L59</f>
        <v>0.95932079394721659</v>
      </c>
      <c r="S59" s="412">
        <f>R69</f>
        <v>0.90465603446462017</v>
      </c>
      <c r="T59" s="245">
        <v>0.29166666666666702</v>
      </c>
      <c r="U59" s="245">
        <v>0.37986111111111098</v>
      </c>
      <c r="V59" s="55"/>
      <c r="W59" s="54">
        <f t="shared" si="12"/>
        <v>126.9999999999993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-66.551181102353667</v>
      </c>
      <c r="AG59" s="246">
        <f>N59/K59</f>
        <v>0.95932079394721659</v>
      </c>
      <c r="AH59" s="457">
        <f>AG69</f>
        <v>0.90951512419640657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1442</v>
      </c>
      <c r="H60" s="78">
        <f>F60*G60</f>
        <v>40750.920000000006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1491.7241379310644</v>
      </c>
      <c r="O60" s="81">
        <f>N60/M60</f>
        <v>135.61128526646041</v>
      </c>
      <c r="P60" s="74">
        <f>M60-J60</f>
        <v>0</v>
      </c>
      <c r="Q60" s="83">
        <f>O60-L60</f>
        <v>-13.115987460812306</v>
      </c>
      <c r="R60" s="72">
        <f>O60/L60</f>
        <v>0.91181182025126195</v>
      </c>
      <c r="S60" s="502"/>
      <c r="T60" s="22">
        <v>0.38680555555555601</v>
      </c>
      <c r="U60" s="22">
        <v>0.42708333333333298</v>
      </c>
      <c r="V60" s="30">
        <f>(T60-U59)*24*60</f>
        <v>10.000000000000844</v>
      </c>
      <c r="W60" s="248">
        <f t="shared" si="12"/>
        <v>57.999999999998835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-144.27586206893557</v>
      </c>
      <c r="AG60" s="249">
        <f>N60/K60</f>
        <v>0.91181182025126184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1543</v>
      </c>
      <c r="H61" s="254">
        <f>F61*G61</f>
        <v>43605.18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1402.7272727272523</v>
      </c>
      <c r="O61" s="238">
        <f>N61/M61</f>
        <v>127.52066115702293</v>
      </c>
      <c r="P61" s="111">
        <f>M61-J61</f>
        <v>0</v>
      </c>
      <c r="Q61" s="255">
        <f>O61-L61</f>
        <v>-21.206611570249791</v>
      </c>
      <c r="R61" s="85">
        <f>O61/L61</f>
        <v>0.85741275839074105</v>
      </c>
      <c r="S61" s="413"/>
      <c r="T61" s="22">
        <v>0.43333333333333302</v>
      </c>
      <c r="U61" s="22">
        <v>0.47916666666666702</v>
      </c>
      <c r="V61" s="30">
        <f>(T61-U60)*24*60</f>
        <v>9.000000000000048</v>
      </c>
      <c r="W61" s="256">
        <f t="shared" si="12"/>
        <v>66.000000000000966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-233.27272727274772</v>
      </c>
      <c r="AG61" s="247">
        <f>N61/K61</f>
        <v>0.85741275839074105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30">AVERAGE(J59:J68)</f>
        <v>12.333333333333334</v>
      </c>
      <c r="K69" s="240">
        <f t="shared" si="30"/>
        <v>1636</v>
      </c>
      <c r="L69" s="268">
        <f t="shared" si="30"/>
        <v>135.50707070707071</v>
      </c>
      <c r="M69" s="240">
        <f t="shared" si="30"/>
        <v>12.333333333333334</v>
      </c>
      <c r="N69" s="240">
        <f t="shared" si="30"/>
        <v>1487.9667431853211</v>
      </c>
      <c r="O69" s="268">
        <f t="shared" si="30"/>
        <v>122.58728922777549</v>
      </c>
      <c r="P69" s="269">
        <f>M69-J69</f>
        <v>0</v>
      </c>
      <c r="Q69" s="222">
        <f>N69-K69</f>
        <v>-148.03325681467891</v>
      </c>
      <c r="R69" s="123">
        <f>O69/L69</f>
        <v>0.90465603446462017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-148.03325681467891</v>
      </c>
      <c r="AG69" s="124">
        <f>N69/K69</f>
        <v>0.90951512419640657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3822</v>
      </c>
      <c r="H70" s="243">
        <f>F70*G70</f>
        <v>108009.72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1460.6369426751696</v>
      </c>
      <c r="O70" s="138">
        <f>N70/M70</f>
        <v>132.7851766068336</v>
      </c>
      <c r="P70" s="56">
        <f>M70-J70</f>
        <v>0</v>
      </c>
      <c r="Q70" s="230">
        <f>O70-L70</f>
        <v>-15.942096120439118</v>
      </c>
      <c r="R70" s="52">
        <f>O70/L70</f>
        <v>0.89280986716086164</v>
      </c>
      <c r="S70" s="412">
        <f>R79</f>
        <v>0.87357307813169993</v>
      </c>
      <c r="T70" s="245">
        <v>0.29305555555555601</v>
      </c>
      <c r="U70" s="245">
        <v>0.40208333333333302</v>
      </c>
      <c r="V70" s="55"/>
      <c r="W70" s="54">
        <f t="shared" si="12"/>
        <v>156.99999999999889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-175.36305732483038</v>
      </c>
      <c r="AG70" s="246">
        <f>N70/K70</f>
        <v>0.89280986716086164</v>
      </c>
      <c r="AH70" s="457">
        <f>AG79</f>
        <v>0.8064699324927771</v>
      </c>
    </row>
    <row r="71" spans="1:36" ht="15" customHeight="1">
      <c r="A71" s="495"/>
      <c r="B71" s="75" t="s">
        <v>81</v>
      </c>
      <c r="C71" s="76"/>
      <c r="D71" s="59" t="s">
        <v>181</v>
      </c>
      <c r="E71" s="77"/>
      <c r="F71" s="75">
        <f>VLOOKUP(D71,廠價表!$C$1:$E$43,3,0)</f>
        <v>43.89</v>
      </c>
      <c r="G71" s="30">
        <v>1198</v>
      </c>
      <c r="H71" s="78">
        <f t="shared" ref="H71:H73" si="31">F71*G71</f>
        <v>52580.22</v>
      </c>
      <c r="I71" s="232"/>
      <c r="J71" s="106">
        <f>VLOOKUP(D71,產線配置圖!$A$3:$C$40,2,0)</f>
        <v>17</v>
      </c>
      <c r="K71" s="107">
        <f>VLOOKUP(D71,產線配置圖!$A$3:$C$40,3,0)</f>
        <v>1636</v>
      </c>
      <c r="L71" s="238">
        <f t="shared" ref="L71:L73" si="32">K71/J71</f>
        <v>96.235294117647058</v>
      </c>
      <c r="M71" s="82">
        <v>14</v>
      </c>
      <c r="N71" s="107">
        <f t="shared" ref="N71:N73" si="33">G71/W71*60</f>
        <v>1178.3606557377075</v>
      </c>
      <c r="O71" s="238">
        <f t="shared" ref="O71:O73" si="34">N71/M71</f>
        <v>84.168618266979109</v>
      </c>
      <c r="P71" s="111">
        <f t="shared" ref="P71:P73" si="35">M71-J71</f>
        <v>-3</v>
      </c>
      <c r="Q71" s="255">
        <f t="shared" ref="Q71:Q73" si="36">O71-L71</f>
        <v>-12.066675850667949</v>
      </c>
      <c r="R71" s="85">
        <f t="shared" ref="R71:R73" si="37">O71/L71</f>
        <v>0.87461278150283916</v>
      </c>
      <c r="S71" s="413"/>
      <c r="T71" s="22">
        <v>0.41249999999999998</v>
      </c>
      <c r="U71" s="22">
        <v>0.45486111111111099</v>
      </c>
      <c r="V71" s="30">
        <f t="shared" ref="V71:V73" si="38">(T71-U70)*24*60</f>
        <v>15.000000000000426</v>
      </c>
      <c r="W71" s="73">
        <f t="shared" si="12"/>
        <v>60.999999999999865</v>
      </c>
      <c r="X71" s="271"/>
      <c r="Y71" s="293"/>
      <c r="Z71" s="90"/>
      <c r="AA71" s="90"/>
      <c r="AB71" s="483" t="s">
        <v>239</v>
      </c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 t="s">
        <v>81</v>
      </c>
      <c r="C72" s="76"/>
      <c r="D72" s="59" t="s">
        <v>123</v>
      </c>
      <c r="E72" s="77"/>
      <c r="F72" s="75">
        <f>VLOOKUP(D72,廠價表!$C$1:$E$43,3,0)</f>
        <v>45.66</v>
      </c>
      <c r="G72" s="202">
        <v>598</v>
      </c>
      <c r="H72" s="78">
        <f t="shared" si="31"/>
        <v>27304.679999999997</v>
      </c>
      <c r="I72" s="232"/>
      <c r="J72" s="106">
        <f>VLOOKUP(D72,產線配置圖!$A$3:$C$40,2,0)</f>
        <v>17</v>
      </c>
      <c r="K72" s="107">
        <f>VLOOKUP(D72,產線配置圖!$A$3:$C$40,3,0)</f>
        <v>1500</v>
      </c>
      <c r="L72" s="238">
        <f t="shared" si="32"/>
        <v>88.235294117647058</v>
      </c>
      <c r="M72" s="82">
        <v>16</v>
      </c>
      <c r="N72" s="107">
        <f t="shared" si="33"/>
        <v>1196.00000000002</v>
      </c>
      <c r="O72" s="238">
        <f t="shared" si="34"/>
        <v>74.750000000001251</v>
      </c>
      <c r="P72" s="111">
        <f t="shared" si="35"/>
        <v>-1</v>
      </c>
      <c r="Q72" s="255">
        <f t="shared" si="36"/>
        <v>-13.485294117645807</v>
      </c>
      <c r="R72" s="85">
        <f t="shared" si="37"/>
        <v>0.84716666666668083</v>
      </c>
      <c r="S72" s="413"/>
      <c r="T72" s="22">
        <v>0.46180555555555602</v>
      </c>
      <c r="U72" s="22">
        <v>0.48263888888888901</v>
      </c>
      <c r="V72" s="30">
        <f t="shared" si="38"/>
        <v>10.000000000000844</v>
      </c>
      <c r="W72" s="73">
        <f t="shared" si="12"/>
        <v>29.999999999999496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 t="s">
        <v>81</v>
      </c>
      <c r="C73" s="86"/>
      <c r="D73" s="59" t="s">
        <v>123</v>
      </c>
      <c r="E73" s="87"/>
      <c r="F73" s="75">
        <f>VLOOKUP(D73,廠價表!$C$1:$E$43,3,0)</f>
        <v>45.66</v>
      </c>
      <c r="G73" s="202">
        <v>897</v>
      </c>
      <c r="H73" s="78">
        <f t="shared" si="31"/>
        <v>40957.019999999997</v>
      </c>
      <c r="I73" s="232"/>
      <c r="J73" s="106">
        <f>VLOOKUP(D73,產線配置圖!$A$3:$C$40,2,0)</f>
        <v>17</v>
      </c>
      <c r="K73" s="107">
        <f>VLOOKUP(D73,產線配置圖!$A$3:$C$40,3,0)</f>
        <v>1500</v>
      </c>
      <c r="L73" s="238">
        <f t="shared" si="32"/>
        <v>88.235294117647058</v>
      </c>
      <c r="M73" s="82">
        <v>16</v>
      </c>
      <c r="N73" s="107">
        <f t="shared" si="33"/>
        <v>1223.1818181818005</v>
      </c>
      <c r="O73" s="238">
        <f t="shared" si="34"/>
        <v>76.448863636362532</v>
      </c>
      <c r="P73" s="111">
        <f t="shared" si="35"/>
        <v>-1</v>
      </c>
      <c r="Q73" s="255">
        <f t="shared" si="36"/>
        <v>-11.786430481284526</v>
      </c>
      <c r="R73" s="85">
        <f t="shared" si="37"/>
        <v>0.86642045454544203</v>
      </c>
      <c r="S73" s="413"/>
      <c r="T73" s="22">
        <v>0.53472222222222199</v>
      </c>
      <c r="U73" s="22">
        <v>0.56527777777777799</v>
      </c>
      <c r="V73" s="30">
        <f t="shared" si="38"/>
        <v>74.999999999999488</v>
      </c>
      <c r="W73" s="73">
        <f t="shared" si="12"/>
        <v>44.000000000000639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9">AVERAGE(J70:J78)</f>
        <v>15.5</v>
      </c>
      <c r="K79" s="240">
        <f t="shared" si="39"/>
        <v>1568</v>
      </c>
      <c r="L79" s="268">
        <f t="shared" si="39"/>
        <v>105.35828877005348</v>
      </c>
      <c r="M79" s="240">
        <f t="shared" si="39"/>
        <v>14.25</v>
      </c>
      <c r="N79" s="240">
        <f t="shared" si="39"/>
        <v>1264.5448541486744</v>
      </c>
      <c r="O79" s="268">
        <f t="shared" si="39"/>
        <v>92.038164627544134</v>
      </c>
      <c r="P79" s="269">
        <f>M79-J79</f>
        <v>-1.25</v>
      </c>
      <c r="Q79" s="222">
        <f>N79-K79</f>
        <v>-303.4551458513256</v>
      </c>
      <c r="R79" s="223">
        <f>O79/L79</f>
        <v>0.87357307813169993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-303.4551458513256</v>
      </c>
      <c r="AG79" s="124">
        <f>N79/K79</f>
        <v>0.8064699324927771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46233</v>
      </c>
      <c r="E3" s="379"/>
      <c r="F3" s="3" t="s">
        <v>72</v>
      </c>
      <c r="G3" s="380">
        <f>'0730'!E1</f>
        <v>56775</v>
      </c>
      <c r="H3" s="380"/>
      <c r="I3" s="3" t="s">
        <v>2</v>
      </c>
      <c r="J3" s="381">
        <f>'0730'!G1</f>
        <v>2623544.3629999999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125.91727670089016</v>
      </c>
      <c r="G6" s="386"/>
      <c r="H6" s="387">
        <f>AVERAGE(D13:H13)</f>
        <v>124.68651655534009</v>
      </c>
      <c r="I6" s="387"/>
      <c r="J6" s="387">
        <f>AVERAGE(I13:J13)</f>
        <v>128.9941770647653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114.79559181338279</v>
      </c>
      <c r="G7" s="410"/>
      <c r="H7" s="411">
        <f>AVERAGE(D14:H14)</f>
        <v>113.41843827243667</v>
      </c>
      <c r="I7" s="411"/>
      <c r="J7" s="411">
        <f>AVERAGE(I14:J14)</f>
        <v>118.2384756657481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0.91167467103083599</v>
      </c>
      <c r="G8" s="383"/>
      <c r="H8" s="383">
        <f>H7/H6</f>
        <v>0.9096287345720957</v>
      </c>
      <c r="I8" s="383"/>
      <c r="J8" s="383">
        <f>J7/J6</f>
        <v>0.91661870602409456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VALUE('0730'!L15)</f>
        <v>141.07693744164334</v>
      </c>
      <c r="E13" s="13">
        <f>VALUE('0730'!L26)</f>
        <v>177.19780219780219</v>
      </c>
      <c r="F13" s="13">
        <f>VALUE('0730'!L37)</f>
        <v>95.800653594771248</v>
      </c>
      <c r="G13" s="13">
        <f>VALUE('0730'!L48)</f>
        <v>102.57777777777778</v>
      </c>
      <c r="H13" s="13">
        <f>VALUE('0730'!L58)</f>
        <v>106.77941176470588</v>
      </c>
      <c r="I13" s="13">
        <f>VALUE('0730'!L69)</f>
        <v>135.50707070707071</v>
      </c>
      <c r="J13" s="13">
        <f>'0730'!L79</f>
        <v>122.48128342245988</v>
      </c>
    </row>
    <row r="14" spans="2:15" ht="39.950000000000003" customHeight="1">
      <c r="B14" s="404"/>
      <c r="C14" s="12" t="s">
        <v>100</v>
      </c>
      <c r="D14" s="13">
        <f>VALUE('0730'!O15)</f>
        <v>126.79302165438234</v>
      </c>
      <c r="E14" s="13">
        <f>VALUE('0730'!O26)</f>
        <v>159.04081856874464</v>
      </c>
      <c r="F14" s="13">
        <f>VALUE('0730'!O37)</f>
        <v>88.622269914708497</v>
      </c>
      <c r="G14" s="13">
        <f>VALUE('0730'!O48)</f>
        <v>96.182963916819048</v>
      </c>
      <c r="H14" s="13">
        <f>VALUE('0730'!O58)</f>
        <v>96.4531173075288</v>
      </c>
      <c r="I14" s="13">
        <f>VALUE('0730'!O69)</f>
        <v>120.99302112029311</v>
      </c>
      <c r="J14" s="13">
        <f>'0730'!O79</f>
        <v>115.48393021120307</v>
      </c>
    </row>
    <row r="15" spans="2:15" ht="39.950000000000003" customHeight="1">
      <c r="B15" s="405"/>
      <c r="C15" s="10" t="s">
        <v>26</v>
      </c>
      <c r="D15" s="14">
        <f t="shared" ref="D15:I15" si="1">D14/D13</f>
        <v>0.89875087986532487</v>
      </c>
      <c r="E15" s="14">
        <f t="shared" si="1"/>
        <v>0.89753268153524113</v>
      </c>
      <c r="F15" s="14">
        <f t="shared" si="1"/>
        <v>0.92506957509468868</v>
      </c>
      <c r="G15" s="14">
        <f t="shared" si="1"/>
        <v>0.93765887700538497</v>
      </c>
      <c r="H15" s="14">
        <f t="shared" si="1"/>
        <v>0.90329320712187833</v>
      </c>
      <c r="I15" s="14">
        <f t="shared" si="1"/>
        <v>0.89289083210902687</v>
      </c>
      <c r="J15" s="15">
        <f>'0730'!S70</f>
        <v>0.94287002049838353</v>
      </c>
    </row>
    <row r="16" spans="2:15" ht="17.25" customHeight="1">
      <c r="B16" s="406" t="s">
        <v>101</v>
      </c>
      <c r="C16" s="10" t="s">
        <v>34</v>
      </c>
      <c r="D16" s="16">
        <f>'0730'!T5</f>
        <v>0.29305555555555601</v>
      </c>
      <c r="E16" s="16">
        <f>'0730'!T16</f>
        <v>0.29166666666666702</v>
      </c>
      <c r="F16" s="16">
        <f>'0730'!T27</f>
        <v>0.28819444444444442</v>
      </c>
      <c r="G16" s="16">
        <f>'0730'!T38</f>
        <v>0.33333333333333298</v>
      </c>
      <c r="H16" s="16">
        <f>'0730'!T49</f>
        <v>0.29166666666666702</v>
      </c>
      <c r="I16" s="16">
        <f>'0730'!T59</f>
        <v>0.29166666666666702</v>
      </c>
      <c r="J16" s="16">
        <f>'0730'!T70</f>
        <v>0.29166666666666702</v>
      </c>
    </row>
    <row r="17" spans="2:10" ht="17.25" customHeight="1">
      <c r="B17" s="407"/>
      <c r="C17" s="10" t="s">
        <v>35</v>
      </c>
      <c r="D17" s="16">
        <v>0.62777777777777799</v>
      </c>
      <c r="E17" s="19">
        <v>0.62916666666666665</v>
      </c>
      <c r="F17" s="19">
        <v>0.59027777777777801</v>
      </c>
      <c r="G17" s="20">
        <v>0.4861111111111111</v>
      </c>
      <c r="H17" s="21">
        <v>0.61944444444444402</v>
      </c>
      <c r="I17" s="22">
        <v>0.46875</v>
      </c>
      <c r="J17" s="22">
        <v>0.44583333333333336</v>
      </c>
    </row>
    <row r="18" spans="2:10" ht="17.25" customHeight="1">
      <c r="B18" s="408" t="s">
        <v>102</v>
      </c>
      <c r="C18" s="330" t="s">
        <v>36</v>
      </c>
      <c r="D18" s="357">
        <f>'0730'!Z15</f>
        <v>0</v>
      </c>
      <c r="E18" s="358">
        <f>'0730'!Z26</f>
        <v>0</v>
      </c>
      <c r="F18" s="358">
        <f>'0730'!Z37</f>
        <v>0</v>
      </c>
      <c r="G18" s="359">
        <f>'0730'!Z48</f>
        <v>0</v>
      </c>
      <c r="H18" s="359">
        <f>'0730'!Z58</f>
        <v>0</v>
      </c>
      <c r="I18" s="358">
        <f>'0730'!Z69</f>
        <v>0</v>
      </c>
      <c r="J18" s="358">
        <f>'0730'!AA79</f>
        <v>0</v>
      </c>
    </row>
    <row r="19" spans="2:10" ht="17.25" customHeight="1">
      <c r="B19" s="409"/>
      <c r="C19" s="330" t="s">
        <v>37</v>
      </c>
      <c r="D19" s="357">
        <f>'0730'!AA15</f>
        <v>0</v>
      </c>
      <c r="E19" s="358">
        <f>'0730'!AA26</f>
        <v>0</v>
      </c>
      <c r="F19" s="358">
        <f>'0730'!AA37</f>
        <v>0</v>
      </c>
      <c r="G19" s="359">
        <f>'0730'!AA48</f>
        <v>0</v>
      </c>
      <c r="H19" s="359">
        <f>'0730'!AA58</f>
        <v>0</v>
      </c>
      <c r="I19" s="358">
        <f>'0730'!AA69</f>
        <v>0</v>
      </c>
      <c r="J19" s="358">
        <f>'0730'!AB79</f>
        <v>0</v>
      </c>
    </row>
    <row r="20" spans="2:10" ht="17.25" customHeight="1">
      <c r="B20" s="408" t="s">
        <v>103</v>
      </c>
      <c r="C20" s="330" t="s">
        <v>36</v>
      </c>
      <c r="D20" s="357">
        <f>'0730'!AD15</f>
        <v>0</v>
      </c>
      <c r="E20" s="358">
        <f>'0730'!AD26</f>
        <v>0</v>
      </c>
      <c r="F20" s="358">
        <f>'0730'!AD37</f>
        <v>0</v>
      </c>
      <c r="G20" s="359">
        <f>'0730'!AD48</f>
        <v>0</v>
      </c>
      <c r="H20" s="359">
        <f>'0730'!AD58</f>
        <v>0</v>
      </c>
      <c r="I20" s="358">
        <f>'0730'!AD69</f>
        <v>0</v>
      </c>
      <c r="J20" s="358">
        <f>'0730'!AD79</f>
        <v>0</v>
      </c>
    </row>
    <row r="21" spans="2:10" ht="17.25" customHeight="1">
      <c r="B21" s="409"/>
      <c r="C21" s="330" t="s">
        <v>85</v>
      </c>
      <c r="D21" s="357">
        <f>'0730'!AE15</f>
        <v>0</v>
      </c>
      <c r="E21" s="358">
        <f>'0730'!AE26</f>
        <v>0</v>
      </c>
      <c r="F21" s="358">
        <f>'0730'!AE37</f>
        <v>0</v>
      </c>
      <c r="G21" s="359">
        <f>'0730'!AE48</f>
        <v>0</v>
      </c>
      <c r="H21" s="359">
        <f>'0730'!AE58</f>
        <v>0</v>
      </c>
      <c r="I21" s="358">
        <f>'0730'!AE69</f>
        <v>0</v>
      </c>
      <c r="J21" s="358">
        <f>'0730'!AE79</f>
        <v>0</v>
      </c>
    </row>
    <row r="22" spans="2:10" ht="17.25" customHeight="1">
      <c r="B22" s="392" t="s">
        <v>104</v>
      </c>
      <c r="C22" s="393"/>
      <c r="D22" s="23">
        <f>VALUE('0730'!M15)</f>
        <v>15.2</v>
      </c>
      <c r="E22" s="23">
        <f>VALUE('0730'!M26)</f>
        <v>12.75</v>
      </c>
      <c r="F22" s="23">
        <f>VALUE('0730'!M37)</f>
        <v>16.833333333333332</v>
      </c>
      <c r="G22" s="23">
        <f>VALUE('0730'!M48)</f>
        <v>16</v>
      </c>
      <c r="H22" s="23">
        <f>VALUE('0730'!M58)</f>
        <v>16.25</v>
      </c>
      <c r="I22" s="23">
        <f>VALUE('0730'!M69)</f>
        <v>12.333333333333334</v>
      </c>
      <c r="J22" s="23">
        <f>'0730'!M79</f>
        <v>11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32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75" zoomScaleNormal="75" workbookViewId="0">
      <pane xSplit="5" ySplit="4" topLeftCell="H46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56775</v>
      </c>
      <c r="F1" s="30" t="s">
        <v>2</v>
      </c>
      <c r="G1" s="31">
        <f>SUM(H5:H79)</f>
        <v>2623544.3629999999</v>
      </c>
      <c r="H1" s="32" t="s">
        <v>3</v>
      </c>
      <c r="I1" s="33">
        <f>M15+M26+M48+M58+M69+M79+M37</f>
        <v>100.36666666666666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252</v>
      </c>
      <c r="B2" s="418"/>
      <c r="C2" s="28"/>
      <c r="D2" s="28" t="s">
        <v>14</v>
      </c>
      <c r="E2" s="35">
        <f>AVERAGE(O15,O26,O37,O48,O58,O69,O79)</f>
        <v>114.79559181338279</v>
      </c>
      <c r="F2" s="36" t="s">
        <v>15</v>
      </c>
      <c r="G2" s="37">
        <f>G1/E1</f>
        <v>46.209500008806693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 ht="16.5" thickBot="1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1822</v>
      </c>
      <c r="H5" s="43">
        <f>F5*G5</f>
        <v>92320.74</v>
      </c>
      <c r="I5" s="44"/>
      <c r="J5" s="45"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1987.6363636363883</v>
      </c>
      <c r="O5" s="47">
        <f>N5/M5</f>
        <v>116.91978609625814</v>
      </c>
      <c r="P5" s="49">
        <f>M5-J5</f>
        <v>0</v>
      </c>
      <c r="Q5" s="50">
        <f>O5-L5</f>
        <v>-15.433155080212444</v>
      </c>
      <c r="R5" s="51">
        <f>O5/L5</f>
        <v>0.88339393939395039</v>
      </c>
      <c r="S5" s="412">
        <f>R15</f>
        <v>0.89875087986532487</v>
      </c>
      <c r="T5" s="319">
        <v>0.29305555555555601</v>
      </c>
      <c r="U5" s="320">
        <v>0.33124999999999999</v>
      </c>
      <c r="V5" s="53"/>
      <c r="W5" s="54">
        <f t="shared" ref="W5:W14" si="0">(U5-T5)*24*60</f>
        <v>54.999999999999325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-262.3636363636117</v>
      </c>
      <c r="AG5" s="52">
        <f t="shared" ref="AG5:AG11" si="2">N5/K5</f>
        <v>0.88339393939395039</v>
      </c>
      <c r="AH5" s="457">
        <f>AG15</f>
        <v>0.88685421547985044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1515</v>
      </c>
      <c r="H6" s="63">
        <f>F6*G6</f>
        <v>88127.55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13</v>
      </c>
      <c r="N6" s="66">
        <f>G6/W6*60</f>
        <v>1782.3529411764489</v>
      </c>
      <c r="O6" s="67">
        <f>N6/M6</f>
        <v>137.10407239818838</v>
      </c>
      <c r="P6" s="69">
        <f>M6-J6</f>
        <v>-1</v>
      </c>
      <c r="Q6" s="70">
        <f>O6-L6</f>
        <v>-23.610213316097344</v>
      </c>
      <c r="R6" s="71">
        <f>O6/L6</f>
        <v>0.85309200603317215</v>
      </c>
      <c r="S6" s="413"/>
      <c r="T6" s="16">
        <v>0.33819444444444402</v>
      </c>
      <c r="U6" s="16">
        <v>0.37361111111111112</v>
      </c>
      <c r="V6" s="30">
        <f>(T6-U5)*24*60</f>
        <v>9.9999999999994049</v>
      </c>
      <c r="W6" s="73">
        <f t="shared" si="0"/>
        <v>51.000000000000618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-467.64705882355111</v>
      </c>
      <c r="AG6" s="72">
        <f t="shared" si="2"/>
        <v>0.79215686274508845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4880</v>
      </c>
      <c r="H7" s="78">
        <f>F7*G7</f>
        <v>239803.2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2137.2262773722728</v>
      </c>
      <c r="O7" s="81">
        <f>N7/M7</f>
        <v>152.65901981230519</v>
      </c>
      <c r="P7" s="74">
        <f>M7-J7</f>
        <v>0</v>
      </c>
      <c r="Q7" s="83">
        <f>O7-L7</f>
        <v>-8.0552659019805333</v>
      </c>
      <c r="R7" s="72">
        <f>O7/L7</f>
        <v>0.9498783454987878</v>
      </c>
      <c r="S7" s="413"/>
      <c r="T7" s="18">
        <v>0.38055555555555554</v>
      </c>
      <c r="U7" s="18">
        <v>0.47569444444444398</v>
      </c>
      <c r="V7" s="30">
        <f>(T7-U6)*24*60</f>
        <v>9.9999999999999645</v>
      </c>
      <c r="W7" s="73">
        <f t="shared" si="0"/>
        <v>136.99999999999935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-112.77372262772724</v>
      </c>
      <c r="AG7" s="72">
        <f t="shared" si="2"/>
        <v>0.94987834549878791</v>
      </c>
      <c r="AH7" s="458"/>
    </row>
    <row r="8" spans="1:34" ht="15" customHeight="1">
      <c r="A8" s="424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627</v>
      </c>
      <c r="H8" s="78">
        <f t="shared" ref="H8:H9" si="3">F8*G8</f>
        <v>30810.78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1980.0000000000571</v>
      </c>
      <c r="O8" s="81">
        <f t="shared" ref="O8:O9" si="6">N8/M8</f>
        <v>141.42857142857551</v>
      </c>
      <c r="P8" s="74">
        <f t="shared" ref="P8:P9" si="7">M8-J8</f>
        <v>0</v>
      </c>
      <c r="Q8" s="83">
        <f t="shared" ref="Q8:Q9" si="8">O8-L8</f>
        <v>-19.285714285710213</v>
      </c>
      <c r="R8" s="72">
        <f t="shared" ref="R8:R9" si="9">O8/L8</f>
        <v>0.88000000000002532</v>
      </c>
      <c r="S8" s="413"/>
      <c r="T8" s="16">
        <v>0.54374999999999996</v>
      </c>
      <c r="U8" s="16">
        <v>0.55694444444444402</v>
      </c>
      <c r="V8" s="30">
        <f t="shared" ref="V8:V9" si="10">(T8-U7)*24*60</f>
        <v>98.000000000000611</v>
      </c>
      <c r="W8" s="73">
        <f t="shared" si="0"/>
        <v>18.999999999999453</v>
      </c>
      <c r="X8" s="22"/>
      <c r="Y8" s="84"/>
      <c r="Z8" s="90"/>
      <c r="AA8" s="90"/>
      <c r="AB8" s="461"/>
      <c r="AC8" s="461"/>
      <c r="AD8" s="149"/>
      <c r="AE8" s="149"/>
      <c r="AF8" s="307">
        <f t="shared" si="1"/>
        <v>-269.99999999994293</v>
      </c>
      <c r="AG8" s="72">
        <f t="shared" si="2"/>
        <v>0.88000000000002532</v>
      </c>
      <c r="AH8" s="458"/>
    </row>
    <row r="9" spans="1:34" ht="15" customHeight="1">
      <c r="A9" s="425"/>
      <c r="B9" s="75" t="s">
        <v>128</v>
      </c>
      <c r="C9" s="76"/>
      <c r="D9" s="59" t="s">
        <v>131</v>
      </c>
      <c r="E9" s="77"/>
      <c r="F9" s="61">
        <f>VLOOKUP(D9,廠價表!$C$1:$E$43,3,0)</f>
        <v>44.3</v>
      </c>
      <c r="G9" s="66">
        <v>2112</v>
      </c>
      <c r="H9" s="78">
        <f t="shared" si="3"/>
        <v>93561.599999999991</v>
      </c>
      <c r="I9" s="73"/>
      <c r="J9" s="79">
        <v>18</v>
      </c>
      <c r="K9" s="80">
        <f>VLOOKUP(D9,產線配置圖!$A$3:$C$40,3,0)</f>
        <v>1636</v>
      </c>
      <c r="L9" s="81">
        <f t="shared" si="4"/>
        <v>90.888888888888886</v>
      </c>
      <c r="M9" s="82">
        <v>18</v>
      </c>
      <c r="N9" s="80">
        <f t="shared" si="5"/>
        <v>1545.365853658521</v>
      </c>
      <c r="O9" s="81">
        <f t="shared" si="6"/>
        <v>85.853658536584504</v>
      </c>
      <c r="P9" s="74">
        <f t="shared" si="7"/>
        <v>0</v>
      </c>
      <c r="Q9" s="83">
        <f t="shared" si="8"/>
        <v>-5.0352303523043815</v>
      </c>
      <c r="R9" s="72">
        <f t="shared" si="9"/>
        <v>0.94460015504799577</v>
      </c>
      <c r="S9" s="414"/>
      <c r="T9" s="16">
        <v>0.57083333333333297</v>
      </c>
      <c r="U9" s="16">
        <v>0.62777777777777799</v>
      </c>
      <c r="V9" s="30">
        <f t="shared" si="10"/>
        <v>20.000000000000089</v>
      </c>
      <c r="W9" s="73">
        <f t="shared" si="0"/>
        <v>82.000000000000824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-90.634146341478981</v>
      </c>
      <c r="AG9" s="72">
        <f t="shared" si="2"/>
        <v>0.94460015504799577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 thickBo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11">AVERAGE(J5:J14)</f>
        <v>15.4</v>
      </c>
      <c r="K15" s="120">
        <f t="shared" si="11"/>
        <v>2127.1999999999998</v>
      </c>
      <c r="L15" s="117">
        <f t="shared" si="11"/>
        <v>141.07693744164334</v>
      </c>
      <c r="M15" s="120">
        <f t="shared" si="11"/>
        <v>15.2</v>
      </c>
      <c r="N15" s="120">
        <f t="shared" si="11"/>
        <v>1886.5162871687378</v>
      </c>
      <c r="O15" s="117">
        <f t="shared" si="11"/>
        <v>126.79302165438234</v>
      </c>
      <c r="P15" s="121">
        <f>M15-J15</f>
        <v>-0.20000000000000107</v>
      </c>
      <c r="Q15" s="122">
        <f>O15-L15</f>
        <v>-14.283915787260995</v>
      </c>
      <c r="R15" s="123">
        <f>O15/L15</f>
        <v>0.89875087986532487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-240.68371283126203</v>
      </c>
      <c r="AG15" s="124">
        <f>N15/K15</f>
        <v>0.88685421547985044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3293</v>
      </c>
      <c r="H16" s="134">
        <f>F16*G16</f>
        <v>166856.31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2101.9148936170468</v>
      </c>
      <c r="O16" s="141">
        <f>N16/M16</f>
        <v>161.68576104746515</v>
      </c>
      <c r="P16" s="142">
        <f>M16-J16</f>
        <v>0</v>
      </c>
      <c r="Q16" s="143">
        <f>O16-L16</f>
        <v>-11.391162029457917</v>
      </c>
      <c r="R16" s="144">
        <f>O16/L16</f>
        <v>0.93418439716313206</v>
      </c>
      <c r="S16" s="468">
        <f>R26</f>
        <v>0.89753268153524113</v>
      </c>
      <c r="T16" s="145">
        <v>0.29166666666666702</v>
      </c>
      <c r="U16" s="145">
        <v>0.35694444444444401</v>
      </c>
      <c r="V16" s="135"/>
      <c r="W16" s="146">
        <f t="shared" ref="W16:W78" si="12">(U16-T16)*24*60</f>
        <v>93.999999999998863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-148.0851063829532</v>
      </c>
      <c r="AG16" s="52">
        <f>N16/K16</f>
        <v>0.93418439716313195</v>
      </c>
      <c r="AH16" s="457">
        <f>AG26</f>
        <v>0.89808166660412825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2713</v>
      </c>
      <c r="H17" s="78">
        <f>F17*G17</f>
        <v>154288.31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2009.6296296296327</v>
      </c>
      <c r="O17" s="96">
        <f>N17/M17</f>
        <v>143.54497354497377</v>
      </c>
      <c r="P17" s="97">
        <f>M17-J17</f>
        <v>0</v>
      </c>
      <c r="Q17" s="98">
        <f>O17-L17</f>
        <v>-17.169312169311951</v>
      </c>
      <c r="R17" s="99">
        <f>O17/L17</f>
        <v>0.89316872427983673</v>
      </c>
      <c r="S17" s="469"/>
      <c r="T17" s="19">
        <v>0.36388888888888898</v>
      </c>
      <c r="U17" s="19">
        <v>0.4201388888888889</v>
      </c>
      <c r="V17" s="30">
        <f>(T17-U16)*24*60</f>
        <v>10.000000000000764</v>
      </c>
      <c r="W17" s="149">
        <f t="shared" si="12"/>
        <v>80.999999999999872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-240.37037037036725</v>
      </c>
      <c r="AG17" s="72">
        <f>N17/K17</f>
        <v>0.89316872427983673</v>
      </c>
      <c r="AH17" s="458"/>
    </row>
    <row r="18" spans="1:34" ht="15" customHeight="1">
      <c r="A18" s="475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2550</v>
      </c>
      <c r="H18" s="78">
        <f>F18*G18</f>
        <v>128494.5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2125.0000000000005</v>
      </c>
      <c r="O18" s="96">
        <f>N18/M18</f>
        <v>177.08333333333337</v>
      </c>
      <c r="P18" s="97">
        <f>M18-J18</f>
        <v>0</v>
      </c>
      <c r="Q18" s="98">
        <f>O18-L18</f>
        <v>-10.416666666666629</v>
      </c>
      <c r="R18" s="99">
        <f>O18/L18</f>
        <v>0.94444444444444464</v>
      </c>
      <c r="S18" s="469"/>
      <c r="T18" s="19">
        <v>0.42569444444444399</v>
      </c>
      <c r="U18" s="19">
        <v>0.47569444444444398</v>
      </c>
      <c r="V18" s="30">
        <f>(T18-U17)*24*60</f>
        <v>7.9999999999993321</v>
      </c>
      <c r="W18" s="149">
        <f t="shared" si="12"/>
        <v>71.999999999999986</v>
      </c>
      <c r="X18" s="22"/>
      <c r="Y18" s="84"/>
      <c r="Z18" s="90"/>
      <c r="AA18" s="90"/>
      <c r="AB18" s="462"/>
      <c r="AC18" s="462"/>
      <c r="AD18" s="92"/>
      <c r="AE18" s="92"/>
      <c r="AF18" s="307">
        <f>N18-K18</f>
        <v>-124.99999999999955</v>
      </c>
      <c r="AG18" s="72">
        <f>N18/K18</f>
        <v>0.94444444444444464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3877</v>
      </c>
      <c r="H19" s="78">
        <f>F19*G19</f>
        <v>195362.03</v>
      </c>
      <c r="I19" s="30"/>
      <c r="J19" s="79"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1846.1904761904757</v>
      </c>
      <c r="O19" s="96">
        <f>N19/M19</f>
        <v>153.8492063492063</v>
      </c>
      <c r="P19" s="97">
        <f>M19-J19</f>
        <v>0</v>
      </c>
      <c r="Q19" s="98">
        <f>O19-L19</f>
        <v>-33.650793650793702</v>
      </c>
      <c r="R19" s="99">
        <f>O19/L19</f>
        <v>0.82052910052910022</v>
      </c>
      <c r="S19" s="469"/>
      <c r="T19" s="19">
        <v>0.54166666666666696</v>
      </c>
      <c r="U19" s="19">
        <v>0.62916666666666698</v>
      </c>
      <c r="V19" s="30">
        <f>(T19-U18)*24*60</f>
        <v>95.000000000001108</v>
      </c>
      <c r="W19" s="149">
        <f t="shared" si="12"/>
        <v>126.00000000000003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-403.80952380952431</v>
      </c>
      <c r="AG19" s="72">
        <f>N19/K19</f>
        <v>0.82052910052910033</v>
      </c>
      <c r="AH19" s="459"/>
    </row>
    <row r="20" spans="1:34" ht="15" customHeight="1">
      <c r="A20" s="475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69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12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 thickBo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2020.6837498592886</v>
      </c>
      <c r="O26" s="158">
        <f t="shared" si="13"/>
        <v>159.04081856874464</v>
      </c>
      <c r="P26" s="159">
        <f>M26-J26</f>
        <v>0</v>
      </c>
      <c r="Q26" s="160">
        <f>O26-L26</f>
        <v>-18.156983629057549</v>
      </c>
      <c r="R26" s="161">
        <f>O26/L26</f>
        <v>0.89753268153524113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14">N26-K26</f>
        <v>-229.31625014071142</v>
      </c>
      <c r="AG26" s="124">
        <f t="shared" ref="AG26:AG31" si="15">N26/K26</f>
        <v>0.89808166660412825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1153</v>
      </c>
      <c r="H27" s="134">
        <f>F27*G27</f>
        <v>53430.020000000004</v>
      </c>
      <c r="I27" s="135"/>
      <c r="J27" s="136">
        <f>VLOOKUP(D27,產線配置圖!$A$3:$C$40,2,0)</f>
        <v>16</v>
      </c>
      <c r="K27" s="137">
        <v>1636</v>
      </c>
      <c r="L27" s="138">
        <f>K27/J27</f>
        <v>102.25</v>
      </c>
      <c r="M27" s="170">
        <v>16</v>
      </c>
      <c r="N27" s="140">
        <f>G27/W27*60</f>
        <v>1537.3333333333551</v>
      </c>
      <c r="O27" s="141">
        <f>N27/M27</f>
        <v>96.083333333334693</v>
      </c>
      <c r="P27" s="142">
        <f>M27-J27</f>
        <v>0</v>
      </c>
      <c r="Q27" s="143">
        <f>O27-L27</f>
        <v>-6.1666666666653072</v>
      </c>
      <c r="R27" s="144">
        <f>O27/L27</f>
        <v>0.93969030154850552</v>
      </c>
      <c r="S27" s="468">
        <f>R37</f>
        <v>0.92506957509468868</v>
      </c>
      <c r="T27" s="171">
        <v>0.28819444444444442</v>
      </c>
      <c r="U27" s="171">
        <v>0.31944444444444398</v>
      </c>
      <c r="V27" s="135"/>
      <c r="W27" s="146">
        <f t="shared" si="12"/>
        <v>44.999999999999361</v>
      </c>
      <c r="X27" s="135"/>
      <c r="Y27" s="300"/>
      <c r="Z27" s="169"/>
      <c r="AA27" s="169"/>
      <c r="AB27" s="464"/>
      <c r="AC27" s="464"/>
      <c r="AD27" s="135"/>
      <c r="AE27" s="135"/>
      <c r="AF27" s="310">
        <f t="shared" si="14"/>
        <v>-98.666666666644915</v>
      </c>
      <c r="AG27" s="172">
        <f t="shared" si="15"/>
        <v>0.93969030154850552</v>
      </c>
      <c r="AH27" s="457">
        <f>AG37</f>
        <v>0.91428268537214674</v>
      </c>
    </row>
    <row r="28" spans="1:34" ht="15" customHeight="1">
      <c r="A28" s="466"/>
      <c r="B28" s="75" t="s">
        <v>81</v>
      </c>
      <c r="C28" s="173"/>
      <c r="D28" s="59" t="s">
        <v>123</v>
      </c>
      <c r="E28" s="104"/>
      <c r="F28" s="75">
        <f>VLOOKUP(D28,廠價表!$C$1:$E$43,3,0)</f>
        <v>45.66</v>
      </c>
      <c r="G28" s="90">
        <v>735</v>
      </c>
      <c r="H28" s="91">
        <f>F28*G28</f>
        <v>33560.1</v>
      </c>
      <c r="I28" s="92"/>
      <c r="J28" s="79">
        <f>VLOOKUP(D28,產線配置圖!$A$3:$C$40,2,0)</f>
        <v>17</v>
      </c>
      <c r="K28" s="80">
        <v>1636</v>
      </c>
      <c r="L28" s="93">
        <f>K28/J28</f>
        <v>96.235294117647058</v>
      </c>
      <c r="M28" s="94">
        <v>16</v>
      </c>
      <c r="N28" s="95">
        <f>G28/W28*60</f>
        <v>1470.0000000000248</v>
      </c>
      <c r="O28" s="96">
        <f>N28/M28</f>
        <v>91.875000000001549</v>
      </c>
      <c r="P28" s="97">
        <f>M28-J28</f>
        <v>-1</v>
      </c>
      <c r="Q28" s="98">
        <f>O28-L28</f>
        <v>-4.360294117645509</v>
      </c>
      <c r="R28" s="99">
        <f>O28/L28</f>
        <v>0.95469132029341464</v>
      </c>
      <c r="S28" s="469"/>
      <c r="T28" s="19">
        <v>0.32430555555555601</v>
      </c>
      <c r="U28" s="19">
        <v>0.34513888888888899</v>
      </c>
      <c r="V28" s="92">
        <f>(T28-U27)*24*60</f>
        <v>7.000000000001334</v>
      </c>
      <c r="W28" s="149">
        <f t="shared" si="12"/>
        <v>29.999999999999496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14"/>
        <v>-165.99999999997522</v>
      </c>
      <c r="AG28" s="99">
        <f t="shared" si="15"/>
        <v>0.89853300733497843</v>
      </c>
      <c r="AH28" s="478"/>
    </row>
    <row r="29" spans="1:34" ht="15" customHeight="1">
      <c r="A29" s="466"/>
      <c r="B29" s="75" t="s">
        <v>81</v>
      </c>
      <c r="C29" s="173"/>
      <c r="D29" s="59" t="s">
        <v>196</v>
      </c>
      <c r="E29" s="104"/>
      <c r="F29" s="75">
        <f>VLOOKUP(D29,廠價表!$C$1:$E$43,3,0)</f>
        <v>49.91</v>
      </c>
      <c r="G29" s="90">
        <v>2857</v>
      </c>
      <c r="H29" s="91">
        <f>F29*G29</f>
        <v>142592.87</v>
      </c>
      <c r="I29" s="92"/>
      <c r="J29" s="79">
        <v>18</v>
      </c>
      <c r="K29" s="80">
        <v>1565</v>
      </c>
      <c r="L29" s="93">
        <f>K29/J29</f>
        <v>86.944444444444443</v>
      </c>
      <c r="M29" s="94">
        <v>18</v>
      </c>
      <c r="N29" s="95">
        <f>G29/W29*60</f>
        <v>1465.1282051282044</v>
      </c>
      <c r="O29" s="96">
        <f>N29/M29</f>
        <v>81.39601139601136</v>
      </c>
      <c r="P29" s="97">
        <f>M29-J29</f>
        <v>0</v>
      </c>
      <c r="Q29" s="98">
        <f>O29-L29</f>
        <v>-5.5484330484330826</v>
      </c>
      <c r="R29" s="99">
        <f>O29/L29</f>
        <v>0.93618415663144061</v>
      </c>
      <c r="S29" s="469"/>
      <c r="T29" s="19">
        <v>0.34930555555555598</v>
      </c>
      <c r="U29" s="19">
        <v>0.43055555555555602</v>
      </c>
      <c r="V29" s="92">
        <f>(T29-U28)*24*60</f>
        <v>6.0000000000004583</v>
      </c>
      <c r="W29" s="149">
        <f t="shared" si="12"/>
        <v>117.00000000000006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14"/>
        <v>-99.871794871795601</v>
      </c>
      <c r="AG29" s="99">
        <f t="shared" si="15"/>
        <v>0.9361841566314405</v>
      </c>
      <c r="AH29" s="478"/>
    </row>
    <row r="30" spans="1:34" ht="15" customHeight="1">
      <c r="A30" s="466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1313</v>
      </c>
      <c r="H30" s="91">
        <f t="shared" ref="H30:H32" si="16">F30*G30</f>
        <v>75116.73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7">K30/J30</f>
        <v>90.888888888888886</v>
      </c>
      <c r="M30" s="94">
        <v>18</v>
      </c>
      <c r="N30" s="95">
        <f t="shared" ref="N30:N32" si="18">G30/W30*60</f>
        <v>1358.2758620689929</v>
      </c>
      <c r="O30" s="96">
        <f t="shared" ref="O30:O32" si="19">N30/M30</f>
        <v>75.45977011494405</v>
      </c>
      <c r="P30" s="97">
        <f t="shared" ref="P30:P32" si="20">M30-J30</f>
        <v>0</v>
      </c>
      <c r="Q30" s="98">
        <f t="shared" ref="Q30:Q32" si="21">O30-L30</f>
        <v>-15.429118773944836</v>
      </c>
      <c r="R30" s="99">
        <f t="shared" ref="R30:R32" si="22">O30/L30</f>
        <v>0.83024196947982454</v>
      </c>
      <c r="S30" s="469"/>
      <c r="T30" s="19">
        <v>0.43541666666666701</v>
      </c>
      <c r="U30" s="19">
        <v>0.47569444444444398</v>
      </c>
      <c r="V30" s="92">
        <f>(T30-U29)*24*60</f>
        <v>6.9999999999998153</v>
      </c>
      <c r="W30" s="149">
        <f t="shared" si="12"/>
        <v>57.999999999998835</v>
      </c>
      <c r="X30" s="174"/>
      <c r="Y30" s="301"/>
      <c r="Z30" s="335"/>
      <c r="AA30" s="335"/>
      <c r="AB30" s="462"/>
      <c r="AC30" s="462"/>
      <c r="AD30" s="92"/>
      <c r="AE30" s="92"/>
      <c r="AF30" s="312">
        <f t="shared" si="14"/>
        <v>-277.72413793100714</v>
      </c>
      <c r="AG30" s="99">
        <f t="shared" si="15"/>
        <v>0.83024196947982454</v>
      </c>
      <c r="AH30" s="479"/>
    </row>
    <row r="31" spans="1:34" ht="15" customHeight="1">
      <c r="A31" s="466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750</v>
      </c>
      <c r="H31" s="91">
        <f t="shared" si="16"/>
        <v>34245</v>
      </c>
      <c r="I31" s="92"/>
      <c r="J31" s="79">
        <f>VLOOKUP(D31,產線配置圖!$A$3:$C$40,2,0)</f>
        <v>17</v>
      </c>
      <c r="K31" s="80">
        <v>1636</v>
      </c>
      <c r="L31" s="93">
        <f t="shared" si="17"/>
        <v>96.235294117647058</v>
      </c>
      <c r="M31" s="94">
        <v>17</v>
      </c>
      <c r="N31" s="95">
        <f t="shared" si="18"/>
        <v>1499.9999999999493</v>
      </c>
      <c r="O31" s="96">
        <f t="shared" si="19"/>
        <v>88.235294117644074</v>
      </c>
      <c r="P31" s="97">
        <f t="shared" si="20"/>
        <v>0</v>
      </c>
      <c r="Q31" s="98">
        <f t="shared" si="21"/>
        <v>-8.0000000000029843</v>
      </c>
      <c r="R31" s="99">
        <f t="shared" si="22"/>
        <v>0.91687041564789074</v>
      </c>
      <c r="S31" s="469"/>
      <c r="T31" s="19">
        <v>0.53819444444444398</v>
      </c>
      <c r="U31" s="19">
        <v>0.55902777777777801</v>
      </c>
      <c r="V31" s="92">
        <f t="shared" ref="V31:V32" si="23">(T31-U30)*24*60</f>
        <v>90</v>
      </c>
      <c r="W31" s="149">
        <f t="shared" si="12"/>
        <v>30.000000000001013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14"/>
        <v>-136.0000000000507</v>
      </c>
      <c r="AG31" s="99">
        <f t="shared" si="15"/>
        <v>0.91687041564789074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1000</v>
      </c>
      <c r="H32" s="91">
        <f t="shared" si="16"/>
        <v>46340</v>
      </c>
      <c r="I32" s="92"/>
      <c r="J32" s="79">
        <f>VLOOKUP(D32,產線配置圖!$A$3:$C$40,2,0)</f>
        <v>16</v>
      </c>
      <c r="K32" s="80">
        <v>1636</v>
      </c>
      <c r="L32" s="93">
        <f t="shared" si="17"/>
        <v>102.25</v>
      </c>
      <c r="M32" s="94">
        <v>16</v>
      </c>
      <c r="N32" s="95">
        <f t="shared" si="18"/>
        <v>1578.9473684210448</v>
      </c>
      <c r="O32" s="96">
        <f t="shared" si="19"/>
        <v>98.684210526315297</v>
      </c>
      <c r="P32" s="97">
        <f t="shared" si="20"/>
        <v>0</v>
      </c>
      <c r="Q32" s="98">
        <f t="shared" si="21"/>
        <v>-3.5657894736847027</v>
      </c>
      <c r="R32" s="99">
        <f t="shared" si="22"/>
        <v>0.96512675331359699</v>
      </c>
      <c r="S32" s="469"/>
      <c r="T32" s="19">
        <v>0.56388888888888899</v>
      </c>
      <c r="U32" s="19">
        <v>0.59027777777777801</v>
      </c>
      <c r="V32" s="92">
        <f t="shared" si="23"/>
        <v>6.9999999999998153</v>
      </c>
      <c r="W32" s="149">
        <f t="shared" si="12"/>
        <v>38.000000000000185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 thickBo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24">AVERAGE(J27:J36)</f>
        <v>17</v>
      </c>
      <c r="K37" s="155">
        <f t="shared" si="24"/>
        <v>1624.1666666666667</v>
      </c>
      <c r="L37" s="158">
        <f t="shared" si="24"/>
        <v>95.800653594771248</v>
      </c>
      <c r="M37" s="155">
        <f t="shared" si="24"/>
        <v>16.833333333333332</v>
      </c>
      <c r="N37" s="155">
        <f t="shared" si="24"/>
        <v>1484.9474614919284</v>
      </c>
      <c r="O37" s="158">
        <f t="shared" si="24"/>
        <v>88.622269914708497</v>
      </c>
      <c r="P37" s="159">
        <f>M37-J37</f>
        <v>-0.16666666666666785</v>
      </c>
      <c r="Q37" s="160">
        <f>N37-K37</f>
        <v>-139.21920517473836</v>
      </c>
      <c r="R37" s="161">
        <f>O37/L37</f>
        <v>0.92506957509468868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-139.21920517473836</v>
      </c>
      <c r="AG37" s="124">
        <f>N37/K37</f>
        <v>0.91428268537214674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2505</v>
      </c>
      <c r="H38" s="134">
        <f>F38*G38</f>
        <v>125024.54999999999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1582.105263157875</v>
      </c>
      <c r="O38" s="141">
        <f>N38/M38</f>
        <v>105.47368421052501</v>
      </c>
      <c r="P38" s="142">
        <f>M38-J38</f>
        <v>0</v>
      </c>
      <c r="Q38" s="143">
        <f>O38-L38</f>
        <v>-8.7929824561416581</v>
      </c>
      <c r="R38" s="144">
        <f>O38/L38</f>
        <v>0.92304857827180575</v>
      </c>
      <c r="S38" s="490">
        <f>R48</f>
        <v>0.93765887700538497</v>
      </c>
      <c r="T38" s="191">
        <v>0.33333333333333298</v>
      </c>
      <c r="U38" s="191">
        <v>0.39930555555555602</v>
      </c>
      <c r="V38" s="192"/>
      <c r="W38" s="193">
        <f t="shared" si="12"/>
        <v>95.00000000000118</v>
      </c>
      <c r="X38" s="194"/>
      <c r="Y38" s="302"/>
      <c r="Z38" s="336"/>
      <c r="AA38" s="336"/>
      <c r="AB38" s="492"/>
      <c r="AC38" s="492"/>
      <c r="AD38" s="192"/>
      <c r="AE38" s="192"/>
      <c r="AF38" s="313">
        <f>N38-K38</f>
        <v>-131.89473684212498</v>
      </c>
      <c r="AG38" s="195">
        <f>N38/K38</f>
        <v>0.92304857827180575</v>
      </c>
      <c r="AH38" s="480">
        <f>AG48</f>
        <v>0.91321594171665599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2782</v>
      </c>
      <c r="H39" s="91">
        <f>F39*G39</f>
        <v>123242.59999999999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1477.1681415929224</v>
      </c>
      <c r="O39" s="203">
        <f>N39/M39</f>
        <v>86.892243623113089</v>
      </c>
      <c r="P39" s="97">
        <f>M39-J39</f>
        <v>-1</v>
      </c>
      <c r="Q39" s="98">
        <f>O39-L39</f>
        <v>-3.9966452657757969</v>
      </c>
      <c r="R39" s="99">
        <f>O39/L39</f>
        <v>0.95602713032765019</v>
      </c>
      <c r="S39" s="491"/>
      <c r="T39" s="20">
        <v>0.40763888888888888</v>
      </c>
      <c r="U39" s="20">
        <v>0.48611111111111099</v>
      </c>
      <c r="V39" s="92">
        <f>(T39-U38)*24*60</f>
        <v>11.999999999999318</v>
      </c>
      <c r="W39" s="205">
        <f t="shared" si="12"/>
        <v>112.99999999999984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-158.83185840707756</v>
      </c>
      <c r="AG39" s="206">
        <f>N39/K39</f>
        <v>0.90291451197611394</v>
      </c>
      <c r="AH39" s="481"/>
    </row>
    <row r="40" spans="1:34" ht="15" customHeight="1">
      <c r="A40" s="48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3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0</v>
      </c>
      <c r="AG40" s="206" t="e">
        <f>N40/K40</f>
        <v>#DIV/0!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 thickBo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25">AVERAGE(J38:J47)</f>
        <v>16.5</v>
      </c>
      <c r="K48" s="155">
        <f t="shared" si="25"/>
        <v>1675</v>
      </c>
      <c r="L48" s="158">
        <f t="shared" si="25"/>
        <v>102.57777777777778</v>
      </c>
      <c r="M48" s="155">
        <f t="shared" si="25"/>
        <v>16</v>
      </c>
      <c r="N48" s="155">
        <f t="shared" si="25"/>
        <v>1529.6367023753987</v>
      </c>
      <c r="O48" s="158">
        <f t="shared" si="25"/>
        <v>96.182963916819048</v>
      </c>
      <c r="P48" s="221">
        <f>M48-J48</f>
        <v>-0.5</v>
      </c>
      <c r="Q48" s="222">
        <f>N48-K48</f>
        <v>-145.36329762460127</v>
      </c>
      <c r="R48" s="223">
        <f>O48/L48</f>
        <v>0.93765887700538497</v>
      </c>
      <c r="S48" s="416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26">N48-K48</f>
        <v>-145.36329762460127</v>
      </c>
      <c r="AG48" s="162">
        <f t="shared" ref="AG48:AG53" si="27">N48/K48</f>
        <v>0.91321594171665599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2172</v>
      </c>
      <c r="H49" s="134">
        <f>F49*G49</f>
        <v>107557.44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1692.4675324675402</v>
      </c>
      <c r="O49" s="141">
        <f>N49/M49</f>
        <v>99.556913674561187</v>
      </c>
      <c r="P49" s="229">
        <f>M49-J49</f>
        <v>0</v>
      </c>
      <c r="Q49" s="230">
        <f>O49-L49</f>
        <v>-6.3254392666152768</v>
      </c>
      <c r="R49" s="52">
        <f>O49/L49</f>
        <v>0.94025974025974457</v>
      </c>
      <c r="S49" s="412">
        <f>R58</f>
        <v>0.90329320712187833</v>
      </c>
      <c r="T49" s="191">
        <v>0.29166666666666702</v>
      </c>
      <c r="U49" s="191">
        <v>0.34513888888888899</v>
      </c>
      <c r="V49" s="55"/>
      <c r="W49" s="193">
        <f t="shared" si="12"/>
        <v>76.999999999999645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26"/>
        <v>-107.5324675324598</v>
      </c>
      <c r="AG49" s="52">
        <f t="shared" si="27"/>
        <v>0.94025974025974457</v>
      </c>
      <c r="AH49" s="457">
        <f>AG58</f>
        <v>0.89149465908988135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2157</v>
      </c>
      <c r="H50" s="231">
        <f>F50*G50</f>
        <v>108473.37300000001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1294.1999999999891</v>
      </c>
      <c r="O50" s="235">
        <f>N50/M50</f>
        <v>80.887499999999321</v>
      </c>
      <c r="P50" s="74">
        <f>M50-J50</f>
        <v>-1</v>
      </c>
      <c r="Q50" s="83">
        <f>O50-L50</f>
        <v>-15.347794117647737</v>
      </c>
      <c r="R50" s="72">
        <f>O50/L50</f>
        <v>0.84051803178483397</v>
      </c>
      <c r="S50" s="413"/>
      <c r="T50" s="21">
        <v>0.35069444444444398</v>
      </c>
      <c r="U50" s="21">
        <v>0.42013888888888901</v>
      </c>
      <c r="V50" s="30">
        <f>(T50-U49)*24*60</f>
        <v>7.9999999999991722</v>
      </c>
      <c r="W50" s="236">
        <f t="shared" si="12"/>
        <v>100.00000000000084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26"/>
        <v>-341.80000000001087</v>
      </c>
      <c r="AG50" s="72">
        <f t="shared" si="27"/>
        <v>0.79107579462102029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1605</v>
      </c>
      <c r="H51" s="231">
        <f>F51*G51</f>
        <v>80201.849999999991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1604.9999999999866</v>
      </c>
      <c r="O51" s="235">
        <f>N51/M51</f>
        <v>100.31249999999916</v>
      </c>
      <c r="P51" s="74">
        <f>M51-J51</f>
        <v>0</v>
      </c>
      <c r="Q51" s="83">
        <f>O51-L51</f>
        <v>-12.187500000000838</v>
      </c>
      <c r="R51" s="72">
        <f>O51/L51</f>
        <v>0.89166666666665917</v>
      </c>
      <c r="S51" s="413"/>
      <c r="T51" s="21">
        <v>0.42499999999999999</v>
      </c>
      <c r="U51" s="19">
        <v>0.46666666666666701</v>
      </c>
      <c r="V51" s="30">
        <f>(T51-U50)*24*60</f>
        <v>6.9999999999998153</v>
      </c>
      <c r="W51" s="236">
        <f t="shared" si="12"/>
        <v>60.000000000000504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26"/>
        <v>-195.00000000001342</v>
      </c>
      <c r="AG51" s="72">
        <f t="shared" si="27"/>
        <v>0.89166666666665917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3782</v>
      </c>
      <c r="H52" s="231">
        <f>F52*G52</f>
        <v>188986.54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1680.8888888888889</v>
      </c>
      <c r="O52" s="235">
        <f>N52/M52</f>
        <v>105.05555555555556</v>
      </c>
      <c r="P52" s="74">
        <f>M52-J52</f>
        <v>0</v>
      </c>
      <c r="Q52" s="83">
        <f>O52-L52</f>
        <v>-7.4444444444444429</v>
      </c>
      <c r="R52" s="72">
        <f>O52/L52</f>
        <v>0.93382716049382719</v>
      </c>
      <c r="S52" s="413"/>
      <c r="T52" s="21">
        <v>0.52569444444444402</v>
      </c>
      <c r="U52" s="21">
        <v>0.61944444444444402</v>
      </c>
      <c r="V52" s="30">
        <f>(T52-U51)*24*60</f>
        <v>84.999999999998892</v>
      </c>
      <c r="W52" s="236">
        <f t="shared" si="12"/>
        <v>135</v>
      </c>
      <c r="X52" s="22"/>
      <c r="Y52" s="84"/>
      <c r="Z52" s="90"/>
      <c r="AA52" s="90"/>
      <c r="AB52" s="462"/>
      <c r="AC52" s="462"/>
      <c r="AD52" s="92"/>
      <c r="AE52" s="92"/>
      <c r="AF52" s="307">
        <f t="shared" si="26"/>
        <v>-119.11111111111109</v>
      </c>
      <c r="AG52" s="72">
        <f t="shared" si="27"/>
        <v>0.93382716049382719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26"/>
        <v>0</v>
      </c>
      <c r="AG53" s="72" t="e">
        <f t="shared" si="27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 thickBo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16.25</v>
      </c>
      <c r="N58" s="120">
        <f t="shared" si="28"/>
        <v>1568.1391053391012</v>
      </c>
      <c r="O58" s="117">
        <f t="shared" si="28"/>
        <v>96.4531173075288</v>
      </c>
      <c r="P58" s="121">
        <f>M58-J58</f>
        <v>-0.25</v>
      </c>
      <c r="Q58" s="122">
        <f>N58-K58</f>
        <v>-190.86089466089879</v>
      </c>
      <c r="R58" s="123">
        <f>O58/L58</f>
        <v>0.90329320712187833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-190.86089466089879</v>
      </c>
      <c r="AG58" s="124">
        <f>N58/K58</f>
        <v>0.89149465908988135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3104</v>
      </c>
      <c r="H59" s="243">
        <f>F59*G59</f>
        <v>83776.959999999992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1552.0000000000066</v>
      </c>
      <c r="O59" s="138">
        <f>N59/M59</f>
        <v>103.46666666666711</v>
      </c>
      <c r="P59" s="56">
        <f>M59-J59</f>
        <v>0</v>
      </c>
      <c r="Q59" s="230">
        <f>O59-L59</f>
        <v>-5.5999999999995538</v>
      </c>
      <c r="R59" s="52">
        <f>O59/L59</f>
        <v>0.94865525672372042</v>
      </c>
      <c r="S59" s="412">
        <f>R69</f>
        <v>0.89289083210902687</v>
      </c>
      <c r="T59" s="245">
        <v>0.29166666666666702</v>
      </c>
      <c r="U59" s="245">
        <v>0.375</v>
      </c>
      <c r="V59" s="55"/>
      <c r="W59" s="54">
        <f t="shared" si="12"/>
        <v>119.99999999999949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-83.999999999993406</v>
      </c>
      <c r="AG59" s="246">
        <f>N59/K59</f>
        <v>0.94865525672372042</v>
      </c>
      <c r="AH59" s="457">
        <f>AG69</f>
        <v>0.89784766985255504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1371</v>
      </c>
      <c r="H60" s="78">
        <f>F60*G60</f>
        <v>38744.46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1495.6363636363451</v>
      </c>
      <c r="O60" s="81">
        <f>N60/M60</f>
        <v>135.96694214875865</v>
      </c>
      <c r="P60" s="74">
        <f>M60-J60</f>
        <v>0</v>
      </c>
      <c r="Q60" s="83">
        <f>O60-L60</f>
        <v>-12.760330578514072</v>
      </c>
      <c r="R60" s="72">
        <f>O60/L60</f>
        <v>0.91420315625693471</v>
      </c>
      <c r="S60" s="502"/>
      <c r="T60" s="22">
        <v>0.38194444444444398</v>
      </c>
      <c r="U60" s="22">
        <v>0.4201388888888889</v>
      </c>
      <c r="V60" s="30">
        <f>(T60-U59)*24*60</f>
        <v>9.999999999999325</v>
      </c>
      <c r="W60" s="248">
        <f t="shared" si="12"/>
        <v>55.000000000000682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-140.3636363636549</v>
      </c>
      <c r="AG60" s="249">
        <f>N60/K60</f>
        <v>0.9142031562569346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1359</v>
      </c>
      <c r="H61" s="254">
        <f>F61*G61</f>
        <v>38405.340000000004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1358.9999999999886</v>
      </c>
      <c r="O61" s="238">
        <f>N61/M61</f>
        <v>123.54545454545351</v>
      </c>
      <c r="P61" s="111">
        <f>M61-J61</f>
        <v>0</v>
      </c>
      <c r="Q61" s="255">
        <f>O61-L61</f>
        <v>-25.18181818181921</v>
      </c>
      <c r="R61" s="85">
        <f>O61/L61</f>
        <v>0.83068459657701021</v>
      </c>
      <c r="S61" s="413"/>
      <c r="T61" s="22">
        <v>0.42708333333333298</v>
      </c>
      <c r="U61" s="22">
        <v>0.46875</v>
      </c>
      <c r="V61" s="30">
        <f>(T61-U60)*24*60</f>
        <v>9.9999999999994849</v>
      </c>
      <c r="W61" s="256">
        <f t="shared" si="12"/>
        <v>60.000000000000504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-277.00000000001137</v>
      </c>
      <c r="AG61" s="247">
        <f>N61/K61</f>
        <v>0.83068459657701021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 thickBo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1468.87878787878</v>
      </c>
      <c r="O69" s="268">
        <f t="shared" si="29"/>
        <v>120.99302112029311</v>
      </c>
      <c r="P69" s="269">
        <f>M69-J69</f>
        <v>0</v>
      </c>
      <c r="Q69" s="222">
        <f>N69-K69</f>
        <v>-167.12121212121997</v>
      </c>
      <c r="R69" s="123">
        <f>O69/L69</f>
        <v>0.89289083210902687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-167.12121212121997</v>
      </c>
      <c r="AG69" s="124">
        <f>N69/K69</f>
        <v>0.89784766985255504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3446</v>
      </c>
      <c r="H70" s="243">
        <f>F70*G70</f>
        <v>97383.96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1531.5555555555611</v>
      </c>
      <c r="O70" s="138">
        <f>N70/M70</f>
        <v>139.23232323232375</v>
      </c>
      <c r="P70" s="56">
        <f>M70-J70</f>
        <v>0</v>
      </c>
      <c r="Q70" s="230">
        <f>O70-L70</f>
        <v>-9.494949494948969</v>
      </c>
      <c r="R70" s="52">
        <f>O70/L70</f>
        <v>0.93615865254007413</v>
      </c>
      <c r="S70" s="412">
        <f>R79</f>
        <v>0.94287002049838353</v>
      </c>
      <c r="T70" s="245">
        <v>0.29166666666666702</v>
      </c>
      <c r="U70" s="245">
        <v>0.38541666666666669</v>
      </c>
      <c r="V70" s="55"/>
      <c r="W70" s="54">
        <f t="shared" si="12"/>
        <v>134.99999999999952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-104.44444444443889</v>
      </c>
      <c r="AG70" s="246">
        <f>N70/K70</f>
        <v>0.93615865254007402</v>
      </c>
      <c r="AH70" s="457">
        <f>AG79</f>
        <v>0.77648119335160981</v>
      </c>
    </row>
    <row r="71" spans="1:36" ht="15" customHeight="1">
      <c r="A71" s="495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30">
        <v>1295</v>
      </c>
      <c r="H71" s="254">
        <f>F71*G71</f>
        <v>56837.55</v>
      </c>
      <c r="I71" s="182"/>
      <c r="J71" s="106">
        <f>VLOOKUP(D71,產線配置圖!$A$3:$C$40,2,0)</f>
        <v>17</v>
      </c>
      <c r="K71" s="107">
        <f>VLOOKUP(D71,產線配置圖!$A$3:$C$40,3,0)</f>
        <v>1636</v>
      </c>
      <c r="L71" s="238">
        <f>K71/J71</f>
        <v>96.235294117647058</v>
      </c>
      <c r="M71" s="82">
        <v>11</v>
      </c>
      <c r="N71" s="107">
        <f>G71/W71*60</f>
        <v>1009.0909090909064</v>
      </c>
      <c r="O71" s="238">
        <f>N71/M71</f>
        <v>91.735537190082397</v>
      </c>
      <c r="P71" s="111">
        <f>M71-J71</f>
        <v>-6</v>
      </c>
      <c r="Q71" s="255">
        <f>O71-L71</f>
        <v>-4.4997569275646612</v>
      </c>
      <c r="R71" s="85">
        <f>O71/L71</f>
        <v>0.95324213461577068</v>
      </c>
      <c r="S71" s="413"/>
      <c r="T71" s="22">
        <v>0.39236111111111099</v>
      </c>
      <c r="U71" s="22">
        <v>0.44583333333333336</v>
      </c>
      <c r="V71" s="30">
        <f>(T71-U70)*24*60</f>
        <v>9.9999999999998046</v>
      </c>
      <c r="W71" s="73">
        <f t="shared" si="12"/>
        <v>77.000000000000199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3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 thickBo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30">AVERAGE(J70:J78)</f>
        <v>14</v>
      </c>
      <c r="K79" s="240">
        <f t="shared" si="30"/>
        <v>1636</v>
      </c>
      <c r="L79" s="268">
        <f t="shared" si="30"/>
        <v>122.48128342245988</v>
      </c>
      <c r="M79" s="240">
        <f t="shared" si="30"/>
        <v>11</v>
      </c>
      <c r="N79" s="240">
        <f t="shared" si="30"/>
        <v>1270.3232323232337</v>
      </c>
      <c r="O79" s="268">
        <f t="shared" si="30"/>
        <v>115.48393021120307</v>
      </c>
      <c r="P79" s="269">
        <f>M79-J79</f>
        <v>-3</v>
      </c>
      <c r="Q79" s="222">
        <f>N79-K79</f>
        <v>-365.6767676767663</v>
      </c>
      <c r="R79" s="223">
        <f>O79/L79</f>
        <v>0.94287002049838353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-365.6767676767663</v>
      </c>
      <c r="AG79" s="124">
        <f>N79/K79</f>
        <v>0.77648119335160981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1:S2"/>
    <mergeCell ref="T1:Y2"/>
    <mergeCell ref="AB1:AC2"/>
    <mergeCell ref="AF1:AH2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D3:AE3"/>
    <mergeCell ref="AF3:AF4"/>
    <mergeCell ref="AG3:AG4"/>
    <mergeCell ref="AH3:AH4"/>
    <mergeCell ref="N3:N4"/>
    <mergeCell ref="O3:O4"/>
    <mergeCell ref="P3:P4"/>
    <mergeCell ref="Q3:Q4"/>
    <mergeCell ref="R3:R4"/>
    <mergeCell ref="S3:S4"/>
    <mergeCell ref="H3:H4"/>
    <mergeCell ref="I3:I4"/>
    <mergeCell ref="AB14:AC14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D15:E15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</mergeCells>
  <phoneticPr fontId="32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378" t="s">
        <v>70</v>
      </c>
      <c r="C1" s="378"/>
      <c r="D1" s="378"/>
      <c r="E1" s="378"/>
      <c r="F1" s="378"/>
      <c r="G1" s="378"/>
      <c r="H1" s="378"/>
      <c r="I1" s="378"/>
      <c r="J1" s="378"/>
      <c r="K1" s="378"/>
      <c r="L1" s="1"/>
      <c r="M1" s="1"/>
    </row>
    <row r="2" spans="2:15" ht="27.75" customHeight="1"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1"/>
      <c r="M2" s="1"/>
    </row>
    <row r="3" spans="2:15" ht="46.5" customHeight="1">
      <c r="B3" s="375" t="s">
        <v>71</v>
      </c>
      <c r="C3" s="375"/>
      <c r="D3" s="379">
        <v>46234</v>
      </c>
      <c r="E3" s="379"/>
      <c r="F3" s="3" t="s">
        <v>72</v>
      </c>
      <c r="G3" s="380">
        <f>'0731'!E1</f>
        <v>48186</v>
      </c>
      <c r="H3" s="380"/>
      <c r="I3" s="3" t="s">
        <v>2</v>
      </c>
      <c r="J3" s="381">
        <f>'0731'!G1</f>
        <v>2231027.7200000002</v>
      </c>
      <c r="K3" s="381"/>
      <c r="L3" s="4"/>
    </row>
    <row r="4" spans="2:15" ht="24" customHeight="1">
      <c r="B4" s="375" t="s">
        <v>73</v>
      </c>
      <c r="C4" s="375"/>
      <c r="D4" s="376">
        <v>3</v>
      </c>
      <c r="E4" s="376"/>
      <c r="F4" s="377" t="s">
        <v>74</v>
      </c>
      <c r="G4" s="377"/>
      <c r="H4" s="377" t="s">
        <v>75</v>
      </c>
      <c r="I4" s="377"/>
      <c r="J4" s="376" t="s">
        <v>76</v>
      </c>
      <c r="K4" s="377"/>
      <c r="L4" s="395" t="s">
        <v>77</v>
      </c>
      <c r="M4" s="388"/>
      <c r="N4" s="388" t="s">
        <v>78</v>
      </c>
      <c r="O4" s="388"/>
    </row>
    <row r="5" spans="2:15" ht="24" customHeight="1">
      <c r="B5" s="375" t="s">
        <v>14</v>
      </c>
      <c r="C5" s="375"/>
      <c r="D5" s="376" t="s">
        <v>79</v>
      </c>
      <c r="E5" s="376"/>
      <c r="F5" s="376" t="s">
        <v>80</v>
      </c>
      <c r="G5" s="376"/>
      <c r="H5" s="384" t="s">
        <v>81</v>
      </c>
      <c r="I5" s="384"/>
      <c r="J5" s="385" t="s">
        <v>82</v>
      </c>
      <c r="K5" s="385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5"/>
      <c r="C6" s="375"/>
      <c r="D6" s="375" t="s">
        <v>86</v>
      </c>
      <c r="E6" s="375"/>
      <c r="F6" s="386">
        <f>AVERAGE(D13:J13)</f>
        <v>125.61642524919834</v>
      </c>
      <c r="G6" s="386"/>
      <c r="H6" s="387">
        <f>AVERAGE(D13:H13)</f>
        <v>124.26532452297155</v>
      </c>
      <c r="I6" s="387"/>
      <c r="J6" s="387">
        <f>AVERAGE(I13:J13)</f>
        <v>128.9941770647653</v>
      </c>
      <c r="K6" s="387"/>
      <c r="L6" s="503">
        <f>SUM(D18:J18)</f>
        <v>0</v>
      </c>
      <c r="M6" s="390">
        <f>SUM(D19:J19)</f>
        <v>0</v>
      </c>
      <c r="N6" s="504">
        <f>SUM(D20:J20)</f>
        <v>0</v>
      </c>
      <c r="O6" s="390">
        <f>SUM(D20:J20)</f>
        <v>0</v>
      </c>
    </row>
    <row r="7" spans="2:15" ht="39.6" customHeight="1">
      <c r="B7" s="375"/>
      <c r="C7" s="375"/>
      <c r="D7" s="382" t="s">
        <v>87</v>
      </c>
      <c r="E7" s="382"/>
      <c r="F7" s="410">
        <f>AVERAGE(D14:J14)</f>
        <v>114.69966420804997</v>
      </c>
      <c r="G7" s="410"/>
      <c r="H7" s="411">
        <f>AVERAGE(D14:H14)</f>
        <v>113.02234139751044</v>
      </c>
      <c r="I7" s="411"/>
      <c r="J7" s="411">
        <f>AVERAGE(I14:J14)</f>
        <v>118.8929712343988</v>
      </c>
      <c r="K7" s="411"/>
      <c r="L7" s="389" t="e">
        <f t="shared" ref="L7:O8" si="0">AVERAGE(K14:L14)</f>
        <v>#DIV/0!</v>
      </c>
      <c r="M7" s="390" t="e">
        <f t="shared" si="0"/>
        <v>#DIV/0!</v>
      </c>
      <c r="N7" s="391" t="e">
        <f t="shared" si="0"/>
        <v>#DIV/0!</v>
      </c>
      <c r="O7" s="390" t="e">
        <f t="shared" si="0"/>
        <v>#DIV/0!</v>
      </c>
    </row>
    <row r="8" spans="2:15" ht="39.6" customHeight="1">
      <c r="B8" s="375"/>
      <c r="C8" s="375"/>
      <c r="D8" s="382" t="s">
        <v>27</v>
      </c>
      <c r="E8" s="382"/>
      <c r="F8" s="383">
        <f>F7/F6</f>
        <v>0.91309447773655661</v>
      </c>
      <c r="G8" s="383"/>
      <c r="H8" s="383">
        <f>H7/H6</f>
        <v>0.90952437320209356</v>
      </c>
      <c r="I8" s="383"/>
      <c r="J8" s="383">
        <f>J7/J6</f>
        <v>0.92169254411154633</v>
      </c>
      <c r="K8" s="383"/>
      <c r="L8" s="389" t="e">
        <f t="shared" si="0"/>
        <v>#DIV/0!</v>
      </c>
      <c r="M8" s="390" t="e">
        <f t="shared" si="0"/>
        <v>#DIV/0!</v>
      </c>
      <c r="N8" s="391" t="e">
        <f t="shared" si="0"/>
        <v>#DIV/0!</v>
      </c>
      <c r="O8" s="390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2" t="s">
        <v>89</v>
      </c>
      <c r="C10" s="393"/>
      <c r="D10" s="396" t="s">
        <v>90</v>
      </c>
      <c r="E10" s="397"/>
      <c r="F10" s="397"/>
      <c r="G10" s="397"/>
      <c r="H10" s="397"/>
      <c r="I10" s="397"/>
      <c r="J10" s="398"/>
    </row>
    <row r="11" spans="2:15" ht="17.25" customHeight="1">
      <c r="B11" s="399" t="s">
        <v>91</v>
      </c>
      <c r="C11" s="40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1"/>
      <c r="C12" s="40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3" t="s">
        <v>14</v>
      </c>
      <c r="C13" s="12" t="s">
        <v>99</v>
      </c>
      <c r="D13" s="13">
        <f>VALUE('0731'!L15)</f>
        <v>136.16760037348271</v>
      </c>
      <c r="E13" s="13">
        <f>VALUE('0731'!L26)</f>
        <v>177.19780219780219</v>
      </c>
      <c r="F13" s="13">
        <f>VALUE('0731'!L37)</f>
        <v>98.604030501089326</v>
      </c>
      <c r="G13" s="13">
        <f>VALUE('0731'!L48)</f>
        <v>102.57777777777778</v>
      </c>
      <c r="H13" s="13">
        <f>VALUE('0731'!L58)</f>
        <v>106.77941176470588</v>
      </c>
      <c r="I13" s="13">
        <f>VALUE('0731'!L69)</f>
        <v>135.50707070707071</v>
      </c>
      <c r="J13" s="13">
        <f>'0731'!L79</f>
        <v>122.48128342245988</v>
      </c>
    </row>
    <row r="14" spans="2:15" ht="39.950000000000003" customHeight="1">
      <c r="B14" s="404"/>
      <c r="C14" s="12" t="s">
        <v>100</v>
      </c>
      <c r="D14" s="13">
        <f>VALUE('0731'!O15)</f>
        <v>123.28442808369351</v>
      </c>
      <c r="E14" s="13">
        <f>VALUE('0731'!O26)</f>
        <v>165.69912135577135</v>
      </c>
      <c r="F14" s="13">
        <f>VALUE('0731'!O37)</f>
        <v>88.76314287075968</v>
      </c>
      <c r="G14" s="13">
        <f>VALUE('0731'!O48)</f>
        <v>93.347165222677575</v>
      </c>
      <c r="H14" s="13">
        <f>VALUE('0731'!O58)</f>
        <v>94.017849454650047</v>
      </c>
      <c r="I14" s="13">
        <f>VALUE('0731'!O69)</f>
        <v>124.94179531160609</v>
      </c>
      <c r="J14" s="13">
        <f>'0731'!O79</f>
        <v>112.84414715719153</v>
      </c>
    </row>
    <row r="15" spans="2:15" ht="39.950000000000003" customHeight="1">
      <c r="B15" s="405"/>
      <c r="C15" s="10" t="s">
        <v>26</v>
      </c>
      <c r="D15" s="14">
        <f t="shared" ref="D15:I15" si="1">D14/D13</f>
        <v>0.90538738837687505</v>
      </c>
      <c r="E15" s="14">
        <f t="shared" si="1"/>
        <v>0.93510821974419811</v>
      </c>
      <c r="F15" s="14">
        <f t="shared" si="1"/>
        <v>0.90019791705957775</v>
      </c>
      <c r="G15" s="14">
        <f t="shared" si="1"/>
        <v>0.91001352578433503</v>
      </c>
      <c r="H15" s="14">
        <f t="shared" si="1"/>
        <v>0.88048667716791118</v>
      </c>
      <c r="I15" s="14">
        <f t="shared" si="1"/>
        <v>0.9220315564321816</v>
      </c>
      <c r="J15" s="15">
        <f>'0731'!S70</f>
        <v>0.92131747809966891</v>
      </c>
    </row>
    <row r="16" spans="2:15" ht="17.25" customHeight="1">
      <c r="B16" s="406" t="s">
        <v>101</v>
      </c>
      <c r="C16" s="10" t="s">
        <v>34</v>
      </c>
      <c r="D16" s="16">
        <f>'0731'!T5</f>
        <v>0.29375000000000001</v>
      </c>
      <c r="E16" s="16">
        <f>'0731'!T16</f>
        <v>0.29166666666666702</v>
      </c>
      <c r="F16" s="16">
        <f>'0731'!T27</f>
        <v>0.29166666666666702</v>
      </c>
      <c r="G16" s="16">
        <f>'0731'!T38</f>
        <v>0.33333333333333298</v>
      </c>
      <c r="H16" s="16">
        <f>'0731'!T49</f>
        <v>0.29166666666666702</v>
      </c>
      <c r="I16" s="16">
        <f>'0731'!T59</f>
        <v>0.29166666666666702</v>
      </c>
      <c r="J16" s="16">
        <f>'0731'!T70</f>
        <v>0.29513888888888901</v>
      </c>
    </row>
    <row r="17" spans="2:10" ht="17.25" customHeight="1">
      <c r="B17" s="407"/>
      <c r="C17" s="10" t="s">
        <v>35</v>
      </c>
      <c r="D17" s="16">
        <v>0.57222222222222219</v>
      </c>
      <c r="E17" s="19">
        <v>0.56805555555555598</v>
      </c>
      <c r="F17" s="19">
        <v>0.6333333333333333</v>
      </c>
      <c r="G17" s="20">
        <v>0.47430555555555554</v>
      </c>
      <c r="H17" s="21">
        <v>0.59652777777777777</v>
      </c>
      <c r="I17" s="22">
        <v>0.44097222222222221</v>
      </c>
      <c r="J17" s="22">
        <v>0.42708333333333298</v>
      </c>
    </row>
    <row r="18" spans="2:10" ht="17.25" customHeight="1">
      <c r="B18" s="408" t="s">
        <v>102</v>
      </c>
      <c r="C18" s="330" t="s">
        <v>36</v>
      </c>
      <c r="D18" s="357">
        <f>'0731'!Z15</f>
        <v>0</v>
      </c>
      <c r="E18" s="358">
        <f>'0731'!Z26</f>
        <v>0</v>
      </c>
      <c r="F18" s="358">
        <f>'0731'!Z37</f>
        <v>0</v>
      </c>
      <c r="G18" s="359">
        <f>'0731'!Z48</f>
        <v>0</v>
      </c>
      <c r="H18" s="359">
        <f>'0731'!Z58</f>
        <v>0</v>
      </c>
      <c r="I18" s="358">
        <f>'0731'!Z69</f>
        <v>0</v>
      </c>
      <c r="J18" s="358">
        <f>'0731'!AA79</f>
        <v>0</v>
      </c>
    </row>
    <row r="19" spans="2:10" ht="17.25" customHeight="1">
      <c r="B19" s="409"/>
      <c r="C19" s="330" t="s">
        <v>37</v>
      </c>
      <c r="D19" s="357">
        <f>'0731'!AA15</f>
        <v>0</v>
      </c>
      <c r="E19" s="358">
        <f>'0731'!AA26</f>
        <v>0</v>
      </c>
      <c r="F19" s="358">
        <f>'0731'!AA37</f>
        <v>0</v>
      </c>
      <c r="G19" s="359">
        <f>'0731'!AA48</f>
        <v>0</v>
      </c>
      <c r="H19" s="359">
        <f>'0731'!AA58</f>
        <v>0</v>
      </c>
      <c r="I19" s="358">
        <f>'0731'!AA69</f>
        <v>0</v>
      </c>
      <c r="J19" s="358">
        <f>'0731'!AB79</f>
        <v>0</v>
      </c>
    </row>
    <row r="20" spans="2:10" ht="17.25" customHeight="1">
      <c r="B20" s="408" t="s">
        <v>103</v>
      </c>
      <c r="C20" s="330" t="s">
        <v>36</v>
      </c>
      <c r="D20" s="357">
        <f>'0731'!AD15</f>
        <v>0</v>
      </c>
      <c r="E20" s="358">
        <f>'0731'!AD26</f>
        <v>0</v>
      </c>
      <c r="F20" s="358">
        <f>'0731'!AD37</f>
        <v>0</v>
      </c>
      <c r="G20" s="359">
        <f>'0731'!AD48</f>
        <v>0</v>
      </c>
      <c r="H20" s="359">
        <f>'0731'!AD58</f>
        <v>0</v>
      </c>
      <c r="I20" s="358">
        <f>'0731'!AD69</f>
        <v>0</v>
      </c>
      <c r="J20" s="358">
        <f>'0731'!AD79</f>
        <v>0</v>
      </c>
    </row>
    <row r="21" spans="2:10" ht="17.25" customHeight="1">
      <c r="B21" s="409"/>
      <c r="C21" s="330" t="s">
        <v>85</v>
      </c>
      <c r="D21" s="357">
        <f>'0731'!AE15</f>
        <v>0</v>
      </c>
      <c r="E21" s="358">
        <f>'0731'!AE26</f>
        <v>0</v>
      </c>
      <c r="F21" s="358">
        <f>'0731'!AE37</f>
        <v>0</v>
      </c>
      <c r="G21" s="359">
        <f>'0731'!AE48</f>
        <v>0</v>
      </c>
      <c r="H21" s="359">
        <f>'0731'!AE58</f>
        <v>0</v>
      </c>
      <c r="I21" s="358">
        <f>'0731'!AE69</f>
        <v>0</v>
      </c>
      <c r="J21" s="358">
        <f>'0731'!AE79</f>
        <v>0</v>
      </c>
    </row>
    <row r="22" spans="2:10" ht="17.25" customHeight="1">
      <c r="B22" s="392" t="s">
        <v>104</v>
      </c>
      <c r="C22" s="393"/>
      <c r="D22" s="23">
        <f>VALUE('0731'!M15)</f>
        <v>15.75</v>
      </c>
      <c r="E22" s="23">
        <f>VALUE('0731'!M26)</f>
        <v>12.75</v>
      </c>
      <c r="F22" s="23">
        <f>VALUE('0731'!M37)</f>
        <v>17.166666666666668</v>
      </c>
      <c r="G22" s="23">
        <f>VALUE('0731'!M48)</f>
        <v>16</v>
      </c>
      <c r="H22" s="23">
        <f>VALUE('0731'!M58)</f>
        <v>16.5</v>
      </c>
      <c r="I22" s="23">
        <f>VALUE('0731'!M69)</f>
        <v>12.333333333333334</v>
      </c>
      <c r="J22" s="23">
        <f>'0731'!M79</f>
        <v>11.5</v>
      </c>
    </row>
    <row r="23" spans="2:10" ht="17.25" customHeight="1">
      <c r="B23" s="392" t="s">
        <v>105</v>
      </c>
      <c r="C23" s="393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2" t="s">
        <v>109</v>
      </c>
      <c r="C24" s="393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2" t="s">
        <v>111</v>
      </c>
      <c r="C25" s="393"/>
      <c r="D25" s="25"/>
      <c r="E25" s="25"/>
      <c r="F25" s="25"/>
      <c r="G25" s="25"/>
      <c r="H25" s="25"/>
      <c r="I25" s="25"/>
      <c r="J25" s="25"/>
    </row>
    <row r="26" spans="2:10">
      <c r="B26" s="394"/>
      <c r="C26" s="394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32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J92"/>
  <sheetViews>
    <sheetView zoomScale="75" zoomScaleNormal="75" workbookViewId="0">
      <pane xSplit="5" ySplit="4" topLeftCell="F14" activePane="bottomRight" state="frozen"/>
      <selection activeCell="U61" sqref="U61"/>
      <selection pane="topRight" activeCell="U61" sqref="U61"/>
      <selection pane="bottomLeft" activeCell="U61" sqref="U61"/>
      <selection pane="bottomRight" activeCell="G33" sqref="G3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48186</v>
      </c>
      <c r="F1" s="30" t="s">
        <v>2</v>
      </c>
      <c r="G1" s="31">
        <f>SUM(H5:H79)</f>
        <v>2231027.7200000002</v>
      </c>
      <c r="H1" s="32" t="s">
        <v>3</v>
      </c>
      <c r="I1" s="33">
        <f>M15+M26+M48+M58+M69+M79+M37</f>
        <v>102</v>
      </c>
      <c r="J1" s="417" t="s">
        <v>4</v>
      </c>
      <c r="K1" s="417"/>
      <c r="L1" s="417"/>
      <c r="M1" s="417" t="s">
        <v>5</v>
      </c>
      <c r="N1" s="417"/>
      <c r="O1" s="417"/>
      <c r="P1" s="417" t="s">
        <v>6</v>
      </c>
      <c r="Q1" s="417"/>
      <c r="R1" s="417"/>
      <c r="S1" s="417"/>
      <c r="T1" s="417" t="s">
        <v>7</v>
      </c>
      <c r="U1" s="417"/>
      <c r="V1" s="417"/>
      <c r="W1" s="417"/>
      <c r="X1" s="417"/>
      <c r="Y1" s="417"/>
      <c r="Z1" s="294" t="s">
        <v>8</v>
      </c>
      <c r="AA1" s="294" t="s">
        <v>9</v>
      </c>
      <c r="AB1" s="417" t="s">
        <v>10</v>
      </c>
      <c r="AC1" s="417"/>
      <c r="AD1" s="294" t="s">
        <v>8</v>
      </c>
      <c r="AE1" s="294" t="s">
        <v>11</v>
      </c>
      <c r="AF1" s="417" t="s">
        <v>12</v>
      </c>
      <c r="AG1" s="438"/>
      <c r="AH1" s="438"/>
    </row>
    <row r="2" spans="1:34" ht="23.25">
      <c r="A2" s="418" t="s">
        <v>254</v>
      </c>
      <c r="B2" s="418"/>
      <c r="C2" s="28"/>
      <c r="D2" s="28" t="s">
        <v>14</v>
      </c>
      <c r="E2" s="35">
        <f>AVERAGE(O15,O26,O37,O48,O58,O69,O79)</f>
        <v>114.69966420804997</v>
      </c>
      <c r="F2" s="36" t="s">
        <v>15</v>
      </c>
      <c r="G2" s="37">
        <f>G1/E1</f>
        <v>46.300330386419297</v>
      </c>
      <c r="H2" s="32" t="s">
        <v>16</v>
      </c>
      <c r="I2" s="32">
        <f>COUNT(I5:I79)</f>
        <v>0</v>
      </c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339">
        <f>Z15+Z26+Z37+Z48+Z58+Z69+Z79</f>
        <v>0</v>
      </c>
      <c r="AA2" s="339">
        <f>AA15+AA26+AA37+AA48+AA58+AA69+AA79</f>
        <v>0</v>
      </c>
      <c r="AB2" s="456"/>
      <c r="AC2" s="456"/>
      <c r="AD2" s="340">
        <f>AD15+AD26+AD37+AD48+AD58+AD69+AD79</f>
        <v>0</v>
      </c>
      <c r="AE2" s="340">
        <f>AE15+AE26+AE37+AE48+AE58+AE69+AE79</f>
        <v>0</v>
      </c>
      <c r="AF2" s="438"/>
      <c r="AG2" s="438"/>
      <c r="AH2" s="438"/>
    </row>
    <row r="3" spans="1:34" ht="32.1" customHeight="1">
      <c r="A3" s="419" t="s">
        <v>17</v>
      </c>
      <c r="B3" s="419" t="s">
        <v>18</v>
      </c>
      <c r="C3" s="30"/>
      <c r="D3" s="419" t="s">
        <v>19</v>
      </c>
      <c r="E3" s="419"/>
      <c r="F3" s="421" t="s">
        <v>20</v>
      </c>
      <c r="G3" s="431" t="s">
        <v>21</v>
      </c>
      <c r="H3" s="421" t="s">
        <v>22</v>
      </c>
      <c r="I3" s="434" t="s">
        <v>23</v>
      </c>
      <c r="J3" s="436" t="s">
        <v>24</v>
      </c>
      <c r="K3" s="427" t="s">
        <v>25</v>
      </c>
      <c r="L3" s="429" t="s">
        <v>14</v>
      </c>
      <c r="M3" s="431" t="s">
        <v>24</v>
      </c>
      <c r="N3" s="427" t="s">
        <v>25</v>
      </c>
      <c r="O3" s="429" t="s">
        <v>14</v>
      </c>
      <c r="P3" s="436" t="s">
        <v>24</v>
      </c>
      <c r="Q3" s="429" t="s">
        <v>14</v>
      </c>
      <c r="R3" s="439" t="s">
        <v>26</v>
      </c>
      <c r="S3" s="441" t="s">
        <v>27</v>
      </c>
      <c r="T3" s="431" t="s">
        <v>28</v>
      </c>
      <c r="U3" s="431"/>
      <c r="V3" s="454" t="s">
        <v>29</v>
      </c>
      <c r="W3" s="434" t="s">
        <v>30</v>
      </c>
      <c r="X3" s="431" t="s">
        <v>31</v>
      </c>
      <c r="Y3" s="455"/>
      <c r="Z3" s="448" t="s">
        <v>32</v>
      </c>
      <c r="AA3" s="449"/>
      <c r="AB3" s="443"/>
      <c r="AC3" s="444"/>
      <c r="AD3" s="448" t="s">
        <v>33</v>
      </c>
      <c r="AE3" s="449"/>
      <c r="AF3" s="446" t="s">
        <v>25</v>
      </c>
      <c r="AG3" s="450" t="s">
        <v>26</v>
      </c>
      <c r="AH3" s="452" t="s">
        <v>27</v>
      </c>
    </row>
    <row r="4" spans="1:34" ht="16.5" thickBot="1">
      <c r="A4" s="420"/>
      <c r="B4" s="420"/>
      <c r="C4" s="38"/>
      <c r="D4" s="420"/>
      <c r="E4" s="420"/>
      <c r="F4" s="422"/>
      <c r="G4" s="432"/>
      <c r="H4" s="422"/>
      <c r="I4" s="435"/>
      <c r="J4" s="437"/>
      <c r="K4" s="428"/>
      <c r="L4" s="430"/>
      <c r="M4" s="432"/>
      <c r="N4" s="428"/>
      <c r="O4" s="430"/>
      <c r="P4" s="437"/>
      <c r="Q4" s="430"/>
      <c r="R4" s="440"/>
      <c r="S4" s="442"/>
      <c r="T4" s="342" t="s">
        <v>34</v>
      </c>
      <c r="U4" s="342" t="s">
        <v>35</v>
      </c>
      <c r="V4" s="432"/>
      <c r="W4" s="435"/>
      <c r="X4" s="341" t="s">
        <v>34</v>
      </c>
      <c r="Y4" s="343" t="s">
        <v>35</v>
      </c>
      <c r="Z4" s="344" t="s">
        <v>36</v>
      </c>
      <c r="AA4" s="344" t="s">
        <v>37</v>
      </c>
      <c r="AB4" s="445"/>
      <c r="AC4" s="445"/>
      <c r="AD4" s="344" t="s">
        <v>38</v>
      </c>
      <c r="AE4" s="344" t="s">
        <v>39</v>
      </c>
      <c r="AF4" s="447"/>
      <c r="AG4" s="451"/>
      <c r="AH4" s="453"/>
    </row>
    <row r="5" spans="1:34" ht="15" customHeight="1">
      <c r="A5" s="42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1478</v>
      </c>
      <c r="H5" s="43">
        <f>F5*G5</f>
        <v>74890.260000000009</v>
      </c>
      <c r="I5" s="44"/>
      <c r="J5" s="45"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2015.4545454545162</v>
      </c>
      <c r="O5" s="47">
        <f>N5/M5</f>
        <v>118.55614973261859</v>
      </c>
      <c r="P5" s="49">
        <f>M5-J5</f>
        <v>0</v>
      </c>
      <c r="Q5" s="50">
        <f>O5-L5</f>
        <v>-13.796791443851987</v>
      </c>
      <c r="R5" s="51">
        <f>O5/L5</f>
        <v>0.89575757575756276</v>
      </c>
      <c r="S5" s="412">
        <f>R15</f>
        <v>0.90538738837687505</v>
      </c>
      <c r="T5" s="319">
        <v>0.29375000000000001</v>
      </c>
      <c r="U5" s="320">
        <v>0.32430555555555601</v>
      </c>
      <c r="V5" s="53"/>
      <c r="W5" s="54">
        <f t="shared" ref="W5:W14" si="0">(U5-T5)*24*60</f>
        <v>44.000000000000639</v>
      </c>
      <c r="X5" s="55"/>
      <c r="Y5" s="290"/>
      <c r="Z5" s="169"/>
      <c r="AA5" s="169"/>
      <c r="AB5" s="464"/>
      <c r="AC5" s="464"/>
      <c r="AD5" s="135"/>
      <c r="AE5" s="135"/>
      <c r="AF5" s="229">
        <f t="shared" ref="AF5:AF11" si="1">N5-K5</f>
        <v>-234.54545454548384</v>
      </c>
      <c r="AG5" s="52">
        <f t="shared" ref="AG5:AG11" si="2">N5/K5</f>
        <v>0.89575757575756276</v>
      </c>
      <c r="AH5" s="457">
        <f>AG15</f>
        <v>0.90383930621090991</v>
      </c>
    </row>
    <row r="6" spans="1:34" ht="15" customHeight="1">
      <c r="A6" s="42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1220</v>
      </c>
      <c r="H6" s="63">
        <f>F6*G6</f>
        <v>70967.400000000009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1926.3157894736751</v>
      </c>
      <c r="O6" s="67">
        <f>N6/M6</f>
        <v>137.59398496240536</v>
      </c>
      <c r="P6" s="69">
        <f>M6-J6</f>
        <v>0</v>
      </c>
      <c r="Q6" s="70">
        <f>O6-L6</f>
        <v>-23.120300751880364</v>
      </c>
      <c r="R6" s="71">
        <f>O6/L6</f>
        <v>0.85614035087718887</v>
      </c>
      <c r="S6" s="413"/>
      <c r="T6" s="16">
        <v>0.33194444444444399</v>
      </c>
      <c r="U6" s="16">
        <v>0.358333333333333</v>
      </c>
      <c r="V6" s="30">
        <f>(T6-U5)*24*60</f>
        <v>10.999999999998682</v>
      </c>
      <c r="W6" s="73">
        <f t="shared" si="0"/>
        <v>38.000000000000185</v>
      </c>
      <c r="X6" s="22"/>
      <c r="Y6" s="84"/>
      <c r="Z6" s="90"/>
      <c r="AA6" s="90"/>
      <c r="AB6" s="461"/>
      <c r="AC6" s="461"/>
      <c r="AD6" s="149"/>
      <c r="AE6" s="149"/>
      <c r="AF6" s="307">
        <f t="shared" si="1"/>
        <v>-323.68421052632493</v>
      </c>
      <c r="AG6" s="72">
        <f t="shared" si="2"/>
        <v>0.85614035087718887</v>
      </c>
      <c r="AH6" s="458"/>
    </row>
    <row r="7" spans="1:34" ht="15" customHeight="1">
      <c r="A7" s="42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5055</v>
      </c>
      <c r="H7" s="78">
        <f>F7*G7</f>
        <v>248402.7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2197.8260869565056</v>
      </c>
      <c r="O7" s="81">
        <f>N7/M7</f>
        <v>156.98757763975041</v>
      </c>
      <c r="P7" s="74">
        <f>M7-J7</f>
        <v>0</v>
      </c>
      <c r="Q7" s="83">
        <f>O7-L7</f>
        <v>-3.7267080745353098</v>
      </c>
      <c r="R7" s="72">
        <f>O7/L7</f>
        <v>0.97681159420289143</v>
      </c>
      <c r="S7" s="413"/>
      <c r="T7" s="18">
        <v>0.36597222222222198</v>
      </c>
      <c r="U7" s="18">
        <v>0.46180555555555602</v>
      </c>
      <c r="V7" s="30">
        <f>(T7-U6)*24*60</f>
        <v>11.000000000000121</v>
      </c>
      <c r="W7" s="73">
        <f t="shared" si="0"/>
        <v>138.00000000000102</v>
      </c>
      <c r="X7" s="22"/>
      <c r="Y7" s="84"/>
      <c r="Z7" s="90"/>
      <c r="AA7" s="90"/>
      <c r="AB7" s="462"/>
      <c r="AC7" s="462"/>
      <c r="AD7" s="92"/>
      <c r="AE7" s="92"/>
      <c r="AF7" s="307">
        <f t="shared" si="1"/>
        <v>-52.173913043494395</v>
      </c>
      <c r="AG7" s="72">
        <f t="shared" si="2"/>
        <v>0.97681159420289143</v>
      </c>
      <c r="AH7" s="458"/>
    </row>
    <row r="8" spans="1:34" ht="15" customHeight="1">
      <c r="A8" s="424"/>
      <c r="B8" s="75" t="s">
        <v>128</v>
      </c>
      <c r="C8" s="76"/>
      <c r="D8" s="59" t="s">
        <v>131</v>
      </c>
      <c r="E8" s="77"/>
      <c r="F8" s="75">
        <f>VLOOKUP(D8,廠價表!$C$1:$E$43,3,0)</f>
        <v>44.3</v>
      </c>
      <c r="G8" s="66">
        <v>1392</v>
      </c>
      <c r="H8" s="78">
        <f>F8*G8</f>
        <v>61665.599999999999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18</v>
      </c>
      <c r="N8" s="80">
        <f>G8/W8*60</f>
        <v>1439.9999999999934</v>
      </c>
      <c r="O8" s="81">
        <f>N8/M8</f>
        <v>79.999999999999631</v>
      </c>
      <c r="P8" s="74">
        <f>M8-J8</f>
        <v>0</v>
      </c>
      <c r="Q8" s="83">
        <f>O8-L8</f>
        <v>-10.888888888889255</v>
      </c>
      <c r="R8" s="72">
        <f>O8/L8</f>
        <v>0.88019559902200084</v>
      </c>
      <c r="S8" s="413"/>
      <c r="T8" s="16">
        <v>0.531944444444444</v>
      </c>
      <c r="U8" s="16">
        <v>0.57222222222222197</v>
      </c>
      <c r="V8" s="30">
        <f>(T8-U7)*24*60</f>
        <v>100.99999999999868</v>
      </c>
      <c r="W8" s="73">
        <f t="shared" si="0"/>
        <v>58.00000000000027</v>
      </c>
      <c r="X8" s="22">
        <v>0.48611111111111099</v>
      </c>
      <c r="Y8" s="84">
        <v>0.52777777777777801</v>
      </c>
      <c r="Z8" s="90"/>
      <c r="AA8" s="90"/>
      <c r="AB8" s="461"/>
      <c r="AC8" s="461"/>
      <c r="AD8" s="149"/>
      <c r="AE8" s="149"/>
      <c r="AF8" s="307">
        <f t="shared" si="1"/>
        <v>-196.00000000000659</v>
      </c>
      <c r="AG8" s="72">
        <f t="shared" si="2"/>
        <v>0.88019559902200084</v>
      </c>
      <c r="AH8" s="458"/>
    </row>
    <row r="9" spans="1:34" ht="15" customHeight="1">
      <c r="A9" s="42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1"/>
      <c r="AC9" s="461"/>
      <c r="AD9" s="149"/>
      <c r="AE9" s="149"/>
      <c r="AF9" s="307">
        <f t="shared" si="1"/>
        <v>0</v>
      </c>
      <c r="AG9" s="72" t="e">
        <f t="shared" si="2"/>
        <v>#DIV/0!</v>
      </c>
      <c r="AH9" s="459"/>
    </row>
    <row r="10" spans="1:34" ht="15" customHeight="1">
      <c r="A10" s="42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2"/>
      <c r="AC10" s="462"/>
      <c r="AD10" s="92"/>
      <c r="AE10" s="92"/>
      <c r="AF10" s="307">
        <f t="shared" si="1"/>
        <v>0</v>
      </c>
      <c r="AG10" s="72" t="e">
        <f t="shared" si="2"/>
        <v>#DIV/0!</v>
      </c>
      <c r="AH10" s="459"/>
    </row>
    <row r="11" spans="1:34" ht="15" customHeight="1">
      <c r="A11" s="42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1"/>
      <c r="AC11" s="461"/>
      <c r="AD11" s="149"/>
      <c r="AE11" s="149"/>
      <c r="AF11" s="307">
        <f t="shared" si="1"/>
        <v>0</v>
      </c>
      <c r="AG11" s="72" t="e">
        <f t="shared" si="2"/>
        <v>#DIV/0!</v>
      </c>
      <c r="AH11" s="459"/>
    </row>
    <row r="12" spans="1:34" ht="15" customHeight="1">
      <c r="A12" s="42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1"/>
      <c r="AC12" s="461"/>
      <c r="AD12" s="149"/>
      <c r="AE12" s="149"/>
      <c r="AF12" s="308"/>
      <c r="AG12" s="85"/>
      <c r="AH12" s="459"/>
    </row>
    <row r="13" spans="1:34" ht="15" customHeight="1">
      <c r="A13" s="42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5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2"/>
      <c r="AC13" s="462"/>
      <c r="AD13" s="92"/>
      <c r="AE13" s="92"/>
      <c r="AF13" s="308"/>
      <c r="AG13" s="85"/>
      <c r="AH13" s="459"/>
    </row>
    <row r="14" spans="1:34" ht="15" customHeight="1">
      <c r="A14" s="42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2"/>
      <c r="AC14" s="462"/>
      <c r="AD14" s="92"/>
      <c r="AE14" s="92"/>
      <c r="AF14" s="308"/>
      <c r="AG14" s="85"/>
      <c r="AH14" s="459"/>
    </row>
    <row r="15" spans="1:34" ht="15" customHeight="1" thickBot="1">
      <c r="A15" s="426"/>
      <c r="B15" s="115"/>
      <c r="C15" s="115" t="s">
        <v>41</v>
      </c>
      <c r="D15" s="433" t="s">
        <v>42</v>
      </c>
      <c r="E15" s="433"/>
      <c r="F15" s="116"/>
      <c r="G15" s="117"/>
      <c r="H15" s="118"/>
      <c r="I15" s="119"/>
      <c r="J15" s="120">
        <f t="shared" ref="J15:O15" si="3">AVERAGE(J5:J14)</f>
        <v>15.75</v>
      </c>
      <c r="K15" s="120">
        <f t="shared" si="3"/>
        <v>2096.5</v>
      </c>
      <c r="L15" s="117">
        <f t="shared" si="3"/>
        <v>136.16760037348271</v>
      </c>
      <c r="M15" s="120">
        <f t="shared" si="3"/>
        <v>15.75</v>
      </c>
      <c r="N15" s="120">
        <f t="shared" si="3"/>
        <v>1894.8991054711726</v>
      </c>
      <c r="O15" s="117">
        <f t="shared" si="3"/>
        <v>123.28442808369351</v>
      </c>
      <c r="P15" s="121">
        <f>M15-J15</f>
        <v>0</v>
      </c>
      <c r="Q15" s="122">
        <f>O15-L15</f>
        <v>-12.883172289789201</v>
      </c>
      <c r="R15" s="123">
        <f>O15/L15</f>
        <v>0.90538738837687505</v>
      </c>
      <c r="S15" s="41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3"/>
      <c r="AC15" s="463"/>
      <c r="AD15" s="323">
        <f>SUM(AD5:AD14)</f>
        <v>0</v>
      </c>
      <c r="AE15" s="323">
        <f>SUM(AE5:AE14)</f>
        <v>0</v>
      </c>
      <c r="AF15" s="309">
        <f>N15-K15</f>
        <v>-201.60089452882744</v>
      </c>
      <c r="AG15" s="124">
        <f>N15/K15</f>
        <v>0.90383930621090991</v>
      </c>
      <c r="AH15" s="460"/>
    </row>
    <row r="16" spans="1:34" ht="15" customHeight="1">
      <c r="A16" s="474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3085</v>
      </c>
      <c r="H16" s="134">
        <f>F16*G16</f>
        <v>156316.95000000001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2177.6470588235597</v>
      </c>
      <c r="O16" s="141">
        <f>N16/M16</f>
        <v>167.51131221719692</v>
      </c>
      <c r="P16" s="142">
        <f>M16-J16</f>
        <v>0</v>
      </c>
      <c r="Q16" s="143">
        <f>O16-L16</f>
        <v>-5.5656108597261493</v>
      </c>
      <c r="R16" s="144">
        <f>O16/L16</f>
        <v>0.96784313725491555</v>
      </c>
      <c r="S16" s="468">
        <f>R26</f>
        <v>0.93510821974419811</v>
      </c>
      <c r="T16" s="145">
        <v>0.29166666666666702</v>
      </c>
      <c r="U16" s="145">
        <v>0.35069444444444398</v>
      </c>
      <c r="V16" s="135"/>
      <c r="W16" s="146">
        <f t="shared" ref="W16:W78" si="4">(U16-T16)*24*60</f>
        <v>84.99999999999882</v>
      </c>
      <c r="X16" s="141"/>
      <c r="Y16" s="296"/>
      <c r="Z16" s="169"/>
      <c r="AA16" s="169"/>
      <c r="AB16" s="464"/>
      <c r="AC16" s="464"/>
      <c r="AD16" s="135"/>
      <c r="AE16" s="135"/>
      <c r="AF16" s="229">
        <f>N16-K16</f>
        <v>-72.352941176440254</v>
      </c>
      <c r="AG16" s="52">
        <f>N16/K16</f>
        <v>0.96784313725491544</v>
      </c>
      <c r="AH16" s="457">
        <f>AG26</f>
        <v>0.93777563354667448</v>
      </c>
    </row>
    <row r="17" spans="1:34" ht="15" customHeight="1">
      <c r="A17" s="475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2344</v>
      </c>
      <c r="H17" s="78">
        <f>F17*G17</f>
        <v>133303.28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2232.3809523809518</v>
      </c>
      <c r="O17" s="96">
        <f>N17/M17</f>
        <v>159.45578231292512</v>
      </c>
      <c r="P17" s="97">
        <f>M17-J17</f>
        <v>0</v>
      </c>
      <c r="Q17" s="98">
        <f>O17-L17</f>
        <v>-1.2585034013605991</v>
      </c>
      <c r="R17" s="99">
        <f>O17/L17</f>
        <v>0.99216931216931181</v>
      </c>
      <c r="S17" s="469"/>
      <c r="T17" s="19">
        <v>0.360416666666667</v>
      </c>
      <c r="U17" s="19">
        <v>0.40416666666666701</v>
      </c>
      <c r="V17" s="30">
        <f>(T17-U16)*24*60</f>
        <v>14.000000000001149</v>
      </c>
      <c r="W17" s="149">
        <f t="shared" si="4"/>
        <v>63.000000000000014</v>
      </c>
      <c r="X17" s="19"/>
      <c r="Y17" s="297"/>
      <c r="Z17" s="90"/>
      <c r="AA17" s="90"/>
      <c r="AB17" s="462"/>
      <c r="AC17" s="462"/>
      <c r="AD17" s="92"/>
      <c r="AE17" s="92"/>
      <c r="AF17" s="307">
        <f>N17-K17</f>
        <v>-17.61904761904816</v>
      </c>
      <c r="AG17" s="72">
        <f>N17/K17</f>
        <v>0.99216931216931192</v>
      </c>
      <c r="AH17" s="458"/>
    </row>
    <row r="18" spans="1:34" ht="15" customHeight="1">
      <c r="A18" s="475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2926</v>
      </c>
      <c r="H18" s="78">
        <f>F18*G18</f>
        <v>147441.14000000001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1972.5842696629388</v>
      </c>
      <c r="O18" s="96">
        <f>N18/M18</f>
        <v>164.38202247191157</v>
      </c>
      <c r="P18" s="97">
        <f>M18-J18</f>
        <v>0</v>
      </c>
      <c r="Q18" s="98">
        <f>O18-L18</f>
        <v>-23.117977528088431</v>
      </c>
      <c r="R18" s="99">
        <f>O18/L18</f>
        <v>0.87670411985019503</v>
      </c>
      <c r="S18" s="469"/>
      <c r="T18" s="19">
        <v>0.41180555555555598</v>
      </c>
      <c r="U18" s="19">
        <v>0.47361111111111098</v>
      </c>
      <c r="V18" s="30">
        <f>(T18-U17)*24*60</f>
        <v>11.000000000000121</v>
      </c>
      <c r="W18" s="149">
        <f t="shared" si="4"/>
        <v>88.999999999999204</v>
      </c>
      <c r="X18" s="22">
        <v>0.48611111111111099</v>
      </c>
      <c r="Y18" s="84">
        <v>0.52777777777777801</v>
      </c>
      <c r="Z18" s="90"/>
      <c r="AA18" s="90"/>
      <c r="AB18" s="462"/>
      <c r="AC18" s="462"/>
      <c r="AD18" s="92"/>
      <c r="AE18" s="92"/>
      <c r="AF18" s="307">
        <f>N18-K18</f>
        <v>-277.41573033706118</v>
      </c>
      <c r="AG18" s="72">
        <f>N18/K18</f>
        <v>0.87670411985019503</v>
      </c>
      <c r="AH18" s="458"/>
    </row>
    <row r="19" spans="1:34" ht="15" customHeight="1">
      <c r="A19" s="475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1303</v>
      </c>
      <c r="H19" s="78">
        <f>F19*G19</f>
        <v>65658.17</v>
      </c>
      <c r="I19" s="30"/>
      <c r="J19" s="79"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2057.3684210526212</v>
      </c>
      <c r="O19" s="96">
        <f>N19/M19</f>
        <v>171.44736842105178</v>
      </c>
      <c r="P19" s="97">
        <f>M19-J19</f>
        <v>0</v>
      </c>
      <c r="Q19" s="98">
        <f>O19-L19</f>
        <v>-16.052631578948223</v>
      </c>
      <c r="R19" s="99">
        <f>O19/L19</f>
        <v>0.91438596491227619</v>
      </c>
      <c r="S19" s="469"/>
      <c r="T19" s="19">
        <v>0.54166666666666696</v>
      </c>
      <c r="U19" s="19">
        <v>0.56805555555555598</v>
      </c>
      <c r="V19" s="30">
        <f>(T19-U18)*24*60</f>
        <v>98.000000000000611</v>
      </c>
      <c r="W19" s="149">
        <f t="shared" si="4"/>
        <v>38.000000000000185</v>
      </c>
      <c r="X19" s="22"/>
      <c r="Y19" s="84"/>
      <c r="Z19" s="90"/>
      <c r="AA19" s="90"/>
      <c r="AB19" s="461"/>
      <c r="AC19" s="461"/>
      <c r="AD19" s="149"/>
      <c r="AE19" s="149"/>
      <c r="AF19" s="307">
        <f>N19-K19</f>
        <v>-192.63157894737878</v>
      </c>
      <c r="AG19" s="72">
        <f>N19/K19</f>
        <v>0.91438596491227608</v>
      </c>
      <c r="AH19" s="459"/>
    </row>
    <row r="20" spans="1:34" ht="15" customHeight="1">
      <c r="A20" s="475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69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2"/>
      <c r="AC20" s="462"/>
      <c r="AD20" s="92"/>
      <c r="AE20" s="92"/>
      <c r="AF20" s="307"/>
      <c r="AG20" s="72"/>
      <c r="AH20" s="459"/>
    </row>
    <row r="21" spans="1:34" ht="15" customHeight="1">
      <c r="A21" s="476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69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2"/>
      <c r="AC21" s="462"/>
      <c r="AD21" s="92"/>
      <c r="AE21" s="92"/>
      <c r="AF21" s="308"/>
      <c r="AG21" s="85"/>
      <c r="AH21" s="459"/>
    </row>
    <row r="22" spans="1:34" ht="15" customHeight="1">
      <c r="A22" s="476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69"/>
      <c r="T22" s="150"/>
      <c r="U22" s="150"/>
      <c r="V22" s="92"/>
      <c r="W22" s="149">
        <v>0</v>
      </c>
      <c r="X22" s="92"/>
      <c r="Y22" s="298"/>
      <c r="Z22" s="90"/>
      <c r="AA22" s="90"/>
      <c r="AB22" s="462"/>
      <c r="AC22" s="462"/>
      <c r="AD22" s="92"/>
      <c r="AE22" s="92"/>
      <c r="AF22" s="308"/>
      <c r="AG22" s="85"/>
      <c r="AH22" s="459"/>
    </row>
    <row r="23" spans="1:34" ht="15" customHeight="1">
      <c r="A23" s="476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69"/>
      <c r="T23" s="150"/>
      <c r="U23" s="150"/>
      <c r="W23" s="149">
        <f t="shared" si="4"/>
        <v>0</v>
      </c>
      <c r="X23" s="92"/>
      <c r="Y23" s="298"/>
      <c r="Z23" s="90"/>
      <c r="AA23" s="90"/>
      <c r="AB23" s="462"/>
      <c r="AC23" s="462"/>
      <c r="AD23" s="92"/>
      <c r="AE23" s="92"/>
      <c r="AF23" s="308"/>
      <c r="AG23" s="85"/>
      <c r="AH23" s="459"/>
    </row>
    <row r="24" spans="1:34" ht="15" customHeight="1">
      <c r="A24" s="476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69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2"/>
      <c r="AC24" s="462"/>
      <c r="AD24" s="92"/>
      <c r="AE24" s="92"/>
      <c r="AF24" s="308"/>
      <c r="AG24" s="85"/>
      <c r="AH24" s="459"/>
    </row>
    <row r="25" spans="1:34" ht="15" customHeight="1">
      <c r="A25" s="476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69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2"/>
      <c r="AC25" s="462"/>
      <c r="AD25" s="92"/>
      <c r="AE25" s="92"/>
      <c r="AF25" s="308"/>
      <c r="AG25" s="85"/>
      <c r="AH25" s="459"/>
    </row>
    <row r="26" spans="1:34" ht="15" customHeight="1" thickBot="1">
      <c r="A26" s="477"/>
      <c r="B26" s="152"/>
      <c r="C26" s="153" t="s">
        <v>44</v>
      </c>
      <c r="D26" s="433" t="s">
        <v>42</v>
      </c>
      <c r="E26" s="433"/>
      <c r="F26" s="154"/>
      <c r="G26" s="155"/>
      <c r="H26" s="156"/>
      <c r="I26" s="157"/>
      <c r="J26" s="155">
        <f t="shared" ref="J26:O26" si="5">AVERAGE(J16:J25)</f>
        <v>12.75</v>
      </c>
      <c r="K26" s="155">
        <f t="shared" si="5"/>
        <v>2250</v>
      </c>
      <c r="L26" s="158">
        <f t="shared" si="5"/>
        <v>177.19780219780219</v>
      </c>
      <c r="M26" s="155">
        <f t="shared" si="5"/>
        <v>12.75</v>
      </c>
      <c r="N26" s="155">
        <f t="shared" si="5"/>
        <v>2109.9951754800177</v>
      </c>
      <c r="O26" s="158">
        <f t="shared" si="5"/>
        <v>165.69912135577135</v>
      </c>
      <c r="P26" s="159">
        <f>M26-J26</f>
        <v>0</v>
      </c>
      <c r="Q26" s="160">
        <f>O26-L26</f>
        <v>-11.498680842030836</v>
      </c>
      <c r="R26" s="161">
        <f>O26/L26</f>
        <v>0.93510821974419811</v>
      </c>
      <c r="S26" s="470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3"/>
      <c r="AC26" s="463"/>
      <c r="AD26" s="323">
        <f>SUM(AD16:AD25)</f>
        <v>0</v>
      </c>
      <c r="AE26" s="323">
        <f>SUM(AE16:AE25)</f>
        <v>0</v>
      </c>
      <c r="AF26" s="309">
        <f t="shared" ref="AF26:AF31" si="6">N26-K26</f>
        <v>-140.00482451998232</v>
      </c>
      <c r="AG26" s="124">
        <f t="shared" ref="AG26:AG31" si="7">N26/K26</f>
        <v>0.93777563354667448</v>
      </c>
      <c r="AH26" s="460"/>
    </row>
    <row r="27" spans="1:34" ht="15" customHeight="1">
      <c r="A27" s="465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1464</v>
      </c>
      <c r="H27" s="134">
        <f>F27*G27</f>
        <v>67841.760000000009</v>
      </c>
      <c r="I27" s="135"/>
      <c r="J27" s="136">
        <f>VLOOKUP(D27,產線配置圖!$A$3:$C$40,2,0)</f>
        <v>16</v>
      </c>
      <c r="K27" s="137">
        <v>1636</v>
      </c>
      <c r="L27" s="138">
        <f>K27/J27</f>
        <v>102.25</v>
      </c>
      <c r="M27" s="170">
        <v>16</v>
      </c>
      <c r="N27" s="140">
        <f>G27/W27*60</f>
        <v>1541.0526315789616</v>
      </c>
      <c r="O27" s="141">
        <f>N27/M27</f>
        <v>96.315789473685101</v>
      </c>
      <c r="P27" s="142">
        <f>M27-J27</f>
        <v>0</v>
      </c>
      <c r="Q27" s="143">
        <f>O27-L27</f>
        <v>-5.9342105263148994</v>
      </c>
      <c r="R27" s="144">
        <f>O27/L27</f>
        <v>0.94196371123408407</v>
      </c>
      <c r="S27" s="468">
        <f>R37</f>
        <v>0.90019791705957775</v>
      </c>
      <c r="T27" s="171">
        <v>0.29166666666666702</v>
      </c>
      <c r="U27" s="171">
        <v>0.33124999999999999</v>
      </c>
      <c r="V27" s="135"/>
      <c r="W27" s="146">
        <f t="shared" si="4"/>
        <v>56.999999999999474</v>
      </c>
      <c r="X27" s="135"/>
      <c r="Y27" s="300" t="s">
        <v>46</v>
      </c>
      <c r="Z27" s="169"/>
      <c r="AA27" s="169"/>
      <c r="AB27" s="464"/>
      <c r="AC27" s="464"/>
      <c r="AD27" s="135"/>
      <c r="AE27" s="135"/>
      <c r="AF27" s="310">
        <f t="shared" si="6"/>
        <v>-94.947368421038391</v>
      </c>
      <c r="AG27" s="172">
        <f t="shared" si="7"/>
        <v>0.94196371123408407</v>
      </c>
      <c r="AH27" s="457">
        <f>AG37</f>
        <v>0.89901048510435755</v>
      </c>
    </row>
    <row r="28" spans="1:34" ht="15" customHeight="1">
      <c r="A28" s="466"/>
      <c r="B28" s="75" t="s">
        <v>81</v>
      </c>
      <c r="C28" s="173"/>
      <c r="D28" s="59" t="s">
        <v>123</v>
      </c>
      <c r="E28" s="104"/>
      <c r="F28" s="75">
        <f>VLOOKUP(D28,廠價表!$C$1:$E$43,3,0)</f>
        <v>45.66</v>
      </c>
      <c r="G28" s="90">
        <v>1162</v>
      </c>
      <c r="H28" s="91">
        <f>F28*G28</f>
        <v>53056.92</v>
      </c>
      <c r="I28" s="92"/>
      <c r="J28" s="79">
        <f>VLOOKUP(D28,產線配置圖!$A$3:$C$40,2,0)</f>
        <v>17</v>
      </c>
      <c r="K28" s="80">
        <v>1636</v>
      </c>
      <c r="L28" s="93">
        <f>K28/J28</f>
        <v>96.235294117647058</v>
      </c>
      <c r="M28" s="94">
        <v>17</v>
      </c>
      <c r="N28" s="95">
        <f>G28/W28*60</f>
        <v>1549.3333333333335</v>
      </c>
      <c r="O28" s="96">
        <f>N28/M28</f>
        <v>91.137254901960787</v>
      </c>
      <c r="P28" s="97">
        <f>M28-J28</f>
        <v>0</v>
      </c>
      <c r="Q28" s="98">
        <f>O28-L28</f>
        <v>-5.0980392156862706</v>
      </c>
      <c r="R28" s="99">
        <f>O28/L28</f>
        <v>0.94702526487367567</v>
      </c>
      <c r="S28" s="469"/>
      <c r="T28" s="19">
        <v>0.33680555555555558</v>
      </c>
      <c r="U28" s="19">
        <v>0.36805555555555558</v>
      </c>
      <c r="V28" s="92">
        <f>(T28-U27)*24*60</f>
        <v>8.0000000000000515</v>
      </c>
      <c r="W28" s="149">
        <f t="shared" si="4"/>
        <v>45</v>
      </c>
      <c r="X28" s="174"/>
      <c r="Y28" s="301"/>
      <c r="Z28" s="335"/>
      <c r="AA28" s="335"/>
      <c r="AB28" s="462"/>
      <c r="AC28" s="462"/>
      <c r="AD28" s="92"/>
      <c r="AE28" s="92"/>
      <c r="AF28" s="311">
        <f t="shared" si="6"/>
        <v>-86.666666666666515</v>
      </c>
      <c r="AG28" s="99">
        <f t="shared" si="7"/>
        <v>0.94702526487367578</v>
      </c>
      <c r="AH28" s="478"/>
    </row>
    <row r="29" spans="1:34" ht="15" customHeight="1">
      <c r="A29" s="466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951</v>
      </c>
      <c r="H29" s="91">
        <f>F29*G29</f>
        <v>54406.71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1501.5789473683947</v>
      </c>
      <c r="O29" s="96">
        <f>N29/M29</f>
        <v>83.421052631577481</v>
      </c>
      <c r="P29" s="97">
        <f>M29-J29</f>
        <v>0</v>
      </c>
      <c r="Q29" s="98">
        <f>O29-L29</f>
        <v>-7.4678362573114043</v>
      </c>
      <c r="R29" s="99">
        <f>O29/L29</f>
        <v>0.91783554240121923</v>
      </c>
      <c r="S29" s="469"/>
      <c r="T29" s="19">
        <v>0.37291666666666667</v>
      </c>
      <c r="U29" s="19">
        <v>0.39930555555555602</v>
      </c>
      <c r="V29" s="92">
        <f>(T29-U28)*24*60</f>
        <v>6.9999999999999751</v>
      </c>
      <c r="W29" s="149">
        <f t="shared" si="4"/>
        <v>38.000000000000668</v>
      </c>
      <c r="X29" s="22"/>
      <c r="Y29" s="84"/>
      <c r="Z29" s="90"/>
      <c r="AA29" s="90"/>
      <c r="AB29" s="462"/>
      <c r="AC29" s="462"/>
      <c r="AD29" s="92"/>
      <c r="AE29" s="92"/>
      <c r="AF29" s="312">
        <f t="shared" si="6"/>
        <v>-134.42105263160533</v>
      </c>
      <c r="AG29" s="99">
        <f t="shared" si="7"/>
        <v>0.91783554240121923</v>
      </c>
      <c r="AH29" s="478"/>
    </row>
    <row r="30" spans="1:34" ht="15" customHeight="1">
      <c r="A30" s="466"/>
      <c r="B30" s="75" t="s">
        <v>81</v>
      </c>
      <c r="C30" s="88"/>
      <c r="D30" s="59" t="s">
        <v>196</v>
      </c>
      <c r="E30" s="89"/>
      <c r="F30" s="75">
        <f>VLOOKUP(D30,廠價表!$C$1:$E$43,3,0)</f>
        <v>49.91</v>
      </c>
      <c r="G30" s="90">
        <v>2079</v>
      </c>
      <c r="H30" s="91">
        <f t="shared" ref="H30:H32" si="8">F30*G30</f>
        <v>103762.89</v>
      </c>
      <c r="I30" s="92"/>
      <c r="J30" s="79">
        <v>18</v>
      </c>
      <c r="K30" s="80">
        <v>1800</v>
      </c>
      <c r="L30" s="93">
        <f t="shared" ref="L30:L32" si="9">K30/J30</f>
        <v>100</v>
      </c>
      <c r="M30" s="94">
        <v>18</v>
      </c>
      <c r="N30" s="95">
        <f t="shared" ref="N30:N32" si="10">G30/W30*60</f>
        <v>1502.8915662650568</v>
      </c>
      <c r="O30" s="96">
        <f t="shared" ref="O30:O32" si="11">N30/M30</f>
        <v>83.49397590361427</v>
      </c>
      <c r="P30" s="97">
        <f t="shared" ref="P30:P32" si="12">M30-J30</f>
        <v>0</v>
      </c>
      <c r="Q30" s="98">
        <f t="shared" ref="Q30:Q32" si="13">O30-L30</f>
        <v>-16.50602409638573</v>
      </c>
      <c r="R30" s="99">
        <f t="shared" ref="R30:R32" si="14">O30/L30</f>
        <v>0.8349397590361427</v>
      </c>
      <c r="S30" s="469"/>
      <c r="T30" s="19">
        <v>0.40416666666666701</v>
      </c>
      <c r="U30" s="19">
        <v>0.46180555555555602</v>
      </c>
      <c r="V30" s="92">
        <f t="shared" ref="V30:V32" si="15">(T30-U29)*24*60</f>
        <v>6.9999999999998153</v>
      </c>
      <c r="W30" s="149">
        <f t="shared" si="4"/>
        <v>83.000000000000185</v>
      </c>
      <c r="X30" s="174">
        <v>0.49652777777777801</v>
      </c>
      <c r="Y30" s="301">
        <v>0.53819444444444398</v>
      </c>
      <c r="Z30" s="335"/>
      <c r="AA30" s="335"/>
      <c r="AB30" s="462"/>
      <c r="AC30" s="462"/>
      <c r="AD30" s="92"/>
      <c r="AE30" s="92"/>
      <c r="AF30" s="312">
        <f t="shared" si="6"/>
        <v>-297.10843373494322</v>
      </c>
      <c r="AG30" s="99">
        <f t="shared" si="7"/>
        <v>0.8349397590361427</v>
      </c>
      <c r="AH30" s="479"/>
    </row>
    <row r="31" spans="1:34" ht="15" customHeight="1">
      <c r="A31" s="466"/>
      <c r="B31" s="75" t="s">
        <v>81</v>
      </c>
      <c r="C31" s="88"/>
      <c r="D31" s="59" t="s">
        <v>196</v>
      </c>
      <c r="E31" s="89"/>
      <c r="F31" s="75">
        <f>VLOOKUP(D31,廠價表!$C$1:$E$43,3,0)</f>
        <v>49.91</v>
      </c>
      <c r="G31" s="90">
        <v>1300</v>
      </c>
      <c r="H31" s="91">
        <f t="shared" si="8"/>
        <v>64882.999999999993</v>
      </c>
      <c r="I31" s="92"/>
      <c r="J31" s="79">
        <v>18</v>
      </c>
      <c r="K31" s="80">
        <v>1800</v>
      </c>
      <c r="L31" s="93">
        <f t="shared" si="9"/>
        <v>100</v>
      </c>
      <c r="M31" s="94">
        <v>18</v>
      </c>
      <c r="N31" s="95">
        <f t="shared" si="10"/>
        <v>1559.9999999999657</v>
      </c>
      <c r="O31" s="96">
        <f t="shared" si="11"/>
        <v>86.666666666664753</v>
      </c>
      <c r="P31" s="97">
        <f t="shared" si="12"/>
        <v>0</v>
      </c>
      <c r="Q31" s="98">
        <f t="shared" si="13"/>
        <v>-13.333333333335247</v>
      </c>
      <c r="R31" s="99">
        <f t="shared" si="14"/>
        <v>0.86666666666664749</v>
      </c>
      <c r="S31" s="469"/>
      <c r="T31" s="19">
        <v>0.52569444444444402</v>
      </c>
      <c r="U31" s="19">
        <v>0.56041666666666701</v>
      </c>
      <c r="V31" s="92">
        <f t="shared" si="15"/>
        <v>91.999999999998721</v>
      </c>
      <c r="W31" s="149">
        <f t="shared" si="4"/>
        <v>50.000000000001101</v>
      </c>
      <c r="X31" s="174"/>
      <c r="Y31" s="301"/>
      <c r="Z31" s="335"/>
      <c r="AA31" s="335"/>
      <c r="AB31" s="462"/>
      <c r="AC31" s="462"/>
      <c r="AD31" s="92"/>
      <c r="AE31" s="92"/>
      <c r="AF31" s="312">
        <f t="shared" si="6"/>
        <v>-240.00000000003433</v>
      </c>
      <c r="AG31" s="99">
        <f t="shared" si="7"/>
        <v>0.8666666666666476</v>
      </c>
      <c r="AH31" s="459"/>
    </row>
    <row r="32" spans="1:34" ht="15" customHeight="1">
      <c r="A32" s="466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415</v>
      </c>
      <c r="H32" s="91">
        <f t="shared" si="8"/>
        <v>19231.100000000002</v>
      </c>
      <c r="I32" s="92"/>
      <c r="J32" s="79">
        <f>VLOOKUP(D32,產線配置圖!$A$3:$C$40,2,0)</f>
        <v>16</v>
      </c>
      <c r="K32" s="80">
        <v>1636</v>
      </c>
      <c r="L32" s="93">
        <f t="shared" si="9"/>
        <v>102.25</v>
      </c>
      <c r="M32" s="94">
        <v>16</v>
      </c>
      <c r="N32" s="95">
        <f t="shared" si="10"/>
        <v>1464.7058823528912</v>
      </c>
      <c r="O32" s="96">
        <f t="shared" si="11"/>
        <v>91.5441176470557</v>
      </c>
      <c r="P32" s="97">
        <f t="shared" si="12"/>
        <v>0</v>
      </c>
      <c r="Q32" s="98">
        <f t="shared" si="13"/>
        <v>-10.7058823529443</v>
      </c>
      <c r="R32" s="99">
        <f t="shared" si="14"/>
        <v>0.89529699410323427</v>
      </c>
      <c r="S32" s="469"/>
      <c r="T32" s="19">
        <v>0.56597222222222199</v>
      </c>
      <c r="U32" s="19">
        <v>0.57777777777777795</v>
      </c>
      <c r="V32" s="92">
        <f t="shared" si="15"/>
        <v>7.9999999999991722</v>
      </c>
      <c r="W32" s="149">
        <f t="shared" si="4"/>
        <v>17.000000000000579</v>
      </c>
      <c r="X32" s="174"/>
      <c r="Y32" s="301"/>
      <c r="Z32" s="335"/>
      <c r="AA32" s="335"/>
      <c r="AB32" s="462"/>
      <c r="AC32" s="462"/>
      <c r="AD32" s="92"/>
      <c r="AE32" s="92"/>
      <c r="AF32" s="307"/>
      <c r="AG32" s="72"/>
      <c r="AH32" s="459"/>
    </row>
    <row r="33" spans="1:34" ht="15" customHeight="1">
      <c r="A33" s="466"/>
      <c r="B33" s="75"/>
      <c r="C33" s="177"/>
      <c r="D33" s="59"/>
      <c r="E33" s="178"/>
      <c r="F33" s="75"/>
      <c r="G33" s="374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69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2"/>
      <c r="AC33" s="462"/>
      <c r="AD33" s="92"/>
      <c r="AE33" s="92"/>
      <c r="AF33" s="307"/>
      <c r="AG33" s="112"/>
      <c r="AH33" s="459"/>
    </row>
    <row r="34" spans="1:34" ht="15" customHeight="1">
      <c r="A34" s="466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69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2"/>
      <c r="AC34" s="462"/>
      <c r="AD34" s="92"/>
      <c r="AE34" s="92"/>
      <c r="AF34" s="307"/>
      <c r="AG34" s="112"/>
      <c r="AH34" s="459"/>
    </row>
    <row r="35" spans="1:34" ht="15" customHeight="1">
      <c r="A35" s="466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69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62"/>
      <c r="AC35" s="462"/>
      <c r="AD35" s="92"/>
      <c r="AE35" s="92"/>
      <c r="AF35" s="307"/>
      <c r="AG35" s="112"/>
      <c r="AH35" s="459"/>
    </row>
    <row r="36" spans="1:34" ht="15" customHeight="1">
      <c r="A36" s="466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69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2"/>
      <c r="AC36" s="462"/>
      <c r="AD36" s="92"/>
      <c r="AE36" s="92"/>
      <c r="AF36" s="307"/>
      <c r="AG36" s="112"/>
      <c r="AH36" s="459"/>
    </row>
    <row r="37" spans="1:34" ht="15" customHeight="1" thickBot="1">
      <c r="A37" s="467"/>
      <c r="B37" s="152"/>
      <c r="C37" s="153" t="s">
        <v>47</v>
      </c>
      <c r="D37" s="471" t="s">
        <v>42</v>
      </c>
      <c r="E37" s="472"/>
      <c r="F37" s="154"/>
      <c r="G37" s="220"/>
      <c r="H37" s="156"/>
      <c r="I37" s="157"/>
      <c r="J37" s="155">
        <f t="shared" ref="J37:O37" si="16">AVERAGE(J27:J36)</f>
        <v>17.166666666666668</v>
      </c>
      <c r="K37" s="155">
        <f t="shared" si="16"/>
        <v>1690.6666666666667</v>
      </c>
      <c r="L37" s="158">
        <f t="shared" si="16"/>
        <v>98.604030501089326</v>
      </c>
      <c r="M37" s="155">
        <f t="shared" si="16"/>
        <v>17.166666666666668</v>
      </c>
      <c r="N37" s="155">
        <f t="shared" si="16"/>
        <v>1519.9270601497672</v>
      </c>
      <c r="O37" s="158">
        <f t="shared" si="16"/>
        <v>88.76314287075968</v>
      </c>
      <c r="P37" s="159">
        <f>M37-J37</f>
        <v>0</v>
      </c>
      <c r="Q37" s="160">
        <f>N37-K37</f>
        <v>-170.73960651689958</v>
      </c>
      <c r="R37" s="161">
        <f>O37/L37</f>
        <v>0.90019791705957775</v>
      </c>
      <c r="S37" s="470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3"/>
      <c r="AC37" s="473"/>
      <c r="AD37" s="324">
        <f>SUM(AD27:AD36)</f>
        <v>0</v>
      </c>
      <c r="AE37" s="324">
        <f>SUM(AE27:AE36)</f>
        <v>0</v>
      </c>
      <c r="AF37" s="309">
        <f>N37-K37</f>
        <v>-170.73960651689958</v>
      </c>
      <c r="AG37" s="124">
        <f>N37/K37</f>
        <v>0.89901048510435755</v>
      </c>
      <c r="AH37" s="460"/>
    </row>
    <row r="38" spans="1:34" ht="15" customHeight="1">
      <c r="A38" s="48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2152</v>
      </c>
      <c r="H38" s="134">
        <f>F38*G38</f>
        <v>107406.31999999999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1501.3953488371894</v>
      </c>
      <c r="O38" s="141">
        <f>N38/M38</f>
        <v>100.09302325581262</v>
      </c>
      <c r="P38" s="142">
        <f>M38-J38</f>
        <v>0</v>
      </c>
      <c r="Q38" s="143">
        <f>O38-L38</f>
        <v>-14.173643410854041</v>
      </c>
      <c r="R38" s="144">
        <f>O38/L38</f>
        <v>0.87595994681282929</v>
      </c>
      <c r="S38" s="490">
        <f>R48</f>
        <v>0.91001352578433503</v>
      </c>
      <c r="T38" s="191">
        <v>0.33333333333333298</v>
      </c>
      <c r="U38" s="191">
        <v>0.39305555555555599</v>
      </c>
      <c r="V38" s="192"/>
      <c r="W38" s="193">
        <f t="shared" si="4"/>
        <v>86.000000000001137</v>
      </c>
      <c r="X38" s="194"/>
      <c r="Y38" s="302"/>
      <c r="Z38" s="336"/>
      <c r="AA38" s="336"/>
      <c r="AB38" s="492" t="s">
        <v>253</v>
      </c>
      <c r="AC38" s="492"/>
      <c r="AD38" s="192"/>
      <c r="AE38" s="192"/>
      <c r="AF38" s="313">
        <f>N38-K38</f>
        <v>-212.60465116281057</v>
      </c>
      <c r="AG38" s="195">
        <f>N38/K38</f>
        <v>0.87595994681282929</v>
      </c>
      <c r="AH38" s="480">
        <f>AG48</f>
        <v>0.88764703613713802</v>
      </c>
    </row>
    <row r="39" spans="1:34" ht="15" customHeight="1">
      <c r="A39" s="48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2650</v>
      </c>
      <c r="H39" s="91">
        <f>F39*G39</f>
        <v>117394.99999999999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1472.2222222222229</v>
      </c>
      <c r="O39" s="203">
        <f>N39/M39</f>
        <v>86.601307189542524</v>
      </c>
      <c r="P39" s="97">
        <f>M39-J39</f>
        <v>-1</v>
      </c>
      <c r="Q39" s="98">
        <f>O39-L39</f>
        <v>-4.2875816993463616</v>
      </c>
      <c r="R39" s="99">
        <f>O39/L39</f>
        <v>0.95282611822235053</v>
      </c>
      <c r="S39" s="491"/>
      <c r="T39" s="20">
        <v>0.39930555555555558</v>
      </c>
      <c r="U39" s="20">
        <v>0.47430555555555554</v>
      </c>
      <c r="V39" s="92">
        <f>(T39-U38)*24*60</f>
        <v>8.9999999999994085</v>
      </c>
      <c r="W39" s="205">
        <f t="shared" si="4"/>
        <v>107.99999999999994</v>
      </c>
      <c r="X39" s="22"/>
      <c r="Y39" s="84"/>
      <c r="Z39" s="90"/>
      <c r="AA39" s="90"/>
      <c r="AB39" s="483"/>
      <c r="AC39" s="483"/>
      <c r="AD39" s="200"/>
      <c r="AE39" s="200"/>
      <c r="AF39" s="314">
        <f>N39-K39</f>
        <v>-163.77777777777715</v>
      </c>
      <c r="AG39" s="206">
        <f>N39/K39</f>
        <v>0.89989133387666431</v>
      </c>
      <c r="AH39" s="481"/>
    </row>
    <row r="40" spans="1:34" ht="15" customHeight="1">
      <c r="A40" s="48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0</v>
      </c>
      <c r="AG40" s="206" t="e">
        <f>N40/K40</f>
        <v>#DIV/0!</v>
      </c>
      <c r="AH40" s="481"/>
    </row>
    <row r="41" spans="1:34" ht="15" customHeight="1">
      <c r="A41" s="48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2"/>
      <c r="AC41" s="462"/>
      <c r="AD41" s="92"/>
      <c r="AE41" s="92"/>
      <c r="AF41" s="314">
        <f>N41-K41</f>
        <v>0</v>
      </c>
      <c r="AG41" s="206" t="e">
        <f>N41/K41</f>
        <v>#DIV/0!</v>
      </c>
      <c r="AH41" s="481"/>
    </row>
    <row r="42" spans="1:34" ht="15" customHeight="1">
      <c r="A42" s="48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2"/>
      <c r="AC42" s="462"/>
      <c r="AD42" s="92"/>
      <c r="AE42" s="92"/>
      <c r="AF42" s="314"/>
      <c r="AG42" s="206"/>
      <c r="AH42" s="481"/>
    </row>
    <row r="43" spans="1:34" ht="15" customHeight="1">
      <c r="A43" s="48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2"/>
      <c r="AC43" s="462"/>
      <c r="AD43" s="92"/>
      <c r="AE43" s="92"/>
      <c r="AF43" s="213"/>
      <c r="AG43" s="206"/>
      <c r="AH43" s="481"/>
    </row>
    <row r="44" spans="1:34" ht="15" customHeight="1">
      <c r="A44" s="48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2"/>
      <c r="AC44" s="462"/>
      <c r="AD44" s="92"/>
      <c r="AE44" s="92"/>
      <c r="AF44" s="213"/>
      <c r="AG44" s="206"/>
      <c r="AH44" s="481"/>
    </row>
    <row r="45" spans="1:34" ht="15" customHeight="1">
      <c r="A45" s="48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2"/>
      <c r="AC45" s="462"/>
      <c r="AD45" s="92"/>
      <c r="AE45" s="92"/>
      <c r="AF45" s="213"/>
      <c r="AG45" s="206"/>
      <c r="AH45" s="481"/>
    </row>
    <row r="46" spans="1:34" ht="15" customHeight="1">
      <c r="A46" s="48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2"/>
      <c r="AC46" s="462"/>
      <c r="AD46" s="92"/>
      <c r="AE46" s="92"/>
      <c r="AF46" s="213"/>
      <c r="AG46" s="206"/>
      <c r="AH46" s="481"/>
    </row>
    <row r="47" spans="1:34" ht="15" customHeight="1">
      <c r="A47" s="48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2"/>
      <c r="AC47" s="462"/>
      <c r="AD47" s="92"/>
      <c r="AE47" s="92"/>
      <c r="AF47" s="213"/>
      <c r="AG47" s="206"/>
      <c r="AH47" s="481"/>
    </row>
    <row r="48" spans="1:34" ht="15" customHeight="1" thickBot="1">
      <c r="A48" s="489"/>
      <c r="B48" s="219"/>
      <c r="C48" s="153" t="s">
        <v>49</v>
      </c>
      <c r="D48" s="433" t="s">
        <v>42</v>
      </c>
      <c r="E48" s="433"/>
      <c r="F48" s="154"/>
      <c r="G48" s="220"/>
      <c r="H48" s="156"/>
      <c r="I48" s="157"/>
      <c r="J48" s="155">
        <f t="shared" ref="J48:O48" si="17">AVERAGE(J38:J47)</f>
        <v>16.5</v>
      </c>
      <c r="K48" s="155">
        <f t="shared" si="17"/>
        <v>1675</v>
      </c>
      <c r="L48" s="158">
        <f t="shared" si="17"/>
        <v>102.57777777777778</v>
      </c>
      <c r="M48" s="155">
        <f t="shared" si="17"/>
        <v>16</v>
      </c>
      <c r="N48" s="155">
        <f t="shared" si="17"/>
        <v>1486.8087855297063</v>
      </c>
      <c r="O48" s="158">
        <f t="shared" si="17"/>
        <v>93.347165222677575</v>
      </c>
      <c r="P48" s="221">
        <f>M48-J48</f>
        <v>-0.5</v>
      </c>
      <c r="Q48" s="222">
        <f>N48-K48</f>
        <v>-188.19121447029374</v>
      </c>
      <c r="R48" s="223">
        <f>O48/L48</f>
        <v>0.91001352578433503</v>
      </c>
      <c r="S48" s="41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3"/>
      <c r="AC48" s="463"/>
      <c r="AD48" s="323">
        <f>SUM(AD38:AD47)</f>
        <v>0</v>
      </c>
      <c r="AE48" s="323">
        <f>SUM(AE38:AE47)</f>
        <v>0</v>
      </c>
      <c r="AF48" s="315">
        <f t="shared" ref="AF48:AF53" si="18">N48-K48</f>
        <v>-188.19121447029374</v>
      </c>
      <c r="AG48" s="162">
        <f t="shared" ref="AG48:AG53" si="19">N48/K48</f>
        <v>0.88764703613713802</v>
      </c>
      <c r="AH48" s="482"/>
    </row>
    <row r="49" spans="1:34" ht="15" customHeight="1">
      <c r="A49" s="484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1874</v>
      </c>
      <c r="H49" s="134">
        <f>F49*G49</f>
        <v>92800.48000000001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1678.2089552239088</v>
      </c>
      <c r="O49" s="141">
        <f>N49/M49</f>
        <v>98.718173836700515</v>
      </c>
      <c r="P49" s="229">
        <f>M49-J49</f>
        <v>0</v>
      </c>
      <c r="Q49" s="230">
        <f>O49-L49</f>
        <v>-7.1641791044759486</v>
      </c>
      <c r="R49" s="52">
        <f>O49/L49</f>
        <v>0.93233830845772714</v>
      </c>
      <c r="S49" s="412">
        <f>R58</f>
        <v>0.88048667716791118</v>
      </c>
      <c r="T49" s="191">
        <v>0.29166666666666702</v>
      </c>
      <c r="U49" s="191">
        <v>0.33819444444444402</v>
      </c>
      <c r="V49" s="55"/>
      <c r="W49" s="193">
        <f t="shared" si="4"/>
        <v>66.999999999998877</v>
      </c>
      <c r="X49" s="55"/>
      <c r="Y49" s="290"/>
      <c r="Z49" s="169"/>
      <c r="AA49" s="169"/>
      <c r="AB49" s="464"/>
      <c r="AC49" s="464"/>
      <c r="AD49" s="135"/>
      <c r="AE49" s="135"/>
      <c r="AF49" s="229">
        <f t="shared" si="18"/>
        <v>-121.79104477609121</v>
      </c>
      <c r="AG49" s="52">
        <f t="shared" si="19"/>
        <v>0.93233830845772714</v>
      </c>
      <c r="AH49" s="457">
        <f>AG58</f>
        <v>0.88019704680034749</v>
      </c>
    </row>
    <row r="50" spans="1:34" ht="15" customHeight="1">
      <c r="A50" s="485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1750</v>
      </c>
      <c r="H50" s="231">
        <f>F50*G50</f>
        <v>88005.75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1312.4999999999889</v>
      </c>
      <c r="O50" s="235">
        <f>N50/M50</f>
        <v>77.20588235294052</v>
      </c>
      <c r="P50" s="74">
        <f>M50-J50</f>
        <v>0</v>
      </c>
      <c r="Q50" s="83">
        <f>O50-L50</f>
        <v>-19.029411764706538</v>
      </c>
      <c r="R50" s="72">
        <f>O50/L50</f>
        <v>0.80226161369192472</v>
      </c>
      <c r="S50" s="413"/>
      <c r="T50" s="21">
        <v>0.34375</v>
      </c>
      <c r="U50" s="21">
        <v>0.39930555555555602</v>
      </c>
      <c r="V50" s="30">
        <f>(T50-U49)*24*60</f>
        <v>8.0000000000006111</v>
      </c>
      <c r="W50" s="236">
        <f t="shared" si="4"/>
        <v>80.000000000000682</v>
      </c>
      <c r="X50" s="22"/>
      <c r="Y50" s="84"/>
      <c r="Z50" s="90"/>
      <c r="AA50" s="90"/>
      <c r="AB50" s="462"/>
      <c r="AC50" s="462"/>
      <c r="AD50" s="92"/>
      <c r="AE50" s="92"/>
      <c r="AF50" s="307">
        <f t="shared" si="18"/>
        <v>-323.50000000001114</v>
      </c>
      <c r="AG50" s="72">
        <f t="shared" si="19"/>
        <v>0.80226161369192472</v>
      </c>
      <c r="AH50" s="458"/>
    </row>
    <row r="51" spans="1:34" ht="15" customHeight="1">
      <c r="A51" s="485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2276</v>
      </c>
      <c r="H51" s="231">
        <f>F51*G51</f>
        <v>113731.72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1606.5882352941112</v>
      </c>
      <c r="O51" s="235">
        <f>N51/M51</f>
        <v>100.41176470588195</v>
      </c>
      <c r="P51" s="74">
        <f>M51-J51</f>
        <v>0</v>
      </c>
      <c r="Q51" s="83">
        <f>O51-L51</f>
        <v>-12.08823529411805</v>
      </c>
      <c r="R51" s="72">
        <f>O51/L51</f>
        <v>0.89254901960783961</v>
      </c>
      <c r="S51" s="413"/>
      <c r="T51" s="21">
        <v>0.40625</v>
      </c>
      <c r="U51" s="19">
        <v>0.46527777777777801</v>
      </c>
      <c r="V51" s="30">
        <f>(T51-U50)*24*60</f>
        <v>9.999999999999325</v>
      </c>
      <c r="W51" s="236">
        <f t="shared" si="4"/>
        <v>85.000000000000341</v>
      </c>
      <c r="X51" s="22"/>
      <c r="Y51" s="84"/>
      <c r="Z51" s="90"/>
      <c r="AA51" s="90"/>
      <c r="AB51" s="462"/>
      <c r="AC51" s="462"/>
      <c r="AD51" s="92"/>
      <c r="AE51" s="92"/>
      <c r="AF51" s="307">
        <f t="shared" si="18"/>
        <v>-193.4117647058888</v>
      </c>
      <c r="AG51" s="72">
        <f t="shared" si="19"/>
        <v>0.89254901960783961</v>
      </c>
      <c r="AH51" s="458"/>
    </row>
    <row r="52" spans="1:34" ht="15" customHeight="1">
      <c r="A52" s="485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2766</v>
      </c>
      <c r="H52" s="231">
        <f>F52*G52</f>
        <v>138217.01999999999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 t="shared" ref="N52" si="20">G52/W52*60</f>
        <v>1595.7692307692364</v>
      </c>
      <c r="O52" s="235">
        <f t="shared" ref="O52" si="21">N52/M52</f>
        <v>99.735576923077275</v>
      </c>
      <c r="P52" s="74">
        <f t="shared" ref="P52" si="22">M52-J52</f>
        <v>0</v>
      </c>
      <c r="Q52" s="83">
        <f t="shared" ref="Q52" si="23">O52-L52</f>
        <v>-12.764423076922725</v>
      </c>
      <c r="R52" s="72">
        <f t="shared" ref="R52" si="24">O52/L52</f>
        <v>0.88653846153846472</v>
      </c>
      <c r="S52" s="413"/>
      <c r="T52" s="21">
        <v>0.52430555555555602</v>
      </c>
      <c r="U52" s="21">
        <v>0.59652777777777799</v>
      </c>
      <c r="V52" s="30">
        <f>(T52-U51)*24*60</f>
        <v>85.000000000000341</v>
      </c>
      <c r="W52" s="236">
        <f t="shared" si="4"/>
        <v>103.99999999999963</v>
      </c>
      <c r="X52" s="22">
        <v>0.47916666666666702</v>
      </c>
      <c r="Y52" s="84">
        <v>0.52083333333333304</v>
      </c>
      <c r="Z52" s="90"/>
      <c r="AA52" s="90"/>
      <c r="AB52" s="462"/>
      <c r="AC52" s="462"/>
      <c r="AD52" s="92"/>
      <c r="AE52" s="92"/>
      <c r="AF52" s="307">
        <f t="shared" si="18"/>
        <v>-204.2307692307636</v>
      </c>
      <c r="AG52" s="72">
        <f t="shared" si="19"/>
        <v>0.88653846153846472</v>
      </c>
      <c r="AH52" s="458"/>
    </row>
    <row r="53" spans="1:34" ht="15" customHeight="1">
      <c r="A53" s="48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2"/>
      <c r="AC53" s="462"/>
      <c r="AD53" s="92"/>
      <c r="AE53" s="92"/>
      <c r="AF53" s="307">
        <f t="shared" si="18"/>
        <v>0</v>
      </c>
      <c r="AG53" s="72" t="e">
        <f t="shared" si="19"/>
        <v>#DIV/0!</v>
      </c>
      <c r="AH53" s="458"/>
    </row>
    <row r="54" spans="1:34" ht="15" customHeight="1">
      <c r="A54" s="48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2"/>
      <c r="AC54" s="462"/>
      <c r="AD54" s="92"/>
      <c r="AE54" s="92"/>
      <c r="AF54" s="307"/>
      <c r="AG54" s="72"/>
      <c r="AH54" s="458"/>
    </row>
    <row r="55" spans="1:34" ht="15" customHeight="1">
      <c r="A55" s="48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2"/>
      <c r="AC55" s="462"/>
      <c r="AD55" s="92"/>
      <c r="AE55" s="92"/>
      <c r="AF55" s="307"/>
      <c r="AG55" s="72"/>
      <c r="AH55" s="458"/>
    </row>
    <row r="56" spans="1:34" ht="15" customHeight="1">
      <c r="A56" s="48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2"/>
      <c r="AC56" s="462"/>
      <c r="AD56" s="92"/>
      <c r="AE56" s="92"/>
      <c r="AF56" s="307"/>
      <c r="AG56" s="72"/>
      <c r="AH56" s="458"/>
    </row>
    <row r="57" spans="1:34" ht="15" customHeight="1">
      <c r="A57" s="48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2"/>
      <c r="AC57" s="462"/>
      <c r="AD57" s="92"/>
      <c r="AE57" s="92"/>
      <c r="AF57" s="307"/>
      <c r="AG57" s="72"/>
      <c r="AH57" s="458"/>
    </row>
    <row r="58" spans="1:34" ht="15" customHeight="1" thickBot="1">
      <c r="A58" s="486"/>
      <c r="B58" s="239"/>
      <c r="C58" s="153" t="s">
        <v>51</v>
      </c>
      <c r="D58" s="433" t="s">
        <v>42</v>
      </c>
      <c r="E58" s="433"/>
      <c r="F58" s="116"/>
      <c r="G58" s="240"/>
      <c r="H58" s="118"/>
      <c r="I58" s="117"/>
      <c r="J58" s="120">
        <f t="shared" ref="J58:O58" si="25">AVERAGE(J49:J57)</f>
        <v>16.5</v>
      </c>
      <c r="K58" s="120">
        <f t="shared" si="25"/>
        <v>1759</v>
      </c>
      <c r="L58" s="117">
        <f t="shared" si="25"/>
        <v>106.77941176470588</v>
      </c>
      <c r="M58" s="120">
        <f t="shared" si="25"/>
        <v>16.5</v>
      </c>
      <c r="N58" s="120">
        <f t="shared" si="25"/>
        <v>1548.2666053218113</v>
      </c>
      <c r="O58" s="117">
        <f t="shared" si="25"/>
        <v>94.017849454650047</v>
      </c>
      <c r="P58" s="121">
        <f>M58-J58</f>
        <v>0</v>
      </c>
      <c r="Q58" s="122">
        <f>N58-K58</f>
        <v>-210.73339467818869</v>
      </c>
      <c r="R58" s="123">
        <f>O58/L58</f>
        <v>0.88048667716791118</v>
      </c>
      <c r="S58" s="41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3"/>
      <c r="AC58" s="463"/>
      <c r="AD58" s="323">
        <f>SUM(AD49:AD57)</f>
        <v>0</v>
      </c>
      <c r="AE58" s="323">
        <f>SUM(AE49:AE57)</f>
        <v>0</v>
      </c>
      <c r="AF58" s="309">
        <f>N58-K58</f>
        <v>-210.73339467818869</v>
      </c>
      <c r="AG58" s="124">
        <f>N58/K58</f>
        <v>0.88019704680034749</v>
      </c>
      <c r="AH58" s="460"/>
    </row>
    <row r="59" spans="1:34" ht="15" customHeight="1">
      <c r="A59" s="498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2585</v>
      </c>
      <c r="H59" s="243">
        <f>F59*G59</f>
        <v>69769.149999999994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1551.000000000008</v>
      </c>
      <c r="O59" s="138">
        <f>N59/M59</f>
        <v>103.40000000000053</v>
      </c>
      <c r="P59" s="56">
        <f>M59-J59</f>
        <v>0</v>
      </c>
      <c r="Q59" s="230">
        <f>O59-L59</f>
        <v>-5.6666666666661314</v>
      </c>
      <c r="R59" s="52">
        <f>O59/L59</f>
        <v>0.94804400977995595</v>
      </c>
      <c r="S59" s="412">
        <f>R69</f>
        <v>0.9220315564321816</v>
      </c>
      <c r="T59" s="245">
        <v>0.29166666666666702</v>
      </c>
      <c r="U59" s="245">
        <v>0.3611111111111111</v>
      </c>
      <c r="V59" s="55"/>
      <c r="W59" s="54">
        <f t="shared" si="4"/>
        <v>99.999999999999488</v>
      </c>
      <c r="X59" s="55"/>
      <c r="Y59" s="290"/>
      <c r="Z59" s="169"/>
      <c r="AA59" s="169"/>
      <c r="AB59" s="464"/>
      <c r="AC59" s="464"/>
      <c r="AD59" s="135"/>
      <c r="AE59" s="135"/>
      <c r="AF59" s="310">
        <f>N59-K59</f>
        <v>-84.999999999992042</v>
      </c>
      <c r="AG59" s="246">
        <f>N59/K59</f>
        <v>0.94804400977995595</v>
      </c>
      <c r="AH59" s="457">
        <f>AG69</f>
        <v>0.92434377450753946</v>
      </c>
    </row>
    <row r="60" spans="1:34" ht="15" customHeight="1">
      <c r="A60" s="499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1315</v>
      </c>
      <c r="H60" s="78">
        <f>F60*G60</f>
        <v>37161.9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1488.6792452830198</v>
      </c>
      <c r="O60" s="81">
        <f>N60/M60</f>
        <v>135.33447684391089</v>
      </c>
      <c r="P60" s="74">
        <f>M60-J60</f>
        <v>0</v>
      </c>
      <c r="Q60" s="83">
        <f>O60-L60</f>
        <v>-13.392795883361828</v>
      </c>
      <c r="R60" s="72">
        <f>O60/L60</f>
        <v>0.90995063892605133</v>
      </c>
      <c r="S60" s="502"/>
      <c r="T60" s="22">
        <v>0.36805555555555558</v>
      </c>
      <c r="U60" s="22">
        <v>0.40486111111111112</v>
      </c>
      <c r="V60" s="30">
        <f>(T60-U59)*24*60</f>
        <v>10.000000000000044</v>
      </c>
      <c r="W60" s="248">
        <f t="shared" si="4"/>
        <v>52.999999999999972</v>
      </c>
      <c r="X60" s="232"/>
      <c r="Y60" s="177"/>
      <c r="Z60" s="90"/>
      <c r="AA60" s="90"/>
      <c r="AB60" s="462"/>
      <c r="AC60" s="462"/>
      <c r="AD60" s="92"/>
      <c r="AE60" s="92"/>
      <c r="AF60" s="316">
        <f>N60-K60</f>
        <v>-147.32075471698022</v>
      </c>
      <c r="AG60" s="249">
        <f>N60/K60</f>
        <v>0.90995063892605121</v>
      </c>
      <c r="AH60" s="493"/>
    </row>
    <row r="61" spans="1:34" ht="15" customHeight="1">
      <c r="A61" s="500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998</v>
      </c>
      <c r="H61" s="254">
        <f>F61*G61</f>
        <v>28203.480000000003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1496.9999999999754</v>
      </c>
      <c r="O61" s="238">
        <f>N61/M61</f>
        <v>136.09090909090685</v>
      </c>
      <c r="P61" s="111">
        <f>M61-J61</f>
        <v>0</v>
      </c>
      <c r="Q61" s="255">
        <f>O61-L61</f>
        <v>-12.636363636365871</v>
      </c>
      <c r="R61" s="85">
        <f>O61/L61</f>
        <v>0.91503667481661088</v>
      </c>
      <c r="S61" s="413"/>
      <c r="T61" s="22">
        <v>0.41319444444444398</v>
      </c>
      <c r="U61" s="22">
        <v>0.44097222222222221</v>
      </c>
      <c r="V61" s="30">
        <f>(T61-U60)*24*60</f>
        <v>11.999999999999318</v>
      </c>
      <c r="W61" s="256">
        <f t="shared" si="4"/>
        <v>40.000000000000654</v>
      </c>
      <c r="X61" s="22"/>
      <c r="Y61" s="84"/>
      <c r="Z61" s="90"/>
      <c r="AA61" s="90"/>
      <c r="AB61" s="462"/>
      <c r="AC61" s="462"/>
      <c r="AD61" s="92"/>
      <c r="AE61" s="92"/>
      <c r="AF61" s="317">
        <f>N61-K61</f>
        <v>-139.00000000002456</v>
      </c>
      <c r="AG61" s="247">
        <f>N61/K61</f>
        <v>0.91503667481661088</v>
      </c>
      <c r="AH61" s="458"/>
    </row>
    <row r="62" spans="1:34" ht="15" customHeight="1">
      <c r="A62" s="5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2"/>
      <c r="AC62" s="462"/>
      <c r="AD62" s="92"/>
      <c r="AE62" s="92"/>
      <c r="AF62" s="317">
        <f>N62-K62</f>
        <v>0</v>
      </c>
      <c r="AG62" s="247" t="e">
        <f>N62/K62</f>
        <v>#DIV/0!</v>
      </c>
      <c r="AH62" s="458"/>
    </row>
    <row r="63" spans="1:34" ht="15" customHeight="1">
      <c r="A63" s="5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2"/>
      <c r="AC63" s="462"/>
      <c r="AD63" s="92"/>
      <c r="AE63" s="92"/>
      <c r="AF63" s="317"/>
      <c r="AG63" s="247"/>
      <c r="AH63" s="458"/>
    </row>
    <row r="64" spans="1:34" ht="15" customHeight="1">
      <c r="A64" s="5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2"/>
      <c r="AC64" s="462"/>
      <c r="AD64" s="92"/>
      <c r="AE64" s="92"/>
      <c r="AF64" s="307"/>
      <c r="AG64" s="262"/>
      <c r="AH64" s="458"/>
    </row>
    <row r="65" spans="1:36" ht="15" customHeight="1">
      <c r="A65" s="5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2"/>
      <c r="AC65" s="462"/>
      <c r="AD65" s="92"/>
      <c r="AE65" s="92"/>
      <c r="AF65" s="307"/>
      <c r="AG65" s="262"/>
      <c r="AH65" s="458"/>
    </row>
    <row r="66" spans="1:36" ht="15" customHeight="1">
      <c r="A66" s="5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2"/>
      <c r="AC66" s="462"/>
      <c r="AD66" s="92"/>
      <c r="AE66" s="92"/>
      <c r="AF66" s="307"/>
      <c r="AG66" s="262"/>
      <c r="AH66" s="458"/>
    </row>
    <row r="67" spans="1:36" ht="15" customHeight="1">
      <c r="A67" s="5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2"/>
      <c r="AC67" s="462"/>
      <c r="AD67" s="92"/>
      <c r="AE67" s="92"/>
      <c r="AF67" s="307"/>
      <c r="AG67" s="262"/>
      <c r="AH67" s="458"/>
    </row>
    <row r="68" spans="1:36" ht="15" customHeight="1">
      <c r="A68" s="5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2" t="s">
        <v>53</v>
      </c>
      <c r="AC68" s="462"/>
      <c r="AD68" s="92"/>
      <c r="AE68" s="92"/>
      <c r="AF68" s="307"/>
      <c r="AG68" s="262"/>
      <c r="AH68" s="458"/>
    </row>
    <row r="69" spans="1:36" ht="15" customHeight="1" thickBot="1">
      <c r="A69" s="501"/>
      <c r="B69" s="239"/>
      <c r="C69" s="153" t="s">
        <v>54</v>
      </c>
      <c r="D69" s="433" t="s">
        <v>42</v>
      </c>
      <c r="E69" s="433"/>
      <c r="F69" s="116"/>
      <c r="G69" s="117"/>
      <c r="H69" s="118"/>
      <c r="I69" s="267"/>
      <c r="J69" s="240">
        <f t="shared" ref="J69:O69" si="26">AVERAGE(J59:J68)</f>
        <v>12.333333333333334</v>
      </c>
      <c r="K69" s="240">
        <f t="shared" si="26"/>
        <v>1636</v>
      </c>
      <c r="L69" s="268">
        <f t="shared" si="26"/>
        <v>135.50707070707071</v>
      </c>
      <c r="M69" s="240">
        <f t="shared" si="26"/>
        <v>12.333333333333334</v>
      </c>
      <c r="N69" s="240">
        <f t="shared" si="26"/>
        <v>1512.2264150943345</v>
      </c>
      <c r="O69" s="268">
        <f t="shared" si="26"/>
        <v>124.94179531160609</v>
      </c>
      <c r="P69" s="269">
        <f>M69-J69</f>
        <v>0</v>
      </c>
      <c r="Q69" s="222">
        <f>N69-K69</f>
        <v>-123.77358490566553</v>
      </c>
      <c r="R69" s="123">
        <f>O69/L69</f>
        <v>0.9220315564321816</v>
      </c>
      <c r="S69" s="41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3"/>
      <c r="AC69" s="463"/>
      <c r="AD69" s="323">
        <f>SUM(AD59:AD68)</f>
        <v>0</v>
      </c>
      <c r="AE69" s="323">
        <f>SUM(AE59:AE68)</f>
        <v>0</v>
      </c>
      <c r="AF69" s="309">
        <f>N69-K69</f>
        <v>-123.77358490566553</v>
      </c>
      <c r="AG69" s="124">
        <f>N69/K69</f>
        <v>0.92434377450753946</v>
      </c>
      <c r="AH69" s="460"/>
    </row>
    <row r="70" spans="1:36" ht="15" customHeight="1">
      <c r="A70" s="4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2784</v>
      </c>
      <c r="H70" s="243">
        <f>F70*G70</f>
        <v>78675.840000000011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1392.0000000000059</v>
      </c>
      <c r="O70" s="138">
        <f>N70/M70</f>
        <v>139.20000000000059</v>
      </c>
      <c r="P70" s="56">
        <f>M70-J70</f>
        <v>-1</v>
      </c>
      <c r="Q70" s="230">
        <f>O70-L70</f>
        <v>-9.527272727272134</v>
      </c>
      <c r="R70" s="52">
        <f>O70/L70</f>
        <v>0.93594132029340249</v>
      </c>
      <c r="S70" s="412">
        <f>R79</f>
        <v>0.92131747809966891</v>
      </c>
      <c r="T70" s="245">
        <v>0.29513888888888901</v>
      </c>
      <c r="U70" s="245">
        <v>0.37847222222222199</v>
      </c>
      <c r="V70" s="55"/>
      <c r="W70" s="54">
        <f t="shared" si="4"/>
        <v>119.99999999999949</v>
      </c>
      <c r="X70" s="270"/>
      <c r="Y70" s="292"/>
      <c r="Z70" s="169"/>
      <c r="AA70" s="169"/>
      <c r="AB70" s="464"/>
      <c r="AC70" s="464"/>
      <c r="AD70" s="135"/>
      <c r="AE70" s="135"/>
      <c r="AF70" s="310">
        <f>N70-K70</f>
        <v>-243.99999999999409</v>
      </c>
      <c r="AG70" s="246">
        <f>N70/K70</f>
        <v>0.85085574572127498</v>
      </c>
      <c r="AH70" s="457">
        <f>AG79</f>
        <v>0.76905495907303723</v>
      </c>
    </row>
    <row r="71" spans="1:36" ht="15" customHeight="1">
      <c r="A71" s="495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30">
        <v>862</v>
      </c>
      <c r="H71" s="254">
        <f>F71*G71</f>
        <v>37833.18</v>
      </c>
      <c r="I71" s="182"/>
      <c r="J71" s="106">
        <f>VLOOKUP(D71,產線配置圖!$A$3:$C$40,2,0)</f>
        <v>17</v>
      </c>
      <c r="K71" s="107">
        <f>VLOOKUP(D71,產線配置圖!$A$3:$C$40,3,0)</f>
        <v>1636</v>
      </c>
      <c r="L71" s="238">
        <f>K71/J71</f>
        <v>96.235294117647058</v>
      </c>
      <c r="M71" s="82">
        <v>13</v>
      </c>
      <c r="N71" s="107">
        <f>G71/W71*60</f>
        <v>1124.3478260869722</v>
      </c>
      <c r="O71" s="238">
        <f>N71/M71</f>
        <v>86.488294314382472</v>
      </c>
      <c r="P71" s="111">
        <f>M71-J71</f>
        <v>-4</v>
      </c>
      <c r="Q71" s="255">
        <f>O71-L71</f>
        <v>-9.7469998032645861</v>
      </c>
      <c r="R71" s="85">
        <f>O71/L71</f>
        <v>0.89871699470935329</v>
      </c>
      <c r="S71" s="413"/>
      <c r="T71" s="22">
        <v>0.39513888888888898</v>
      </c>
      <c r="U71" s="22">
        <v>0.42708333333333298</v>
      </c>
      <c r="V71" s="30">
        <f>(T71-U70)*24*60</f>
        <v>24.000000000000476</v>
      </c>
      <c r="W71" s="73">
        <f t="shared" si="4"/>
        <v>45.999999999999361</v>
      </c>
      <c r="X71" s="271"/>
      <c r="Y71" s="293"/>
      <c r="Z71" s="90"/>
      <c r="AA71" s="90"/>
      <c r="AB71" s="483"/>
      <c r="AC71" s="483"/>
      <c r="AD71" s="200"/>
      <c r="AE71" s="200"/>
      <c r="AF71" s="311">
        <v>-300.31249999999704</v>
      </c>
      <c r="AG71" s="99">
        <v>0.80810702875399554</v>
      </c>
      <c r="AH71" s="478"/>
    </row>
    <row r="72" spans="1:36" ht="15" customHeight="1">
      <c r="A72" s="495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2"/>
      <c r="AC72" s="462"/>
      <c r="AD72" s="92"/>
      <c r="AE72" s="92"/>
      <c r="AF72" s="311">
        <v>-130.33333333333326</v>
      </c>
      <c r="AG72" s="99">
        <v>0.91671991480298198</v>
      </c>
      <c r="AH72" s="478"/>
    </row>
    <row r="73" spans="1:36" ht="15" customHeight="1">
      <c r="A73" s="495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2"/>
      <c r="AC73" s="462"/>
      <c r="AD73" s="92"/>
      <c r="AE73" s="92"/>
      <c r="AF73" s="311"/>
      <c r="AG73" s="99"/>
      <c r="AH73" s="478"/>
    </row>
    <row r="74" spans="1:36" ht="15" customHeight="1">
      <c r="A74" s="495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2"/>
      <c r="AC74" s="462"/>
      <c r="AD74" s="92"/>
      <c r="AE74" s="92"/>
      <c r="AF74" s="311"/>
      <c r="AG74" s="99"/>
      <c r="AH74" s="478"/>
    </row>
    <row r="75" spans="1:36" ht="15" customHeight="1">
      <c r="A75" s="495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2"/>
      <c r="AC75" s="462"/>
      <c r="AD75" s="92"/>
      <c r="AE75" s="92"/>
      <c r="AF75" s="318"/>
      <c r="AG75" s="280"/>
      <c r="AH75" s="458"/>
    </row>
    <row r="76" spans="1:36" ht="15" customHeight="1">
      <c r="A76" s="495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2"/>
      <c r="AC76" s="462"/>
      <c r="AD76" s="92"/>
      <c r="AE76" s="92"/>
      <c r="AF76" s="317"/>
      <c r="AG76" s="247"/>
      <c r="AH76" s="459"/>
    </row>
    <row r="77" spans="1:36" ht="15" customHeight="1">
      <c r="A77" s="495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2"/>
      <c r="AC77" s="462"/>
      <c r="AD77" s="92"/>
      <c r="AE77" s="92"/>
      <c r="AF77" s="307"/>
      <c r="AG77" s="262"/>
      <c r="AH77" s="459"/>
    </row>
    <row r="78" spans="1:36" ht="15" customHeight="1">
      <c r="A78" s="4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7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2"/>
      <c r="AC78" s="462"/>
      <c r="AD78" s="92"/>
      <c r="AE78" s="92"/>
      <c r="AF78" s="308"/>
      <c r="AG78" s="112"/>
      <c r="AH78" s="459"/>
    </row>
    <row r="79" spans="1:36" ht="15" customHeight="1" thickBot="1">
      <c r="A79" s="496"/>
      <c r="B79" s="239"/>
      <c r="C79" s="153" t="s">
        <v>56</v>
      </c>
      <c r="D79" s="433" t="s">
        <v>42</v>
      </c>
      <c r="E79" s="433"/>
      <c r="F79" s="116"/>
      <c r="G79" s="117"/>
      <c r="H79" s="282"/>
      <c r="I79" s="268"/>
      <c r="J79" s="240">
        <f t="shared" ref="J79:O79" si="27">AVERAGE(J70:J78)</f>
        <v>14</v>
      </c>
      <c r="K79" s="240">
        <f t="shared" si="27"/>
        <v>1636</v>
      </c>
      <c r="L79" s="268">
        <f t="shared" si="27"/>
        <v>122.48128342245988</v>
      </c>
      <c r="M79" s="240">
        <f t="shared" si="27"/>
        <v>11.5</v>
      </c>
      <c r="N79" s="240">
        <f t="shared" si="27"/>
        <v>1258.1739130434889</v>
      </c>
      <c r="O79" s="268">
        <f t="shared" si="27"/>
        <v>112.84414715719153</v>
      </c>
      <c r="P79" s="269">
        <f>M79-J79</f>
        <v>-2.5</v>
      </c>
      <c r="Q79" s="222">
        <f>N79-K79</f>
        <v>-377.82608695651106</v>
      </c>
      <c r="R79" s="223">
        <f>O79/L79</f>
        <v>0.92131747809966891</v>
      </c>
      <c r="S79" s="41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3"/>
      <c r="AC79" s="463"/>
      <c r="AD79" s="323">
        <f>SUM(AD70:AD78)</f>
        <v>0</v>
      </c>
      <c r="AE79" s="323">
        <f>SUM(AE70:AE78)</f>
        <v>0</v>
      </c>
      <c r="AF79" s="309">
        <f>N79-K79</f>
        <v>-377.82608695651106</v>
      </c>
      <c r="AG79" s="124">
        <f>N79/K79</f>
        <v>0.76905495907303723</v>
      </c>
      <c r="AH79" s="46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AB14:AC14"/>
    <mergeCell ref="D15:E15"/>
    <mergeCell ref="AB15:AC15"/>
    <mergeCell ref="P1:S2"/>
    <mergeCell ref="T1:Y2"/>
    <mergeCell ref="AB1:AC2"/>
    <mergeCell ref="AF1:AH2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D3:AE3"/>
    <mergeCell ref="AF3:AF4"/>
    <mergeCell ref="AG3:AG4"/>
    <mergeCell ref="AH3:AH4"/>
  </mergeCells>
  <phoneticPr fontId="32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5887FC-D6C6-4185-BF30-1113D7D43C6A}">
  <ds:schemaRefs>
    <ds:schemaRef ds:uri="http://schemas.microsoft.com/office/2006/metadata/properties"/>
    <ds:schemaRef ds:uri="http://schemas.microsoft.com/office/infopath/2007/PartnerControls"/>
    <ds:schemaRef ds:uri="85de06e7-71af-4d71-a190-84eae70d6c46"/>
    <ds:schemaRef ds:uri="d017f4fe-1359-4419-afdf-e2560bdfb30b"/>
  </ds:schemaRefs>
</ds:datastoreItem>
</file>

<file path=customXml/itemProps2.xml><?xml version="1.0" encoding="utf-8"?>
<ds:datastoreItem xmlns:ds="http://schemas.openxmlformats.org/officeDocument/2006/customXml" ds:itemID="{E5F80AA0-1C57-4A8E-9681-BDE2D7E96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17f4fe-1359-4419-afdf-e2560bdfb30b"/>
    <ds:schemaRef ds:uri="85de06e7-71af-4d71-a190-84eae70d6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7383B5-3B9F-487E-BCA2-CA868B018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已命名的範圍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0701總</vt:lpstr>
      <vt:lpstr>0701</vt:lpstr>
      <vt:lpstr>0702總</vt:lpstr>
      <vt:lpstr>0702</vt:lpstr>
      <vt:lpstr>0703總</vt:lpstr>
      <vt:lpstr>0703</vt:lpstr>
      <vt:lpstr>0704總 </vt:lpstr>
      <vt:lpstr>0704</vt:lpstr>
      <vt:lpstr>0705總</vt:lpstr>
      <vt:lpstr>0705</vt:lpstr>
      <vt:lpstr>0706總</vt:lpstr>
      <vt:lpstr>0706</vt:lpstr>
      <vt:lpstr>0707總</vt:lpstr>
      <vt:lpstr>0707</vt:lpstr>
      <vt:lpstr>0708總</vt:lpstr>
      <vt:lpstr>0708</vt:lpstr>
      <vt:lpstr>0709總</vt:lpstr>
      <vt:lpstr>0709</vt:lpstr>
      <vt:lpstr>0710總</vt:lpstr>
      <vt:lpstr>0710</vt:lpstr>
      <vt:lpstr>0711總</vt:lpstr>
      <vt:lpstr>0711</vt:lpstr>
      <vt:lpstr>0712總</vt:lpstr>
      <vt:lpstr>0712</vt:lpstr>
      <vt:lpstr>0713總</vt:lpstr>
      <vt:lpstr>0713</vt:lpstr>
      <vt:lpstr>0714總</vt:lpstr>
      <vt:lpstr>0714</vt:lpstr>
      <vt:lpstr>0715總</vt:lpstr>
      <vt:lpstr>0715</vt:lpstr>
      <vt:lpstr>0716總 </vt:lpstr>
      <vt:lpstr>0716</vt:lpstr>
      <vt:lpstr>0717總</vt:lpstr>
      <vt:lpstr>0717</vt:lpstr>
      <vt:lpstr>0718總</vt:lpstr>
      <vt:lpstr>0718</vt:lpstr>
      <vt:lpstr>0719總</vt:lpstr>
      <vt:lpstr>0719</vt:lpstr>
      <vt:lpstr>0720總 </vt:lpstr>
      <vt:lpstr>0720</vt:lpstr>
      <vt:lpstr>0721總</vt:lpstr>
      <vt:lpstr>0721</vt:lpstr>
      <vt:lpstr>0722總</vt:lpstr>
      <vt:lpstr>0722</vt:lpstr>
      <vt:lpstr>0723總</vt:lpstr>
      <vt:lpstr>0723</vt:lpstr>
      <vt:lpstr>0724總</vt:lpstr>
      <vt:lpstr>0724</vt:lpstr>
      <vt:lpstr>0725總</vt:lpstr>
      <vt:lpstr>0725</vt:lpstr>
      <vt:lpstr>0726總</vt:lpstr>
      <vt:lpstr>0726</vt:lpstr>
      <vt:lpstr>0727總</vt:lpstr>
      <vt:lpstr>0727</vt:lpstr>
      <vt:lpstr>0728總</vt:lpstr>
      <vt:lpstr>0728</vt:lpstr>
      <vt:lpstr>0729總</vt:lpstr>
      <vt:lpstr>0729</vt:lpstr>
      <vt:lpstr>0730總</vt:lpstr>
      <vt:lpstr>0730</vt:lpstr>
      <vt:lpstr>0731總</vt:lpstr>
      <vt:lpstr>0731</vt:lpstr>
      <vt:lpstr>'0701'!_FilterDatabase</vt:lpstr>
      <vt:lpstr>'0701總'!_FilterDatabase</vt:lpstr>
      <vt:lpstr>'0702'!_FilterDatabase</vt:lpstr>
      <vt:lpstr>'0702總'!_FilterDatabase</vt:lpstr>
      <vt:lpstr>'0703'!_FilterDatabase</vt:lpstr>
      <vt:lpstr>'0703總'!_FilterDatabase</vt:lpstr>
      <vt:lpstr>'0704'!_FilterDatabase</vt:lpstr>
      <vt:lpstr>'0704總 '!_FilterDatabase</vt:lpstr>
      <vt:lpstr>'0705'!_FilterDatabase</vt:lpstr>
      <vt:lpstr>'0705總'!_FilterDatabase</vt:lpstr>
      <vt:lpstr>'0706'!_FilterDatabase</vt:lpstr>
      <vt:lpstr>'0706總'!_FilterDatabase</vt:lpstr>
      <vt:lpstr>'0707'!_FilterDatabase</vt:lpstr>
      <vt:lpstr>'0707總'!_FilterDatabase</vt:lpstr>
      <vt:lpstr>'0708'!_FilterDatabase</vt:lpstr>
      <vt:lpstr>'0708總'!_FilterDatabase</vt:lpstr>
      <vt:lpstr>'0709'!_FilterDatabase</vt:lpstr>
      <vt:lpstr>'0709總'!_FilterDatabase</vt:lpstr>
      <vt:lpstr>'0710'!_FilterDatabase</vt:lpstr>
      <vt:lpstr>'0710總'!_FilterDatabase</vt:lpstr>
      <vt:lpstr>'0711'!_FilterDatabase</vt:lpstr>
      <vt:lpstr>'0711總'!_FilterDatabase</vt:lpstr>
      <vt:lpstr>'0712'!_FilterDatabase</vt:lpstr>
      <vt:lpstr>'0712總'!_FilterDatabase</vt:lpstr>
      <vt:lpstr>'0713'!_FilterDatabase</vt:lpstr>
      <vt:lpstr>'0713總'!_FilterDatabase</vt:lpstr>
      <vt:lpstr>'0714'!_FilterDatabase</vt:lpstr>
      <vt:lpstr>'0714總'!_FilterDatabase</vt:lpstr>
      <vt:lpstr>'0715'!_FilterDatabase</vt:lpstr>
      <vt:lpstr>'0715總'!_FilterDatabase</vt:lpstr>
      <vt:lpstr>'0716'!_FilterDatabase</vt:lpstr>
      <vt:lpstr>'0716總 '!_FilterDatabase</vt:lpstr>
      <vt:lpstr>'0717'!_FilterDatabase</vt:lpstr>
      <vt:lpstr>'0717總'!_FilterDatabase</vt:lpstr>
      <vt:lpstr>'0718'!_FilterDatabase</vt:lpstr>
      <vt:lpstr>'0718總'!_FilterDatabase</vt:lpstr>
      <vt:lpstr>'0719'!_FilterDatabase</vt:lpstr>
      <vt:lpstr>'0719總'!_FilterDatabase</vt:lpstr>
      <vt:lpstr>'0720'!_FilterDatabase</vt:lpstr>
      <vt:lpstr>'0720總 '!_FilterDatabase</vt:lpstr>
      <vt:lpstr>'0721'!_FilterDatabase</vt:lpstr>
      <vt:lpstr>'0721總'!_FilterDatabase</vt:lpstr>
      <vt:lpstr>'0722'!_FilterDatabase</vt:lpstr>
      <vt:lpstr>'0722總'!_FilterDatabase</vt:lpstr>
      <vt:lpstr>'0723'!_FilterDatabase</vt:lpstr>
      <vt:lpstr>'0723總'!_FilterDatabase</vt:lpstr>
      <vt:lpstr>'0724'!_FilterDatabase</vt:lpstr>
      <vt:lpstr>'0724總'!_FilterDatabase</vt:lpstr>
      <vt:lpstr>'0725'!_FilterDatabase</vt:lpstr>
      <vt:lpstr>'0725總'!_FilterDatabase</vt:lpstr>
      <vt:lpstr>'0726'!_FilterDatabase</vt:lpstr>
      <vt:lpstr>'0726總'!_FilterDatabase</vt:lpstr>
      <vt:lpstr>'0727'!_FilterDatabase</vt:lpstr>
      <vt:lpstr>'0727總'!_FilterDatabase</vt:lpstr>
      <vt:lpstr>'0728'!_FilterDatabase</vt:lpstr>
      <vt:lpstr>'0728總'!_FilterDatabase</vt:lpstr>
      <vt:lpstr>'0729'!_FilterDatabase</vt:lpstr>
      <vt:lpstr>'0729總'!_FilterDatabase</vt:lpstr>
      <vt:lpstr>'0730'!_FilterDatabase</vt:lpstr>
      <vt:lpstr>'0730總'!_FilterDatabase</vt:lpstr>
      <vt:lpstr>'0731'!_FilterDatabase</vt:lpstr>
      <vt:lpstr>'0731總'!_FilterDatabase</vt:lpstr>
      <vt:lpstr>'0701'!Print_Area</vt:lpstr>
      <vt:lpstr>'0702'!Print_Area</vt:lpstr>
      <vt:lpstr>'0703'!Print_Area</vt:lpstr>
      <vt:lpstr>'0704'!Print_Area</vt:lpstr>
      <vt:lpstr>'0705'!Print_Area</vt:lpstr>
      <vt:lpstr>'0706'!Print_Area</vt:lpstr>
      <vt:lpstr>'0707'!Print_Area</vt:lpstr>
      <vt:lpstr>'0708'!Print_Area</vt:lpstr>
      <vt:lpstr>'0709'!Print_Area</vt:lpstr>
      <vt:lpstr>'0710'!Print_Area</vt:lpstr>
      <vt:lpstr>'0711'!Print_Area</vt:lpstr>
      <vt:lpstr>'0712'!Print_Area</vt:lpstr>
      <vt:lpstr>'0713'!Print_Area</vt:lpstr>
      <vt:lpstr>'0714'!Print_Area</vt:lpstr>
      <vt:lpstr>'0715'!Print_Area</vt:lpstr>
      <vt:lpstr>'0716'!Print_Area</vt:lpstr>
      <vt:lpstr>'0717'!Print_Area</vt:lpstr>
      <vt:lpstr>'0718'!Print_Area</vt:lpstr>
      <vt:lpstr>'0719'!Print_Area</vt:lpstr>
      <vt:lpstr>'0720'!Print_Area</vt:lpstr>
      <vt:lpstr>'0721'!Print_Area</vt:lpstr>
      <vt:lpstr>'0722'!Print_Area</vt:lpstr>
      <vt:lpstr>'0723'!Print_Area</vt:lpstr>
      <vt:lpstr>'0724'!Print_Area</vt:lpstr>
      <vt:lpstr>'0725'!Print_Area</vt:lpstr>
      <vt:lpstr>'0726'!Print_Area</vt:lpstr>
      <vt:lpstr>'0727'!Print_Area</vt:lpstr>
      <vt:lpstr>'0728'!Print_Area</vt:lpstr>
      <vt:lpstr>'0729'!Print_Area</vt:lpstr>
      <vt:lpstr>'0730'!Print_Area</vt:lpstr>
      <vt:lpstr>'0731'!Print_Area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2026-08-24T07:59:26Z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