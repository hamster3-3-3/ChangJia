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1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codeName="ThisWorkbook"/>
  <xr:revisionPtr revIDLastSave="0" documentId="13_ncr:1_{8EB93AFD-705B-426B-85D0-9639B77C948D}" xr6:coauthVersionLast="47" xr6:coauthVersionMax="47" xr10:uidLastSave="{00000000-0000-0000-0000-000000000000}"/>
  <bookViews>
    <workbookView xWindow="-120" yWindow="-120" windowWidth="29040" windowHeight="15720" tabRatio="745" firstSheet="45" activeTab="59" xr2:uid="{00000000-000D-0000-FFFF-FFFF00000000}"/>
  </bookViews>
  <sheets>
    <sheet name="廠價表" sheetId="5" r:id="rId1"/>
    <sheet name="產線配置圖" sheetId="4" r:id="rId2"/>
    <sheet name="範本總" sheetId="2" state="hidden" r:id="rId3"/>
    <sheet name="範本" sheetId="3" state="hidden" r:id="rId4"/>
    <sheet name="0201總" sheetId="174" r:id="rId5"/>
    <sheet name="0201" sheetId="175" r:id="rId6"/>
    <sheet name="0202總" sheetId="176" r:id="rId7"/>
    <sheet name="0202" sheetId="177" r:id="rId8"/>
    <sheet name="0203總" sheetId="178" r:id="rId9"/>
    <sheet name="0203" sheetId="179" r:id="rId10"/>
    <sheet name="0204總" sheetId="180" r:id="rId11"/>
    <sheet name="0204" sheetId="181" r:id="rId12"/>
    <sheet name="0205總" sheetId="183" r:id="rId13"/>
    <sheet name="0205" sheetId="184" r:id="rId14"/>
    <sheet name="0206總" sheetId="185" r:id="rId15"/>
    <sheet name="0206" sheetId="186" r:id="rId16"/>
    <sheet name="0207總 " sheetId="187" r:id="rId17"/>
    <sheet name="0207" sheetId="188" r:id="rId18"/>
    <sheet name="0208總" sheetId="189" r:id="rId19"/>
    <sheet name="0208" sheetId="190" r:id="rId20"/>
    <sheet name="0209總" sheetId="191" r:id="rId21"/>
    <sheet name="0209" sheetId="192" r:id="rId22"/>
    <sheet name="0210總" sheetId="193" r:id="rId23"/>
    <sheet name="0210" sheetId="194" r:id="rId24"/>
    <sheet name="0211總" sheetId="195" r:id="rId25"/>
    <sheet name="0211" sheetId="196" r:id="rId26"/>
    <sheet name="0212總" sheetId="197" r:id="rId27"/>
    <sheet name="0212" sheetId="198" r:id="rId28"/>
    <sheet name="0213總" sheetId="199" r:id="rId29"/>
    <sheet name="0213" sheetId="200" r:id="rId30"/>
    <sheet name="0214總" sheetId="201" r:id="rId31"/>
    <sheet name="0214" sheetId="202" r:id="rId32"/>
    <sheet name="0215總" sheetId="203" r:id="rId33"/>
    <sheet name="0215" sheetId="204" r:id="rId34"/>
    <sheet name="0216總" sheetId="207" r:id="rId35"/>
    <sheet name="0216" sheetId="208" r:id="rId36"/>
    <sheet name="0217總" sheetId="209" r:id="rId37"/>
    <sheet name="0217" sheetId="210" r:id="rId38"/>
    <sheet name="0218總" sheetId="211" r:id="rId39"/>
    <sheet name="0218" sheetId="212" r:id="rId40"/>
    <sheet name="0219總 " sheetId="213" r:id="rId41"/>
    <sheet name="0219" sheetId="214" r:id="rId42"/>
    <sheet name="0220總" sheetId="215" r:id="rId43"/>
    <sheet name="0220" sheetId="216" r:id="rId44"/>
    <sheet name="0221總" sheetId="217" r:id="rId45"/>
    <sheet name="0221" sheetId="218" r:id="rId46"/>
    <sheet name="0222總" sheetId="219" r:id="rId47"/>
    <sheet name="0222" sheetId="220" r:id="rId48"/>
    <sheet name="0223總" sheetId="221" r:id="rId49"/>
    <sheet name="0223" sheetId="222" r:id="rId50"/>
    <sheet name="0224總" sheetId="223" r:id="rId51"/>
    <sheet name="0224" sheetId="224" r:id="rId52"/>
    <sheet name="0225總" sheetId="225" r:id="rId53"/>
    <sheet name="0225" sheetId="226" r:id="rId54"/>
    <sheet name="0226總" sheetId="227" r:id="rId55"/>
    <sheet name="0226" sheetId="228" r:id="rId56"/>
    <sheet name="0227總" sheetId="229" r:id="rId57"/>
    <sheet name="0227" sheetId="230" r:id="rId58"/>
    <sheet name="0228總" sheetId="231" r:id="rId59"/>
    <sheet name="0228" sheetId="232" r:id="rId60"/>
  </sheets>
  <externalReferences>
    <externalReference r:id="rId61"/>
  </externalReferences>
  <definedNames>
    <definedName name="_xlnm._FilterDatabase" localSheetId="5">'0201'!$A$4:$AJ$79</definedName>
    <definedName name="_xlnm._FilterDatabase" localSheetId="4">'0201總'!$B$10:$J$25</definedName>
    <definedName name="_xlnm._FilterDatabase" localSheetId="7">'0202'!$A$4:$AJ$79</definedName>
    <definedName name="_xlnm._FilterDatabase" localSheetId="6">'0202總'!$B$10:$J$25</definedName>
    <definedName name="_xlnm._FilterDatabase" localSheetId="9">'0203'!$A$4:$AJ$79</definedName>
    <definedName name="_xlnm._FilterDatabase" localSheetId="8">'0203總'!$B$10:$J$25</definedName>
    <definedName name="_xlnm._FilterDatabase" localSheetId="11">'0204'!$A$4:$AJ$79</definedName>
    <definedName name="_xlnm._FilterDatabase" localSheetId="10">'0204總'!$B$10:$J$25</definedName>
    <definedName name="_xlnm._FilterDatabase" localSheetId="13">'0205'!$A$4:$AJ$79</definedName>
    <definedName name="_xlnm._FilterDatabase" localSheetId="12">'0205總'!$B$10:$J$25</definedName>
    <definedName name="_xlnm._FilterDatabase" localSheetId="15">'0206'!$A$4:$AJ$79</definedName>
    <definedName name="_xlnm._FilterDatabase" localSheetId="14">'0206總'!$B$10:$J$25</definedName>
    <definedName name="_xlnm._FilterDatabase" localSheetId="17">'0207'!$A$4:$AJ$79</definedName>
    <definedName name="_xlnm._FilterDatabase" localSheetId="16">'0207總 '!$B$10:$J$25</definedName>
    <definedName name="_xlnm._FilterDatabase" localSheetId="19">'0208'!$A$4:$AJ$79</definedName>
    <definedName name="_xlnm._FilterDatabase" localSheetId="18">'0208總'!$B$10:$J$25</definedName>
    <definedName name="_xlnm._FilterDatabase" localSheetId="21">'0209'!$A$4:$AJ$79</definedName>
    <definedName name="_xlnm._FilterDatabase" localSheetId="20">'0209總'!$B$10:$J$25</definedName>
    <definedName name="_xlnm._FilterDatabase" localSheetId="23">'0210'!$A$4:$AJ$79</definedName>
    <definedName name="_xlnm._FilterDatabase" localSheetId="22">'0210總'!$B$10:$J$25</definedName>
    <definedName name="_xlnm._FilterDatabase" localSheetId="25">'0211'!$A$4:$AJ$79</definedName>
    <definedName name="_xlnm._FilterDatabase" localSheetId="24">'0211總'!$B$10:$J$25</definedName>
    <definedName name="_xlnm._FilterDatabase" localSheetId="27">'0212'!$A$4:$AJ$79</definedName>
    <definedName name="_xlnm._FilterDatabase" localSheetId="26">'0212總'!$B$10:$J$25</definedName>
    <definedName name="_xlnm._FilterDatabase" localSheetId="29">'0213'!$A$4:$AJ$79</definedName>
    <definedName name="_xlnm._FilterDatabase" localSheetId="28">'0213總'!$B$10:$J$25</definedName>
    <definedName name="_xlnm._FilterDatabase" localSheetId="31">'0214'!$A$4:$AJ$79</definedName>
    <definedName name="_xlnm._FilterDatabase" localSheetId="30">'0214總'!$B$10:$J$25</definedName>
    <definedName name="_xlnm._FilterDatabase" localSheetId="33">'0215'!$A$4:$AJ$79</definedName>
    <definedName name="_xlnm._FilterDatabase" localSheetId="32">'0215總'!$B$10:$J$25</definedName>
    <definedName name="_xlnm._FilterDatabase" localSheetId="35">'0216'!$A$4:$AJ$79</definedName>
    <definedName name="_xlnm._FilterDatabase" localSheetId="34">'0216總'!$B$10:$J$25</definedName>
    <definedName name="_xlnm._FilterDatabase" localSheetId="37">'0217'!$A$4:$AJ$79</definedName>
    <definedName name="_xlnm._FilterDatabase" localSheetId="36">'0217總'!$B$10:$J$25</definedName>
    <definedName name="_xlnm._FilterDatabase" localSheetId="39">'0218'!$A$4:$AJ$79</definedName>
    <definedName name="_xlnm._FilterDatabase" localSheetId="38">'0218總'!$B$10:$J$25</definedName>
    <definedName name="_xlnm._FilterDatabase" localSheetId="41">'0219'!$A$4:$AJ$79</definedName>
    <definedName name="_xlnm._FilterDatabase" localSheetId="40">'0219總 '!$B$10:$J$25</definedName>
    <definedName name="_xlnm._FilterDatabase" localSheetId="43">'0220'!$A$4:$AJ$79</definedName>
    <definedName name="_xlnm._FilterDatabase" localSheetId="42">'0220總'!$B$10:$J$25</definedName>
    <definedName name="_xlnm._FilterDatabase" localSheetId="45">'0221'!$A$4:$AJ$79</definedName>
    <definedName name="_xlnm._FilterDatabase" localSheetId="44">'0221總'!$B$10:$J$25</definedName>
    <definedName name="_xlnm._FilterDatabase" localSheetId="47">'0222'!$A$4:$AJ$79</definedName>
    <definedName name="_xlnm._FilterDatabase" localSheetId="46">'0222總'!$B$10:$J$25</definedName>
    <definedName name="_xlnm._FilterDatabase" localSheetId="49">'0223'!$A$4:$AJ$79</definedName>
    <definedName name="_xlnm._FilterDatabase" localSheetId="48">'0223總'!$B$10:$J$25</definedName>
    <definedName name="_xlnm._FilterDatabase" localSheetId="51">'0224'!$A$4:$AJ$79</definedName>
    <definedName name="_xlnm._FilterDatabase" localSheetId="50">'0224總'!$B$10:$J$25</definedName>
    <definedName name="_xlnm._FilterDatabase" localSheetId="53">'0225'!$A$4:$AJ$79</definedName>
    <definedName name="_xlnm._FilterDatabase" localSheetId="52">'0225總'!$B$10:$J$25</definedName>
    <definedName name="_xlnm._FilterDatabase" localSheetId="55">'0226'!$A$4:$AJ$79</definedName>
    <definedName name="_xlnm._FilterDatabase" localSheetId="54">'0226總'!$B$10:$J$25</definedName>
    <definedName name="_xlnm._FilterDatabase" localSheetId="57">'0227'!$A$4:$AJ$79</definedName>
    <definedName name="_xlnm._FilterDatabase" localSheetId="56">'0227總'!$B$10:$J$25</definedName>
    <definedName name="_xlnm._FilterDatabase" localSheetId="59">'0228'!$A$4:$AJ$79</definedName>
    <definedName name="_xlnm._FilterDatabase" localSheetId="58">'0228總'!$B$10:$J$25</definedName>
    <definedName name="_xlnm._FilterDatabase" localSheetId="3" hidden="1">範本!$A$4:$AJ$79</definedName>
    <definedName name="_xlnm._FilterDatabase" localSheetId="2" hidden="1">範本總!$B$10:$J$25</definedName>
    <definedName name="_xlnm.Print_Area" localSheetId="5">'0201'!$A$1:$AH$79</definedName>
    <definedName name="_xlnm.Print_Area" localSheetId="7">'0202'!$A$1:$AH$79</definedName>
    <definedName name="_xlnm.Print_Area" localSheetId="9">'0203'!$A$1:$AH$79</definedName>
    <definedName name="_xlnm.Print_Area" localSheetId="11">'0204'!$A$1:$AH$79</definedName>
    <definedName name="_xlnm.Print_Area" localSheetId="13">'0205'!$A$1:$AH$79</definedName>
    <definedName name="_xlnm.Print_Area" localSheetId="15">'0206'!$A$1:$AH$79</definedName>
    <definedName name="_xlnm.Print_Area" localSheetId="17">'0207'!$A$1:$AH$79</definedName>
    <definedName name="_xlnm.Print_Area" localSheetId="19">'0208'!$A$1:$AH$79</definedName>
    <definedName name="_xlnm.Print_Area" localSheetId="21">'0209'!$A$1:$AH$79</definedName>
    <definedName name="_xlnm.Print_Area" localSheetId="23">'0210'!$A$1:$AH$79</definedName>
    <definedName name="_xlnm.Print_Area" localSheetId="25">'0211'!$A$1:$AH$79</definedName>
    <definedName name="_xlnm.Print_Area" localSheetId="27">'0212'!$A$1:$AH$79</definedName>
    <definedName name="_xlnm.Print_Area" localSheetId="29">'0213'!$A$1:$AH$79</definedName>
    <definedName name="_xlnm.Print_Area" localSheetId="31">'0214'!$A$1:$AH$79</definedName>
    <definedName name="_xlnm.Print_Area" localSheetId="33">'0215'!$A$1:$AH$79</definedName>
    <definedName name="_xlnm.Print_Area" localSheetId="35">'0216'!$A$1:$AH$79</definedName>
    <definedName name="_xlnm.Print_Area" localSheetId="37">'0217'!$A$1:$AH$79</definedName>
    <definedName name="_xlnm.Print_Area" localSheetId="39">'0218'!$A$1:$AH$79</definedName>
    <definedName name="_xlnm.Print_Area" localSheetId="41">'0219'!$A$1:$AH$79</definedName>
    <definedName name="_xlnm.Print_Area" localSheetId="43">'0220'!$A$1:$AH$79</definedName>
    <definedName name="_xlnm.Print_Area" localSheetId="45">'0221'!$A$1:$AH$79</definedName>
    <definedName name="_xlnm.Print_Area" localSheetId="47">'0222'!$A$1:$AH$79</definedName>
    <definedName name="_xlnm.Print_Area" localSheetId="49">'0223'!$A$1:$AH$79</definedName>
    <definedName name="_xlnm.Print_Area" localSheetId="51">'0224'!$A$1:$AH$79</definedName>
    <definedName name="_xlnm.Print_Area" localSheetId="53">'0225'!$A$1:$AH$79</definedName>
    <definedName name="_xlnm.Print_Area" localSheetId="55">'0226'!$A$1:$AH$79</definedName>
    <definedName name="_xlnm.Print_Area" localSheetId="57">'0227'!$A$1:$AH$79</definedName>
    <definedName name="_xlnm.Print_Area" localSheetId="59">'0228'!$A$1:$AH$79</definedName>
    <definedName name="_xlnm.Print_Area" localSheetId="3">範本!$A$1:$AH$79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9" i="232" l="1"/>
  <c r="AD79" i="232"/>
  <c r="AA79" i="232"/>
  <c r="Z79" i="232"/>
  <c r="M79" i="232"/>
  <c r="J22" i="231" s="1"/>
  <c r="W78" i="232"/>
  <c r="H78" i="232"/>
  <c r="W77" i="232"/>
  <c r="H77" i="232"/>
  <c r="W76" i="232"/>
  <c r="H76" i="232"/>
  <c r="W75" i="232"/>
  <c r="H75" i="232"/>
  <c r="W74" i="232"/>
  <c r="W73" i="232"/>
  <c r="W72" i="232"/>
  <c r="V72" i="232"/>
  <c r="N72" i="232"/>
  <c r="O72" i="232" s="1"/>
  <c r="K72" i="232"/>
  <c r="L72" i="232" s="1"/>
  <c r="J72" i="232"/>
  <c r="P72" i="232" s="1"/>
  <c r="H72" i="232"/>
  <c r="F72" i="232"/>
  <c r="W71" i="232"/>
  <c r="V71" i="232"/>
  <c r="N71" i="232"/>
  <c r="O71" i="232" s="1"/>
  <c r="K71" i="232"/>
  <c r="L71" i="232" s="1"/>
  <c r="J71" i="232"/>
  <c r="J79" i="232" s="1"/>
  <c r="H71" i="232"/>
  <c r="F71" i="232"/>
  <c r="W70" i="232"/>
  <c r="P70" i="232"/>
  <c r="N70" i="232"/>
  <c r="O70" i="232" s="1"/>
  <c r="L70" i="232"/>
  <c r="L79" i="232" s="1"/>
  <c r="K70" i="232"/>
  <c r="K79" i="232" s="1"/>
  <c r="J70" i="232"/>
  <c r="H70" i="232"/>
  <c r="F70" i="232"/>
  <c r="AE69" i="232"/>
  <c r="AD69" i="232"/>
  <c r="I20" i="231" s="1"/>
  <c r="AA69" i="232"/>
  <c r="Z69" i="232"/>
  <c r="M69" i="232"/>
  <c r="W68" i="232"/>
  <c r="H68" i="232"/>
  <c r="W67" i="232"/>
  <c r="W66" i="232"/>
  <c r="W65" i="232"/>
  <c r="W64" i="232"/>
  <c r="W63" i="232"/>
  <c r="AG62" i="232"/>
  <c r="AF62" i="232"/>
  <c r="W62" i="232"/>
  <c r="W61" i="232"/>
  <c r="N61" i="232" s="1"/>
  <c r="V61" i="232"/>
  <c r="P61" i="232"/>
  <c r="K61" i="232"/>
  <c r="J61" i="232"/>
  <c r="L61" i="232" s="1"/>
  <c r="F61" i="232"/>
  <c r="H61" i="232" s="1"/>
  <c r="W60" i="232"/>
  <c r="N60" i="232" s="1"/>
  <c r="V60" i="232"/>
  <c r="L60" i="232"/>
  <c r="K60" i="232"/>
  <c r="J60" i="232"/>
  <c r="P60" i="232" s="1"/>
  <c r="F60" i="232"/>
  <c r="H60" i="232" s="1"/>
  <c r="AG59" i="232"/>
  <c r="AF59" i="232"/>
  <c r="W59" i="232"/>
  <c r="N59" i="232"/>
  <c r="O59" i="232" s="1"/>
  <c r="K59" i="232"/>
  <c r="K69" i="232" s="1"/>
  <c r="J59" i="232"/>
  <c r="P59" i="232" s="1"/>
  <c r="F59" i="232"/>
  <c r="H59" i="232" s="1"/>
  <c r="AE58" i="232"/>
  <c r="AD58" i="232"/>
  <c r="AA58" i="232"/>
  <c r="H19" i="231" s="1"/>
  <c r="Z58" i="232"/>
  <c r="M58" i="232"/>
  <c r="P58" i="232" s="1"/>
  <c r="K58" i="232"/>
  <c r="J58" i="232"/>
  <c r="W57" i="232"/>
  <c r="W56" i="232"/>
  <c r="W55" i="232"/>
  <c r="W54" i="232"/>
  <c r="AG53" i="232"/>
  <c r="AF53" i="232"/>
  <c r="W53" i="232"/>
  <c r="AG52" i="232"/>
  <c r="AF52" i="232"/>
  <c r="W52" i="232"/>
  <c r="W51" i="232"/>
  <c r="V51" i="232"/>
  <c r="P51" i="232"/>
  <c r="N51" i="232"/>
  <c r="AG51" i="232" s="1"/>
  <c r="L51" i="232"/>
  <c r="H51" i="232"/>
  <c r="F51" i="232"/>
  <c r="W50" i="232"/>
  <c r="V50" i="232"/>
  <c r="P50" i="232"/>
  <c r="N50" i="232"/>
  <c r="AG50" i="232" s="1"/>
  <c r="L50" i="232"/>
  <c r="H50" i="232"/>
  <c r="F50" i="232"/>
  <c r="W49" i="232"/>
  <c r="P49" i="232"/>
  <c r="N49" i="232"/>
  <c r="AG49" i="232" s="1"/>
  <c r="L49" i="232"/>
  <c r="L58" i="232" s="1"/>
  <c r="H49" i="232"/>
  <c r="F49" i="232"/>
  <c r="AE48" i="232"/>
  <c r="G21" i="231" s="1"/>
  <c r="AD48" i="232"/>
  <c r="AA48" i="232"/>
  <c r="Z48" i="232"/>
  <c r="G18" i="231" s="1"/>
  <c r="W48" i="232"/>
  <c r="P48" i="232"/>
  <c r="M48" i="232"/>
  <c r="K48" i="232"/>
  <c r="J48" i="232"/>
  <c r="W47" i="232"/>
  <c r="H47" i="232"/>
  <c r="W46" i="232"/>
  <c r="W45" i="232"/>
  <c r="W44" i="232"/>
  <c r="W43" i="232"/>
  <c r="W42" i="232"/>
  <c r="AG41" i="232"/>
  <c r="AF41" i="232"/>
  <c r="W41" i="232"/>
  <c r="W40" i="232"/>
  <c r="N40" i="232" s="1"/>
  <c r="V40" i="232"/>
  <c r="P40" i="232"/>
  <c r="K40" i="232"/>
  <c r="L40" i="232" s="1"/>
  <c r="F40" i="232"/>
  <c r="H40" i="232" s="1"/>
  <c r="W39" i="232"/>
  <c r="N39" i="232" s="1"/>
  <c r="V39" i="232"/>
  <c r="P39" i="232"/>
  <c r="L39" i="232"/>
  <c r="K39" i="232"/>
  <c r="H39" i="232"/>
  <c r="F39" i="232"/>
  <c r="W38" i="232"/>
  <c r="N38" i="232" s="1"/>
  <c r="P38" i="232"/>
  <c r="L38" i="232"/>
  <c r="K38" i="232"/>
  <c r="F38" i="232"/>
  <c r="H38" i="232" s="1"/>
  <c r="AE37" i="232"/>
  <c r="F21" i="231" s="1"/>
  <c r="AD37" i="232"/>
  <c r="F20" i="231" s="1"/>
  <c r="AA37" i="232"/>
  <c r="Z37" i="232"/>
  <c r="M37" i="232"/>
  <c r="P37" i="232" s="1"/>
  <c r="J37" i="232"/>
  <c r="W36" i="232"/>
  <c r="H36" i="232"/>
  <c r="W35" i="232"/>
  <c r="W34" i="232"/>
  <c r="W33" i="232"/>
  <c r="W32" i="232"/>
  <c r="AG31" i="232"/>
  <c r="AF31" i="232"/>
  <c r="W31" i="232"/>
  <c r="W30" i="232"/>
  <c r="N30" i="232" s="1"/>
  <c r="V30" i="232"/>
  <c r="K30" i="232"/>
  <c r="L30" i="232" s="1"/>
  <c r="J30" i="232"/>
  <c r="P30" i="232" s="1"/>
  <c r="F30" i="232"/>
  <c r="H30" i="232" s="1"/>
  <c r="AG29" i="232"/>
  <c r="AF29" i="232"/>
  <c r="W29" i="232"/>
  <c r="V29" i="232"/>
  <c r="N29" i="232"/>
  <c r="O29" i="232" s="1"/>
  <c r="K29" i="232"/>
  <c r="L29" i="232" s="1"/>
  <c r="J29" i="232"/>
  <c r="P29" i="232" s="1"/>
  <c r="F29" i="232"/>
  <c r="H29" i="232" s="1"/>
  <c r="W28" i="232"/>
  <c r="V28" i="232"/>
  <c r="P28" i="232"/>
  <c r="N28" i="232"/>
  <c r="AG28" i="232" s="1"/>
  <c r="K28" i="232"/>
  <c r="K37" i="232" s="1"/>
  <c r="H28" i="232"/>
  <c r="F28" i="232"/>
  <c r="W27" i="232"/>
  <c r="P27" i="232"/>
  <c r="N27" i="232"/>
  <c r="AG27" i="232" s="1"/>
  <c r="L27" i="232"/>
  <c r="K27" i="232"/>
  <c r="F27" i="232"/>
  <c r="H27" i="232" s="1"/>
  <c r="AE26" i="232"/>
  <c r="AD26" i="232"/>
  <c r="AA26" i="232"/>
  <c r="Z26" i="232"/>
  <c r="Z2" i="232" s="1"/>
  <c r="M26" i="232"/>
  <c r="W25" i="232"/>
  <c r="H25" i="232"/>
  <c r="W24" i="232"/>
  <c r="H24" i="232"/>
  <c r="W23" i="232"/>
  <c r="W21" i="232"/>
  <c r="W20" i="232"/>
  <c r="W19" i="232"/>
  <c r="V19" i="232"/>
  <c r="P19" i="232"/>
  <c r="N19" i="232"/>
  <c r="K19" i="232"/>
  <c r="J19" i="232"/>
  <c r="F19" i="232"/>
  <c r="H19" i="232" s="1"/>
  <c r="W18" i="232"/>
  <c r="V18" i="232"/>
  <c r="P18" i="232"/>
  <c r="N18" i="232"/>
  <c r="K18" i="232"/>
  <c r="J18" i="232"/>
  <c r="L18" i="232" s="1"/>
  <c r="F18" i="232"/>
  <c r="H18" i="232" s="1"/>
  <c r="W17" i="232"/>
  <c r="N17" i="232" s="1"/>
  <c r="V17" i="232"/>
  <c r="P17" i="232"/>
  <c r="K17" i="232"/>
  <c r="J17" i="232"/>
  <c r="L17" i="232" s="1"/>
  <c r="F17" i="232"/>
  <c r="H17" i="232" s="1"/>
  <c r="W16" i="232"/>
  <c r="N16" i="232" s="1"/>
  <c r="K16" i="232"/>
  <c r="L16" i="232" s="1"/>
  <c r="J16" i="232"/>
  <c r="P16" i="232" s="1"/>
  <c r="F16" i="232"/>
  <c r="H16" i="232" s="1"/>
  <c r="AE15" i="232"/>
  <c r="AD15" i="232"/>
  <c r="AA15" i="232"/>
  <c r="AA2" i="232" s="1"/>
  <c r="Z15" i="232"/>
  <c r="M15" i="232"/>
  <c r="D22" i="231" s="1"/>
  <c r="W14" i="232"/>
  <c r="W13" i="232"/>
  <c r="W12" i="232"/>
  <c r="AG11" i="232"/>
  <c r="AF11" i="232"/>
  <c r="W11" i="232"/>
  <c r="AG10" i="232"/>
  <c r="AF10" i="232"/>
  <c r="W10" i="232"/>
  <c r="AG9" i="232"/>
  <c r="AF9" i="232"/>
  <c r="W9" i="232"/>
  <c r="W8" i="232"/>
  <c r="V8" i="232"/>
  <c r="P8" i="232"/>
  <c r="N8" i="232"/>
  <c r="AG8" i="232" s="1"/>
  <c r="K8" i="232"/>
  <c r="L8" i="232" s="1"/>
  <c r="J8" i="232"/>
  <c r="F8" i="232"/>
  <c r="H8" i="232" s="1"/>
  <c r="W7" i="232"/>
  <c r="V7" i="232"/>
  <c r="P7" i="232"/>
  <c r="N7" i="232"/>
  <c r="K7" i="232"/>
  <c r="J7" i="232"/>
  <c r="L7" i="232" s="1"/>
  <c r="F7" i="232"/>
  <c r="H7" i="232" s="1"/>
  <c r="W6" i="232"/>
  <c r="N6" i="232" s="1"/>
  <c r="V6" i="232"/>
  <c r="P6" i="232"/>
  <c r="K6" i="232"/>
  <c r="J6" i="232"/>
  <c r="L6" i="232" s="1"/>
  <c r="F6" i="232"/>
  <c r="H6" i="232" s="1"/>
  <c r="W5" i="232"/>
  <c r="N5" i="232" s="1"/>
  <c r="K5" i="232"/>
  <c r="L5" i="232" s="1"/>
  <c r="L15" i="232" s="1"/>
  <c r="D13" i="231" s="1"/>
  <c r="J5" i="232"/>
  <c r="J15" i="232" s="1"/>
  <c r="F5" i="232"/>
  <c r="H5" i="232" s="1"/>
  <c r="AE2" i="232"/>
  <c r="AD2" i="232"/>
  <c r="I2" i="232"/>
  <c r="E1" i="232"/>
  <c r="I21" i="231"/>
  <c r="I19" i="231"/>
  <c r="G20" i="231"/>
  <c r="E20" i="231"/>
  <c r="I22" i="231"/>
  <c r="G22" i="231"/>
  <c r="F22" i="231"/>
  <c r="E22" i="231"/>
  <c r="J21" i="231"/>
  <c r="H21" i="231"/>
  <c r="E21" i="231"/>
  <c r="J20" i="231"/>
  <c r="H20" i="231"/>
  <c r="J19" i="231"/>
  <c r="G19" i="231"/>
  <c r="F19" i="231"/>
  <c r="E19" i="231"/>
  <c r="D19" i="231"/>
  <c r="J18" i="231"/>
  <c r="H18" i="231"/>
  <c r="F18" i="231"/>
  <c r="D18" i="231"/>
  <c r="J16" i="231"/>
  <c r="I16" i="231"/>
  <c r="H16" i="231"/>
  <c r="G16" i="231"/>
  <c r="F16" i="231"/>
  <c r="E16" i="231"/>
  <c r="D16" i="231"/>
  <c r="O8" i="231"/>
  <c r="N8" i="231"/>
  <c r="M8" i="231"/>
  <c r="L8" i="231"/>
  <c r="O7" i="231"/>
  <c r="N7" i="231"/>
  <c r="M7" i="231"/>
  <c r="L7" i="231"/>
  <c r="G3" i="231"/>
  <c r="H6" i="229"/>
  <c r="AE79" i="230"/>
  <c r="AD79" i="230"/>
  <c r="AA79" i="230"/>
  <c r="J18" i="229" s="1"/>
  <c r="Z79" i="230"/>
  <c r="M79" i="230"/>
  <c r="J22" i="229" s="1"/>
  <c r="W78" i="230"/>
  <c r="H78" i="230"/>
  <c r="W77" i="230"/>
  <c r="H77" i="230"/>
  <c r="W76" i="230"/>
  <c r="H76" i="230"/>
  <c r="W75" i="230"/>
  <c r="H75" i="230"/>
  <c r="W74" i="230"/>
  <c r="W73" i="230"/>
  <c r="W72" i="230"/>
  <c r="W71" i="230"/>
  <c r="V71" i="230"/>
  <c r="N71" i="230"/>
  <c r="O71" i="230" s="1"/>
  <c r="K71" i="230"/>
  <c r="L71" i="230" s="1"/>
  <c r="J71" i="230"/>
  <c r="P71" i="230" s="1"/>
  <c r="F71" i="230"/>
  <c r="H71" i="230" s="1"/>
  <c r="W70" i="230"/>
  <c r="P70" i="230"/>
  <c r="N70" i="230"/>
  <c r="N79" i="230" s="1"/>
  <c r="K70" i="230"/>
  <c r="L70" i="230" s="1"/>
  <c r="J70" i="230"/>
  <c r="J79" i="230" s="1"/>
  <c r="F70" i="230"/>
  <c r="H70" i="230" s="1"/>
  <c r="AE69" i="230"/>
  <c r="AD69" i="230"/>
  <c r="I20" i="229" s="1"/>
  <c r="AA69" i="230"/>
  <c r="I19" i="229" s="1"/>
  <c r="Z69" i="230"/>
  <c r="M69" i="230"/>
  <c r="W68" i="230"/>
  <c r="H68" i="230"/>
  <c r="W67" i="230"/>
  <c r="W66" i="230"/>
  <c r="W65" i="230"/>
  <c r="W64" i="230"/>
  <c r="W63" i="230"/>
  <c r="AG62" i="230"/>
  <c r="AF62" i="230"/>
  <c r="W62" i="230"/>
  <c r="W61" i="230"/>
  <c r="N61" i="230" s="1"/>
  <c r="V61" i="230"/>
  <c r="K61" i="230"/>
  <c r="L61" i="230" s="1"/>
  <c r="J61" i="230"/>
  <c r="P61" i="230" s="1"/>
  <c r="F61" i="230"/>
  <c r="H61" i="230" s="1"/>
  <c r="W60" i="230"/>
  <c r="N60" i="230" s="1"/>
  <c r="V60" i="230"/>
  <c r="K60" i="230"/>
  <c r="L60" i="230" s="1"/>
  <c r="J60" i="230"/>
  <c r="P60" i="230" s="1"/>
  <c r="F60" i="230"/>
  <c r="H60" i="230" s="1"/>
  <c r="AG59" i="230"/>
  <c r="W59" i="230"/>
  <c r="N59" i="230"/>
  <c r="AF59" i="230" s="1"/>
  <c r="K59" i="230"/>
  <c r="K69" i="230" s="1"/>
  <c r="J59" i="230"/>
  <c r="P59" i="230" s="1"/>
  <c r="H59" i="230"/>
  <c r="F59" i="230"/>
  <c r="AE58" i="230"/>
  <c r="H21" i="229" s="1"/>
  <c r="AD58" i="230"/>
  <c r="AA58" i="230"/>
  <c r="Z58" i="230"/>
  <c r="P58" i="230"/>
  <c r="N58" i="230"/>
  <c r="AG58" i="230" s="1"/>
  <c r="AH49" i="230" s="1"/>
  <c r="M58" i="230"/>
  <c r="J58" i="230"/>
  <c r="W57" i="230"/>
  <c r="W56" i="230"/>
  <c r="W55" i="230"/>
  <c r="W54" i="230"/>
  <c r="AG53" i="230"/>
  <c r="AF53" i="230"/>
  <c r="W53" i="230"/>
  <c r="AG52" i="230"/>
  <c r="W52" i="230"/>
  <c r="V52" i="230"/>
  <c r="P52" i="230"/>
  <c r="N52" i="230"/>
  <c r="AF52" i="230" s="1"/>
  <c r="L52" i="230"/>
  <c r="F52" i="230"/>
  <c r="H52" i="230" s="1"/>
  <c r="AG51" i="230"/>
  <c r="W51" i="230"/>
  <c r="V51" i="230"/>
  <c r="P51" i="230"/>
  <c r="N51" i="230"/>
  <c r="AF51" i="230" s="1"/>
  <c r="K51" i="230"/>
  <c r="K58" i="230" s="1"/>
  <c r="F51" i="230"/>
  <c r="H51" i="230" s="1"/>
  <c r="W50" i="230"/>
  <c r="V50" i="230"/>
  <c r="P50" i="230"/>
  <c r="N50" i="230"/>
  <c r="AG50" i="230" s="1"/>
  <c r="L50" i="230"/>
  <c r="F50" i="230"/>
  <c r="H50" i="230" s="1"/>
  <c r="W49" i="230"/>
  <c r="P49" i="230"/>
  <c r="N49" i="230"/>
  <c r="AG49" i="230" s="1"/>
  <c r="L49" i="230"/>
  <c r="H49" i="230"/>
  <c r="F49" i="230"/>
  <c r="AE48" i="230"/>
  <c r="G21" i="229" s="1"/>
  <c r="AD48" i="230"/>
  <c r="AA48" i="230"/>
  <c r="Z48" i="230"/>
  <c r="G18" i="229" s="1"/>
  <c r="W48" i="230"/>
  <c r="P48" i="230"/>
  <c r="M48" i="230"/>
  <c r="J48" i="230"/>
  <c r="W47" i="230"/>
  <c r="H47" i="230"/>
  <c r="W46" i="230"/>
  <c r="W45" i="230"/>
  <c r="W44" i="230"/>
  <c r="W43" i="230"/>
  <c r="W42" i="230"/>
  <c r="AG41" i="230"/>
  <c r="AF41" i="230"/>
  <c r="W41" i="230"/>
  <c r="AG40" i="230"/>
  <c r="AF40" i="230"/>
  <c r="W40" i="230"/>
  <c r="W39" i="230"/>
  <c r="N39" i="230" s="1"/>
  <c r="V39" i="230"/>
  <c r="P39" i="230"/>
  <c r="K39" i="230"/>
  <c r="K48" i="230" s="1"/>
  <c r="F39" i="230"/>
  <c r="H39" i="230" s="1"/>
  <c r="W38" i="230"/>
  <c r="N38" i="230" s="1"/>
  <c r="P38" i="230"/>
  <c r="L38" i="230"/>
  <c r="F38" i="230"/>
  <c r="H38" i="230" s="1"/>
  <c r="AE37" i="230"/>
  <c r="F21" i="229" s="1"/>
  <c r="AD37" i="230"/>
  <c r="F20" i="229" s="1"/>
  <c r="AA37" i="230"/>
  <c r="Z37" i="230"/>
  <c r="M37" i="230"/>
  <c r="P37" i="230" s="1"/>
  <c r="J37" i="230"/>
  <c r="W36" i="230"/>
  <c r="W35" i="230"/>
  <c r="W34" i="230"/>
  <c r="W33" i="230"/>
  <c r="W32" i="230"/>
  <c r="AG31" i="230"/>
  <c r="AF31" i="230"/>
  <c r="W31" i="230"/>
  <c r="W30" i="230"/>
  <c r="N30" i="230" s="1"/>
  <c r="V30" i="230"/>
  <c r="P30" i="230"/>
  <c r="K30" i="230"/>
  <c r="L30" i="230" s="1"/>
  <c r="F30" i="230"/>
  <c r="H30" i="230" s="1"/>
  <c r="W29" i="230"/>
  <c r="N29" i="230" s="1"/>
  <c r="V29" i="230"/>
  <c r="K29" i="230"/>
  <c r="L29" i="230" s="1"/>
  <c r="J29" i="230"/>
  <c r="P29" i="230" s="1"/>
  <c r="F29" i="230"/>
  <c r="H29" i="230" s="1"/>
  <c r="AG28" i="230"/>
  <c r="AF28" i="230"/>
  <c r="W28" i="230"/>
  <c r="V28" i="230"/>
  <c r="P28" i="230"/>
  <c r="N28" i="230"/>
  <c r="O28" i="230" s="1"/>
  <c r="K28" i="230"/>
  <c r="L28" i="230" s="1"/>
  <c r="F28" i="230"/>
  <c r="H28" i="230" s="1"/>
  <c r="W27" i="230"/>
  <c r="P27" i="230"/>
  <c r="N27" i="230"/>
  <c r="AG27" i="230" s="1"/>
  <c r="K27" i="230"/>
  <c r="K37" i="230" s="1"/>
  <c r="H27" i="230"/>
  <c r="F27" i="230"/>
  <c r="AE26" i="230"/>
  <c r="AD26" i="230"/>
  <c r="E20" i="229" s="1"/>
  <c r="AA26" i="230"/>
  <c r="E19" i="229" s="1"/>
  <c r="Z26" i="230"/>
  <c r="Z2" i="230" s="1"/>
  <c r="M26" i="230"/>
  <c r="W25" i="230"/>
  <c r="H25" i="230"/>
  <c r="W24" i="230"/>
  <c r="H24" i="230"/>
  <c r="W23" i="230"/>
  <c r="W21" i="230"/>
  <c r="W20" i="230"/>
  <c r="AG19" i="230"/>
  <c r="W19" i="230"/>
  <c r="V19" i="230"/>
  <c r="N19" i="230"/>
  <c r="AF19" i="230" s="1"/>
  <c r="K19" i="230"/>
  <c r="L19" i="230" s="1"/>
  <c r="J19" i="230"/>
  <c r="P19" i="230" s="1"/>
  <c r="H19" i="230"/>
  <c r="F19" i="230"/>
  <c r="W18" i="230"/>
  <c r="V18" i="230"/>
  <c r="P18" i="230"/>
  <c r="N18" i="230"/>
  <c r="AG18" i="230" s="1"/>
  <c r="K18" i="230"/>
  <c r="L18" i="230" s="1"/>
  <c r="J18" i="230"/>
  <c r="F18" i="230"/>
  <c r="H18" i="230" s="1"/>
  <c r="W17" i="230"/>
  <c r="V17" i="230"/>
  <c r="P17" i="230"/>
  <c r="N17" i="230"/>
  <c r="AG17" i="230" s="1"/>
  <c r="L17" i="230"/>
  <c r="K17" i="230"/>
  <c r="J17" i="230"/>
  <c r="F17" i="230"/>
  <c r="H17" i="230" s="1"/>
  <c r="W16" i="230"/>
  <c r="N16" i="230" s="1"/>
  <c r="K16" i="230"/>
  <c r="L16" i="230" s="1"/>
  <c r="J16" i="230"/>
  <c r="P16" i="230" s="1"/>
  <c r="F16" i="230"/>
  <c r="H16" i="230" s="1"/>
  <c r="AE15" i="230"/>
  <c r="D21" i="229" s="1"/>
  <c r="AD15" i="230"/>
  <c r="D20" i="229" s="1"/>
  <c r="O6" i="229" s="1"/>
  <c r="AA15" i="230"/>
  <c r="Z15" i="230"/>
  <c r="M15" i="230"/>
  <c r="P15" i="230" s="1"/>
  <c r="K15" i="230"/>
  <c r="J15" i="230"/>
  <c r="W14" i="230"/>
  <c r="W13" i="230"/>
  <c r="W12" i="230"/>
  <c r="AG11" i="230"/>
  <c r="AF11" i="230"/>
  <c r="W11" i="230"/>
  <c r="AG10" i="230"/>
  <c r="AF10" i="230"/>
  <c r="W10" i="230"/>
  <c r="AG9" i="230"/>
  <c r="AF9" i="230"/>
  <c r="W9" i="230"/>
  <c r="AG8" i="230"/>
  <c r="AF8" i="230"/>
  <c r="W8" i="230"/>
  <c r="W7" i="230"/>
  <c r="V7" i="230"/>
  <c r="P7" i="230"/>
  <c r="N7" i="230"/>
  <c r="AF7" i="230" s="1"/>
  <c r="L7" i="230"/>
  <c r="K7" i="230"/>
  <c r="J7" i="230"/>
  <c r="F7" i="230"/>
  <c r="H7" i="230" s="1"/>
  <c r="W6" i="230"/>
  <c r="N6" i="230" s="1"/>
  <c r="V6" i="230"/>
  <c r="P6" i="230"/>
  <c r="K6" i="230"/>
  <c r="L6" i="230" s="1"/>
  <c r="J6" i="230"/>
  <c r="F6" i="230"/>
  <c r="H6" i="230" s="1"/>
  <c r="W5" i="230"/>
  <c r="N5" i="230" s="1"/>
  <c r="K5" i="230"/>
  <c r="L5" i="230" s="1"/>
  <c r="L15" i="230" s="1"/>
  <c r="J5" i="230"/>
  <c r="P5" i="230" s="1"/>
  <c r="F5" i="230"/>
  <c r="H5" i="230" s="1"/>
  <c r="AA2" i="230"/>
  <c r="I2" i="230"/>
  <c r="E1" i="230"/>
  <c r="I21" i="229"/>
  <c r="H18" i="229"/>
  <c r="H22" i="229"/>
  <c r="I22" i="229"/>
  <c r="G22" i="229"/>
  <c r="F22" i="229"/>
  <c r="E22" i="229"/>
  <c r="J21" i="229"/>
  <c r="E21" i="229"/>
  <c r="J20" i="229"/>
  <c r="H20" i="229"/>
  <c r="G20" i="229"/>
  <c r="J19" i="229"/>
  <c r="H19" i="229"/>
  <c r="G19" i="229"/>
  <c r="F19" i="229"/>
  <c r="D19" i="229"/>
  <c r="F18" i="229"/>
  <c r="D18" i="229"/>
  <c r="J16" i="229"/>
  <c r="I16" i="229"/>
  <c r="H16" i="229"/>
  <c r="G16" i="229"/>
  <c r="F16" i="229"/>
  <c r="E16" i="229"/>
  <c r="D16" i="229"/>
  <c r="O8" i="229"/>
  <c r="N8" i="229"/>
  <c r="M8" i="229"/>
  <c r="L8" i="229"/>
  <c r="O7" i="229"/>
  <c r="N7" i="229"/>
  <c r="M7" i="229"/>
  <c r="L7" i="229"/>
  <c r="G3" i="229"/>
  <c r="AE79" i="228"/>
  <c r="AD79" i="228"/>
  <c r="AA79" i="228"/>
  <c r="Z79" i="228"/>
  <c r="M79" i="228"/>
  <c r="J22" i="227" s="1"/>
  <c r="W78" i="228"/>
  <c r="H78" i="228"/>
  <c r="W77" i="228"/>
  <c r="H77" i="228"/>
  <c r="W76" i="228"/>
  <c r="H76" i="228"/>
  <c r="W75" i="228"/>
  <c r="H75" i="228"/>
  <c r="W74" i="228"/>
  <c r="W73" i="228"/>
  <c r="W72" i="228"/>
  <c r="N72" i="228" s="1"/>
  <c r="K72" i="228"/>
  <c r="L72" i="228" s="1"/>
  <c r="J72" i="228"/>
  <c r="P72" i="228" s="1"/>
  <c r="F72" i="228"/>
  <c r="H72" i="228" s="1"/>
  <c r="W71" i="228"/>
  <c r="O71" i="228"/>
  <c r="N71" i="228"/>
  <c r="K71" i="228"/>
  <c r="L71" i="228" s="1"/>
  <c r="J71" i="228"/>
  <c r="P71" i="228" s="1"/>
  <c r="F71" i="228"/>
  <c r="H71" i="228" s="1"/>
  <c r="W70" i="228"/>
  <c r="N70" i="228"/>
  <c r="AG70" i="228" s="1"/>
  <c r="K70" i="228"/>
  <c r="K79" i="228" s="1"/>
  <c r="J70" i="228"/>
  <c r="F70" i="228"/>
  <c r="H70" i="228" s="1"/>
  <c r="AE69" i="228"/>
  <c r="AD69" i="228"/>
  <c r="AA69" i="228"/>
  <c r="Z69" i="228"/>
  <c r="M69" i="228"/>
  <c r="W68" i="228"/>
  <c r="H68" i="228"/>
  <c r="W67" i="228"/>
  <c r="W66" i="228"/>
  <c r="W65" i="228"/>
  <c r="W64" i="228"/>
  <c r="W63" i="228"/>
  <c r="AG62" i="228"/>
  <c r="AF62" i="228"/>
  <c r="W62" i="228"/>
  <c r="W61" i="228"/>
  <c r="V61" i="228"/>
  <c r="P61" i="228"/>
  <c r="N61" i="228"/>
  <c r="K61" i="228"/>
  <c r="L61" i="228" s="1"/>
  <c r="J61" i="228"/>
  <c r="F61" i="228"/>
  <c r="H61" i="228" s="1"/>
  <c r="W60" i="228"/>
  <c r="N60" i="228" s="1"/>
  <c r="V60" i="228"/>
  <c r="P60" i="228"/>
  <c r="K60" i="228"/>
  <c r="J60" i="228"/>
  <c r="L60" i="228" s="1"/>
  <c r="F60" i="228"/>
  <c r="H60" i="228" s="1"/>
  <c r="W59" i="228"/>
  <c r="N59" i="228" s="1"/>
  <c r="K59" i="228"/>
  <c r="K69" i="228" s="1"/>
  <c r="J59" i="228"/>
  <c r="J69" i="228" s="1"/>
  <c r="P69" i="228" s="1"/>
  <c r="F59" i="228"/>
  <c r="H59" i="228" s="1"/>
  <c r="AE58" i="228"/>
  <c r="AD58" i="228"/>
  <c r="AA58" i="228"/>
  <c r="Z58" i="228"/>
  <c r="M58" i="228"/>
  <c r="K58" i="228"/>
  <c r="W57" i="228"/>
  <c r="W56" i="228"/>
  <c r="W55" i="228"/>
  <c r="W54" i="228"/>
  <c r="AG53" i="228"/>
  <c r="AF53" i="228"/>
  <c r="W53" i="228"/>
  <c r="W52" i="228"/>
  <c r="N52" i="228" s="1"/>
  <c r="V52" i="228"/>
  <c r="K52" i="228"/>
  <c r="L52" i="228" s="1"/>
  <c r="L58" i="228" s="1"/>
  <c r="J52" i="228"/>
  <c r="J58" i="228" s="1"/>
  <c r="F52" i="228"/>
  <c r="H52" i="228" s="1"/>
  <c r="AG51" i="228"/>
  <c r="AF51" i="228"/>
  <c r="W51" i="228"/>
  <c r="V51" i="228"/>
  <c r="P51" i="228"/>
  <c r="N51" i="228"/>
  <c r="O51" i="228" s="1"/>
  <c r="L51" i="228"/>
  <c r="F51" i="228"/>
  <c r="H51" i="228" s="1"/>
  <c r="AG50" i="228"/>
  <c r="AF50" i="228"/>
  <c r="W50" i="228"/>
  <c r="V50" i="228"/>
  <c r="P50" i="228"/>
  <c r="N50" i="228"/>
  <c r="O50" i="228" s="1"/>
  <c r="L50" i="228"/>
  <c r="F50" i="228"/>
  <c r="H50" i="228" s="1"/>
  <c r="AG49" i="228"/>
  <c r="W49" i="228"/>
  <c r="P49" i="228"/>
  <c r="N49" i="228"/>
  <c r="AF49" i="228" s="1"/>
  <c r="L49" i="228"/>
  <c r="F49" i="228"/>
  <c r="H49" i="228" s="1"/>
  <c r="AE48" i="228"/>
  <c r="AD48" i="228"/>
  <c r="AA48" i="228"/>
  <c r="Z48" i="228"/>
  <c r="W48" i="228"/>
  <c r="M48" i="228"/>
  <c r="P48" i="228" s="1"/>
  <c r="J48" i="228"/>
  <c r="W47" i="228"/>
  <c r="H47" i="228"/>
  <c r="W46" i="228"/>
  <c r="W45" i="228"/>
  <c r="W44" i="228"/>
  <c r="W43" i="228"/>
  <c r="W42" i="228"/>
  <c r="AG41" i="228"/>
  <c r="AF41" i="228"/>
  <c r="W41" i="228"/>
  <c r="AG40" i="228"/>
  <c r="AF40" i="228"/>
  <c r="W40" i="228"/>
  <c r="W39" i="228"/>
  <c r="N39" i="228" s="1"/>
  <c r="V39" i="228"/>
  <c r="P39" i="228"/>
  <c r="O39" i="228"/>
  <c r="L39" i="228"/>
  <c r="K39" i="228"/>
  <c r="F39" i="228"/>
  <c r="H39" i="228" s="1"/>
  <c r="W38" i="228"/>
  <c r="N38" i="228" s="1"/>
  <c r="P38" i="228"/>
  <c r="K38" i="228"/>
  <c r="K48" i="228" s="1"/>
  <c r="F38" i="228"/>
  <c r="H38" i="228" s="1"/>
  <c r="AE37" i="228"/>
  <c r="F21" i="227" s="1"/>
  <c r="AD37" i="228"/>
  <c r="F20" i="227" s="1"/>
  <c r="AA37" i="228"/>
  <c r="Z37" i="228"/>
  <c r="M37" i="228"/>
  <c r="P37" i="228" s="1"/>
  <c r="J37" i="228"/>
  <c r="W36" i="228"/>
  <c r="H36" i="228"/>
  <c r="W35" i="228"/>
  <c r="W34" i="228"/>
  <c r="W33" i="228"/>
  <c r="W32" i="228"/>
  <c r="AG31" i="228"/>
  <c r="AF31" i="228"/>
  <c r="W31" i="228"/>
  <c r="W30" i="228"/>
  <c r="N30" i="228" s="1"/>
  <c r="V30" i="228"/>
  <c r="P30" i="228"/>
  <c r="L30" i="228"/>
  <c r="K30" i="228"/>
  <c r="F30" i="228"/>
  <c r="H30" i="228" s="1"/>
  <c r="W29" i="228"/>
  <c r="N29" i="228" s="1"/>
  <c r="V29" i="228"/>
  <c r="K29" i="228"/>
  <c r="L29" i="228" s="1"/>
  <c r="J29" i="228"/>
  <c r="P29" i="228" s="1"/>
  <c r="F29" i="228"/>
  <c r="H29" i="228" s="1"/>
  <c r="AG28" i="228"/>
  <c r="AF28" i="228"/>
  <c r="W28" i="228"/>
  <c r="V28" i="228"/>
  <c r="P28" i="228"/>
  <c r="N28" i="228"/>
  <c r="O28" i="228" s="1"/>
  <c r="K28" i="228"/>
  <c r="L28" i="228" s="1"/>
  <c r="F28" i="228"/>
  <c r="H28" i="228" s="1"/>
  <c r="W27" i="228"/>
  <c r="P27" i="228"/>
  <c r="N27" i="228"/>
  <c r="AG27" i="228" s="1"/>
  <c r="K27" i="228"/>
  <c r="L27" i="228" s="1"/>
  <c r="L37" i="228" s="1"/>
  <c r="H27" i="228"/>
  <c r="F27" i="228"/>
  <c r="AE26" i="228"/>
  <c r="AD26" i="228"/>
  <c r="AA26" i="228"/>
  <c r="Z26" i="228"/>
  <c r="E18" i="227" s="1"/>
  <c r="M26" i="228"/>
  <c r="W25" i="228"/>
  <c r="H25" i="228"/>
  <c r="W24" i="228"/>
  <c r="H24" i="228"/>
  <c r="W23" i="228"/>
  <c r="W21" i="228"/>
  <c r="W20" i="228"/>
  <c r="AG19" i="228"/>
  <c r="W19" i="228"/>
  <c r="V19" i="228"/>
  <c r="N19" i="228"/>
  <c r="AF19" i="228" s="1"/>
  <c r="K19" i="228"/>
  <c r="L19" i="228" s="1"/>
  <c r="J19" i="228"/>
  <c r="P19" i="228" s="1"/>
  <c r="H19" i="228"/>
  <c r="F19" i="228"/>
  <c r="W18" i="228"/>
  <c r="V18" i="228"/>
  <c r="P18" i="228"/>
  <c r="N18" i="228"/>
  <c r="K18" i="228"/>
  <c r="L18" i="228" s="1"/>
  <c r="J18" i="228"/>
  <c r="F18" i="228"/>
  <c r="H18" i="228" s="1"/>
  <c r="W17" i="228"/>
  <c r="V17" i="228"/>
  <c r="P17" i="228"/>
  <c r="N17" i="228"/>
  <c r="K17" i="228"/>
  <c r="L17" i="228" s="1"/>
  <c r="J17" i="228"/>
  <c r="F17" i="228"/>
  <c r="H17" i="228" s="1"/>
  <c r="W16" i="228"/>
  <c r="N16" i="228" s="1"/>
  <c r="K16" i="228"/>
  <c r="K26" i="228" s="1"/>
  <c r="J16" i="228"/>
  <c r="P16" i="228" s="1"/>
  <c r="F16" i="228"/>
  <c r="H16" i="228" s="1"/>
  <c r="AE15" i="228"/>
  <c r="AE2" i="228" s="1"/>
  <c r="AD15" i="228"/>
  <c r="AD2" i="228" s="1"/>
  <c r="AA15" i="228"/>
  <c r="Z15" i="228"/>
  <c r="D18" i="227" s="1"/>
  <c r="M15" i="228"/>
  <c r="P15" i="228" s="1"/>
  <c r="W14" i="228"/>
  <c r="W13" i="228"/>
  <c r="W12" i="228"/>
  <c r="AG11" i="228"/>
  <c r="AF11" i="228"/>
  <c r="W11" i="228"/>
  <c r="AG10" i="228"/>
  <c r="AF10" i="228"/>
  <c r="W10" i="228"/>
  <c r="AG9" i="228"/>
  <c r="AF9" i="228"/>
  <c r="W9" i="228"/>
  <c r="AG8" i="228"/>
  <c r="W8" i="228"/>
  <c r="V8" i="228"/>
  <c r="N8" i="228"/>
  <c r="AF8" i="228" s="1"/>
  <c r="K8" i="228"/>
  <c r="L8" i="228" s="1"/>
  <c r="J8" i="228"/>
  <c r="J15" i="228" s="1"/>
  <c r="H8" i="228"/>
  <c r="F8" i="228"/>
  <c r="W7" i="228"/>
  <c r="V7" i="228"/>
  <c r="P7" i="228"/>
  <c r="N7" i="228"/>
  <c r="O7" i="228" s="1"/>
  <c r="K7" i="228"/>
  <c r="J7" i="228"/>
  <c r="F7" i="228"/>
  <c r="H7" i="228" s="1"/>
  <c r="W6" i="228"/>
  <c r="V6" i="228"/>
  <c r="P6" i="228"/>
  <c r="N6" i="228"/>
  <c r="K6" i="228"/>
  <c r="L6" i="228" s="1"/>
  <c r="J6" i="228"/>
  <c r="F6" i="228"/>
  <c r="H6" i="228" s="1"/>
  <c r="W5" i="228"/>
  <c r="N5" i="228" s="1"/>
  <c r="P5" i="228"/>
  <c r="K5" i="228"/>
  <c r="L5" i="228" s="1"/>
  <c r="J5" i="228"/>
  <c r="F5" i="228"/>
  <c r="H5" i="228" s="1"/>
  <c r="Z2" i="228"/>
  <c r="I2" i="228"/>
  <c r="E1" i="228"/>
  <c r="I20" i="227"/>
  <c r="I19" i="227"/>
  <c r="I18" i="227"/>
  <c r="H19" i="227"/>
  <c r="H22" i="227"/>
  <c r="G21" i="227"/>
  <c r="E21" i="227"/>
  <c r="D19" i="227"/>
  <c r="I22" i="227"/>
  <c r="F22" i="227"/>
  <c r="D22" i="227"/>
  <c r="J21" i="227"/>
  <c r="I21" i="227"/>
  <c r="H21" i="227"/>
  <c r="J20" i="227"/>
  <c r="H20" i="227"/>
  <c r="G20" i="227"/>
  <c r="E20" i="227"/>
  <c r="J19" i="227"/>
  <c r="G19" i="227"/>
  <c r="E19" i="227"/>
  <c r="J18" i="227"/>
  <c r="H18" i="227"/>
  <c r="G18" i="227"/>
  <c r="F18" i="227"/>
  <c r="J16" i="227"/>
  <c r="I16" i="227"/>
  <c r="H16" i="227"/>
  <c r="G16" i="227"/>
  <c r="F16" i="227"/>
  <c r="E16" i="227"/>
  <c r="D16" i="227"/>
  <c r="O8" i="227"/>
  <c r="N8" i="227"/>
  <c r="M8" i="227"/>
  <c r="L8" i="227"/>
  <c r="O7" i="227"/>
  <c r="N7" i="227"/>
  <c r="M7" i="227"/>
  <c r="L7" i="227"/>
  <c r="V63" i="224"/>
  <c r="N63" i="224"/>
  <c r="O63" i="224"/>
  <c r="P63" i="224"/>
  <c r="Q63" i="224"/>
  <c r="R63" i="224"/>
  <c r="H63" i="224"/>
  <c r="J63" i="224"/>
  <c r="K63" i="224"/>
  <c r="L63" i="224" s="1"/>
  <c r="F63" i="224"/>
  <c r="J39" i="224"/>
  <c r="K38" i="224"/>
  <c r="K15" i="224"/>
  <c r="J19" i="225"/>
  <c r="J16" i="225"/>
  <c r="I16" i="225"/>
  <c r="H16" i="225"/>
  <c r="G16" i="225"/>
  <c r="F16" i="225"/>
  <c r="E16" i="225"/>
  <c r="D16" i="225"/>
  <c r="O8" i="225"/>
  <c r="N8" i="225"/>
  <c r="M8" i="225"/>
  <c r="L8" i="225"/>
  <c r="O7" i="225"/>
  <c r="N7" i="225"/>
  <c r="M7" i="225"/>
  <c r="L7" i="225"/>
  <c r="AE79" i="224"/>
  <c r="AD79" i="224"/>
  <c r="AA79" i="224"/>
  <c r="J18" i="223" s="1"/>
  <c r="Z79" i="224"/>
  <c r="M79" i="224"/>
  <c r="J22" i="223" s="1"/>
  <c r="W78" i="224"/>
  <c r="W77" i="224"/>
  <c r="W76" i="224"/>
  <c r="W75" i="224"/>
  <c r="W74" i="224"/>
  <c r="W73" i="224"/>
  <c r="W72" i="224"/>
  <c r="N72" i="224" s="1"/>
  <c r="O72" i="224" s="1"/>
  <c r="V72" i="224"/>
  <c r="K72" i="224"/>
  <c r="J72" i="224"/>
  <c r="H72" i="224"/>
  <c r="F72" i="224"/>
  <c r="W71" i="224"/>
  <c r="N71" i="224" s="1"/>
  <c r="V71" i="224"/>
  <c r="P71" i="224"/>
  <c r="O71" i="224"/>
  <c r="K71" i="224"/>
  <c r="J71" i="224"/>
  <c r="H71" i="224"/>
  <c r="F71" i="224"/>
  <c r="AG70" i="224"/>
  <c r="W70" i="224"/>
  <c r="O70" i="224"/>
  <c r="N70" i="224"/>
  <c r="L70" i="224"/>
  <c r="K70" i="224"/>
  <c r="J70" i="224"/>
  <c r="P70" i="224" s="1"/>
  <c r="H70" i="224"/>
  <c r="F70" i="224"/>
  <c r="AE69" i="224"/>
  <c r="AD69" i="224"/>
  <c r="AA69" i="224"/>
  <c r="Z69" i="224"/>
  <c r="I18" i="223" s="1"/>
  <c r="M69" i="224"/>
  <c r="W68" i="224"/>
  <c r="H68" i="224"/>
  <c r="W67" i="224"/>
  <c r="W66" i="224"/>
  <c r="W65" i="224"/>
  <c r="W64" i="224"/>
  <c r="W63" i="224"/>
  <c r="AF62" i="224"/>
  <c r="W62" i="224"/>
  <c r="N62" i="224" s="1"/>
  <c r="V62" i="224"/>
  <c r="K62" i="224"/>
  <c r="J62" i="224"/>
  <c r="H62" i="224"/>
  <c r="F62" i="224"/>
  <c r="W61" i="224"/>
  <c r="N61" i="224" s="1"/>
  <c r="V61" i="224"/>
  <c r="K61" i="224"/>
  <c r="J61" i="224"/>
  <c r="P61" i="224" s="1"/>
  <c r="H61" i="224"/>
  <c r="F61" i="224"/>
  <c r="W60" i="224"/>
  <c r="V60" i="224"/>
  <c r="N60" i="224"/>
  <c r="L60" i="224"/>
  <c r="K60" i="224"/>
  <c r="J60" i="224"/>
  <c r="H60" i="224"/>
  <c r="F60" i="224"/>
  <c r="W59" i="224"/>
  <c r="P59" i="224"/>
  <c r="N59" i="224"/>
  <c r="L59" i="224"/>
  <c r="K59" i="224"/>
  <c r="J59" i="224"/>
  <c r="H59" i="224"/>
  <c r="F59" i="224"/>
  <c r="AE58" i="224"/>
  <c r="H21" i="223" s="1"/>
  <c r="AD58" i="224"/>
  <c r="AA58" i="224"/>
  <c r="H19" i="223" s="1"/>
  <c r="Z58" i="224"/>
  <c r="M58" i="224"/>
  <c r="H22" i="223" s="1"/>
  <c r="W57" i="224"/>
  <c r="W56" i="224"/>
  <c r="W55" i="224"/>
  <c r="W54" i="224"/>
  <c r="W53" i="224"/>
  <c r="W52" i="224"/>
  <c r="W51" i="224"/>
  <c r="N51" i="224" s="1"/>
  <c r="V51" i="224"/>
  <c r="P51" i="224"/>
  <c r="L51" i="224"/>
  <c r="F51" i="224"/>
  <c r="H51" i="224" s="1"/>
  <c r="W50" i="224"/>
  <c r="V50" i="224"/>
  <c r="N50" i="224"/>
  <c r="H50" i="224"/>
  <c r="F50" i="224"/>
  <c r="W49" i="224"/>
  <c r="N49" i="224" s="1"/>
  <c r="L49" i="224"/>
  <c r="K58" i="224"/>
  <c r="P49" i="224"/>
  <c r="H49" i="224"/>
  <c r="F49" i="224"/>
  <c r="AE48" i="224"/>
  <c r="G21" i="223" s="1"/>
  <c r="AD48" i="224"/>
  <c r="G20" i="223" s="1"/>
  <c r="AA48" i="224"/>
  <c r="Z48" i="224"/>
  <c r="W48" i="224"/>
  <c r="M48" i="224"/>
  <c r="W47" i="224"/>
  <c r="H47" i="224"/>
  <c r="W46" i="224"/>
  <c r="W45" i="224"/>
  <c r="W44" i="224"/>
  <c r="W43" i="224"/>
  <c r="W42" i="224"/>
  <c r="W41" i="224"/>
  <c r="W40" i="224"/>
  <c r="N40" i="224" s="1"/>
  <c r="V40" i="224"/>
  <c r="K40" i="224"/>
  <c r="J40" i="224"/>
  <c r="P40" i="224" s="1"/>
  <c r="F40" i="224"/>
  <c r="H40" i="224" s="1"/>
  <c r="W39" i="224"/>
  <c r="N39" i="224" s="1"/>
  <c r="O39" i="224" s="1"/>
  <c r="V39" i="224"/>
  <c r="P39" i="224"/>
  <c r="K39" i="224"/>
  <c r="H39" i="224"/>
  <c r="F39" i="224"/>
  <c r="W38" i="224"/>
  <c r="N38" i="224" s="1"/>
  <c r="O38" i="224" s="1"/>
  <c r="P38" i="224"/>
  <c r="F38" i="224"/>
  <c r="H38" i="224" s="1"/>
  <c r="AE37" i="224"/>
  <c r="AD37" i="224"/>
  <c r="F20" i="223" s="1"/>
  <c r="AA37" i="224"/>
  <c r="F19" i="223" s="1"/>
  <c r="Z37" i="224"/>
  <c r="F18" i="223" s="1"/>
  <c r="M37" i="224"/>
  <c r="W36" i="224"/>
  <c r="H36" i="224"/>
  <c r="W35" i="224"/>
  <c r="W34" i="224"/>
  <c r="W33" i="224"/>
  <c r="W32" i="224"/>
  <c r="W31" i="224"/>
  <c r="N31" i="224" s="1"/>
  <c r="V31" i="224"/>
  <c r="P31" i="224"/>
  <c r="O31" i="224"/>
  <c r="K31" i="224"/>
  <c r="L31" i="224" s="1"/>
  <c r="H31" i="224"/>
  <c r="F31" i="224"/>
  <c r="AF30" i="224"/>
  <c r="W30" i="224"/>
  <c r="N30" i="224" s="1"/>
  <c r="AG30" i="224" s="1"/>
  <c r="V30" i="224"/>
  <c r="O30" i="224"/>
  <c r="K30" i="224"/>
  <c r="J30" i="224"/>
  <c r="P30" i="224" s="1"/>
  <c r="F30" i="224"/>
  <c r="H30" i="224" s="1"/>
  <c r="AG29" i="224"/>
  <c r="AF29" i="224"/>
  <c r="W29" i="224"/>
  <c r="N29" i="224" s="1"/>
  <c r="O29" i="224" s="1"/>
  <c r="V29" i="224"/>
  <c r="K29" i="224"/>
  <c r="J29" i="224"/>
  <c r="F29" i="224"/>
  <c r="H29" i="224" s="1"/>
  <c r="W28" i="224"/>
  <c r="N28" i="224" s="1"/>
  <c r="V28" i="224"/>
  <c r="P28" i="224"/>
  <c r="L28" i="224"/>
  <c r="K28" i="224"/>
  <c r="H28" i="224"/>
  <c r="F28" i="224"/>
  <c r="W27" i="224"/>
  <c r="N27" i="224" s="1"/>
  <c r="AF27" i="224" s="1"/>
  <c r="P27" i="224"/>
  <c r="K27" i="224"/>
  <c r="K37" i="224" s="1"/>
  <c r="H27" i="224"/>
  <c r="F27" i="224"/>
  <c r="AE26" i="224"/>
  <c r="E21" i="223" s="1"/>
  <c r="AD26" i="224"/>
  <c r="AA26" i="224"/>
  <c r="Z26" i="224"/>
  <c r="M26" i="224"/>
  <c r="W25" i="224"/>
  <c r="H25" i="224"/>
  <c r="W24" i="224"/>
  <c r="H24" i="224"/>
  <c r="W23" i="224"/>
  <c r="W21" i="224"/>
  <c r="W20" i="224"/>
  <c r="W19" i="224"/>
  <c r="N19" i="224" s="1"/>
  <c r="V19" i="224"/>
  <c r="K19" i="224"/>
  <c r="J19" i="224"/>
  <c r="H19" i="224"/>
  <c r="F19" i="224"/>
  <c r="AF18" i="224"/>
  <c r="W18" i="224"/>
  <c r="N18" i="224" s="1"/>
  <c r="V18" i="224"/>
  <c r="K18" i="224"/>
  <c r="L18" i="224" s="1"/>
  <c r="J18" i="224"/>
  <c r="P18" i="224" s="1"/>
  <c r="H18" i="224"/>
  <c r="F18" i="224"/>
  <c r="W17" i="224"/>
  <c r="N17" i="224" s="1"/>
  <c r="V17" i="224"/>
  <c r="P17" i="224"/>
  <c r="L17" i="224"/>
  <c r="K17" i="224"/>
  <c r="J17" i="224"/>
  <c r="H17" i="224"/>
  <c r="F17" i="224"/>
  <c r="W16" i="224"/>
  <c r="P16" i="224"/>
  <c r="O16" i="224"/>
  <c r="N16" i="224"/>
  <c r="K16" i="224"/>
  <c r="J16" i="224"/>
  <c r="F16" i="224"/>
  <c r="H16" i="224" s="1"/>
  <c r="AE15" i="224"/>
  <c r="D21" i="223" s="1"/>
  <c r="AD15" i="224"/>
  <c r="AA15" i="224"/>
  <c r="Z15" i="224"/>
  <c r="M15" i="224"/>
  <c r="W14" i="224"/>
  <c r="W13" i="224"/>
  <c r="W12" i="224"/>
  <c r="AG11" i="224"/>
  <c r="AF11" i="224"/>
  <c r="W11" i="224"/>
  <c r="AG10" i="224"/>
  <c r="AF10" i="224"/>
  <c r="W10" i="224"/>
  <c r="W9" i="224"/>
  <c r="N9" i="224" s="1"/>
  <c r="V9" i="224"/>
  <c r="K9" i="224"/>
  <c r="J9" i="224"/>
  <c r="L9" i="224" s="1"/>
  <c r="F9" i="224"/>
  <c r="H9" i="224" s="1"/>
  <c r="W8" i="224"/>
  <c r="N8" i="224" s="1"/>
  <c r="V8" i="224"/>
  <c r="K8" i="224"/>
  <c r="L8" i="224" s="1"/>
  <c r="J8" i="224"/>
  <c r="P8" i="224" s="1"/>
  <c r="H8" i="224"/>
  <c r="F8" i="224"/>
  <c r="W7" i="224"/>
  <c r="N7" i="224" s="1"/>
  <c r="V7" i="224"/>
  <c r="L7" i="224"/>
  <c r="K7" i="224"/>
  <c r="J7" i="224"/>
  <c r="P7" i="224" s="1"/>
  <c r="F7" i="224"/>
  <c r="H7" i="224" s="1"/>
  <c r="W6" i="224"/>
  <c r="N6" i="224" s="1"/>
  <c r="V6" i="224"/>
  <c r="L6" i="224"/>
  <c r="L15" i="224" s="1"/>
  <c r="D13" i="223" s="1"/>
  <c r="K6" i="224"/>
  <c r="J6" i="224"/>
  <c r="P6" i="224" s="1"/>
  <c r="F6" i="224"/>
  <c r="H6" i="224" s="1"/>
  <c r="W5" i="224"/>
  <c r="P5" i="224"/>
  <c r="N5" i="224"/>
  <c r="K5" i="224"/>
  <c r="L5" i="224" s="1"/>
  <c r="J5" i="224"/>
  <c r="J15" i="224" s="1"/>
  <c r="H5" i="224"/>
  <c r="F5" i="224"/>
  <c r="I2" i="224"/>
  <c r="E1" i="224"/>
  <c r="G3" i="223" s="1"/>
  <c r="G22" i="223"/>
  <c r="E22" i="223"/>
  <c r="J21" i="223"/>
  <c r="I21" i="223"/>
  <c r="F21" i="223"/>
  <c r="J20" i="223"/>
  <c r="I20" i="223"/>
  <c r="H20" i="223"/>
  <c r="E20" i="223"/>
  <c r="D20" i="223"/>
  <c r="J19" i="223"/>
  <c r="I19" i="223"/>
  <c r="G19" i="223"/>
  <c r="E19" i="223"/>
  <c r="H18" i="223"/>
  <c r="G18" i="223"/>
  <c r="E18" i="223"/>
  <c r="D18" i="223"/>
  <c r="J16" i="223"/>
  <c r="I16" i="223"/>
  <c r="H16" i="223"/>
  <c r="G16" i="223"/>
  <c r="F16" i="223"/>
  <c r="E16" i="223"/>
  <c r="D16" i="223"/>
  <c r="O8" i="223"/>
  <c r="N8" i="223"/>
  <c r="M8" i="223"/>
  <c r="L8" i="223"/>
  <c r="O7" i="223"/>
  <c r="N7" i="223"/>
  <c r="M7" i="223"/>
  <c r="L7" i="223"/>
  <c r="AE79" i="222"/>
  <c r="AD79" i="222"/>
  <c r="AA79" i="222"/>
  <c r="J18" i="221" s="1"/>
  <c r="Z79" i="222"/>
  <c r="N79" i="222"/>
  <c r="M79" i="222"/>
  <c r="W78" i="222"/>
  <c r="H78" i="222"/>
  <c r="W77" i="222"/>
  <c r="H77" i="222"/>
  <c r="W76" i="222"/>
  <c r="H76" i="222"/>
  <c r="W75" i="222"/>
  <c r="H75" i="222"/>
  <c r="W74" i="222"/>
  <c r="W73" i="222"/>
  <c r="W72" i="222"/>
  <c r="V72" i="222"/>
  <c r="N72" i="222"/>
  <c r="O72" i="222" s="1"/>
  <c r="L72" i="222"/>
  <c r="K72" i="222"/>
  <c r="J72" i="222"/>
  <c r="P72" i="222" s="1"/>
  <c r="F72" i="222"/>
  <c r="H72" i="222" s="1"/>
  <c r="W71" i="222"/>
  <c r="N71" i="222" s="1"/>
  <c r="O71" i="222" s="1"/>
  <c r="V71" i="222"/>
  <c r="K71" i="222"/>
  <c r="K79" i="222" s="1"/>
  <c r="J71" i="222"/>
  <c r="F71" i="222"/>
  <c r="H71" i="222" s="1"/>
  <c r="W70" i="222"/>
  <c r="N70" i="222"/>
  <c r="K70" i="222"/>
  <c r="L70" i="222" s="1"/>
  <c r="J70" i="222"/>
  <c r="P70" i="222" s="1"/>
  <c r="F70" i="222"/>
  <c r="H70" i="222" s="1"/>
  <c r="AE69" i="222"/>
  <c r="AD69" i="222"/>
  <c r="AA69" i="222"/>
  <c r="Z69" i="222"/>
  <c r="I18" i="221" s="1"/>
  <c r="M69" i="222"/>
  <c r="W68" i="222"/>
  <c r="H68" i="222"/>
  <c r="W67" i="222"/>
  <c r="W66" i="222"/>
  <c r="W65" i="222"/>
  <c r="W64" i="222"/>
  <c r="W63" i="222"/>
  <c r="N63" i="222" s="1"/>
  <c r="O63" i="222" s="1"/>
  <c r="V63" i="222"/>
  <c r="L63" i="222"/>
  <c r="K63" i="222"/>
  <c r="J63" i="222"/>
  <c r="P63" i="222" s="1"/>
  <c r="F63" i="222"/>
  <c r="H63" i="222" s="1"/>
  <c r="W62" i="222"/>
  <c r="N62" i="222" s="1"/>
  <c r="V62" i="222"/>
  <c r="P62" i="222"/>
  <c r="L62" i="222"/>
  <c r="K62" i="222"/>
  <c r="J62" i="222"/>
  <c r="H62" i="222"/>
  <c r="F62" i="222"/>
  <c r="W61" i="222"/>
  <c r="V61" i="222"/>
  <c r="P61" i="222"/>
  <c r="O61" i="222"/>
  <c r="N61" i="222"/>
  <c r="K61" i="222"/>
  <c r="J61" i="222"/>
  <c r="F61" i="222"/>
  <c r="H61" i="222" s="1"/>
  <c r="W60" i="222"/>
  <c r="V60" i="222"/>
  <c r="N60" i="222"/>
  <c r="K60" i="222"/>
  <c r="J60" i="222"/>
  <c r="P60" i="222" s="1"/>
  <c r="H60" i="222"/>
  <c r="F60" i="222"/>
  <c r="W59" i="222"/>
  <c r="N59" i="222" s="1"/>
  <c r="P59" i="222"/>
  <c r="K59" i="222"/>
  <c r="J59" i="222"/>
  <c r="F59" i="222"/>
  <c r="H59" i="222" s="1"/>
  <c r="AE58" i="222"/>
  <c r="AD58" i="222"/>
  <c r="H20" i="221" s="1"/>
  <c r="AA58" i="222"/>
  <c r="Z58" i="222"/>
  <c r="M58" i="222"/>
  <c r="W57" i="222"/>
  <c r="W56" i="222"/>
  <c r="W55" i="222"/>
  <c r="W54" i="222"/>
  <c r="AG53" i="222"/>
  <c r="AF53" i="222"/>
  <c r="W53" i="222"/>
  <c r="AG52" i="222"/>
  <c r="AF52" i="222"/>
  <c r="W52" i="222"/>
  <c r="W51" i="222"/>
  <c r="N51" i="222" s="1"/>
  <c r="V51" i="222"/>
  <c r="K51" i="222"/>
  <c r="J51" i="222"/>
  <c r="F51" i="222"/>
  <c r="H51" i="222" s="1"/>
  <c r="W50" i="222"/>
  <c r="N50" i="222" s="1"/>
  <c r="V50" i="222"/>
  <c r="P50" i="222"/>
  <c r="L50" i="222"/>
  <c r="K50" i="222"/>
  <c r="J50" i="222"/>
  <c r="H50" i="222"/>
  <c r="F50" i="222"/>
  <c r="AG49" i="222"/>
  <c r="W49" i="222"/>
  <c r="P49" i="222"/>
  <c r="N49" i="222"/>
  <c r="AF49" i="222" s="1"/>
  <c r="K49" i="222"/>
  <c r="K58" i="222" s="1"/>
  <c r="J49" i="222"/>
  <c r="J58" i="222" s="1"/>
  <c r="H49" i="222"/>
  <c r="F49" i="222"/>
  <c r="AE48" i="222"/>
  <c r="G21" i="221" s="1"/>
  <c r="AD48" i="222"/>
  <c r="G20" i="221" s="1"/>
  <c r="AA48" i="222"/>
  <c r="G19" i="221" s="1"/>
  <c r="Z48" i="222"/>
  <c r="W48" i="222"/>
  <c r="M48" i="222"/>
  <c r="K48" i="222"/>
  <c r="W47" i="222"/>
  <c r="H47" i="222"/>
  <c r="W46" i="222"/>
  <c r="W45" i="222"/>
  <c r="W44" i="222"/>
  <c r="W43" i="222"/>
  <c r="W42" i="222"/>
  <c r="AG41" i="222"/>
  <c r="AF41" i="222"/>
  <c r="W41" i="222"/>
  <c r="W40" i="222"/>
  <c r="N40" i="222" s="1"/>
  <c r="V40" i="222"/>
  <c r="K40" i="222"/>
  <c r="J40" i="222"/>
  <c r="H40" i="222"/>
  <c r="F40" i="222"/>
  <c r="AG39" i="222"/>
  <c r="W39" i="222"/>
  <c r="N39" i="222" s="1"/>
  <c r="V39" i="222"/>
  <c r="L39" i="222"/>
  <c r="K39" i="222"/>
  <c r="J39" i="222"/>
  <c r="P39" i="222" s="1"/>
  <c r="H39" i="222"/>
  <c r="F39" i="222"/>
  <c r="W38" i="222"/>
  <c r="P38" i="222"/>
  <c r="N38" i="222"/>
  <c r="K38" i="222"/>
  <c r="J38" i="222"/>
  <c r="L38" i="222" s="1"/>
  <c r="F38" i="222"/>
  <c r="H38" i="222" s="1"/>
  <c r="AE37" i="222"/>
  <c r="AD37" i="222"/>
  <c r="AA37" i="222"/>
  <c r="Z37" i="222"/>
  <c r="M37" i="222"/>
  <c r="W36" i="222"/>
  <c r="H36" i="222"/>
  <c r="W35" i="222"/>
  <c r="W34" i="222"/>
  <c r="W33" i="222"/>
  <c r="W32" i="222"/>
  <c r="W31" i="222"/>
  <c r="N31" i="222" s="1"/>
  <c r="V31" i="222"/>
  <c r="P31" i="222"/>
  <c r="K31" i="222"/>
  <c r="L31" i="222" s="1"/>
  <c r="F31" i="222"/>
  <c r="H31" i="222" s="1"/>
  <c r="W30" i="222"/>
  <c r="V30" i="222"/>
  <c r="O30" i="222"/>
  <c r="N30" i="222"/>
  <c r="AF30" i="222" s="1"/>
  <c r="K30" i="222"/>
  <c r="J30" i="222"/>
  <c r="H30" i="222"/>
  <c r="F30" i="222"/>
  <c r="W29" i="222"/>
  <c r="V29" i="222"/>
  <c r="O29" i="222"/>
  <c r="N29" i="222"/>
  <c r="L29" i="222"/>
  <c r="K29" i="222"/>
  <c r="J29" i="222"/>
  <c r="H29" i="222"/>
  <c r="F29" i="222"/>
  <c r="W28" i="222"/>
  <c r="V28" i="222"/>
  <c r="P28" i="222"/>
  <c r="N28" i="222"/>
  <c r="K28" i="222"/>
  <c r="H28" i="222"/>
  <c r="F28" i="222"/>
  <c r="AF27" i="222"/>
  <c r="W27" i="222"/>
  <c r="Q27" i="222"/>
  <c r="P27" i="222"/>
  <c r="O27" i="222"/>
  <c r="R27" i="222" s="1"/>
  <c r="N27" i="222"/>
  <c r="AG27" i="222" s="1"/>
  <c r="L27" i="222"/>
  <c r="K27" i="222"/>
  <c r="F27" i="222"/>
  <c r="H27" i="222" s="1"/>
  <c r="AE26" i="222"/>
  <c r="AD26" i="222"/>
  <c r="AA26" i="222"/>
  <c r="E19" i="221" s="1"/>
  <c r="Z26" i="222"/>
  <c r="M26" i="222"/>
  <c r="E22" i="221" s="1"/>
  <c r="W25" i="222"/>
  <c r="H25" i="222"/>
  <c r="W24" i="222"/>
  <c r="H24" i="222"/>
  <c r="W23" i="222"/>
  <c r="W21" i="222"/>
  <c r="W20" i="222"/>
  <c r="AF19" i="222"/>
  <c r="W19" i="222"/>
  <c r="V19" i="222"/>
  <c r="P19" i="222"/>
  <c r="N19" i="222"/>
  <c r="L19" i="222"/>
  <c r="K19" i="222"/>
  <c r="J19" i="222"/>
  <c r="F19" i="222"/>
  <c r="H19" i="222" s="1"/>
  <c r="AF18" i="222"/>
  <c r="W18" i="222"/>
  <c r="N18" i="222" s="1"/>
  <c r="V18" i="222"/>
  <c r="K18" i="222"/>
  <c r="J18" i="222"/>
  <c r="H18" i="222"/>
  <c r="F18" i="222"/>
  <c r="W17" i="222"/>
  <c r="N17" i="222" s="1"/>
  <c r="V17" i="222"/>
  <c r="K17" i="222"/>
  <c r="J17" i="222"/>
  <c r="P17" i="222" s="1"/>
  <c r="H17" i="222"/>
  <c r="F17" i="222"/>
  <c r="W16" i="222"/>
  <c r="N16" i="222" s="1"/>
  <c r="K16" i="222"/>
  <c r="J16" i="222"/>
  <c r="P16" i="222" s="1"/>
  <c r="F16" i="222"/>
  <c r="H16" i="222" s="1"/>
  <c r="AE15" i="222"/>
  <c r="AD15" i="222"/>
  <c r="AA15" i="222"/>
  <c r="Z15" i="222"/>
  <c r="M15" i="222"/>
  <c r="W14" i="222"/>
  <c r="W13" i="222"/>
  <c r="W12" i="222"/>
  <c r="AG11" i="222"/>
  <c r="AF11" i="222"/>
  <c r="W11" i="222"/>
  <c r="AG10" i="222"/>
  <c r="AF10" i="222"/>
  <c r="W10" i="222"/>
  <c r="AG9" i="222"/>
  <c r="AF9" i="222"/>
  <c r="W9" i="222"/>
  <c r="W8" i="222"/>
  <c r="V8" i="222"/>
  <c r="P8" i="222"/>
  <c r="N8" i="222"/>
  <c r="K8" i="222"/>
  <c r="L8" i="222" s="1"/>
  <c r="J8" i="222"/>
  <c r="F8" i="222"/>
  <c r="H8" i="222" s="1"/>
  <c r="W7" i="222"/>
  <c r="N7" i="222" s="1"/>
  <c r="V7" i="222"/>
  <c r="K7" i="222"/>
  <c r="J7" i="222"/>
  <c r="H7" i="222"/>
  <c r="F7" i="222"/>
  <c r="W6" i="222"/>
  <c r="N6" i="222" s="1"/>
  <c r="V6" i="222"/>
  <c r="P6" i="222"/>
  <c r="K6" i="222"/>
  <c r="AG6" i="222" s="1"/>
  <c r="J6" i="222"/>
  <c r="H6" i="222"/>
  <c r="F6" i="222"/>
  <c r="AG5" i="222"/>
  <c r="W5" i="222"/>
  <c r="N5" i="222"/>
  <c r="AF5" i="222" s="1"/>
  <c r="K5" i="222"/>
  <c r="K15" i="222" s="1"/>
  <c r="J5" i="222"/>
  <c r="H5" i="222"/>
  <c r="F5" i="222"/>
  <c r="AD2" i="222"/>
  <c r="I2" i="222"/>
  <c r="I1" i="222"/>
  <c r="E1" i="222"/>
  <c r="G3" i="221" s="1"/>
  <c r="J22" i="221"/>
  <c r="H22" i="221"/>
  <c r="G22" i="221"/>
  <c r="D22" i="221"/>
  <c r="J21" i="221"/>
  <c r="I21" i="221"/>
  <c r="H21" i="221"/>
  <c r="F21" i="221"/>
  <c r="D21" i="221"/>
  <c r="J20" i="221"/>
  <c r="I20" i="221"/>
  <c r="F20" i="221"/>
  <c r="E20" i="221"/>
  <c r="D20" i="221"/>
  <c r="J19" i="221"/>
  <c r="I19" i="221"/>
  <c r="M6" i="221" s="1"/>
  <c r="H19" i="221"/>
  <c r="F19" i="221"/>
  <c r="D19" i="221"/>
  <c r="H18" i="221"/>
  <c r="G18" i="221"/>
  <c r="L6" i="221" s="1"/>
  <c r="F18" i="221"/>
  <c r="E18" i="221"/>
  <c r="D18" i="221"/>
  <c r="J16" i="221"/>
  <c r="I16" i="221"/>
  <c r="H16" i="221"/>
  <c r="G16" i="221"/>
  <c r="F16" i="221"/>
  <c r="E16" i="221"/>
  <c r="D16" i="221"/>
  <c r="O8" i="221"/>
  <c r="N8" i="221"/>
  <c r="M8" i="221"/>
  <c r="L8" i="221"/>
  <c r="O7" i="221"/>
  <c r="N7" i="221"/>
  <c r="M7" i="221"/>
  <c r="L7" i="221"/>
  <c r="AE79" i="220"/>
  <c r="AD79" i="220"/>
  <c r="AA79" i="220"/>
  <c r="J18" i="219" s="1"/>
  <c r="Z79" i="220"/>
  <c r="M79" i="220"/>
  <c r="J79" i="220"/>
  <c r="W78" i="220"/>
  <c r="H78" i="220"/>
  <c r="W77" i="220"/>
  <c r="H77" i="220"/>
  <c r="W76" i="220"/>
  <c r="H76" i="220"/>
  <c r="W75" i="220"/>
  <c r="H75" i="220"/>
  <c r="W74" i="220"/>
  <c r="H74" i="220"/>
  <c r="W73" i="220"/>
  <c r="V73" i="220"/>
  <c r="O73" i="220"/>
  <c r="N73" i="220"/>
  <c r="L73" i="220"/>
  <c r="K73" i="220"/>
  <c r="J73" i="220"/>
  <c r="P73" i="220" s="1"/>
  <c r="H73" i="220"/>
  <c r="F73" i="220"/>
  <c r="W72" i="220"/>
  <c r="V72" i="220"/>
  <c r="P72" i="220"/>
  <c r="N72" i="220"/>
  <c r="O72" i="220" s="1"/>
  <c r="K72" i="220"/>
  <c r="L72" i="220" s="1"/>
  <c r="J72" i="220"/>
  <c r="H72" i="220"/>
  <c r="F72" i="220"/>
  <c r="W71" i="220"/>
  <c r="N71" i="220" s="1"/>
  <c r="O71" i="220" s="1"/>
  <c r="V71" i="220"/>
  <c r="K71" i="220"/>
  <c r="J71" i="220"/>
  <c r="P71" i="220" s="1"/>
  <c r="F71" i="220"/>
  <c r="H71" i="220" s="1"/>
  <c r="W70" i="220"/>
  <c r="N70" i="220" s="1"/>
  <c r="K70" i="220"/>
  <c r="J70" i="220"/>
  <c r="P70" i="220" s="1"/>
  <c r="H70" i="220"/>
  <c r="F70" i="220"/>
  <c r="AE69" i="220"/>
  <c r="I21" i="219" s="1"/>
  <c r="AD69" i="220"/>
  <c r="AA69" i="220"/>
  <c r="Z69" i="220"/>
  <c r="M69" i="220"/>
  <c r="K69" i="220"/>
  <c r="W68" i="220"/>
  <c r="H68" i="220"/>
  <c r="W67" i="220"/>
  <c r="H67" i="220"/>
  <c r="W66" i="220"/>
  <c r="H66" i="220"/>
  <c r="W65" i="220"/>
  <c r="H65" i="220"/>
  <c r="W64" i="220"/>
  <c r="H64" i="220"/>
  <c r="W63" i="220"/>
  <c r="H63" i="220"/>
  <c r="AG62" i="220"/>
  <c r="W62" i="220"/>
  <c r="N62" i="220" s="1"/>
  <c r="AF62" i="220" s="1"/>
  <c r="V62" i="220"/>
  <c r="P62" i="220"/>
  <c r="O62" i="220"/>
  <c r="L62" i="220"/>
  <c r="K62" i="220"/>
  <c r="J62" i="220"/>
  <c r="H62" i="220"/>
  <c r="F62" i="220"/>
  <c r="W61" i="220"/>
  <c r="V61" i="220"/>
  <c r="N61" i="220"/>
  <c r="L61" i="220"/>
  <c r="K61" i="220"/>
  <c r="J61" i="220"/>
  <c r="P61" i="220" s="1"/>
  <c r="H61" i="220"/>
  <c r="F61" i="220"/>
  <c r="W60" i="220"/>
  <c r="V60" i="220"/>
  <c r="N60" i="220"/>
  <c r="K60" i="220"/>
  <c r="J60" i="220"/>
  <c r="L60" i="220" s="1"/>
  <c r="F60" i="220"/>
  <c r="H60" i="220" s="1"/>
  <c r="W59" i="220"/>
  <c r="N59" i="220" s="1"/>
  <c r="K59" i="220"/>
  <c r="J59" i="220"/>
  <c r="H59" i="220"/>
  <c r="F59" i="220"/>
  <c r="AE58" i="220"/>
  <c r="H21" i="219" s="1"/>
  <c r="AD58" i="220"/>
  <c r="H20" i="219" s="1"/>
  <c r="AA58" i="220"/>
  <c r="H19" i="219" s="1"/>
  <c r="Z58" i="220"/>
  <c r="H18" i="219" s="1"/>
  <c r="M58" i="220"/>
  <c r="W57" i="220"/>
  <c r="W56" i="220"/>
  <c r="W55" i="220"/>
  <c r="W54" i="220"/>
  <c r="AG53" i="220"/>
  <c r="AF53" i="220"/>
  <c r="W53" i="220"/>
  <c r="AG52" i="220"/>
  <c r="AF52" i="220"/>
  <c r="W52" i="220"/>
  <c r="W51" i="220"/>
  <c r="N51" i="220" s="1"/>
  <c r="V51" i="220"/>
  <c r="K51" i="220"/>
  <c r="J51" i="220"/>
  <c r="F51" i="220"/>
  <c r="H51" i="220" s="1"/>
  <c r="AG50" i="220"/>
  <c r="W50" i="220"/>
  <c r="N50" i="220" s="1"/>
  <c r="O50" i="220" s="1"/>
  <c r="V50" i="220"/>
  <c r="K50" i="220"/>
  <c r="AF50" i="220" s="1"/>
  <c r="J50" i="220"/>
  <c r="P50" i="220" s="1"/>
  <c r="F50" i="220"/>
  <c r="H50" i="220" s="1"/>
  <c r="AF49" i="220"/>
  <c r="W49" i="220"/>
  <c r="N49" i="220" s="1"/>
  <c r="K49" i="220"/>
  <c r="J49" i="220"/>
  <c r="P49" i="220" s="1"/>
  <c r="H49" i="220"/>
  <c r="F49" i="220"/>
  <c r="AE48" i="220"/>
  <c r="AD48" i="220"/>
  <c r="AA48" i="220"/>
  <c r="Z48" i="220"/>
  <c r="W48" i="220"/>
  <c r="M48" i="220"/>
  <c r="W47" i="220"/>
  <c r="H47" i="220"/>
  <c r="W46" i="220"/>
  <c r="H46" i="220"/>
  <c r="W45" i="220"/>
  <c r="H45" i="220"/>
  <c r="W44" i="220"/>
  <c r="H44" i="220"/>
  <c r="W43" i="220"/>
  <c r="H43" i="220"/>
  <c r="W42" i="220"/>
  <c r="H42" i="220"/>
  <c r="AG41" i="220"/>
  <c r="AF41" i="220"/>
  <c r="W41" i="220"/>
  <c r="H41" i="220"/>
  <c r="W40" i="220"/>
  <c r="N40" i="220" s="1"/>
  <c r="O40" i="220" s="1"/>
  <c r="V40" i="220"/>
  <c r="K40" i="220"/>
  <c r="J40" i="220"/>
  <c r="P40" i="220" s="1"/>
  <c r="H40" i="220"/>
  <c r="F40" i="220"/>
  <c r="AG39" i="220"/>
  <c r="W39" i="220"/>
  <c r="V39" i="220"/>
  <c r="N39" i="220"/>
  <c r="O39" i="220" s="1"/>
  <c r="K39" i="220"/>
  <c r="J39" i="220"/>
  <c r="P39" i="220" s="1"/>
  <c r="H39" i="220"/>
  <c r="F39" i="220"/>
  <c r="W38" i="220"/>
  <c r="P38" i="220"/>
  <c r="N38" i="220"/>
  <c r="L38" i="220"/>
  <c r="K38" i="220"/>
  <c r="J38" i="220"/>
  <c r="H38" i="220"/>
  <c r="F38" i="220"/>
  <c r="AE37" i="220"/>
  <c r="AD37" i="220"/>
  <c r="AA37" i="220"/>
  <c r="Z37" i="220"/>
  <c r="F18" i="219" s="1"/>
  <c r="M37" i="220"/>
  <c r="F22" i="219" s="1"/>
  <c r="J37" i="220"/>
  <c r="W36" i="220"/>
  <c r="H36" i="220"/>
  <c r="W35" i="220"/>
  <c r="W34" i="220"/>
  <c r="W33" i="220"/>
  <c r="W32" i="220"/>
  <c r="W31" i="220"/>
  <c r="V31" i="220"/>
  <c r="P31" i="220"/>
  <c r="N31" i="220"/>
  <c r="K31" i="220"/>
  <c r="H31" i="220"/>
  <c r="F31" i="220"/>
  <c r="W30" i="220"/>
  <c r="V30" i="220"/>
  <c r="N30" i="220"/>
  <c r="L30" i="220"/>
  <c r="K30" i="220"/>
  <c r="J30" i="220"/>
  <c r="P30" i="220" s="1"/>
  <c r="H30" i="220"/>
  <c r="F30" i="220"/>
  <c r="W29" i="220"/>
  <c r="V29" i="220"/>
  <c r="N29" i="220"/>
  <c r="K29" i="220"/>
  <c r="J29" i="220"/>
  <c r="P29" i="220" s="1"/>
  <c r="F29" i="220"/>
  <c r="H29" i="220" s="1"/>
  <c r="W28" i="220"/>
  <c r="V28" i="220"/>
  <c r="P28" i="220"/>
  <c r="N28" i="220"/>
  <c r="L28" i="220"/>
  <c r="K28" i="220"/>
  <c r="F28" i="220"/>
  <c r="H28" i="220" s="1"/>
  <c r="W27" i="220"/>
  <c r="N27" i="220" s="1"/>
  <c r="P27" i="220"/>
  <c r="O27" i="220"/>
  <c r="L27" i="220"/>
  <c r="K27" i="220"/>
  <c r="H27" i="220"/>
  <c r="F27" i="220"/>
  <c r="AE26" i="220"/>
  <c r="AD26" i="220"/>
  <c r="AA26" i="220"/>
  <c r="E19" i="219" s="1"/>
  <c r="Z26" i="220"/>
  <c r="M26" i="220"/>
  <c r="E22" i="219" s="1"/>
  <c r="W25" i="220"/>
  <c r="H25" i="220"/>
  <c r="W24" i="220"/>
  <c r="H24" i="220"/>
  <c r="W23" i="220"/>
  <c r="W21" i="220"/>
  <c r="W20" i="220"/>
  <c r="N20" i="220" s="1"/>
  <c r="O20" i="220" s="1"/>
  <c r="V20" i="220"/>
  <c r="K20" i="220"/>
  <c r="J20" i="220"/>
  <c r="F20" i="220"/>
  <c r="H20" i="220" s="1"/>
  <c r="W19" i="220"/>
  <c r="N19" i="220" s="1"/>
  <c r="V19" i="220"/>
  <c r="L19" i="220"/>
  <c r="K19" i="220"/>
  <c r="J19" i="220"/>
  <c r="P19" i="220" s="1"/>
  <c r="F19" i="220"/>
  <c r="H19" i="220" s="1"/>
  <c r="W18" i="220"/>
  <c r="N18" i="220" s="1"/>
  <c r="V18" i="220"/>
  <c r="K18" i="220"/>
  <c r="L18" i="220" s="1"/>
  <c r="J18" i="220"/>
  <c r="P18" i="220" s="1"/>
  <c r="F18" i="220"/>
  <c r="H18" i="220" s="1"/>
  <c r="W17" i="220"/>
  <c r="N17" i="220" s="1"/>
  <c r="O17" i="220" s="1"/>
  <c r="V17" i="220"/>
  <c r="K17" i="220"/>
  <c r="J17" i="220"/>
  <c r="P17" i="220" s="1"/>
  <c r="F17" i="220"/>
  <c r="H17" i="220" s="1"/>
  <c r="AG16" i="220"/>
  <c r="AF16" i="220"/>
  <c r="W16" i="220"/>
  <c r="N16" i="220"/>
  <c r="O16" i="220" s="1"/>
  <c r="L16" i="220"/>
  <c r="K16" i="220"/>
  <c r="K26" i="220" s="1"/>
  <c r="J16" i="220"/>
  <c r="H16" i="220"/>
  <c r="F16" i="220"/>
  <c r="AE15" i="220"/>
  <c r="AD15" i="220"/>
  <c r="AA15" i="220"/>
  <c r="Z15" i="220"/>
  <c r="M15" i="220"/>
  <c r="W14" i="220"/>
  <c r="W13" i="220"/>
  <c r="W12" i="220"/>
  <c r="AG11" i="220"/>
  <c r="AF11" i="220"/>
  <c r="W11" i="220"/>
  <c r="AG10" i="220"/>
  <c r="AF10" i="220"/>
  <c r="W10" i="220"/>
  <c r="W9" i="220"/>
  <c r="N9" i="220" s="1"/>
  <c r="V9" i="220"/>
  <c r="P9" i="220"/>
  <c r="K9" i="220"/>
  <c r="L9" i="220" s="1"/>
  <c r="J9" i="220"/>
  <c r="H9" i="220"/>
  <c r="F9" i="220"/>
  <c r="W8" i="220"/>
  <c r="V8" i="220"/>
  <c r="P8" i="220"/>
  <c r="N8" i="220"/>
  <c r="L8" i="220"/>
  <c r="K8" i="220"/>
  <c r="J8" i="220"/>
  <c r="F8" i="220"/>
  <c r="H8" i="220" s="1"/>
  <c r="AF7" i="220"/>
  <c r="W7" i="220"/>
  <c r="N7" i="220" s="1"/>
  <c r="V7" i="220"/>
  <c r="K7" i="220"/>
  <c r="J7" i="220"/>
  <c r="P7" i="220" s="1"/>
  <c r="H7" i="220"/>
  <c r="F7" i="220"/>
  <c r="AF6" i="220"/>
  <c r="W6" i="220"/>
  <c r="N6" i="220" s="1"/>
  <c r="V6" i="220"/>
  <c r="K6" i="220"/>
  <c r="L6" i="220" s="1"/>
  <c r="J6" i="220"/>
  <c r="P6" i="220" s="1"/>
  <c r="H6" i="220"/>
  <c r="F6" i="220"/>
  <c r="AG5" i="220"/>
  <c r="W5" i="220"/>
  <c r="N5" i="220"/>
  <c r="K5" i="220"/>
  <c r="J5" i="220"/>
  <c r="H5" i="220"/>
  <c r="G1" i="220" s="1"/>
  <c r="F5" i="220"/>
  <c r="I2" i="220"/>
  <c r="E1" i="220"/>
  <c r="G3" i="219" s="1"/>
  <c r="I22" i="219"/>
  <c r="H22" i="219"/>
  <c r="D22" i="219"/>
  <c r="J21" i="219"/>
  <c r="G21" i="219"/>
  <c r="F21" i="219"/>
  <c r="E21" i="219"/>
  <c r="D21" i="219"/>
  <c r="J20" i="219"/>
  <c r="I20" i="219"/>
  <c r="G20" i="219"/>
  <c r="F20" i="219"/>
  <c r="E20" i="219"/>
  <c r="J19" i="219"/>
  <c r="I19" i="219"/>
  <c r="G19" i="219"/>
  <c r="F19" i="219"/>
  <c r="D19" i="219"/>
  <c r="I18" i="219"/>
  <c r="G18" i="219"/>
  <c r="E18" i="219"/>
  <c r="D18" i="219"/>
  <c r="J16" i="219"/>
  <c r="I16" i="219"/>
  <c r="H16" i="219"/>
  <c r="G16" i="219"/>
  <c r="F16" i="219"/>
  <c r="E16" i="219"/>
  <c r="D16" i="219"/>
  <c r="O8" i="219"/>
  <c r="N8" i="219"/>
  <c r="M8" i="219"/>
  <c r="L8" i="219"/>
  <c r="O7" i="219"/>
  <c r="N7" i="219"/>
  <c r="M7" i="219"/>
  <c r="L7" i="219"/>
  <c r="AG79" i="218"/>
  <c r="AH70" i="218" s="1"/>
  <c r="AF79" i="218"/>
  <c r="AE79" i="218"/>
  <c r="AD79" i="218"/>
  <c r="J20" i="217" s="1"/>
  <c r="AA79" i="218"/>
  <c r="J18" i="217" s="1"/>
  <c r="Z79" i="218"/>
  <c r="W78" i="218"/>
  <c r="H78" i="218"/>
  <c r="W77" i="218"/>
  <c r="H77" i="218"/>
  <c r="W76" i="218"/>
  <c r="H76" i="218"/>
  <c r="W75" i="218"/>
  <c r="H75" i="218"/>
  <c r="W74" i="218"/>
  <c r="W73" i="218"/>
  <c r="W72" i="218"/>
  <c r="W71" i="218"/>
  <c r="AG70" i="218"/>
  <c r="AF70" i="218"/>
  <c r="W70" i="218"/>
  <c r="S70" i="218"/>
  <c r="J15" i="217" s="1"/>
  <c r="AE69" i="218"/>
  <c r="I21" i="217" s="1"/>
  <c r="AD69" i="218"/>
  <c r="AA69" i="218"/>
  <c r="I19" i="217" s="1"/>
  <c r="Z69" i="218"/>
  <c r="I18" i="217" s="1"/>
  <c r="N69" i="218"/>
  <c r="M69" i="218"/>
  <c r="W68" i="218"/>
  <c r="H68" i="218"/>
  <c r="W67" i="218"/>
  <c r="W66" i="218"/>
  <c r="W65" i="218"/>
  <c r="W64" i="218"/>
  <c r="W63" i="218"/>
  <c r="AG62" i="218"/>
  <c r="AF62" i="218"/>
  <c r="W62" i="218"/>
  <c r="W61" i="218"/>
  <c r="V61" i="218"/>
  <c r="N61" i="218"/>
  <c r="K61" i="218"/>
  <c r="L61" i="218" s="1"/>
  <c r="J61" i="218"/>
  <c r="P61" i="218" s="1"/>
  <c r="H61" i="218"/>
  <c r="F61" i="218"/>
  <c r="W60" i="218"/>
  <c r="N60" i="218" s="1"/>
  <c r="V60" i="218"/>
  <c r="K60" i="218"/>
  <c r="J60" i="218"/>
  <c r="F60" i="218"/>
  <c r="H60" i="218" s="1"/>
  <c r="W59" i="218"/>
  <c r="N59" i="218" s="1"/>
  <c r="K59" i="218"/>
  <c r="J59" i="218"/>
  <c r="H59" i="218"/>
  <c r="F59" i="218"/>
  <c r="AE58" i="218"/>
  <c r="H21" i="217" s="1"/>
  <c r="AD58" i="218"/>
  <c r="AA58" i="218"/>
  <c r="H19" i="217" s="1"/>
  <c r="Z58" i="218"/>
  <c r="H18" i="217" s="1"/>
  <c r="M58" i="218"/>
  <c r="K58" i="218"/>
  <c r="W57" i="218"/>
  <c r="W56" i="218"/>
  <c r="W55" i="218"/>
  <c r="W54" i="218"/>
  <c r="AF53" i="218"/>
  <c r="W53" i="218"/>
  <c r="V53" i="218"/>
  <c r="P53" i="218"/>
  <c r="N53" i="218"/>
  <c r="L53" i="218"/>
  <c r="K53" i="218"/>
  <c r="H53" i="218"/>
  <c r="F53" i="218"/>
  <c r="AG52" i="218"/>
  <c r="W52" i="218"/>
  <c r="N52" i="218" s="1"/>
  <c r="V52" i="218"/>
  <c r="P52" i="218"/>
  <c r="K52" i="218"/>
  <c r="L52" i="218" s="1"/>
  <c r="J52" i="218"/>
  <c r="H52" i="218"/>
  <c r="F52" i="218"/>
  <c r="W51" i="218"/>
  <c r="V51" i="218"/>
  <c r="N51" i="218"/>
  <c r="K51" i="218"/>
  <c r="L51" i="218" s="1"/>
  <c r="J51" i="218"/>
  <c r="P51" i="218" s="1"/>
  <c r="F51" i="218"/>
  <c r="H51" i="218" s="1"/>
  <c r="W50" i="218"/>
  <c r="N50" i="218" s="1"/>
  <c r="V50" i="218"/>
  <c r="K50" i="218"/>
  <c r="L50" i="218" s="1"/>
  <c r="J50" i="218"/>
  <c r="P50" i="218" s="1"/>
  <c r="F50" i="218"/>
  <c r="H50" i="218" s="1"/>
  <c r="W49" i="218"/>
  <c r="N49" i="218" s="1"/>
  <c r="K49" i="218"/>
  <c r="J49" i="218"/>
  <c r="H49" i="218"/>
  <c r="F49" i="218"/>
  <c r="AE48" i="218"/>
  <c r="AD48" i="218"/>
  <c r="AA48" i="218"/>
  <c r="Z48" i="218"/>
  <c r="G18" i="217" s="1"/>
  <c r="W48" i="218"/>
  <c r="M48" i="218"/>
  <c r="W47" i="218"/>
  <c r="H47" i="218"/>
  <c r="W46" i="218"/>
  <c r="W45" i="218"/>
  <c r="W44" i="218"/>
  <c r="W43" i="218"/>
  <c r="W42" i="218"/>
  <c r="AF41" i="218"/>
  <c r="W41" i="218"/>
  <c r="N41" i="218" s="1"/>
  <c r="AG41" i="218" s="1"/>
  <c r="V41" i="218"/>
  <c r="P41" i="218"/>
  <c r="O41" i="218"/>
  <c r="K41" i="218"/>
  <c r="J41" i="218"/>
  <c r="F41" i="218"/>
  <c r="H41" i="218" s="1"/>
  <c r="AG40" i="218"/>
  <c r="W40" i="218"/>
  <c r="N40" i="218" s="1"/>
  <c r="AF40" i="218" s="1"/>
  <c r="V40" i="218"/>
  <c r="P40" i="218"/>
  <c r="O40" i="218"/>
  <c r="L40" i="218"/>
  <c r="Q40" i="218" s="1"/>
  <c r="K40" i="218"/>
  <c r="J40" i="218"/>
  <c r="H40" i="218"/>
  <c r="F40" i="218"/>
  <c r="AG39" i="218"/>
  <c r="W39" i="218"/>
  <c r="V39" i="218"/>
  <c r="P39" i="218"/>
  <c r="N39" i="218"/>
  <c r="L39" i="218"/>
  <c r="H39" i="218"/>
  <c r="F39" i="218"/>
  <c r="W38" i="218"/>
  <c r="P38" i="218"/>
  <c r="N38" i="218"/>
  <c r="L38" i="218"/>
  <c r="K38" i="218"/>
  <c r="K48" i="218" s="1"/>
  <c r="J38" i="218"/>
  <c r="H38" i="218"/>
  <c r="F38" i="218"/>
  <c r="AE37" i="218"/>
  <c r="AD37" i="218"/>
  <c r="AA37" i="218"/>
  <c r="F19" i="217" s="1"/>
  <c r="Z37" i="218"/>
  <c r="M37" i="218"/>
  <c r="F22" i="217" s="1"/>
  <c r="K37" i="218"/>
  <c r="J37" i="218"/>
  <c r="W36" i="218"/>
  <c r="H36" i="218"/>
  <c r="W35" i="218"/>
  <c r="W34" i="218"/>
  <c r="W33" i="218"/>
  <c r="W32" i="218"/>
  <c r="AG31" i="218"/>
  <c r="AF31" i="218"/>
  <c r="W31" i="218"/>
  <c r="V31" i="218"/>
  <c r="R31" i="218"/>
  <c r="Q31" i="218"/>
  <c r="P31" i="218"/>
  <c r="N31" i="218"/>
  <c r="O31" i="218" s="1"/>
  <c r="K31" i="218"/>
  <c r="L31" i="218" s="1"/>
  <c r="J31" i="218"/>
  <c r="H31" i="218"/>
  <c r="F31" i="218"/>
  <c r="W30" i="218"/>
  <c r="V30" i="218"/>
  <c r="P30" i="218"/>
  <c r="N30" i="218"/>
  <c r="K30" i="218"/>
  <c r="L30" i="218" s="1"/>
  <c r="J30" i="218"/>
  <c r="H30" i="218"/>
  <c r="F30" i="218"/>
  <c r="AF29" i="218"/>
  <c r="W29" i="218"/>
  <c r="N29" i="218" s="1"/>
  <c r="V29" i="218"/>
  <c r="L29" i="218"/>
  <c r="K29" i="218"/>
  <c r="J29" i="218"/>
  <c r="P29" i="218" s="1"/>
  <c r="H29" i="218"/>
  <c r="F29" i="218"/>
  <c r="W28" i="218"/>
  <c r="V28" i="218"/>
  <c r="P28" i="218"/>
  <c r="O28" i="218"/>
  <c r="N28" i="218"/>
  <c r="L28" i="218"/>
  <c r="K28" i="218"/>
  <c r="H28" i="218"/>
  <c r="F28" i="218"/>
  <c r="W27" i="218"/>
  <c r="P27" i="218"/>
  <c r="N27" i="218"/>
  <c r="L27" i="218"/>
  <c r="K27" i="218"/>
  <c r="F27" i="218"/>
  <c r="H27" i="218" s="1"/>
  <c r="AE26" i="218"/>
  <c r="AD26" i="218"/>
  <c r="E20" i="217" s="1"/>
  <c r="AA26" i="218"/>
  <c r="Z26" i="218"/>
  <c r="E18" i="217" s="1"/>
  <c r="M26" i="218"/>
  <c r="K26" i="218"/>
  <c r="W25" i="218"/>
  <c r="H25" i="218"/>
  <c r="W24" i="218"/>
  <c r="H24" i="218"/>
  <c r="W23" i="218"/>
  <c r="W21" i="218"/>
  <c r="W20" i="218"/>
  <c r="W19" i="218"/>
  <c r="N19" i="218" s="1"/>
  <c r="V19" i="218"/>
  <c r="L19" i="218"/>
  <c r="K19" i="218"/>
  <c r="J19" i="218"/>
  <c r="P19" i="218" s="1"/>
  <c r="H19" i="218"/>
  <c r="F19" i="218"/>
  <c r="W18" i="218"/>
  <c r="V18" i="218"/>
  <c r="P18" i="218"/>
  <c r="N18" i="218"/>
  <c r="L18" i="218"/>
  <c r="K18" i="218"/>
  <c r="J18" i="218"/>
  <c r="F18" i="218"/>
  <c r="H18" i="218" s="1"/>
  <c r="W17" i="218"/>
  <c r="V17" i="218"/>
  <c r="P17" i="218"/>
  <c r="N17" i="218"/>
  <c r="L17" i="218"/>
  <c r="K17" i="218"/>
  <c r="J17" i="218"/>
  <c r="F17" i="218"/>
  <c r="H17" i="218" s="1"/>
  <c r="W16" i="218"/>
  <c r="N16" i="218" s="1"/>
  <c r="K16" i="218"/>
  <c r="J16" i="218"/>
  <c r="H16" i="218"/>
  <c r="F16" i="218"/>
  <c r="AE15" i="218"/>
  <c r="AD15" i="218"/>
  <c r="AA15" i="218"/>
  <c r="Z15" i="218"/>
  <c r="D18" i="217" s="1"/>
  <c r="M15" i="218"/>
  <c r="W14" i="218"/>
  <c r="W13" i="218"/>
  <c r="W12" i="218"/>
  <c r="AG11" i="218"/>
  <c r="AF11" i="218"/>
  <c r="W11" i="218"/>
  <c r="AG10" i="218"/>
  <c r="AF10" i="218"/>
  <c r="W10" i="218"/>
  <c r="AG9" i="218"/>
  <c r="AF9" i="218"/>
  <c r="W9" i="218"/>
  <c r="W8" i="218"/>
  <c r="V8" i="218"/>
  <c r="N8" i="218"/>
  <c r="L8" i="218"/>
  <c r="K8" i="218"/>
  <c r="J8" i="218"/>
  <c r="P8" i="218" s="1"/>
  <c r="F8" i="218"/>
  <c r="H8" i="218" s="1"/>
  <c r="W7" i="218"/>
  <c r="V7" i="218"/>
  <c r="O7" i="218"/>
  <c r="N7" i="218"/>
  <c r="K7" i="218"/>
  <c r="J7" i="218"/>
  <c r="P7" i="218" s="1"/>
  <c r="F7" i="218"/>
  <c r="H7" i="218" s="1"/>
  <c r="W6" i="218"/>
  <c r="N6" i="218" s="1"/>
  <c r="V6" i="218"/>
  <c r="K6" i="218"/>
  <c r="J6" i="218"/>
  <c r="F6" i="218"/>
  <c r="H6" i="218" s="1"/>
  <c r="W5" i="218"/>
  <c r="O5" i="218"/>
  <c r="N5" i="218"/>
  <c r="K5" i="218"/>
  <c r="AG5" i="218" s="1"/>
  <c r="J5" i="218"/>
  <c r="P5" i="218" s="1"/>
  <c r="H5" i="218"/>
  <c r="F5" i="218"/>
  <c r="I2" i="218"/>
  <c r="E1" i="218"/>
  <c r="G3" i="217" s="1"/>
  <c r="J22" i="217"/>
  <c r="I22" i="217"/>
  <c r="H22" i="217"/>
  <c r="E22" i="217"/>
  <c r="J21" i="217"/>
  <c r="G21" i="217"/>
  <c r="F21" i="217"/>
  <c r="E21" i="217"/>
  <c r="D21" i="217"/>
  <c r="I20" i="217"/>
  <c r="H20" i="217"/>
  <c r="G20" i="217"/>
  <c r="F20" i="217"/>
  <c r="J19" i="217"/>
  <c r="G19" i="217"/>
  <c r="E19" i="217"/>
  <c r="J16" i="217"/>
  <c r="I16" i="217"/>
  <c r="H16" i="217"/>
  <c r="G16" i="217"/>
  <c r="F16" i="217"/>
  <c r="E16" i="217"/>
  <c r="D16" i="217"/>
  <c r="J14" i="217"/>
  <c r="J13" i="217"/>
  <c r="O8" i="217"/>
  <c r="N8" i="217"/>
  <c r="M8" i="217"/>
  <c r="L8" i="217"/>
  <c r="O7" i="217"/>
  <c r="N7" i="217"/>
  <c r="M7" i="217"/>
  <c r="L7" i="217"/>
  <c r="AE79" i="216"/>
  <c r="AD79" i="216"/>
  <c r="AA79" i="216"/>
  <c r="J18" i="215" s="1"/>
  <c r="Z79" i="216"/>
  <c r="M79" i="216"/>
  <c r="L79" i="216"/>
  <c r="J13" i="215" s="1"/>
  <c r="W78" i="216"/>
  <c r="H78" i="216"/>
  <c r="W77" i="216"/>
  <c r="H77" i="216"/>
  <c r="W76" i="216"/>
  <c r="H76" i="216"/>
  <c r="W75" i="216"/>
  <c r="H75" i="216"/>
  <c r="W74" i="216"/>
  <c r="W73" i="216"/>
  <c r="W72" i="216"/>
  <c r="W71" i="216"/>
  <c r="AG70" i="216"/>
  <c r="AF70" i="216"/>
  <c r="W70" i="216"/>
  <c r="N70" i="216" s="1"/>
  <c r="O70" i="216" s="1"/>
  <c r="L70" i="216"/>
  <c r="K70" i="216"/>
  <c r="K79" i="216" s="1"/>
  <c r="J70" i="216"/>
  <c r="H70" i="216"/>
  <c r="F70" i="216"/>
  <c r="AE69" i="216"/>
  <c r="AD69" i="216"/>
  <c r="AA69" i="216"/>
  <c r="Z69" i="216"/>
  <c r="P69" i="216"/>
  <c r="M69" i="216"/>
  <c r="J69" i="216"/>
  <c r="W68" i="216"/>
  <c r="H68" i="216"/>
  <c r="W67" i="216"/>
  <c r="W66" i="216"/>
  <c r="W65" i="216"/>
  <c r="W64" i="216"/>
  <c r="W63" i="216"/>
  <c r="AG62" i="216"/>
  <c r="AF62" i="216"/>
  <c r="W62" i="216"/>
  <c r="W61" i="216"/>
  <c r="V61" i="216"/>
  <c r="N61" i="216"/>
  <c r="K61" i="216"/>
  <c r="J61" i="216"/>
  <c r="F61" i="216"/>
  <c r="H61" i="216" s="1"/>
  <c r="AG60" i="216"/>
  <c r="AF60" i="216"/>
  <c r="W60" i="216"/>
  <c r="V60" i="216"/>
  <c r="P60" i="216"/>
  <c r="O60" i="216"/>
  <c r="N60" i="216"/>
  <c r="L60" i="216"/>
  <c r="K60" i="216"/>
  <c r="J60" i="216"/>
  <c r="F60" i="216"/>
  <c r="H60" i="216" s="1"/>
  <c r="AG59" i="216"/>
  <c r="W59" i="216"/>
  <c r="P59" i="216"/>
  <c r="N59" i="216"/>
  <c r="K59" i="216"/>
  <c r="K69" i="216" s="1"/>
  <c r="J59" i="216"/>
  <c r="F59" i="216"/>
  <c r="H59" i="216" s="1"/>
  <c r="AE58" i="216"/>
  <c r="AD58" i="216"/>
  <c r="AA58" i="216"/>
  <c r="H19" i="215" s="1"/>
  <c r="Z58" i="216"/>
  <c r="M58" i="216"/>
  <c r="W57" i="216"/>
  <c r="W56" i="216"/>
  <c r="W55" i="216"/>
  <c r="W54" i="216"/>
  <c r="AG53" i="216"/>
  <c r="W53" i="216"/>
  <c r="N53" i="216" s="1"/>
  <c r="V53" i="216"/>
  <c r="K53" i="216"/>
  <c r="J53" i="216"/>
  <c r="P53" i="216" s="1"/>
  <c r="F53" i="216"/>
  <c r="H53" i="216" s="1"/>
  <c r="W52" i="216"/>
  <c r="V52" i="216"/>
  <c r="P52" i="216"/>
  <c r="N52" i="216"/>
  <c r="L52" i="216"/>
  <c r="K52" i="216"/>
  <c r="F52" i="216"/>
  <c r="H52" i="216" s="1"/>
  <c r="AG51" i="216"/>
  <c r="AF51" i="216"/>
  <c r="W51" i="216"/>
  <c r="V51" i="216"/>
  <c r="P51" i="216"/>
  <c r="O51" i="216"/>
  <c r="N51" i="216"/>
  <c r="L51" i="216"/>
  <c r="K51" i="216"/>
  <c r="H51" i="216"/>
  <c r="F51" i="216"/>
  <c r="W50" i="216"/>
  <c r="V50" i="216"/>
  <c r="N50" i="216"/>
  <c r="L50" i="216"/>
  <c r="K50" i="216"/>
  <c r="J50" i="216"/>
  <c r="P50" i="216" s="1"/>
  <c r="H50" i="216"/>
  <c r="F50" i="216"/>
  <c r="AG49" i="216"/>
  <c r="AF49" i="216"/>
  <c r="W49" i="216"/>
  <c r="P49" i="216"/>
  <c r="O49" i="216"/>
  <c r="N49" i="216"/>
  <c r="L49" i="216"/>
  <c r="K49" i="216"/>
  <c r="K58" i="216" s="1"/>
  <c r="J49" i="216"/>
  <c r="F49" i="216"/>
  <c r="H49" i="216" s="1"/>
  <c r="AE48" i="216"/>
  <c r="G21" i="215" s="1"/>
  <c r="AD48" i="216"/>
  <c r="AA48" i="216"/>
  <c r="G19" i="215" s="1"/>
  <c r="Z48" i="216"/>
  <c r="G18" i="215" s="1"/>
  <c r="W48" i="216"/>
  <c r="M48" i="216"/>
  <c r="I1" i="216" s="1"/>
  <c r="W47" i="216"/>
  <c r="H47" i="216"/>
  <c r="W46" i="216"/>
  <c r="W45" i="216"/>
  <c r="W44" i="216"/>
  <c r="W43" i="216"/>
  <c r="W42" i="216"/>
  <c r="AG41" i="216"/>
  <c r="AF41" i="216"/>
  <c r="W41" i="216"/>
  <c r="W40" i="216"/>
  <c r="N40" i="216" s="1"/>
  <c r="V40" i="216"/>
  <c r="K40" i="216"/>
  <c r="L40" i="216" s="1"/>
  <c r="J40" i="216"/>
  <c r="P40" i="216" s="1"/>
  <c r="F40" i="216"/>
  <c r="H40" i="216" s="1"/>
  <c r="W39" i="216"/>
  <c r="N39" i="216" s="1"/>
  <c r="V39" i="216"/>
  <c r="O39" i="216"/>
  <c r="K39" i="216"/>
  <c r="J39" i="216"/>
  <c r="P39" i="216" s="1"/>
  <c r="H39" i="216"/>
  <c r="F39" i="216"/>
  <c r="W38" i="216"/>
  <c r="Q38" i="216"/>
  <c r="O38" i="216"/>
  <c r="N38" i="216"/>
  <c r="L38" i="216"/>
  <c r="K38" i="216"/>
  <c r="J38" i="216"/>
  <c r="H38" i="216"/>
  <c r="F38" i="216"/>
  <c r="AE37" i="216"/>
  <c r="F21" i="215" s="1"/>
  <c r="AD37" i="216"/>
  <c r="F20" i="215" s="1"/>
  <c r="AA37" i="216"/>
  <c r="F19" i="215" s="1"/>
  <c r="Z37" i="216"/>
  <c r="M37" i="216"/>
  <c r="W36" i="216"/>
  <c r="H36" i="216"/>
  <c r="W35" i="216"/>
  <c r="W34" i="216"/>
  <c r="W33" i="216"/>
  <c r="W32" i="216"/>
  <c r="AG31" i="216"/>
  <c r="AF31" i="216"/>
  <c r="W31" i="216"/>
  <c r="W30" i="216"/>
  <c r="V30" i="216"/>
  <c r="P30" i="216"/>
  <c r="N30" i="216"/>
  <c r="K30" i="216"/>
  <c r="L30" i="216" s="1"/>
  <c r="J30" i="216"/>
  <c r="F30" i="216"/>
  <c r="H30" i="216" s="1"/>
  <c r="W29" i="216"/>
  <c r="V29" i="216"/>
  <c r="O29" i="216"/>
  <c r="N29" i="216"/>
  <c r="K29" i="216"/>
  <c r="J29" i="216"/>
  <c r="H29" i="216"/>
  <c r="F29" i="216"/>
  <c r="AF28" i="216"/>
  <c r="W28" i="216"/>
  <c r="N28" i="216" s="1"/>
  <c r="V28" i="216"/>
  <c r="K28" i="216"/>
  <c r="J28" i="216"/>
  <c r="H28" i="216"/>
  <c r="F28" i="216"/>
  <c r="W27" i="216"/>
  <c r="N27" i="216" s="1"/>
  <c r="P27" i="216"/>
  <c r="L27" i="216"/>
  <c r="K27" i="216"/>
  <c r="H27" i="216"/>
  <c r="F27" i="216"/>
  <c r="AE26" i="216"/>
  <c r="E21" i="215" s="1"/>
  <c r="AD26" i="216"/>
  <c r="AA26" i="216"/>
  <c r="Z26" i="216"/>
  <c r="M26" i="216"/>
  <c r="E22" i="215" s="1"/>
  <c r="W25" i="216"/>
  <c r="H25" i="216"/>
  <c r="W24" i="216"/>
  <c r="H24" i="216"/>
  <c r="W23" i="216"/>
  <c r="W21" i="216"/>
  <c r="W20" i="216"/>
  <c r="AG19" i="216"/>
  <c r="W19" i="216"/>
  <c r="V19" i="216"/>
  <c r="N19" i="216"/>
  <c r="K19" i="216"/>
  <c r="J19" i="216"/>
  <c r="P19" i="216" s="1"/>
  <c r="F19" i="216"/>
  <c r="H19" i="216" s="1"/>
  <c r="AG18" i="216"/>
  <c r="W18" i="216"/>
  <c r="V18" i="216"/>
  <c r="Q18" i="216"/>
  <c r="P18" i="216"/>
  <c r="O18" i="216"/>
  <c r="N18" i="216"/>
  <c r="L18" i="216"/>
  <c r="K18" i="216"/>
  <c r="J18" i="216"/>
  <c r="F18" i="216"/>
  <c r="H18" i="216" s="1"/>
  <c r="W17" i="216"/>
  <c r="V17" i="216"/>
  <c r="P17" i="216"/>
  <c r="N17" i="216"/>
  <c r="K17" i="216"/>
  <c r="J17" i="216"/>
  <c r="H17" i="216"/>
  <c r="F17" i="216"/>
  <c r="W16" i="216"/>
  <c r="N16" i="216" s="1"/>
  <c r="P16" i="216"/>
  <c r="O16" i="216"/>
  <c r="L16" i="216"/>
  <c r="K16" i="216"/>
  <c r="J16" i="216"/>
  <c r="F16" i="216"/>
  <c r="H16" i="216" s="1"/>
  <c r="AE15" i="216"/>
  <c r="AD15" i="216"/>
  <c r="AA15" i="216"/>
  <c r="Z15" i="216"/>
  <c r="M15" i="216"/>
  <c r="K15" i="216"/>
  <c r="J15" i="216"/>
  <c r="W14" i="216"/>
  <c r="W13" i="216"/>
  <c r="W12" i="216"/>
  <c r="AG11" i="216"/>
  <c r="AF11" i="216"/>
  <c r="W11" i="216"/>
  <c r="AG10" i="216"/>
  <c r="AF10" i="216"/>
  <c r="W10" i="216"/>
  <c r="AG9" i="216"/>
  <c r="AF9" i="216"/>
  <c r="W9" i="216"/>
  <c r="AF8" i="216"/>
  <c r="W8" i="216"/>
  <c r="V8" i="216"/>
  <c r="O8" i="216"/>
  <c r="N8" i="216"/>
  <c r="AG8" i="216" s="1"/>
  <c r="K8" i="216"/>
  <c r="J8" i="216"/>
  <c r="F8" i="216"/>
  <c r="H8" i="216" s="1"/>
  <c r="W7" i="216"/>
  <c r="N7" i="216" s="1"/>
  <c r="V7" i="216"/>
  <c r="P7" i="216"/>
  <c r="K7" i="216"/>
  <c r="L7" i="216" s="1"/>
  <c r="J7" i="216"/>
  <c r="F7" i="216"/>
  <c r="H7" i="216" s="1"/>
  <c r="W6" i="216"/>
  <c r="V6" i="216"/>
  <c r="N6" i="216"/>
  <c r="L6" i="216"/>
  <c r="K6" i="216"/>
  <c r="J6" i="216"/>
  <c r="P6" i="216" s="1"/>
  <c r="F6" i="216"/>
  <c r="H6" i="216" s="1"/>
  <c r="W5" i="216"/>
  <c r="P5" i="216"/>
  <c r="N5" i="216"/>
  <c r="L5" i="216"/>
  <c r="K5" i="216"/>
  <c r="J5" i="216"/>
  <c r="H5" i="216"/>
  <c r="F5" i="216"/>
  <c r="I2" i="216"/>
  <c r="E1" i="216"/>
  <c r="I22" i="215"/>
  <c r="H22" i="215"/>
  <c r="G22" i="215"/>
  <c r="F22" i="215"/>
  <c r="D22" i="215"/>
  <c r="J21" i="215"/>
  <c r="I21" i="215"/>
  <c r="H21" i="215"/>
  <c r="D21" i="215"/>
  <c r="J20" i="215"/>
  <c r="I20" i="215"/>
  <c r="H20" i="215"/>
  <c r="E20" i="215"/>
  <c r="D20" i="215"/>
  <c r="J19" i="215"/>
  <c r="I19" i="215"/>
  <c r="E19" i="215"/>
  <c r="I18" i="215"/>
  <c r="H18" i="215"/>
  <c r="F18" i="215"/>
  <c r="E18" i="215"/>
  <c r="J16" i="215"/>
  <c r="I16" i="215"/>
  <c r="H16" i="215"/>
  <c r="G16" i="215"/>
  <c r="F16" i="215"/>
  <c r="E16" i="215"/>
  <c r="D16" i="215"/>
  <c r="O8" i="215"/>
  <c r="N8" i="215"/>
  <c r="M8" i="215"/>
  <c r="L8" i="215"/>
  <c r="O7" i="215"/>
  <c r="N7" i="215"/>
  <c r="M7" i="215"/>
  <c r="L7" i="215"/>
  <c r="G3" i="215"/>
  <c r="AE79" i="214"/>
  <c r="J21" i="213" s="1"/>
  <c r="AD79" i="214"/>
  <c r="J20" i="213" s="1"/>
  <c r="AA79" i="214"/>
  <c r="J18" i="213" s="1"/>
  <c r="Z79" i="214"/>
  <c r="M79" i="214"/>
  <c r="P79" i="214" s="1"/>
  <c r="J79" i="214"/>
  <c r="W78" i="214"/>
  <c r="H78" i="214"/>
  <c r="W77" i="214"/>
  <c r="H77" i="214"/>
  <c r="W76" i="214"/>
  <c r="H76" i="214"/>
  <c r="W75" i="214"/>
  <c r="H75" i="214"/>
  <c r="W74" i="214"/>
  <c r="W73" i="214"/>
  <c r="W72" i="214"/>
  <c r="W71" i="214"/>
  <c r="W70" i="214"/>
  <c r="N70" i="214"/>
  <c r="L70" i="214"/>
  <c r="L79" i="214" s="1"/>
  <c r="J13" i="213" s="1"/>
  <c r="K70" i="214"/>
  <c r="K79" i="214" s="1"/>
  <c r="J70" i="214"/>
  <c r="P70" i="214" s="1"/>
  <c r="F70" i="214"/>
  <c r="H70" i="214" s="1"/>
  <c r="AE69" i="214"/>
  <c r="AD69" i="214"/>
  <c r="AA69" i="214"/>
  <c r="Z69" i="214"/>
  <c r="M69" i="214"/>
  <c r="W68" i="214"/>
  <c r="H68" i="214"/>
  <c r="W67" i="214"/>
  <c r="W66" i="214"/>
  <c r="W65" i="214"/>
  <c r="W64" i="214"/>
  <c r="W63" i="214"/>
  <c r="AG62" i="214"/>
  <c r="AF62" i="214"/>
  <c r="W62" i="214"/>
  <c r="W61" i="214"/>
  <c r="V61" i="214"/>
  <c r="O61" i="214"/>
  <c r="N61" i="214"/>
  <c r="K61" i="214"/>
  <c r="J61" i="214"/>
  <c r="P61" i="214" s="1"/>
  <c r="H61" i="214"/>
  <c r="F61" i="214"/>
  <c r="W60" i="214"/>
  <c r="V60" i="214"/>
  <c r="P60" i="214"/>
  <c r="O60" i="214"/>
  <c r="N60" i="214"/>
  <c r="K60" i="214"/>
  <c r="J60" i="214"/>
  <c r="F60" i="214"/>
  <c r="H60" i="214" s="1"/>
  <c r="W59" i="214"/>
  <c r="N59" i="214" s="1"/>
  <c r="K59" i="214"/>
  <c r="J59" i="214"/>
  <c r="H59" i="214"/>
  <c r="F59" i="214"/>
  <c r="AE58" i="214"/>
  <c r="H21" i="213" s="1"/>
  <c r="AD58" i="214"/>
  <c r="H20" i="213" s="1"/>
  <c r="AA58" i="214"/>
  <c r="Z58" i="214"/>
  <c r="M58" i="214"/>
  <c r="W57" i="214"/>
  <c r="W56" i="214"/>
  <c r="W55" i="214"/>
  <c r="W54" i="214"/>
  <c r="AG53" i="214"/>
  <c r="AF53" i="214"/>
  <c r="W53" i="214"/>
  <c r="W52" i="214"/>
  <c r="V52" i="214"/>
  <c r="P52" i="214"/>
  <c r="O52" i="214"/>
  <c r="N52" i="214"/>
  <c r="K52" i="214"/>
  <c r="L52" i="214" s="1"/>
  <c r="J52" i="214"/>
  <c r="H52" i="214"/>
  <c r="F52" i="214"/>
  <c r="W51" i="214"/>
  <c r="V51" i="214"/>
  <c r="N51" i="214"/>
  <c r="K51" i="214"/>
  <c r="J51" i="214"/>
  <c r="P51" i="214" s="1"/>
  <c r="H51" i="214"/>
  <c r="F51" i="214"/>
  <c r="W50" i="214"/>
  <c r="V50" i="214"/>
  <c r="P50" i="214"/>
  <c r="N50" i="214"/>
  <c r="L50" i="214"/>
  <c r="K50" i="214"/>
  <c r="J50" i="214"/>
  <c r="H50" i="214"/>
  <c r="F50" i="214"/>
  <c r="AF49" i="214"/>
  <c r="W49" i="214"/>
  <c r="P49" i="214"/>
  <c r="O49" i="214"/>
  <c r="N49" i="214"/>
  <c r="AG49" i="214" s="1"/>
  <c r="K49" i="214"/>
  <c r="J49" i="214"/>
  <c r="H49" i="214"/>
  <c r="F49" i="214"/>
  <c r="AE48" i="214"/>
  <c r="G21" i="213" s="1"/>
  <c r="AD48" i="214"/>
  <c r="AA48" i="214"/>
  <c r="Z48" i="214"/>
  <c r="G18" i="213" s="1"/>
  <c r="W48" i="214"/>
  <c r="M48" i="214"/>
  <c r="W47" i="214"/>
  <c r="H47" i="214"/>
  <c r="W46" i="214"/>
  <c r="W45" i="214"/>
  <c r="W44" i="214"/>
  <c r="W43" i="214"/>
  <c r="W42" i="214"/>
  <c r="AG41" i="214"/>
  <c r="AF41" i="214"/>
  <c r="W41" i="214"/>
  <c r="W40" i="214"/>
  <c r="V40" i="214"/>
  <c r="N40" i="214"/>
  <c r="K40" i="214"/>
  <c r="J40" i="214"/>
  <c r="H40" i="214"/>
  <c r="F40" i="214"/>
  <c r="W39" i="214"/>
  <c r="N39" i="214" s="1"/>
  <c r="O39" i="214" s="1"/>
  <c r="V39" i="214"/>
  <c r="L39" i="214"/>
  <c r="K39" i="214"/>
  <c r="J39" i="214"/>
  <c r="P39" i="214" s="1"/>
  <c r="F39" i="214"/>
  <c r="H39" i="214" s="1"/>
  <c r="AF38" i="214"/>
  <c r="W38" i="214"/>
  <c r="N38" i="214"/>
  <c r="AG38" i="214" s="1"/>
  <c r="K38" i="214"/>
  <c r="J38" i="214"/>
  <c r="H38" i="214"/>
  <c r="F38" i="214"/>
  <c r="AE37" i="214"/>
  <c r="AD37" i="214"/>
  <c r="AA37" i="214"/>
  <c r="F19" i="213" s="1"/>
  <c r="Z37" i="214"/>
  <c r="F18" i="213" s="1"/>
  <c r="M37" i="214"/>
  <c r="W36" i="214"/>
  <c r="H36" i="214"/>
  <c r="W35" i="214"/>
  <c r="W34" i="214"/>
  <c r="W33" i="214"/>
  <c r="W32" i="214"/>
  <c r="AG31" i="214"/>
  <c r="AF31" i="214"/>
  <c r="W31" i="214"/>
  <c r="W30" i="214"/>
  <c r="V30" i="214"/>
  <c r="O30" i="214"/>
  <c r="N30" i="214"/>
  <c r="K30" i="214"/>
  <c r="J30" i="214"/>
  <c r="P30" i="214" s="1"/>
  <c r="H30" i="214"/>
  <c r="F30" i="214"/>
  <c r="W29" i="214"/>
  <c r="N29" i="214" s="1"/>
  <c r="V29" i="214"/>
  <c r="P29" i="214"/>
  <c r="O29" i="214"/>
  <c r="R29" i="214" s="1"/>
  <c r="K29" i="214"/>
  <c r="L29" i="214" s="1"/>
  <c r="H29" i="214"/>
  <c r="F29" i="214"/>
  <c r="W28" i="214"/>
  <c r="N28" i="214" s="1"/>
  <c r="V28" i="214"/>
  <c r="K28" i="214"/>
  <c r="L28" i="214" s="1"/>
  <c r="J28" i="214"/>
  <c r="F28" i="214"/>
  <c r="H28" i="214" s="1"/>
  <c r="W27" i="214"/>
  <c r="N27" i="214" s="1"/>
  <c r="P27" i="214"/>
  <c r="K27" i="214"/>
  <c r="H27" i="214"/>
  <c r="F27" i="214"/>
  <c r="AE26" i="214"/>
  <c r="E21" i="213" s="1"/>
  <c r="AD26" i="214"/>
  <c r="E20" i="213" s="1"/>
  <c r="AA26" i="214"/>
  <c r="Z26" i="214"/>
  <c r="E18" i="213" s="1"/>
  <c r="M26" i="214"/>
  <c r="W25" i="214"/>
  <c r="H25" i="214"/>
  <c r="W24" i="214"/>
  <c r="H24" i="214"/>
  <c r="W23" i="214"/>
  <c r="W21" i="214"/>
  <c r="W20" i="214"/>
  <c r="W19" i="214"/>
  <c r="V19" i="214"/>
  <c r="P19" i="214"/>
  <c r="N19" i="214"/>
  <c r="K19" i="214"/>
  <c r="J19" i="214"/>
  <c r="L19" i="214" s="1"/>
  <c r="H19" i="214"/>
  <c r="F19" i="214"/>
  <c r="AF18" i="214"/>
  <c r="W18" i="214"/>
  <c r="N18" i="214" s="1"/>
  <c r="V18" i="214"/>
  <c r="K18" i="214"/>
  <c r="L18" i="214" s="1"/>
  <c r="J18" i="214"/>
  <c r="P18" i="214" s="1"/>
  <c r="H18" i="214"/>
  <c r="F18" i="214"/>
  <c r="W17" i="214"/>
  <c r="N17" i="214" s="1"/>
  <c r="O17" i="214" s="1"/>
  <c r="V17" i="214"/>
  <c r="K17" i="214"/>
  <c r="J17" i="214"/>
  <c r="P17" i="214" s="1"/>
  <c r="F17" i="214"/>
  <c r="H17" i="214" s="1"/>
  <c r="W16" i="214"/>
  <c r="N16" i="214" s="1"/>
  <c r="K16" i="214"/>
  <c r="J16" i="214"/>
  <c r="F16" i="214"/>
  <c r="H16" i="214" s="1"/>
  <c r="AE15" i="214"/>
  <c r="AD15" i="214"/>
  <c r="AA15" i="214"/>
  <c r="Z15" i="214"/>
  <c r="M15" i="214"/>
  <c r="W14" i="214"/>
  <c r="W13" i="214"/>
  <c r="W12" i="214"/>
  <c r="AG11" i="214"/>
  <c r="AF11" i="214"/>
  <c r="W11" i="214"/>
  <c r="AG10" i="214"/>
  <c r="AF10" i="214"/>
  <c r="W10" i="214"/>
  <c r="W9" i="214"/>
  <c r="V9" i="214"/>
  <c r="P9" i="214"/>
  <c r="N9" i="214"/>
  <c r="L9" i="214"/>
  <c r="K9" i="214"/>
  <c r="J9" i="214"/>
  <c r="H9" i="214"/>
  <c r="F9" i="214"/>
  <c r="W8" i="214"/>
  <c r="N8" i="214" s="1"/>
  <c r="V8" i="214"/>
  <c r="P8" i="214"/>
  <c r="O8" i="214"/>
  <c r="K8" i="214"/>
  <c r="J8" i="214"/>
  <c r="H8" i="214"/>
  <c r="F8" i="214"/>
  <c r="W7" i="214"/>
  <c r="V7" i="214"/>
  <c r="N7" i="214"/>
  <c r="K7" i="214"/>
  <c r="J7" i="214"/>
  <c r="P7" i="214" s="1"/>
  <c r="F7" i="214"/>
  <c r="H7" i="214" s="1"/>
  <c r="AG6" i="214"/>
  <c r="AF6" i="214"/>
  <c r="W6" i="214"/>
  <c r="V6" i="214"/>
  <c r="N6" i="214"/>
  <c r="O6" i="214" s="1"/>
  <c r="L6" i="214"/>
  <c r="K6" i="214"/>
  <c r="J6" i="214"/>
  <c r="P6" i="214" s="1"/>
  <c r="H6" i="214"/>
  <c r="F6" i="214"/>
  <c r="AG5" i="214"/>
  <c r="AF5" i="214"/>
  <c r="W5" i="214"/>
  <c r="N5" i="214"/>
  <c r="O5" i="214" s="1"/>
  <c r="K5" i="214"/>
  <c r="J5" i="214"/>
  <c r="H5" i="214"/>
  <c r="F5" i="214"/>
  <c r="I2" i="214"/>
  <c r="E1" i="214"/>
  <c r="G3" i="213" s="1"/>
  <c r="J22" i="213"/>
  <c r="I22" i="213"/>
  <c r="H22" i="213"/>
  <c r="G22" i="213"/>
  <c r="E22" i="213"/>
  <c r="I21" i="213"/>
  <c r="F21" i="213"/>
  <c r="I20" i="213"/>
  <c r="G20" i="213"/>
  <c r="F20" i="213"/>
  <c r="J19" i="213"/>
  <c r="I19" i="213"/>
  <c r="H19" i="213"/>
  <c r="G19" i="213"/>
  <c r="E19" i="213"/>
  <c r="I18" i="213"/>
  <c r="H18" i="213"/>
  <c r="J16" i="213"/>
  <c r="I16" i="213"/>
  <c r="H16" i="213"/>
  <c r="G16" i="213"/>
  <c r="F16" i="213"/>
  <c r="E16" i="213"/>
  <c r="D16" i="213"/>
  <c r="O8" i="213"/>
  <c r="N8" i="213"/>
  <c r="M8" i="213"/>
  <c r="L8" i="213"/>
  <c r="O7" i="213"/>
  <c r="N7" i="213"/>
  <c r="M7" i="213"/>
  <c r="L7" i="213"/>
  <c r="AE79" i="212"/>
  <c r="AD79" i="212"/>
  <c r="AA79" i="212"/>
  <c r="J18" i="211" s="1"/>
  <c r="Z79" i="212"/>
  <c r="M79" i="212"/>
  <c r="W78" i="212"/>
  <c r="H78" i="212"/>
  <c r="W77" i="212"/>
  <c r="H77" i="212"/>
  <c r="W76" i="212"/>
  <c r="H76" i="212"/>
  <c r="W75" i="212"/>
  <c r="W74" i="212"/>
  <c r="W73" i="212"/>
  <c r="W72" i="212"/>
  <c r="W71" i="212"/>
  <c r="W70" i="212"/>
  <c r="N70" i="212" s="1"/>
  <c r="P70" i="212"/>
  <c r="O70" i="212"/>
  <c r="K70" i="212"/>
  <c r="J70" i="212"/>
  <c r="J79" i="212" s="1"/>
  <c r="H70" i="212"/>
  <c r="F70" i="212"/>
  <c r="AE69" i="212"/>
  <c r="I21" i="211" s="1"/>
  <c r="AD69" i="212"/>
  <c r="I20" i="211" s="1"/>
  <c r="AA69" i="212"/>
  <c r="Z69" i="212"/>
  <c r="M69" i="212"/>
  <c r="W68" i="212"/>
  <c r="H68" i="212"/>
  <c r="W67" i="212"/>
  <c r="W66" i="212"/>
  <c r="W65" i="212"/>
  <c r="W64" i="212"/>
  <c r="W63" i="212"/>
  <c r="AG62" i="212"/>
  <c r="AF62" i="212"/>
  <c r="W62" i="212"/>
  <c r="AF61" i="212"/>
  <c r="W61" i="212"/>
  <c r="N61" i="212" s="1"/>
  <c r="AG61" i="212" s="1"/>
  <c r="V61" i="212"/>
  <c r="O61" i="212"/>
  <c r="L61" i="212"/>
  <c r="K61" i="212"/>
  <c r="J61" i="212"/>
  <c r="P61" i="212" s="1"/>
  <c r="H61" i="212"/>
  <c r="F61" i="212"/>
  <c r="W60" i="212"/>
  <c r="N60" i="212" s="1"/>
  <c r="V60" i="212"/>
  <c r="L60" i="212"/>
  <c r="K60" i="212"/>
  <c r="J60" i="212"/>
  <c r="P60" i="212" s="1"/>
  <c r="F60" i="212"/>
  <c r="H60" i="212" s="1"/>
  <c r="AG59" i="212"/>
  <c r="AF59" i="212"/>
  <c r="W59" i="212"/>
  <c r="N59" i="212" s="1"/>
  <c r="K59" i="212"/>
  <c r="J59" i="212"/>
  <c r="H59" i="212"/>
  <c r="F59" i="212"/>
  <c r="AE58" i="212"/>
  <c r="AE2" i="212" s="1"/>
  <c r="AD58" i="212"/>
  <c r="AA58" i="212"/>
  <c r="Z58" i="212"/>
  <c r="N58" i="212"/>
  <c r="M58" i="212"/>
  <c r="J58" i="212"/>
  <c r="W57" i="212"/>
  <c r="W56" i="212"/>
  <c r="W55" i="212"/>
  <c r="W54" i="212"/>
  <c r="AG53" i="212"/>
  <c r="AF53" i="212"/>
  <c r="W53" i="212"/>
  <c r="W52" i="212"/>
  <c r="V52" i="212"/>
  <c r="R52" i="212"/>
  <c r="O52" i="212"/>
  <c r="Q52" i="212" s="1"/>
  <c r="N52" i="212"/>
  <c r="L52" i="212"/>
  <c r="K52" i="212"/>
  <c r="J52" i="212"/>
  <c r="P52" i="212" s="1"/>
  <c r="F52" i="212"/>
  <c r="H52" i="212" s="1"/>
  <c r="W51" i="212"/>
  <c r="V51" i="212"/>
  <c r="N51" i="212"/>
  <c r="K51" i="212"/>
  <c r="L51" i="212" s="1"/>
  <c r="J51" i="212"/>
  <c r="P51" i="212" s="1"/>
  <c r="H51" i="212"/>
  <c r="F51" i="212"/>
  <c r="W50" i="212"/>
  <c r="V50" i="212"/>
  <c r="P50" i="212"/>
  <c r="N50" i="212"/>
  <c r="L50" i="212"/>
  <c r="K50" i="212"/>
  <c r="J50" i="212"/>
  <c r="F50" i="212"/>
  <c r="H50" i="212" s="1"/>
  <c r="AF49" i="212"/>
  <c r="W49" i="212"/>
  <c r="N49" i="212" s="1"/>
  <c r="P49" i="212"/>
  <c r="O49" i="212"/>
  <c r="K49" i="212"/>
  <c r="J49" i="212"/>
  <c r="H49" i="212"/>
  <c r="F49" i="212"/>
  <c r="AE48" i="212"/>
  <c r="AD48" i="212"/>
  <c r="AA48" i="212"/>
  <c r="Z48" i="212"/>
  <c r="W48" i="212"/>
  <c r="P48" i="212"/>
  <c r="M48" i="212"/>
  <c r="J48" i="212"/>
  <c r="W47" i="212"/>
  <c r="H47" i="212"/>
  <c r="W46" i="212"/>
  <c r="W45" i="212"/>
  <c r="W44" i="212"/>
  <c r="W43" i="212"/>
  <c r="W42" i="212"/>
  <c r="AG41" i="212"/>
  <c r="AF41" i="212"/>
  <c r="W41" i="212"/>
  <c r="W40" i="212"/>
  <c r="V40" i="212"/>
  <c r="P40" i="212"/>
  <c r="N40" i="212"/>
  <c r="L40" i="212"/>
  <c r="K40" i="212"/>
  <c r="J40" i="212"/>
  <c r="H40" i="212"/>
  <c r="F40" i="212"/>
  <c r="AG39" i="212"/>
  <c r="AF39" i="212"/>
  <c r="W39" i="212"/>
  <c r="V39" i="212"/>
  <c r="P39" i="212"/>
  <c r="O39" i="212"/>
  <c r="N39" i="212"/>
  <c r="L39" i="212"/>
  <c r="K39" i="212"/>
  <c r="J39" i="212"/>
  <c r="F39" i="212"/>
  <c r="H39" i="212" s="1"/>
  <c r="W38" i="212"/>
  <c r="N38" i="212" s="1"/>
  <c r="P38" i="212"/>
  <c r="K38" i="212"/>
  <c r="J38" i="212"/>
  <c r="F38" i="212"/>
  <c r="H38" i="212" s="1"/>
  <c r="AE37" i="212"/>
  <c r="AD37" i="212"/>
  <c r="AA37" i="212"/>
  <c r="Z37" i="212"/>
  <c r="F18" i="211" s="1"/>
  <c r="M37" i="212"/>
  <c r="W36" i="212"/>
  <c r="H36" i="212"/>
  <c r="W35" i="212"/>
  <c r="W34" i="212"/>
  <c r="W33" i="212"/>
  <c r="W32" i="212"/>
  <c r="W31" i="212"/>
  <c r="V31" i="212"/>
  <c r="O31" i="212"/>
  <c r="N31" i="212"/>
  <c r="K31" i="212"/>
  <c r="L31" i="212" s="1"/>
  <c r="J31" i="212"/>
  <c r="P31" i="212" s="1"/>
  <c r="F31" i="212"/>
  <c r="H31" i="212" s="1"/>
  <c r="W30" i="212"/>
  <c r="N30" i="212" s="1"/>
  <c r="V30" i="212"/>
  <c r="K30" i="212"/>
  <c r="J30" i="212"/>
  <c r="F30" i="212"/>
  <c r="H30" i="212" s="1"/>
  <c r="AG29" i="212"/>
  <c r="AF29" i="212"/>
  <c r="W29" i="212"/>
  <c r="N29" i="212" s="1"/>
  <c r="V29" i="212"/>
  <c r="K29" i="212"/>
  <c r="J29" i="212"/>
  <c r="H29" i="212"/>
  <c r="F29" i="212"/>
  <c r="AF28" i="212"/>
  <c r="W28" i="212"/>
  <c r="N28" i="212" s="1"/>
  <c r="V28" i="212"/>
  <c r="P28" i="212"/>
  <c r="L28" i="212"/>
  <c r="K28" i="212"/>
  <c r="H28" i="212"/>
  <c r="F28" i="212"/>
  <c r="AG27" i="212"/>
  <c r="W27" i="212"/>
  <c r="N27" i="212" s="1"/>
  <c r="O27" i="212" s="1"/>
  <c r="P27" i="212"/>
  <c r="L27" i="212"/>
  <c r="K27" i="212"/>
  <c r="H27" i="212"/>
  <c r="F27" i="212"/>
  <c r="AE26" i="212"/>
  <c r="AD26" i="212"/>
  <c r="AA26" i="212"/>
  <c r="Z26" i="212"/>
  <c r="M26" i="212"/>
  <c r="W25" i="212"/>
  <c r="H25" i="212"/>
  <c r="W24" i="212"/>
  <c r="H24" i="212"/>
  <c r="W23" i="212"/>
  <c r="W21" i="212"/>
  <c r="AG20" i="212"/>
  <c r="AF20" i="212"/>
  <c r="W20" i="212"/>
  <c r="W19" i="212"/>
  <c r="V19" i="212"/>
  <c r="O19" i="212"/>
  <c r="N19" i="212"/>
  <c r="K19" i="212"/>
  <c r="J19" i="212"/>
  <c r="P19" i="212" s="1"/>
  <c r="H19" i="212"/>
  <c r="F19" i="212"/>
  <c r="AF18" i="212"/>
  <c r="W18" i="212"/>
  <c r="N18" i="212" s="1"/>
  <c r="AG18" i="212" s="1"/>
  <c r="V18" i="212"/>
  <c r="Q18" i="212"/>
  <c r="O18" i="212"/>
  <c r="R18" i="212" s="1"/>
  <c r="K18" i="212"/>
  <c r="L18" i="212" s="1"/>
  <c r="J18" i="212"/>
  <c r="P18" i="212" s="1"/>
  <c r="F18" i="212"/>
  <c r="H18" i="212" s="1"/>
  <c r="W17" i="212"/>
  <c r="N17" i="212" s="1"/>
  <c r="V17" i="212"/>
  <c r="P17" i="212"/>
  <c r="K17" i="212"/>
  <c r="J17" i="212"/>
  <c r="L17" i="212" s="1"/>
  <c r="F17" i="212"/>
  <c r="H17" i="212" s="1"/>
  <c r="W16" i="212"/>
  <c r="N16" i="212" s="1"/>
  <c r="P16" i="212"/>
  <c r="K16" i="212"/>
  <c r="L16" i="212" s="1"/>
  <c r="J16" i="212"/>
  <c r="H16" i="212"/>
  <c r="F16" i="212"/>
  <c r="AE15" i="212"/>
  <c r="D21" i="211" s="1"/>
  <c r="AD15" i="212"/>
  <c r="D20" i="211" s="1"/>
  <c r="AA15" i="212"/>
  <c r="AA2" i="212" s="1"/>
  <c r="Z15" i="212"/>
  <c r="M15" i="212"/>
  <c r="W14" i="212"/>
  <c r="W13" i="212"/>
  <c r="W12" i="212"/>
  <c r="W11" i="212"/>
  <c r="W10" i="212"/>
  <c r="W9" i="212"/>
  <c r="AF8" i="212"/>
  <c r="W8" i="212"/>
  <c r="N8" i="212" s="1"/>
  <c r="V8" i="212"/>
  <c r="O8" i="212"/>
  <c r="K8" i="212"/>
  <c r="AG8" i="212" s="1"/>
  <c r="J8" i="212"/>
  <c r="H8" i="212"/>
  <c r="F8" i="212"/>
  <c r="W7" i="212"/>
  <c r="N7" i="212" s="1"/>
  <c r="V7" i="212"/>
  <c r="R7" i="212"/>
  <c r="O7" i="212"/>
  <c r="Q7" i="212" s="1"/>
  <c r="L7" i="212"/>
  <c r="K7" i="212"/>
  <c r="J7" i="212"/>
  <c r="P7" i="212" s="1"/>
  <c r="H7" i="212"/>
  <c r="F7" i="212"/>
  <c r="W6" i="212"/>
  <c r="N6" i="212" s="1"/>
  <c r="V6" i="212"/>
  <c r="L6" i="212"/>
  <c r="K6" i="212"/>
  <c r="AF6" i="212" s="1"/>
  <c r="J6" i="212"/>
  <c r="H6" i="212"/>
  <c r="F6" i="212"/>
  <c r="W5" i="212"/>
  <c r="N5" i="212" s="1"/>
  <c r="P5" i="212"/>
  <c r="K5" i="212"/>
  <c r="L5" i="212" s="1"/>
  <c r="J5" i="212"/>
  <c r="H5" i="212"/>
  <c r="F5" i="212"/>
  <c r="Z2" i="212"/>
  <c r="I2" i="212"/>
  <c r="I1" i="212"/>
  <c r="E1" i="212"/>
  <c r="G3" i="211" s="1"/>
  <c r="J22" i="211"/>
  <c r="G22" i="211"/>
  <c r="F22" i="211"/>
  <c r="E22" i="211"/>
  <c r="D22" i="211"/>
  <c r="J21" i="211"/>
  <c r="H21" i="211"/>
  <c r="G21" i="211"/>
  <c r="F21" i="211"/>
  <c r="E21" i="211"/>
  <c r="J20" i="211"/>
  <c r="H20" i="211"/>
  <c r="G20" i="211"/>
  <c r="F20" i="211"/>
  <c r="J19" i="211"/>
  <c r="I19" i="211"/>
  <c r="H19" i="211"/>
  <c r="G19" i="211"/>
  <c r="F19" i="211"/>
  <c r="E19" i="211"/>
  <c r="M6" i="211" s="1"/>
  <c r="D19" i="211"/>
  <c r="I18" i="211"/>
  <c r="H18" i="211"/>
  <c r="G18" i="211"/>
  <c r="L6" i="211" s="1"/>
  <c r="E18" i="211"/>
  <c r="D18" i="211"/>
  <c r="J16" i="211"/>
  <c r="I16" i="211"/>
  <c r="H16" i="211"/>
  <c r="G16" i="211"/>
  <c r="F16" i="211"/>
  <c r="E16" i="211"/>
  <c r="D16" i="211"/>
  <c r="O8" i="211"/>
  <c r="N8" i="211"/>
  <c r="M8" i="211"/>
  <c r="L8" i="211"/>
  <c r="O7" i="211"/>
  <c r="N7" i="211"/>
  <c r="M7" i="211"/>
  <c r="L7" i="211"/>
  <c r="AE79" i="210"/>
  <c r="AD79" i="210"/>
  <c r="AA79" i="210"/>
  <c r="Z79" i="210"/>
  <c r="M79" i="210"/>
  <c r="W78" i="210"/>
  <c r="H78" i="210"/>
  <c r="W77" i="210"/>
  <c r="H77" i="210"/>
  <c r="W76" i="210"/>
  <c r="H76" i="210"/>
  <c r="W75" i="210"/>
  <c r="W74" i="210"/>
  <c r="W73" i="210"/>
  <c r="W72" i="210"/>
  <c r="W71" i="210"/>
  <c r="W70" i="210"/>
  <c r="N70" i="210" s="1"/>
  <c r="P70" i="210"/>
  <c r="K70" i="210"/>
  <c r="K79" i="210" s="1"/>
  <c r="J70" i="210"/>
  <c r="J79" i="210" s="1"/>
  <c r="P79" i="210" s="1"/>
  <c r="H70" i="210"/>
  <c r="F70" i="210"/>
  <c r="AE69" i="210"/>
  <c r="AD69" i="210"/>
  <c r="I20" i="209" s="1"/>
  <c r="AA69" i="210"/>
  <c r="I19" i="209" s="1"/>
  <c r="Z69" i="210"/>
  <c r="I18" i="209" s="1"/>
  <c r="M69" i="210"/>
  <c r="K69" i="210"/>
  <c r="W68" i="210"/>
  <c r="H68" i="210"/>
  <c r="W67" i="210"/>
  <c r="W66" i="210"/>
  <c r="W65" i="210"/>
  <c r="W64" i="210"/>
  <c r="W63" i="210"/>
  <c r="AG62" i="210"/>
  <c r="AF62" i="210"/>
  <c r="W62" i="210"/>
  <c r="W61" i="210"/>
  <c r="N61" i="210" s="1"/>
  <c r="V61" i="210"/>
  <c r="K61" i="210"/>
  <c r="L61" i="210" s="1"/>
  <c r="J61" i="210"/>
  <c r="P61" i="210" s="1"/>
  <c r="F61" i="210"/>
  <c r="H61" i="210" s="1"/>
  <c r="AF60" i="210"/>
  <c r="W60" i="210"/>
  <c r="N60" i="210" s="1"/>
  <c r="V60" i="210"/>
  <c r="K60" i="210"/>
  <c r="J60" i="210"/>
  <c r="P60" i="210" s="1"/>
  <c r="H60" i="210"/>
  <c r="F60" i="210"/>
  <c r="AF59" i="210"/>
  <c r="W59" i="210"/>
  <c r="N59" i="210" s="1"/>
  <c r="P59" i="210"/>
  <c r="K59" i="210"/>
  <c r="L59" i="210" s="1"/>
  <c r="J59" i="210"/>
  <c r="F59" i="210"/>
  <c r="H59" i="210" s="1"/>
  <c r="AE58" i="210"/>
  <c r="AD58" i="210"/>
  <c r="AA58" i="210"/>
  <c r="Z58" i="210"/>
  <c r="M58" i="210"/>
  <c r="W57" i="210"/>
  <c r="W56" i="210"/>
  <c r="W55" i="210"/>
  <c r="W54" i="210"/>
  <c r="AG53" i="210"/>
  <c r="AF53" i="210"/>
  <c r="W53" i="210"/>
  <c r="AG52" i="210"/>
  <c r="W52" i="210"/>
  <c r="N52" i="210" s="1"/>
  <c r="V52" i="210"/>
  <c r="L52" i="210"/>
  <c r="K52" i="210"/>
  <c r="J52" i="210"/>
  <c r="P52" i="210" s="1"/>
  <c r="H52" i="210"/>
  <c r="F52" i="210"/>
  <c r="W51" i="210"/>
  <c r="V51" i="210"/>
  <c r="P51" i="210"/>
  <c r="N51" i="210"/>
  <c r="K51" i="210"/>
  <c r="L51" i="210" s="1"/>
  <c r="J51" i="210"/>
  <c r="H51" i="210"/>
  <c r="F51" i="210"/>
  <c r="W50" i="210"/>
  <c r="V50" i="210"/>
  <c r="P50" i="210"/>
  <c r="O50" i="210"/>
  <c r="N50" i="210"/>
  <c r="L50" i="210"/>
  <c r="K50" i="210"/>
  <c r="J50" i="210"/>
  <c r="H50" i="210"/>
  <c r="F50" i="210"/>
  <c r="W49" i="210"/>
  <c r="N49" i="210" s="1"/>
  <c r="K49" i="210"/>
  <c r="J49" i="210"/>
  <c r="H49" i="210"/>
  <c r="F49" i="210"/>
  <c r="AE48" i="210"/>
  <c r="G21" i="209" s="1"/>
  <c r="AD48" i="210"/>
  <c r="G20" i="209" s="1"/>
  <c r="AA48" i="210"/>
  <c r="Z48" i="210"/>
  <c r="G18" i="209" s="1"/>
  <c r="W48" i="210"/>
  <c r="M48" i="210"/>
  <c r="J48" i="210"/>
  <c r="W47" i="210"/>
  <c r="H47" i="210"/>
  <c r="W46" i="210"/>
  <c r="W45" i="210"/>
  <c r="W44" i="210"/>
  <c r="W43" i="210"/>
  <c r="W42" i="210"/>
  <c r="AF41" i="210"/>
  <c r="W41" i="210"/>
  <c r="N41" i="210" s="1"/>
  <c r="V41" i="210"/>
  <c r="P41" i="210"/>
  <c r="L41" i="210"/>
  <c r="K41" i="210"/>
  <c r="J41" i="210"/>
  <c r="H41" i="210"/>
  <c r="F41" i="210"/>
  <c r="W40" i="210"/>
  <c r="V40" i="210"/>
  <c r="N40" i="210"/>
  <c r="K40" i="210"/>
  <c r="L40" i="210" s="1"/>
  <c r="J40" i="210"/>
  <c r="P40" i="210" s="1"/>
  <c r="F40" i="210"/>
  <c r="H40" i="210" s="1"/>
  <c r="W39" i="210"/>
  <c r="N39" i="210" s="1"/>
  <c r="V39" i="210"/>
  <c r="K39" i="210"/>
  <c r="J39" i="210"/>
  <c r="H39" i="210"/>
  <c r="F39" i="210"/>
  <c r="W38" i="210"/>
  <c r="N38" i="210" s="1"/>
  <c r="P38" i="210"/>
  <c r="O38" i="210"/>
  <c r="K38" i="210"/>
  <c r="K48" i="210" s="1"/>
  <c r="J38" i="210"/>
  <c r="F38" i="210"/>
  <c r="H38" i="210" s="1"/>
  <c r="AE37" i="210"/>
  <c r="AD37" i="210"/>
  <c r="F20" i="209" s="1"/>
  <c r="AA37" i="210"/>
  <c r="F19" i="209" s="1"/>
  <c r="Z37" i="210"/>
  <c r="M37" i="210"/>
  <c r="F22" i="209" s="1"/>
  <c r="W36" i="210"/>
  <c r="H36" i="210"/>
  <c r="W35" i="210"/>
  <c r="W34" i="210"/>
  <c r="W33" i="210"/>
  <c r="W32" i="210"/>
  <c r="W31" i="210"/>
  <c r="W30" i="210"/>
  <c r="N30" i="210" s="1"/>
  <c r="V30" i="210"/>
  <c r="L30" i="210"/>
  <c r="K30" i="210"/>
  <c r="J30" i="210"/>
  <c r="P30" i="210" s="1"/>
  <c r="F30" i="210"/>
  <c r="H30" i="210" s="1"/>
  <c r="W29" i="210"/>
  <c r="V29" i="210"/>
  <c r="N29" i="210"/>
  <c r="L29" i="210"/>
  <c r="K29" i="210"/>
  <c r="J29" i="210"/>
  <c r="J37" i="210" s="1"/>
  <c r="F29" i="210"/>
  <c r="H29" i="210" s="1"/>
  <c r="AG28" i="210"/>
  <c r="AF28" i="210"/>
  <c r="W28" i="210"/>
  <c r="N28" i="210" s="1"/>
  <c r="V28" i="210"/>
  <c r="P28" i="210"/>
  <c r="O28" i="210"/>
  <c r="K28" i="210"/>
  <c r="L28" i="210" s="1"/>
  <c r="H28" i="210"/>
  <c r="F28" i="210"/>
  <c r="AG27" i="210"/>
  <c r="AF27" i="210"/>
  <c r="W27" i="210"/>
  <c r="P27" i="210"/>
  <c r="N27" i="210"/>
  <c r="L27" i="210"/>
  <c r="K27" i="210"/>
  <c r="K37" i="210" s="1"/>
  <c r="H27" i="210"/>
  <c r="F27" i="210"/>
  <c r="AE26" i="210"/>
  <c r="E21" i="209" s="1"/>
  <c r="AD26" i="210"/>
  <c r="AA26" i="210"/>
  <c r="Z26" i="210"/>
  <c r="M26" i="210"/>
  <c r="J26" i="210"/>
  <c r="W25" i="210"/>
  <c r="H25" i="210"/>
  <c r="W24" i="210"/>
  <c r="H24" i="210"/>
  <c r="W23" i="210"/>
  <c r="W21" i="210"/>
  <c r="W20" i="210"/>
  <c r="N20" i="210" s="1"/>
  <c r="V20" i="210"/>
  <c r="P20" i="210"/>
  <c r="K20" i="210"/>
  <c r="L20" i="210" s="1"/>
  <c r="J20" i="210"/>
  <c r="H20" i="210"/>
  <c r="F20" i="210"/>
  <c r="W19" i="210"/>
  <c r="N19" i="210" s="1"/>
  <c r="V19" i="210"/>
  <c r="L19" i="210"/>
  <c r="K19" i="210"/>
  <c r="AF19" i="210" s="1"/>
  <c r="J19" i="210"/>
  <c r="P19" i="210" s="1"/>
  <c r="F19" i="210"/>
  <c r="H19" i="210" s="1"/>
  <c r="W18" i="210"/>
  <c r="V18" i="210"/>
  <c r="P18" i="210"/>
  <c r="N18" i="210"/>
  <c r="O18" i="210" s="1"/>
  <c r="K18" i="210"/>
  <c r="J18" i="210"/>
  <c r="F18" i="210"/>
  <c r="H18" i="210" s="1"/>
  <c r="AG17" i="210"/>
  <c r="W17" i="210"/>
  <c r="V17" i="210"/>
  <c r="O17" i="210"/>
  <c r="N17" i="210"/>
  <c r="L17" i="210"/>
  <c r="K17" i="210"/>
  <c r="J17" i="210"/>
  <c r="P17" i="210" s="1"/>
  <c r="H17" i="210"/>
  <c r="F17" i="210"/>
  <c r="W16" i="210"/>
  <c r="N16" i="210" s="1"/>
  <c r="P16" i="210"/>
  <c r="O16" i="210"/>
  <c r="K16" i="210"/>
  <c r="J16" i="210"/>
  <c r="F16" i="210"/>
  <c r="H16" i="210" s="1"/>
  <c r="AE15" i="210"/>
  <c r="AD15" i="210"/>
  <c r="D20" i="209" s="1"/>
  <c r="AA15" i="210"/>
  <c r="D19" i="209" s="1"/>
  <c r="Z15" i="210"/>
  <c r="D18" i="209" s="1"/>
  <c r="M15" i="210"/>
  <c r="W14" i="210"/>
  <c r="W13" i="210"/>
  <c r="W12" i="210"/>
  <c r="W11" i="210"/>
  <c r="W10" i="210"/>
  <c r="W9" i="210"/>
  <c r="W8" i="210"/>
  <c r="V8" i="210"/>
  <c r="O8" i="210"/>
  <c r="N8" i="210"/>
  <c r="K8" i="210"/>
  <c r="J8" i="210"/>
  <c r="F8" i="210"/>
  <c r="H8" i="210" s="1"/>
  <c r="W7" i="210"/>
  <c r="N7" i="210" s="1"/>
  <c r="V7" i="210"/>
  <c r="P7" i="210"/>
  <c r="L7" i="210"/>
  <c r="K7" i="210"/>
  <c r="J7" i="210"/>
  <c r="H7" i="210"/>
  <c r="F7" i="210"/>
  <c r="W6" i="210"/>
  <c r="N6" i="210" s="1"/>
  <c r="V6" i="210"/>
  <c r="L6" i="210"/>
  <c r="K6" i="210"/>
  <c r="J6" i="210"/>
  <c r="P6" i="210" s="1"/>
  <c r="F6" i="210"/>
  <c r="H6" i="210" s="1"/>
  <c r="AF5" i="210"/>
  <c r="W5" i="210"/>
  <c r="N5" i="210" s="1"/>
  <c r="L5" i="210"/>
  <c r="K5" i="210"/>
  <c r="J5" i="210"/>
  <c r="P5" i="210" s="1"/>
  <c r="H5" i="210"/>
  <c r="F5" i="210"/>
  <c r="AE2" i="210"/>
  <c r="I2" i="210"/>
  <c r="E1" i="210"/>
  <c r="J22" i="209"/>
  <c r="I22" i="209"/>
  <c r="H22" i="209"/>
  <c r="D22" i="209"/>
  <c r="J21" i="209"/>
  <c r="I21" i="209"/>
  <c r="H21" i="209"/>
  <c r="F21" i="209"/>
  <c r="D21" i="209"/>
  <c r="H20" i="209"/>
  <c r="E20" i="209"/>
  <c r="J19" i="209"/>
  <c r="G19" i="209"/>
  <c r="E19" i="209"/>
  <c r="J18" i="209"/>
  <c r="H18" i="209"/>
  <c r="F18" i="209"/>
  <c r="E18" i="209"/>
  <c r="J16" i="209"/>
  <c r="I16" i="209"/>
  <c r="H16" i="209"/>
  <c r="G16" i="209"/>
  <c r="F16" i="209"/>
  <c r="E16" i="209"/>
  <c r="D16" i="209"/>
  <c r="O8" i="209"/>
  <c r="N8" i="209"/>
  <c r="M8" i="209"/>
  <c r="L8" i="209"/>
  <c r="O7" i="209"/>
  <c r="N7" i="209"/>
  <c r="M7" i="209"/>
  <c r="L7" i="209"/>
  <c r="G3" i="209"/>
  <c r="AE79" i="208"/>
  <c r="AD79" i="208"/>
  <c r="AA79" i="208"/>
  <c r="J18" i="207" s="1"/>
  <c r="Z79" i="208"/>
  <c r="Z2" i="208" s="1"/>
  <c r="N79" i="208"/>
  <c r="M79" i="208"/>
  <c r="W78" i="208"/>
  <c r="H78" i="208"/>
  <c r="W77" i="208"/>
  <c r="H77" i="208"/>
  <c r="W76" i="208"/>
  <c r="H76" i="208"/>
  <c r="W75" i="208"/>
  <c r="W74" i="208"/>
  <c r="W73" i="208"/>
  <c r="W72" i="208"/>
  <c r="W71" i="208"/>
  <c r="W70" i="208"/>
  <c r="N70" i="208"/>
  <c r="K70" i="208"/>
  <c r="J70" i="208"/>
  <c r="F70" i="208"/>
  <c r="H70" i="208" s="1"/>
  <c r="AE69" i="208"/>
  <c r="I21" i="207" s="1"/>
  <c r="AD69" i="208"/>
  <c r="I20" i="207" s="1"/>
  <c r="AA69" i="208"/>
  <c r="Z69" i="208"/>
  <c r="M69" i="208"/>
  <c r="W68" i="208"/>
  <c r="H68" i="208"/>
  <c r="W67" i="208"/>
  <c r="W66" i="208"/>
  <c r="W65" i="208"/>
  <c r="W64" i="208"/>
  <c r="W63" i="208"/>
  <c r="AG62" i="208"/>
  <c r="AF62" i="208"/>
  <c r="W62" i="208"/>
  <c r="AG61" i="208"/>
  <c r="W61" i="208"/>
  <c r="V61" i="208"/>
  <c r="N61" i="208"/>
  <c r="K61" i="208"/>
  <c r="L61" i="208" s="1"/>
  <c r="J61" i="208"/>
  <c r="P61" i="208" s="1"/>
  <c r="F61" i="208"/>
  <c r="H61" i="208" s="1"/>
  <c r="AG60" i="208"/>
  <c r="W60" i="208"/>
  <c r="V60" i="208"/>
  <c r="R60" i="208"/>
  <c r="Q60" i="208"/>
  <c r="P60" i="208"/>
  <c r="N60" i="208"/>
  <c r="O60" i="208" s="1"/>
  <c r="L60" i="208"/>
  <c r="K60" i="208"/>
  <c r="J60" i="208"/>
  <c r="F60" i="208"/>
  <c r="H60" i="208" s="1"/>
  <c r="W59" i="208"/>
  <c r="O59" i="208"/>
  <c r="N59" i="208"/>
  <c r="K59" i="208"/>
  <c r="J59" i="208"/>
  <c r="H59" i="208"/>
  <c r="F59" i="208"/>
  <c r="AE58" i="208"/>
  <c r="AD58" i="208"/>
  <c r="H20" i="207" s="1"/>
  <c r="AA58" i="208"/>
  <c r="Z58" i="208"/>
  <c r="N58" i="208"/>
  <c r="M58" i="208"/>
  <c r="W57" i="208"/>
  <c r="W56" i="208"/>
  <c r="W55" i="208"/>
  <c r="W54" i="208"/>
  <c r="AG53" i="208"/>
  <c r="AF53" i="208"/>
  <c r="W53" i="208"/>
  <c r="AF52" i="208"/>
  <c r="W52" i="208"/>
  <c r="N52" i="208" s="1"/>
  <c r="V52" i="208"/>
  <c r="P52" i="208"/>
  <c r="K52" i="208"/>
  <c r="L52" i="208" s="1"/>
  <c r="J52" i="208"/>
  <c r="H52" i="208"/>
  <c r="F52" i="208"/>
  <c r="W51" i="208"/>
  <c r="V51" i="208"/>
  <c r="N51" i="208"/>
  <c r="O51" i="208" s="1"/>
  <c r="K51" i="208"/>
  <c r="J51" i="208"/>
  <c r="P51" i="208" s="1"/>
  <c r="H51" i="208"/>
  <c r="F51" i="208"/>
  <c r="W50" i="208"/>
  <c r="N50" i="208" s="1"/>
  <c r="O50" i="208" s="1"/>
  <c r="V50" i="208"/>
  <c r="R50" i="208"/>
  <c r="Q50" i="208"/>
  <c r="P50" i="208"/>
  <c r="K50" i="208"/>
  <c r="L50" i="208" s="1"/>
  <c r="J50" i="208"/>
  <c r="F50" i="208"/>
  <c r="H50" i="208" s="1"/>
  <c r="AG49" i="208"/>
  <c r="W49" i="208"/>
  <c r="N49" i="208"/>
  <c r="AF49" i="208" s="1"/>
  <c r="K49" i="208"/>
  <c r="J49" i="208"/>
  <c r="H49" i="208"/>
  <c r="F49" i="208"/>
  <c r="AE48" i="208"/>
  <c r="AD48" i="208"/>
  <c r="G20" i="207" s="1"/>
  <c r="AA48" i="208"/>
  <c r="Z48" i="208"/>
  <c r="W48" i="208"/>
  <c r="P48" i="208"/>
  <c r="M48" i="208"/>
  <c r="G22" i="207" s="1"/>
  <c r="W47" i="208"/>
  <c r="H47" i="208"/>
  <c r="W46" i="208"/>
  <c r="W45" i="208"/>
  <c r="W44" i="208"/>
  <c r="W43" i="208"/>
  <c r="W42" i="208"/>
  <c r="AG41" i="208"/>
  <c r="AF41" i="208"/>
  <c r="W41" i="208"/>
  <c r="N41" i="208" s="1"/>
  <c r="O41" i="208" s="1"/>
  <c r="V41" i="208"/>
  <c r="P41" i="208"/>
  <c r="L41" i="208"/>
  <c r="K41" i="208"/>
  <c r="J41" i="208"/>
  <c r="H41" i="208"/>
  <c r="F41" i="208"/>
  <c r="W40" i="208"/>
  <c r="N40" i="208" s="1"/>
  <c r="V40" i="208"/>
  <c r="L40" i="208"/>
  <c r="K40" i="208"/>
  <c r="J40" i="208"/>
  <c r="P40" i="208" s="1"/>
  <c r="H40" i="208"/>
  <c r="F40" i="208"/>
  <c r="W39" i="208"/>
  <c r="N39" i="208" s="1"/>
  <c r="V39" i="208"/>
  <c r="L39" i="208"/>
  <c r="K39" i="208"/>
  <c r="J39" i="208"/>
  <c r="P39" i="208" s="1"/>
  <c r="H39" i="208"/>
  <c r="F39" i="208"/>
  <c r="W38" i="208"/>
  <c r="P38" i="208"/>
  <c r="O38" i="208"/>
  <c r="N38" i="208"/>
  <c r="K38" i="208"/>
  <c r="K48" i="208" s="1"/>
  <c r="J38" i="208"/>
  <c r="J48" i="208" s="1"/>
  <c r="H38" i="208"/>
  <c r="F38" i="208"/>
  <c r="AE37" i="208"/>
  <c r="AD37" i="208"/>
  <c r="AA37" i="208"/>
  <c r="F19" i="207" s="1"/>
  <c r="Z37" i="208"/>
  <c r="F18" i="207" s="1"/>
  <c r="M37" i="208"/>
  <c r="W36" i="208"/>
  <c r="H36" i="208"/>
  <c r="W35" i="208"/>
  <c r="W34" i="208"/>
  <c r="W33" i="208"/>
  <c r="W32" i="208"/>
  <c r="AG31" i="208"/>
  <c r="AF31" i="208"/>
  <c r="W31" i="208"/>
  <c r="AG30" i="208"/>
  <c r="AF30" i="208"/>
  <c r="W30" i="208"/>
  <c r="W29" i="208"/>
  <c r="N29" i="208" s="1"/>
  <c r="V29" i="208"/>
  <c r="K29" i="208"/>
  <c r="L29" i="208" s="1"/>
  <c r="J29" i="208"/>
  <c r="F29" i="208"/>
  <c r="H29" i="208" s="1"/>
  <c r="W28" i="208"/>
  <c r="V28" i="208"/>
  <c r="P28" i="208"/>
  <c r="O28" i="208"/>
  <c r="N28" i="208"/>
  <c r="L28" i="208"/>
  <c r="K28" i="208"/>
  <c r="H28" i="208"/>
  <c r="F28" i="208"/>
  <c r="AG27" i="208"/>
  <c r="AF27" i="208"/>
  <c r="W27" i="208"/>
  <c r="N27" i="208" s="1"/>
  <c r="P27" i="208"/>
  <c r="K27" i="208"/>
  <c r="H27" i="208"/>
  <c r="F27" i="208"/>
  <c r="AE26" i="208"/>
  <c r="E21" i="207" s="1"/>
  <c r="AD26" i="208"/>
  <c r="AA26" i="208"/>
  <c r="Z26" i="208"/>
  <c r="E18" i="207" s="1"/>
  <c r="N26" i="208"/>
  <c r="M26" i="208"/>
  <c r="W25" i="208"/>
  <c r="H25" i="208"/>
  <c r="W24" i="208"/>
  <c r="H24" i="208"/>
  <c r="W23" i="208"/>
  <c r="W21" i="208"/>
  <c r="W20" i="208"/>
  <c r="W19" i="208"/>
  <c r="V19" i="208"/>
  <c r="P19" i="208"/>
  <c r="O19" i="208"/>
  <c r="N19" i="208"/>
  <c r="K19" i="208"/>
  <c r="J19" i="208"/>
  <c r="F19" i="208"/>
  <c r="H19" i="208" s="1"/>
  <c r="AG18" i="208"/>
  <c r="W18" i="208"/>
  <c r="V18" i="208"/>
  <c r="N18" i="208"/>
  <c r="K18" i="208"/>
  <c r="J18" i="208"/>
  <c r="P18" i="208" s="1"/>
  <c r="F18" i="208"/>
  <c r="H18" i="208" s="1"/>
  <c r="W17" i="208"/>
  <c r="N17" i="208" s="1"/>
  <c r="V17" i="208"/>
  <c r="O17" i="208"/>
  <c r="L17" i="208"/>
  <c r="K17" i="208"/>
  <c r="J17" i="208"/>
  <c r="P17" i="208" s="1"/>
  <c r="H17" i="208"/>
  <c r="F17" i="208"/>
  <c r="AF16" i="208"/>
  <c r="W16" i="208"/>
  <c r="N16" i="208" s="1"/>
  <c r="AG16" i="208" s="1"/>
  <c r="O16" i="208"/>
  <c r="K16" i="208"/>
  <c r="J16" i="208"/>
  <c r="H16" i="208"/>
  <c r="F16" i="208"/>
  <c r="AE15" i="208"/>
  <c r="D21" i="207" s="1"/>
  <c r="AD15" i="208"/>
  <c r="AA15" i="208"/>
  <c r="Z15" i="208"/>
  <c r="D18" i="207" s="1"/>
  <c r="M15" i="208"/>
  <c r="W14" i="208"/>
  <c r="W13" i="208"/>
  <c r="W12" i="208"/>
  <c r="AG11" i="208"/>
  <c r="AF11" i="208"/>
  <c r="W11" i="208"/>
  <c r="AG10" i="208"/>
  <c r="AF10" i="208"/>
  <c r="W10" i="208"/>
  <c r="W9" i="208"/>
  <c r="N9" i="208" s="1"/>
  <c r="V9" i="208"/>
  <c r="O9" i="208"/>
  <c r="K9" i="208"/>
  <c r="AF9" i="208" s="1"/>
  <c r="J9" i="208"/>
  <c r="H9" i="208"/>
  <c r="F9" i="208"/>
  <c r="W8" i="208"/>
  <c r="N8" i="208" s="1"/>
  <c r="V8" i="208"/>
  <c r="P8" i="208"/>
  <c r="K8" i="208"/>
  <c r="L8" i="208" s="1"/>
  <c r="J8" i="208"/>
  <c r="F8" i="208"/>
  <c r="H8" i="208" s="1"/>
  <c r="AG7" i="208"/>
  <c r="W7" i="208"/>
  <c r="N7" i="208" s="1"/>
  <c r="AF7" i="208" s="1"/>
  <c r="V7" i="208"/>
  <c r="P7" i="208"/>
  <c r="O7" i="208"/>
  <c r="L7" i="208"/>
  <c r="K7" i="208"/>
  <c r="J7" i="208"/>
  <c r="H7" i="208"/>
  <c r="F7" i="208"/>
  <c r="AG6" i="208"/>
  <c r="W6" i="208"/>
  <c r="N6" i="208" s="1"/>
  <c r="AF6" i="208" s="1"/>
  <c r="V6" i="208"/>
  <c r="P6" i="208"/>
  <c r="K6" i="208"/>
  <c r="L6" i="208" s="1"/>
  <c r="J6" i="208"/>
  <c r="H6" i="208"/>
  <c r="F6" i="208"/>
  <c r="AG5" i="208"/>
  <c r="AF5" i="208"/>
  <c r="W5" i="208"/>
  <c r="N5" i="208" s="1"/>
  <c r="R5" i="208"/>
  <c r="O5" i="208"/>
  <c r="L5" i="208"/>
  <c r="K5" i="208"/>
  <c r="J5" i="208"/>
  <c r="P5" i="208" s="1"/>
  <c r="F5" i="208"/>
  <c r="H5" i="208" s="1"/>
  <c r="AE2" i="208"/>
  <c r="AD2" i="208"/>
  <c r="I2" i="208"/>
  <c r="E1" i="208"/>
  <c r="G3" i="207" s="1"/>
  <c r="F22" i="207"/>
  <c r="D22" i="207"/>
  <c r="J21" i="207"/>
  <c r="H21" i="207"/>
  <c r="G21" i="207"/>
  <c r="F21" i="207"/>
  <c r="J20" i="207"/>
  <c r="F20" i="207"/>
  <c r="E20" i="207"/>
  <c r="D20" i="207"/>
  <c r="J19" i="207"/>
  <c r="H19" i="207"/>
  <c r="G19" i="207"/>
  <c r="E19" i="207"/>
  <c r="D19" i="207"/>
  <c r="I18" i="207"/>
  <c r="H18" i="207"/>
  <c r="G18" i="207"/>
  <c r="J16" i="207"/>
  <c r="I16" i="207"/>
  <c r="H16" i="207"/>
  <c r="G16" i="207"/>
  <c r="F16" i="207"/>
  <c r="E16" i="207"/>
  <c r="D16" i="207"/>
  <c r="O8" i="207"/>
  <c r="N8" i="207"/>
  <c r="M8" i="207"/>
  <c r="L8" i="207"/>
  <c r="O7" i="207"/>
  <c r="N7" i="207"/>
  <c r="M7" i="207"/>
  <c r="L7" i="207"/>
  <c r="AE79" i="204"/>
  <c r="J21" i="203" s="1"/>
  <c r="AD79" i="204"/>
  <c r="J20" i="203" s="1"/>
  <c r="AA79" i="204"/>
  <c r="Z79" i="204"/>
  <c r="P79" i="204"/>
  <c r="O79" i="204"/>
  <c r="J14" i="203" s="1"/>
  <c r="N79" i="204"/>
  <c r="M79" i="204"/>
  <c r="J79" i="204"/>
  <c r="W78" i="204"/>
  <c r="H78" i="204"/>
  <c r="W77" i="204"/>
  <c r="H77" i="204"/>
  <c r="W76" i="204"/>
  <c r="H76" i="204"/>
  <c r="W75" i="204"/>
  <c r="H75" i="204"/>
  <c r="W74" i="204"/>
  <c r="W73" i="204"/>
  <c r="W72" i="204"/>
  <c r="W71" i="204"/>
  <c r="AG70" i="204"/>
  <c r="W70" i="204"/>
  <c r="P70" i="204"/>
  <c r="O70" i="204"/>
  <c r="N70" i="204"/>
  <c r="AF70" i="204" s="1"/>
  <c r="K70" i="204"/>
  <c r="J70" i="204"/>
  <c r="H70" i="204"/>
  <c r="F70" i="204"/>
  <c r="AE69" i="204"/>
  <c r="I21" i="203" s="1"/>
  <c r="AD69" i="204"/>
  <c r="I20" i="203" s="1"/>
  <c r="AA69" i="204"/>
  <c r="I19" i="203" s="1"/>
  <c r="Z69" i="204"/>
  <c r="I18" i="203" s="1"/>
  <c r="M69" i="204"/>
  <c r="W68" i="204"/>
  <c r="H68" i="204"/>
  <c r="W67" i="204"/>
  <c r="W66" i="204"/>
  <c r="W65" i="204"/>
  <c r="W64" i="204"/>
  <c r="W63" i="204"/>
  <c r="AG62" i="204"/>
  <c r="AF62" i="204"/>
  <c r="W62" i="204"/>
  <c r="W61" i="204"/>
  <c r="N61" i="204" s="1"/>
  <c r="V61" i="204"/>
  <c r="P61" i="204"/>
  <c r="K61" i="204"/>
  <c r="L61" i="204" s="1"/>
  <c r="J61" i="204"/>
  <c r="F61" i="204"/>
  <c r="H61" i="204" s="1"/>
  <c r="W60" i="204"/>
  <c r="N60" i="204" s="1"/>
  <c r="V60" i="204"/>
  <c r="K60" i="204"/>
  <c r="L60" i="204" s="1"/>
  <c r="J60" i="204"/>
  <c r="P60" i="204" s="1"/>
  <c r="F60" i="204"/>
  <c r="H60" i="204" s="1"/>
  <c r="W59" i="204"/>
  <c r="O59" i="204"/>
  <c r="N59" i="204"/>
  <c r="AF59" i="204" s="1"/>
  <c r="K59" i="204"/>
  <c r="J59" i="204"/>
  <c r="F59" i="204"/>
  <c r="H59" i="204" s="1"/>
  <c r="AE58" i="204"/>
  <c r="AD58" i="204"/>
  <c r="AA58" i="204"/>
  <c r="Z58" i="204"/>
  <c r="H18" i="203" s="1"/>
  <c r="M58" i="204"/>
  <c r="K58" i="204"/>
  <c r="W57" i="204"/>
  <c r="W56" i="204"/>
  <c r="W55" i="204"/>
  <c r="W54" i="204"/>
  <c r="W53" i="204"/>
  <c r="W52" i="204"/>
  <c r="N52" i="204" s="1"/>
  <c r="V52" i="204"/>
  <c r="K52" i="204"/>
  <c r="J52" i="204"/>
  <c r="P52" i="204" s="1"/>
  <c r="F52" i="204"/>
  <c r="H52" i="204" s="1"/>
  <c r="AG51" i="204"/>
  <c r="W51" i="204"/>
  <c r="V51" i="204"/>
  <c r="N51" i="204"/>
  <c r="L51" i="204"/>
  <c r="K51" i="204"/>
  <c r="J51" i="204"/>
  <c r="P51" i="204" s="1"/>
  <c r="F51" i="204"/>
  <c r="H51" i="204" s="1"/>
  <c r="AG50" i="204"/>
  <c r="AF50" i="204"/>
  <c r="W50" i="204"/>
  <c r="V50" i="204"/>
  <c r="N50" i="204"/>
  <c r="O50" i="204" s="1"/>
  <c r="L50" i="204"/>
  <c r="K50" i="204"/>
  <c r="J50" i="204"/>
  <c r="P50" i="204" s="1"/>
  <c r="F50" i="204"/>
  <c r="H50" i="204" s="1"/>
  <c r="W49" i="204"/>
  <c r="N49" i="204" s="1"/>
  <c r="K49" i="204"/>
  <c r="J49" i="204"/>
  <c r="H49" i="204"/>
  <c r="F49" i="204"/>
  <c r="AE48" i="204"/>
  <c r="AD48" i="204"/>
  <c r="G20" i="203" s="1"/>
  <c r="O6" i="203" s="1"/>
  <c r="AA48" i="204"/>
  <c r="Z48" i="204"/>
  <c r="G18" i="203" s="1"/>
  <c r="W48" i="204"/>
  <c r="M48" i="204"/>
  <c r="W47" i="204"/>
  <c r="H47" i="204"/>
  <c r="W46" i="204"/>
  <c r="W45" i="204"/>
  <c r="W44" i="204"/>
  <c r="W43" i="204"/>
  <c r="W42" i="204"/>
  <c r="AF41" i="204"/>
  <c r="W41" i="204"/>
  <c r="V41" i="204"/>
  <c r="P41" i="204"/>
  <c r="O41" i="204"/>
  <c r="N41" i="204"/>
  <c r="AG41" i="204" s="1"/>
  <c r="K41" i="204"/>
  <c r="J41" i="204"/>
  <c r="F41" i="204"/>
  <c r="H41" i="204" s="1"/>
  <c r="W40" i="204"/>
  <c r="N40" i="204" s="1"/>
  <c r="V40" i="204"/>
  <c r="P40" i="204"/>
  <c r="K40" i="204"/>
  <c r="J40" i="204"/>
  <c r="L40" i="204" s="1"/>
  <c r="F40" i="204"/>
  <c r="H40" i="204" s="1"/>
  <c r="W39" i="204"/>
  <c r="N39" i="204" s="1"/>
  <c r="V39" i="204"/>
  <c r="O39" i="204"/>
  <c r="K39" i="204"/>
  <c r="J39" i="204"/>
  <c r="P39" i="204" s="1"/>
  <c r="H39" i="204"/>
  <c r="F39" i="204"/>
  <c r="W38" i="204"/>
  <c r="N38" i="204"/>
  <c r="K38" i="204"/>
  <c r="J38" i="204"/>
  <c r="H38" i="204"/>
  <c r="F38" i="204"/>
  <c r="AE37" i="204"/>
  <c r="AD37" i="204"/>
  <c r="AA37" i="204"/>
  <c r="Z37" i="204"/>
  <c r="M37" i="204"/>
  <c r="W36" i="204"/>
  <c r="H36" i="204"/>
  <c r="W35" i="204"/>
  <c r="W34" i="204"/>
  <c r="W33" i="204"/>
  <c r="W32" i="204"/>
  <c r="AG31" i="204"/>
  <c r="AF31" i="204"/>
  <c r="W31" i="204"/>
  <c r="AG30" i="204"/>
  <c r="AF30" i="204"/>
  <c r="W30" i="204"/>
  <c r="W29" i="204"/>
  <c r="N29" i="204" s="1"/>
  <c r="V29" i="204"/>
  <c r="P29" i="204"/>
  <c r="K29" i="204"/>
  <c r="J29" i="204"/>
  <c r="J37" i="204" s="1"/>
  <c r="P37" i="204" s="1"/>
  <c r="F29" i="204"/>
  <c r="H29" i="204" s="1"/>
  <c r="W28" i="204"/>
  <c r="N28" i="204" s="1"/>
  <c r="V28" i="204"/>
  <c r="P28" i="204"/>
  <c r="L28" i="204"/>
  <c r="K28" i="204"/>
  <c r="H28" i="204"/>
  <c r="F28" i="204"/>
  <c r="AF27" i="204"/>
  <c r="W27" i="204"/>
  <c r="N27" i="204" s="1"/>
  <c r="P27" i="204"/>
  <c r="K27" i="204"/>
  <c r="F27" i="204"/>
  <c r="H27" i="204" s="1"/>
  <c r="AE26" i="204"/>
  <c r="AD26" i="204"/>
  <c r="AA26" i="204"/>
  <c r="Z26" i="204"/>
  <c r="M26" i="204"/>
  <c r="W25" i="204"/>
  <c r="H25" i="204"/>
  <c r="W24" i="204"/>
  <c r="H24" i="204"/>
  <c r="W23" i="204"/>
  <c r="W21" i="204"/>
  <c r="W20" i="204"/>
  <c r="W19" i="204"/>
  <c r="N19" i="204" s="1"/>
  <c r="AF19" i="204" s="1"/>
  <c r="V19" i="204"/>
  <c r="P19" i="204"/>
  <c r="K19" i="204"/>
  <c r="J19" i="204"/>
  <c r="F19" i="204"/>
  <c r="H19" i="204" s="1"/>
  <c r="W18" i="204"/>
  <c r="N18" i="204" s="1"/>
  <c r="V18" i="204"/>
  <c r="K18" i="204"/>
  <c r="J18" i="204"/>
  <c r="P18" i="204" s="1"/>
  <c r="H18" i="204"/>
  <c r="F18" i="204"/>
  <c r="W17" i="204"/>
  <c r="N17" i="204" s="1"/>
  <c r="V17" i="204"/>
  <c r="K17" i="204"/>
  <c r="J17" i="204"/>
  <c r="P17" i="204" s="1"/>
  <c r="F17" i="204"/>
  <c r="H17" i="204" s="1"/>
  <c r="AG16" i="204"/>
  <c r="W16" i="204"/>
  <c r="O16" i="204"/>
  <c r="N16" i="204"/>
  <c r="AF16" i="204" s="1"/>
  <c r="K16" i="204"/>
  <c r="J16" i="204"/>
  <c r="H16" i="204"/>
  <c r="F16" i="204"/>
  <c r="AE15" i="204"/>
  <c r="AD15" i="204"/>
  <c r="AA15" i="204"/>
  <c r="D19" i="203" s="1"/>
  <c r="Z15" i="204"/>
  <c r="D18" i="203" s="1"/>
  <c r="M15" i="204"/>
  <c r="W14" i="204"/>
  <c r="W13" i="204"/>
  <c r="W12" i="204"/>
  <c r="AG11" i="204"/>
  <c r="AF11" i="204"/>
  <c r="W11" i="204"/>
  <c r="AG10" i="204"/>
  <c r="AF10" i="204"/>
  <c r="W10" i="204"/>
  <c r="W9" i="204"/>
  <c r="N9" i="204" s="1"/>
  <c r="V9" i="204"/>
  <c r="O9" i="204"/>
  <c r="L9" i="204"/>
  <c r="K9" i="204"/>
  <c r="J9" i="204"/>
  <c r="P9" i="204" s="1"/>
  <c r="F9" i="204"/>
  <c r="H9" i="204" s="1"/>
  <c r="W8" i="204"/>
  <c r="V8" i="204"/>
  <c r="P8" i="204"/>
  <c r="O8" i="204"/>
  <c r="N8" i="204"/>
  <c r="K8" i="204"/>
  <c r="J8" i="204"/>
  <c r="L8" i="204" s="1"/>
  <c r="F8" i="204"/>
  <c r="H8" i="204" s="1"/>
  <c r="AG7" i="204"/>
  <c r="AF7" i="204"/>
  <c r="W7" i="204"/>
  <c r="N7" i="204" s="1"/>
  <c r="V7" i="204"/>
  <c r="R7" i="204"/>
  <c r="Q7" i="204"/>
  <c r="P7" i="204"/>
  <c r="O7" i="204"/>
  <c r="K7" i="204"/>
  <c r="L7" i="204" s="1"/>
  <c r="J7" i="204"/>
  <c r="F7" i="204"/>
  <c r="H7" i="204" s="1"/>
  <c r="W6" i="204"/>
  <c r="V6" i="204"/>
  <c r="N6" i="204"/>
  <c r="K6" i="204"/>
  <c r="AG6" i="204" s="1"/>
  <c r="J6" i="204"/>
  <c r="P6" i="204" s="1"/>
  <c r="F6" i="204"/>
  <c r="H6" i="204" s="1"/>
  <c r="W5" i="204"/>
  <c r="N5" i="204" s="1"/>
  <c r="K5" i="204"/>
  <c r="J5" i="204"/>
  <c r="H5" i="204"/>
  <c r="F5" i="204"/>
  <c r="Z2" i="204"/>
  <c r="I2" i="204"/>
  <c r="E1" i="204"/>
  <c r="G3" i="203" s="1"/>
  <c r="J22" i="203"/>
  <c r="F22" i="203"/>
  <c r="E22" i="203"/>
  <c r="H21" i="203"/>
  <c r="G21" i="203"/>
  <c r="F21" i="203"/>
  <c r="E21" i="203"/>
  <c r="D21" i="203"/>
  <c r="H20" i="203"/>
  <c r="F20" i="203"/>
  <c r="E20" i="203"/>
  <c r="D20" i="203"/>
  <c r="J19" i="203"/>
  <c r="H19" i="203"/>
  <c r="G19" i="203"/>
  <c r="F19" i="203"/>
  <c r="J18" i="203"/>
  <c r="F18" i="203"/>
  <c r="E18" i="203"/>
  <c r="J16" i="203"/>
  <c r="I16" i="203"/>
  <c r="H16" i="203"/>
  <c r="G16" i="203"/>
  <c r="F16" i="203"/>
  <c r="E16" i="203"/>
  <c r="D16" i="203"/>
  <c r="O8" i="203"/>
  <c r="N8" i="203"/>
  <c r="M8" i="203"/>
  <c r="L8" i="203"/>
  <c r="O7" i="203"/>
  <c r="N7" i="203"/>
  <c r="M7" i="203"/>
  <c r="L7" i="203"/>
  <c r="L6" i="203"/>
  <c r="AG79" i="202"/>
  <c r="AF79" i="202"/>
  <c r="AE79" i="202"/>
  <c r="AD79" i="202"/>
  <c r="AA79" i="202"/>
  <c r="Z79" i="202"/>
  <c r="W78" i="202"/>
  <c r="H78" i="202"/>
  <c r="W77" i="202"/>
  <c r="H77" i="202"/>
  <c r="W76" i="202"/>
  <c r="H76" i="202"/>
  <c r="W75" i="202"/>
  <c r="H75" i="202"/>
  <c r="W74" i="202"/>
  <c r="W73" i="202"/>
  <c r="W72" i="202"/>
  <c r="W71" i="202"/>
  <c r="AH70" i="202"/>
  <c r="AG70" i="202"/>
  <c r="AF70" i="202"/>
  <c r="W70" i="202"/>
  <c r="S70" i="202"/>
  <c r="AE69" i="202"/>
  <c r="AD69" i="202"/>
  <c r="AA69" i="202"/>
  <c r="Z69" i="202"/>
  <c r="M69" i="202"/>
  <c r="W68" i="202"/>
  <c r="H68" i="202"/>
  <c r="W67" i="202"/>
  <c r="W66" i="202"/>
  <c r="W65" i="202"/>
  <c r="W64" i="202"/>
  <c r="W63" i="202"/>
  <c r="AG62" i="202"/>
  <c r="AF62" i="202"/>
  <c r="W62" i="202"/>
  <c r="AF61" i="202"/>
  <c r="W61" i="202"/>
  <c r="V61" i="202"/>
  <c r="O61" i="202"/>
  <c r="N61" i="202"/>
  <c r="AG61" i="202" s="1"/>
  <c r="L61" i="202"/>
  <c r="K61" i="202"/>
  <c r="J61" i="202"/>
  <c r="P61" i="202" s="1"/>
  <c r="H61" i="202"/>
  <c r="F61" i="202"/>
  <c r="AG60" i="202"/>
  <c r="AF60" i="202"/>
  <c r="W60" i="202"/>
  <c r="N60" i="202" s="1"/>
  <c r="V60" i="202"/>
  <c r="P60" i="202"/>
  <c r="O60" i="202"/>
  <c r="K60" i="202"/>
  <c r="L60" i="202" s="1"/>
  <c r="J60" i="202"/>
  <c r="F60" i="202"/>
  <c r="H60" i="202" s="1"/>
  <c r="W59" i="202"/>
  <c r="N59" i="202" s="1"/>
  <c r="K59" i="202"/>
  <c r="J59" i="202"/>
  <c r="H59" i="202"/>
  <c r="F59" i="202"/>
  <c r="AE58" i="202"/>
  <c r="H21" i="201" s="1"/>
  <c r="AD58" i="202"/>
  <c r="AA58" i="202"/>
  <c r="Z58" i="202"/>
  <c r="M58" i="202"/>
  <c r="W57" i="202"/>
  <c r="W56" i="202"/>
  <c r="W55" i="202"/>
  <c r="W54" i="202"/>
  <c r="W53" i="202"/>
  <c r="N53" i="202" s="1"/>
  <c r="V53" i="202"/>
  <c r="O53" i="202"/>
  <c r="K53" i="202"/>
  <c r="J53" i="202"/>
  <c r="H53" i="202"/>
  <c r="F53" i="202"/>
  <c r="W52" i="202"/>
  <c r="V52" i="202"/>
  <c r="N52" i="202"/>
  <c r="K52" i="202"/>
  <c r="J52" i="202"/>
  <c r="P52" i="202" s="1"/>
  <c r="H52" i="202"/>
  <c r="F52" i="202"/>
  <c r="W51" i="202"/>
  <c r="V51" i="202"/>
  <c r="P51" i="202"/>
  <c r="O51" i="202"/>
  <c r="N51" i="202"/>
  <c r="K51" i="202"/>
  <c r="L51" i="202" s="1"/>
  <c r="J51" i="202"/>
  <c r="F51" i="202"/>
  <c r="H51" i="202" s="1"/>
  <c r="AG50" i="202"/>
  <c r="AF50" i="202"/>
  <c r="W50" i="202"/>
  <c r="V50" i="202"/>
  <c r="R50" i="202"/>
  <c r="Q50" i="202"/>
  <c r="P50" i="202"/>
  <c r="O50" i="202"/>
  <c r="N50" i="202"/>
  <c r="K50" i="202"/>
  <c r="J50" i="202"/>
  <c r="L50" i="202" s="1"/>
  <c r="H50" i="202"/>
  <c r="F50" i="202"/>
  <c r="W49" i="202"/>
  <c r="N49" i="202"/>
  <c r="L49" i="202"/>
  <c r="K49" i="202"/>
  <c r="J49" i="202"/>
  <c r="P49" i="202" s="1"/>
  <c r="F49" i="202"/>
  <c r="H49" i="202" s="1"/>
  <c r="AE48" i="202"/>
  <c r="G21" i="201" s="1"/>
  <c r="AD48" i="202"/>
  <c r="AA48" i="202"/>
  <c r="Z48" i="202"/>
  <c r="W48" i="202"/>
  <c r="M48" i="202"/>
  <c r="J48" i="202"/>
  <c r="W47" i="202"/>
  <c r="H47" i="202"/>
  <c r="W46" i="202"/>
  <c r="W45" i="202"/>
  <c r="W44" i="202"/>
  <c r="W43" i="202"/>
  <c r="W42" i="202"/>
  <c r="AG41" i="202"/>
  <c r="AF41" i="202"/>
  <c r="W41" i="202"/>
  <c r="AG40" i="202"/>
  <c r="AF40" i="202"/>
  <c r="W40" i="202"/>
  <c r="V40" i="202"/>
  <c r="P40" i="202"/>
  <c r="N40" i="202"/>
  <c r="O40" i="202" s="1"/>
  <c r="K40" i="202"/>
  <c r="J40" i="202"/>
  <c r="L40" i="202" s="1"/>
  <c r="H40" i="202"/>
  <c r="F40" i="202"/>
  <c r="W39" i="202"/>
  <c r="N39" i="202" s="1"/>
  <c r="V39" i="202"/>
  <c r="K39" i="202"/>
  <c r="J39" i="202"/>
  <c r="P39" i="202" s="1"/>
  <c r="H39" i="202"/>
  <c r="F39" i="202"/>
  <c r="AG38" i="202"/>
  <c r="AF38" i="202"/>
  <c r="W38" i="202"/>
  <c r="P38" i="202"/>
  <c r="O38" i="202"/>
  <c r="N38" i="202"/>
  <c r="K38" i="202"/>
  <c r="J38" i="202"/>
  <c r="L38" i="202" s="1"/>
  <c r="F38" i="202"/>
  <c r="H38" i="202" s="1"/>
  <c r="AE37" i="202"/>
  <c r="F21" i="201" s="1"/>
  <c r="AD37" i="202"/>
  <c r="F20" i="201" s="1"/>
  <c r="AA37" i="202"/>
  <c r="F19" i="201" s="1"/>
  <c r="Z37" i="202"/>
  <c r="F18" i="201" s="1"/>
  <c r="M37" i="202"/>
  <c r="W36" i="202"/>
  <c r="H36" i="202"/>
  <c r="W35" i="202"/>
  <c r="W34" i="202"/>
  <c r="W33" i="202"/>
  <c r="W32" i="202"/>
  <c r="W31" i="202"/>
  <c r="N31" i="202" s="1"/>
  <c r="V31" i="202"/>
  <c r="P31" i="202"/>
  <c r="L31" i="202"/>
  <c r="K31" i="202"/>
  <c r="J31" i="202"/>
  <c r="H31" i="202"/>
  <c r="F31" i="202"/>
  <c r="W30" i="202"/>
  <c r="N30" i="202" s="1"/>
  <c r="V30" i="202"/>
  <c r="K30" i="202"/>
  <c r="J30" i="202"/>
  <c r="H30" i="202"/>
  <c r="F30" i="202"/>
  <c r="W29" i="202"/>
  <c r="V29" i="202"/>
  <c r="N29" i="202"/>
  <c r="K29" i="202"/>
  <c r="L29" i="202" s="1"/>
  <c r="J29" i="202"/>
  <c r="P29" i="202" s="1"/>
  <c r="F29" i="202"/>
  <c r="H29" i="202" s="1"/>
  <c r="AG28" i="202"/>
  <c r="AF28" i="202"/>
  <c r="W28" i="202"/>
  <c r="V28" i="202"/>
  <c r="P28" i="202"/>
  <c r="N28" i="202"/>
  <c r="O28" i="202" s="1"/>
  <c r="K28" i="202"/>
  <c r="L28" i="202" s="1"/>
  <c r="F28" i="202"/>
  <c r="H28" i="202" s="1"/>
  <c r="AG27" i="202"/>
  <c r="AF27" i="202"/>
  <c r="W27" i="202"/>
  <c r="P27" i="202"/>
  <c r="N27" i="202"/>
  <c r="O27" i="202" s="1"/>
  <c r="L27" i="202"/>
  <c r="K27" i="202"/>
  <c r="F27" i="202"/>
  <c r="H27" i="202" s="1"/>
  <c r="AE26" i="202"/>
  <c r="AD26" i="202"/>
  <c r="E20" i="201" s="1"/>
  <c r="AA26" i="202"/>
  <c r="Z26" i="202"/>
  <c r="M26" i="202"/>
  <c r="W25" i="202"/>
  <c r="H25" i="202"/>
  <c r="W24" i="202"/>
  <c r="H24" i="202"/>
  <c r="W23" i="202"/>
  <c r="W21" i="202"/>
  <c r="W20" i="202"/>
  <c r="V20" i="202"/>
  <c r="Q20" i="202"/>
  <c r="N20" i="202"/>
  <c r="O20" i="202" s="1"/>
  <c r="R20" i="202" s="1"/>
  <c r="L20" i="202"/>
  <c r="K20" i="202"/>
  <c r="J20" i="202"/>
  <c r="P20" i="202" s="1"/>
  <c r="F20" i="202"/>
  <c r="H20" i="202" s="1"/>
  <c r="W19" i="202"/>
  <c r="V19" i="202"/>
  <c r="O19" i="202"/>
  <c r="N19" i="202"/>
  <c r="AG19" i="202" s="1"/>
  <c r="K19" i="202"/>
  <c r="L19" i="202" s="1"/>
  <c r="J19" i="202"/>
  <c r="P19" i="202" s="1"/>
  <c r="F19" i="202"/>
  <c r="H19" i="202" s="1"/>
  <c r="AG18" i="202"/>
  <c r="AF18" i="202"/>
  <c r="W18" i="202"/>
  <c r="V18" i="202"/>
  <c r="P18" i="202"/>
  <c r="N18" i="202"/>
  <c r="O18" i="202" s="1"/>
  <c r="L18" i="202"/>
  <c r="K18" i="202"/>
  <c r="J18" i="202"/>
  <c r="F18" i="202"/>
  <c r="H18" i="202" s="1"/>
  <c r="W17" i="202"/>
  <c r="N17" i="202" s="1"/>
  <c r="V17" i="202"/>
  <c r="K17" i="202"/>
  <c r="J17" i="202"/>
  <c r="P17" i="202" s="1"/>
  <c r="H17" i="202"/>
  <c r="F17" i="202"/>
  <c r="AF16" i="202"/>
  <c r="W16" i="202"/>
  <c r="N16" i="202"/>
  <c r="K16" i="202"/>
  <c r="J16" i="202"/>
  <c r="F16" i="202"/>
  <c r="H16" i="202" s="1"/>
  <c r="AE15" i="202"/>
  <c r="D21" i="201" s="1"/>
  <c r="AD15" i="202"/>
  <c r="AA15" i="202"/>
  <c r="D19" i="201" s="1"/>
  <c r="Z15" i="202"/>
  <c r="M15" i="202"/>
  <c r="J15" i="202"/>
  <c r="W14" i="202"/>
  <c r="W13" i="202"/>
  <c r="W12" i="202"/>
  <c r="AG11" i="202"/>
  <c r="AF11" i="202"/>
  <c r="W11" i="202"/>
  <c r="AG10" i="202"/>
  <c r="AF10" i="202"/>
  <c r="W10" i="202"/>
  <c r="W9" i="202"/>
  <c r="N9" i="202" s="1"/>
  <c r="V9" i="202"/>
  <c r="K9" i="202"/>
  <c r="J9" i="202"/>
  <c r="P9" i="202" s="1"/>
  <c r="F9" i="202"/>
  <c r="H9" i="202" s="1"/>
  <c r="AG8" i="202"/>
  <c r="W8" i="202"/>
  <c r="V8" i="202"/>
  <c r="R8" i="202"/>
  <c r="O8" i="202"/>
  <c r="Q8" i="202" s="1"/>
  <c r="N8" i="202"/>
  <c r="AF8" i="202" s="1"/>
  <c r="L8" i="202"/>
  <c r="K8" i="202"/>
  <c r="J8" i="202"/>
  <c r="P8" i="202" s="1"/>
  <c r="F8" i="202"/>
  <c r="H8" i="202" s="1"/>
  <c r="AG7" i="202"/>
  <c r="W7" i="202"/>
  <c r="N7" i="202" s="1"/>
  <c r="V7" i="202"/>
  <c r="P7" i="202"/>
  <c r="O7" i="202"/>
  <c r="K7" i="202"/>
  <c r="J7" i="202"/>
  <c r="F7" i="202"/>
  <c r="H7" i="202" s="1"/>
  <c r="W6" i="202"/>
  <c r="V6" i="202"/>
  <c r="N6" i="202"/>
  <c r="L6" i="202"/>
  <c r="K6" i="202"/>
  <c r="J6" i="202"/>
  <c r="P6" i="202" s="1"/>
  <c r="H6" i="202"/>
  <c r="F6" i="202"/>
  <c r="W5" i="202"/>
  <c r="P5" i="202"/>
  <c r="N5" i="202"/>
  <c r="L5" i="202"/>
  <c r="K5" i="202"/>
  <c r="J5" i="202"/>
  <c r="F5" i="202"/>
  <c r="H5" i="202" s="1"/>
  <c r="AE2" i="202"/>
  <c r="I2" i="202"/>
  <c r="E1" i="202"/>
  <c r="I22" i="201"/>
  <c r="H22" i="201"/>
  <c r="G22" i="201"/>
  <c r="D22" i="201"/>
  <c r="I21" i="201"/>
  <c r="E21" i="201"/>
  <c r="I20" i="201"/>
  <c r="H20" i="201"/>
  <c r="G20" i="201"/>
  <c r="D20" i="201"/>
  <c r="I19" i="201"/>
  <c r="H19" i="201"/>
  <c r="G19" i="201"/>
  <c r="I18" i="201"/>
  <c r="H18" i="201"/>
  <c r="G18" i="201"/>
  <c r="E18" i="201"/>
  <c r="I16" i="201"/>
  <c r="H16" i="201"/>
  <c r="G16" i="201"/>
  <c r="F16" i="201"/>
  <c r="E16" i="201"/>
  <c r="D16" i="201"/>
  <c r="O8" i="201"/>
  <c r="N8" i="201"/>
  <c r="M8" i="201"/>
  <c r="L8" i="201"/>
  <c r="O7" i="201"/>
  <c r="N7" i="201"/>
  <c r="M7" i="201"/>
  <c r="L7" i="201"/>
  <c r="G3" i="201"/>
  <c r="AE79" i="200"/>
  <c r="J21" i="199" s="1"/>
  <c r="AD79" i="200"/>
  <c r="J20" i="199" s="1"/>
  <c r="AA79" i="200"/>
  <c r="Z79" i="200"/>
  <c r="P79" i="200"/>
  <c r="M79" i="200"/>
  <c r="K79" i="200"/>
  <c r="J79" i="200"/>
  <c r="W78" i="200"/>
  <c r="H78" i="200"/>
  <c r="W77" i="200"/>
  <c r="H77" i="200"/>
  <c r="W76" i="200"/>
  <c r="H76" i="200"/>
  <c r="W75" i="200"/>
  <c r="H75" i="200"/>
  <c r="W74" i="200"/>
  <c r="W73" i="200"/>
  <c r="W72" i="200"/>
  <c r="W71" i="200"/>
  <c r="AG70" i="200"/>
  <c r="W70" i="200"/>
  <c r="N70" i="200"/>
  <c r="K70" i="200"/>
  <c r="J70" i="200"/>
  <c r="P70" i="200" s="1"/>
  <c r="H70" i="200"/>
  <c r="F70" i="200"/>
  <c r="AE69" i="200"/>
  <c r="I21" i="199" s="1"/>
  <c r="AD69" i="200"/>
  <c r="I20" i="199" s="1"/>
  <c r="AA69" i="200"/>
  <c r="Z69" i="200"/>
  <c r="I18" i="199" s="1"/>
  <c r="M69" i="200"/>
  <c r="K69" i="200"/>
  <c r="W68" i="200"/>
  <c r="H68" i="200"/>
  <c r="W67" i="200"/>
  <c r="W66" i="200"/>
  <c r="W65" i="200"/>
  <c r="W64" i="200"/>
  <c r="W63" i="200"/>
  <c r="AG62" i="200"/>
  <c r="AF62" i="200"/>
  <c r="W62" i="200"/>
  <c r="AF61" i="200"/>
  <c r="W61" i="200"/>
  <c r="N61" i="200" s="1"/>
  <c r="V61" i="200"/>
  <c r="Q61" i="200"/>
  <c r="P61" i="200"/>
  <c r="O61" i="200"/>
  <c r="R61" i="200" s="1"/>
  <c r="L61" i="200"/>
  <c r="K61" i="200"/>
  <c r="J61" i="200"/>
  <c r="F61" i="200"/>
  <c r="H61" i="200" s="1"/>
  <c r="AG60" i="200"/>
  <c r="W60" i="200"/>
  <c r="N60" i="200" s="1"/>
  <c r="V60" i="200"/>
  <c r="P60" i="200"/>
  <c r="O60" i="200"/>
  <c r="K60" i="200"/>
  <c r="J60" i="200"/>
  <c r="H60" i="200"/>
  <c r="F60" i="200"/>
  <c r="AG59" i="200"/>
  <c r="W59" i="200"/>
  <c r="O59" i="200"/>
  <c r="N59" i="200"/>
  <c r="AF59" i="200" s="1"/>
  <c r="K59" i="200"/>
  <c r="J59" i="200"/>
  <c r="F59" i="200"/>
  <c r="H59" i="200" s="1"/>
  <c r="AE58" i="200"/>
  <c r="AD58" i="200"/>
  <c r="AA58" i="200"/>
  <c r="Z58" i="200"/>
  <c r="H18" i="199" s="1"/>
  <c r="M58" i="200"/>
  <c r="K58" i="200"/>
  <c r="W57" i="200"/>
  <c r="W56" i="200"/>
  <c r="W55" i="200"/>
  <c r="W54" i="200"/>
  <c r="AG53" i="200"/>
  <c r="AF53" i="200"/>
  <c r="W53" i="200"/>
  <c r="W52" i="200"/>
  <c r="V52" i="200"/>
  <c r="N52" i="200"/>
  <c r="L52" i="200"/>
  <c r="K52" i="200"/>
  <c r="J52" i="200"/>
  <c r="P52" i="200" s="1"/>
  <c r="F52" i="200"/>
  <c r="H52" i="200" s="1"/>
  <c r="W51" i="200"/>
  <c r="N51" i="200" s="1"/>
  <c r="V51" i="200"/>
  <c r="L51" i="200"/>
  <c r="K51" i="200"/>
  <c r="J51" i="200"/>
  <c r="P51" i="200" s="1"/>
  <c r="F51" i="200"/>
  <c r="H51" i="200" s="1"/>
  <c r="W50" i="200"/>
  <c r="V50" i="200"/>
  <c r="N50" i="200"/>
  <c r="L50" i="200"/>
  <c r="K50" i="200"/>
  <c r="AG50" i="200" s="1"/>
  <c r="J50" i="200"/>
  <c r="P50" i="200" s="1"/>
  <c r="H50" i="200"/>
  <c r="F50" i="200"/>
  <c r="AG49" i="200"/>
  <c r="W49" i="200"/>
  <c r="N49" i="200" s="1"/>
  <c r="P49" i="200"/>
  <c r="L49" i="200"/>
  <c r="L58" i="200" s="1"/>
  <c r="H13" i="199" s="1"/>
  <c r="K49" i="200"/>
  <c r="J49" i="200"/>
  <c r="F49" i="200"/>
  <c r="H49" i="200" s="1"/>
  <c r="AE48" i="200"/>
  <c r="G21" i="199" s="1"/>
  <c r="AD48" i="200"/>
  <c r="G20" i="199" s="1"/>
  <c r="AA48" i="200"/>
  <c r="G19" i="199" s="1"/>
  <c r="Z48" i="200"/>
  <c r="W48" i="200"/>
  <c r="M48" i="200"/>
  <c r="K48" i="200"/>
  <c r="W47" i="200"/>
  <c r="H47" i="200"/>
  <c r="W46" i="200"/>
  <c r="W45" i="200"/>
  <c r="W44" i="200"/>
  <c r="W43" i="200"/>
  <c r="W42" i="200"/>
  <c r="AG41" i="200"/>
  <c r="AF41" i="200"/>
  <c r="W41" i="200"/>
  <c r="V41" i="200"/>
  <c r="O41" i="200"/>
  <c r="N41" i="200"/>
  <c r="K41" i="200"/>
  <c r="J41" i="200"/>
  <c r="F41" i="200"/>
  <c r="H41" i="200" s="1"/>
  <c r="AF40" i="200"/>
  <c r="W40" i="200"/>
  <c r="N40" i="200" s="1"/>
  <c r="V40" i="200"/>
  <c r="P40" i="200"/>
  <c r="L40" i="200"/>
  <c r="K40" i="200"/>
  <c r="J40" i="200"/>
  <c r="F40" i="200"/>
  <c r="H40" i="200" s="1"/>
  <c r="W39" i="200"/>
  <c r="V39" i="200"/>
  <c r="O39" i="200"/>
  <c r="N39" i="200"/>
  <c r="AG39" i="200" s="1"/>
  <c r="L39" i="200"/>
  <c r="K39" i="200"/>
  <c r="J39" i="200"/>
  <c r="P39" i="200" s="1"/>
  <c r="F39" i="200"/>
  <c r="H39" i="200" s="1"/>
  <c r="W38" i="200"/>
  <c r="P38" i="200"/>
  <c r="N38" i="200"/>
  <c r="L38" i="200"/>
  <c r="K38" i="200"/>
  <c r="J38" i="200"/>
  <c r="F38" i="200"/>
  <c r="H38" i="200" s="1"/>
  <c r="AE37" i="200"/>
  <c r="F21" i="199" s="1"/>
  <c r="AD37" i="200"/>
  <c r="AA37" i="200"/>
  <c r="Z37" i="200"/>
  <c r="M37" i="200"/>
  <c r="J37" i="200"/>
  <c r="P37" i="200" s="1"/>
  <c r="W36" i="200"/>
  <c r="H36" i="200"/>
  <c r="W35" i="200"/>
  <c r="W34" i="200"/>
  <c r="W33" i="200"/>
  <c r="W32" i="200"/>
  <c r="W31" i="200"/>
  <c r="N31" i="200" s="1"/>
  <c r="V31" i="200"/>
  <c r="P31" i="200"/>
  <c r="O31" i="200"/>
  <c r="L31" i="200"/>
  <c r="K31" i="200"/>
  <c r="J31" i="200"/>
  <c r="F31" i="200"/>
  <c r="H31" i="200" s="1"/>
  <c r="AG30" i="200"/>
  <c r="W30" i="200"/>
  <c r="V30" i="200"/>
  <c r="N30" i="200"/>
  <c r="L30" i="200"/>
  <c r="K30" i="200"/>
  <c r="J30" i="200"/>
  <c r="P30" i="200" s="1"/>
  <c r="H30" i="200"/>
  <c r="F30" i="200"/>
  <c r="W29" i="200"/>
  <c r="N29" i="200" s="1"/>
  <c r="V29" i="200"/>
  <c r="P29" i="200"/>
  <c r="L29" i="200"/>
  <c r="K29" i="200"/>
  <c r="J29" i="200"/>
  <c r="F29" i="200"/>
  <c r="H29" i="200" s="1"/>
  <c r="AG28" i="200"/>
  <c r="AF28" i="200"/>
  <c r="W28" i="200"/>
  <c r="V28" i="200"/>
  <c r="P28" i="200"/>
  <c r="N28" i="200"/>
  <c r="O28" i="200" s="1"/>
  <c r="L28" i="200"/>
  <c r="K28" i="200"/>
  <c r="F28" i="200"/>
  <c r="H28" i="200" s="1"/>
  <c r="AF27" i="200"/>
  <c r="W27" i="200"/>
  <c r="N27" i="200" s="1"/>
  <c r="P27" i="200"/>
  <c r="L27" i="200"/>
  <c r="K27" i="200"/>
  <c r="K37" i="200" s="1"/>
  <c r="H27" i="200"/>
  <c r="F27" i="200"/>
  <c r="AE26" i="200"/>
  <c r="AD26" i="200"/>
  <c r="E20" i="199" s="1"/>
  <c r="AA26" i="200"/>
  <c r="E19" i="199" s="1"/>
  <c r="Z26" i="200"/>
  <c r="M26" i="200"/>
  <c r="W25" i="200"/>
  <c r="H25" i="200"/>
  <c r="W24" i="200"/>
  <c r="H24" i="200"/>
  <c r="W23" i="200"/>
  <c r="W21" i="200"/>
  <c r="W20" i="200"/>
  <c r="AG19" i="200"/>
  <c r="W19" i="200"/>
  <c r="N19" i="200" s="1"/>
  <c r="V19" i="200"/>
  <c r="Q19" i="200"/>
  <c r="P19" i="200"/>
  <c r="O19" i="200"/>
  <c r="R19" i="200" s="1"/>
  <c r="K19" i="200"/>
  <c r="L19" i="200" s="1"/>
  <c r="J19" i="200"/>
  <c r="H19" i="200"/>
  <c r="F19" i="200"/>
  <c r="AG18" i="200"/>
  <c r="AF18" i="200"/>
  <c r="W18" i="200"/>
  <c r="V18" i="200"/>
  <c r="N18" i="200"/>
  <c r="O18" i="200" s="1"/>
  <c r="R18" i="200" s="1"/>
  <c r="K18" i="200"/>
  <c r="L18" i="200" s="1"/>
  <c r="J18" i="200"/>
  <c r="P18" i="200" s="1"/>
  <c r="F18" i="200"/>
  <c r="H18" i="200" s="1"/>
  <c r="W17" i="200"/>
  <c r="V17" i="200"/>
  <c r="O17" i="200"/>
  <c r="N17" i="200"/>
  <c r="K17" i="200"/>
  <c r="J17" i="200"/>
  <c r="H17" i="200"/>
  <c r="F17" i="200"/>
  <c r="W16" i="200"/>
  <c r="N16" i="200"/>
  <c r="K16" i="200"/>
  <c r="J16" i="200"/>
  <c r="P16" i="200" s="1"/>
  <c r="H16" i="200"/>
  <c r="F16" i="200"/>
  <c r="AE15" i="200"/>
  <c r="AD15" i="200"/>
  <c r="AA15" i="200"/>
  <c r="D19" i="199" s="1"/>
  <c r="Z15" i="200"/>
  <c r="M15" i="200"/>
  <c r="K15" i="200"/>
  <c r="W14" i="200"/>
  <c r="W13" i="200"/>
  <c r="W12" i="200"/>
  <c r="AG11" i="200"/>
  <c r="AF11" i="200"/>
  <c r="W11" i="200"/>
  <c r="AG10" i="200"/>
  <c r="AF10" i="200"/>
  <c r="W10" i="200"/>
  <c r="W9" i="200"/>
  <c r="N9" i="200" s="1"/>
  <c r="V9" i="200"/>
  <c r="P9" i="200"/>
  <c r="L9" i="200"/>
  <c r="K9" i="200"/>
  <c r="J9" i="200"/>
  <c r="F9" i="200"/>
  <c r="H9" i="200" s="1"/>
  <c r="W8" i="200"/>
  <c r="V8" i="200"/>
  <c r="N8" i="200"/>
  <c r="K8" i="200"/>
  <c r="J8" i="200"/>
  <c r="H8" i="200"/>
  <c r="F8" i="200"/>
  <c r="W7" i="200"/>
  <c r="N7" i="200" s="1"/>
  <c r="V7" i="200"/>
  <c r="K7" i="200"/>
  <c r="L7" i="200" s="1"/>
  <c r="J7" i="200"/>
  <c r="P7" i="200" s="1"/>
  <c r="F7" i="200"/>
  <c r="H7" i="200" s="1"/>
  <c r="AG6" i="200"/>
  <c r="W6" i="200"/>
  <c r="V6" i="200"/>
  <c r="O6" i="200"/>
  <c r="N6" i="200"/>
  <c r="AF6" i="200" s="1"/>
  <c r="K6" i="200"/>
  <c r="J6" i="200"/>
  <c r="H6" i="200"/>
  <c r="F6" i="200"/>
  <c r="W5" i="200"/>
  <c r="N5" i="200"/>
  <c r="O5" i="200" s="1"/>
  <c r="K5" i="200"/>
  <c r="J5" i="200"/>
  <c r="P5" i="200" s="1"/>
  <c r="F5" i="200"/>
  <c r="H5" i="200" s="1"/>
  <c r="AA2" i="200"/>
  <c r="I2" i="200"/>
  <c r="E1" i="200"/>
  <c r="J22" i="199"/>
  <c r="I22" i="199"/>
  <c r="F22" i="199"/>
  <c r="E22" i="199"/>
  <c r="D22" i="199"/>
  <c r="H21" i="199"/>
  <c r="E21" i="199"/>
  <c r="H20" i="199"/>
  <c r="F20" i="199"/>
  <c r="D20" i="199"/>
  <c r="J19" i="199"/>
  <c r="I19" i="199"/>
  <c r="H19" i="199"/>
  <c r="F19" i="199"/>
  <c r="J18" i="199"/>
  <c r="G18" i="199"/>
  <c r="F18" i="199"/>
  <c r="E18" i="199"/>
  <c r="D18" i="199"/>
  <c r="J16" i="199"/>
  <c r="I16" i="199"/>
  <c r="H16" i="199"/>
  <c r="G16" i="199"/>
  <c r="F16" i="199"/>
  <c r="E16" i="199"/>
  <c r="D16" i="199"/>
  <c r="O8" i="199"/>
  <c r="N8" i="199"/>
  <c r="M8" i="199"/>
  <c r="L8" i="199"/>
  <c r="O7" i="199"/>
  <c r="N7" i="199"/>
  <c r="M7" i="199"/>
  <c r="L7" i="199"/>
  <c r="G3" i="199"/>
  <c r="AE79" i="198"/>
  <c r="J21" i="197" s="1"/>
  <c r="AD79" i="198"/>
  <c r="AA79" i="198"/>
  <c r="Z79" i="198"/>
  <c r="O79" i="198"/>
  <c r="N79" i="198"/>
  <c r="M79" i="198"/>
  <c r="J79" i="198"/>
  <c r="W78" i="198"/>
  <c r="H78" i="198"/>
  <c r="W77" i="198"/>
  <c r="H77" i="198"/>
  <c r="W76" i="198"/>
  <c r="W75" i="198"/>
  <c r="W74" i="198"/>
  <c r="W73" i="198"/>
  <c r="W72" i="198"/>
  <c r="W71" i="198"/>
  <c r="AG70" i="198"/>
  <c r="AF70" i="198"/>
  <c r="W70" i="198"/>
  <c r="P70" i="198"/>
  <c r="O70" i="198"/>
  <c r="N70" i="198"/>
  <c r="K70" i="198"/>
  <c r="J70" i="198"/>
  <c r="F70" i="198"/>
  <c r="H70" i="198" s="1"/>
  <c r="AE69" i="198"/>
  <c r="AD69" i="198"/>
  <c r="I20" i="197" s="1"/>
  <c r="AA69" i="198"/>
  <c r="Z69" i="198"/>
  <c r="M69" i="198"/>
  <c r="W68" i="198"/>
  <c r="H68" i="198"/>
  <c r="W67" i="198"/>
  <c r="W66" i="198"/>
  <c r="W65" i="198"/>
  <c r="W64" i="198"/>
  <c r="W63" i="198"/>
  <c r="AG62" i="198"/>
  <c r="AF62" i="198"/>
  <c r="W62" i="198"/>
  <c r="W61" i="198"/>
  <c r="N61" i="198" s="1"/>
  <c r="V61" i="198"/>
  <c r="K61" i="198"/>
  <c r="L61" i="198" s="1"/>
  <c r="J61" i="198"/>
  <c r="P61" i="198" s="1"/>
  <c r="H61" i="198"/>
  <c r="F61" i="198"/>
  <c r="W60" i="198"/>
  <c r="V60" i="198"/>
  <c r="N60" i="198"/>
  <c r="K60" i="198"/>
  <c r="J60" i="198"/>
  <c r="H60" i="198"/>
  <c r="F60" i="198"/>
  <c r="AF59" i="198"/>
  <c r="W59" i="198"/>
  <c r="P59" i="198"/>
  <c r="N59" i="198"/>
  <c r="O59" i="198" s="1"/>
  <c r="L59" i="198"/>
  <c r="K59" i="198"/>
  <c r="J59" i="198"/>
  <c r="J69" i="198" s="1"/>
  <c r="H59" i="198"/>
  <c r="F59" i="198"/>
  <c r="AE58" i="198"/>
  <c r="AD58" i="198"/>
  <c r="AA58" i="198"/>
  <c r="H19" i="197" s="1"/>
  <c r="Z58" i="198"/>
  <c r="H18" i="197" s="1"/>
  <c r="M58" i="198"/>
  <c r="W57" i="198"/>
  <c r="W56" i="198"/>
  <c r="W55" i="198"/>
  <c r="W54" i="198"/>
  <c r="AG53" i="198"/>
  <c r="AF53" i="198"/>
  <c r="W53" i="198"/>
  <c r="W52" i="198"/>
  <c r="V52" i="198"/>
  <c r="N52" i="198"/>
  <c r="K52" i="198"/>
  <c r="J52" i="198"/>
  <c r="H52" i="198"/>
  <c r="F52" i="198"/>
  <c r="W51" i="198"/>
  <c r="V51" i="198"/>
  <c r="P51" i="198"/>
  <c r="O51" i="198"/>
  <c r="N51" i="198"/>
  <c r="L51" i="198"/>
  <c r="K51" i="198"/>
  <c r="J51" i="198"/>
  <c r="H51" i="198"/>
  <c r="F51" i="198"/>
  <c r="W50" i="198"/>
  <c r="V50" i="198"/>
  <c r="P50" i="198"/>
  <c r="N50" i="198"/>
  <c r="L50" i="198"/>
  <c r="K50" i="198"/>
  <c r="J50" i="198"/>
  <c r="F50" i="198"/>
  <c r="H50" i="198" s="1"/>
  <c r="W49" i="198"/>
  <c r="N49" i="198" s="1"/>
  <c r="L49" i="198"/>
  <c r="K49" i="198"/>
  <c r="J49" i="198"/>
  <c r="P49" i="198" s="1"/>
  <c r="H49" i="198"/>
  <c r="F49" i="198"/>
  <c r="AE48" i="198"/>
  <c r="G21" i="197" s="1"/>
  <c r="AD48" i="198"/>
  <c r="G20" i="197" s="1"/>
  <c r="AA48" i="198"/>
  <c r="G19" i="197" s="1"/>
  <c r="Z48" i="198"/>
  <c r="G18" i="197" s="1"/>
  <c r="W48" i="198"/>
  <c r="M48" i="198"/>
  <c r="K48" i="198"/>
  <c r="J48" i="198"/>
  <c r="P48" i="198" s="1"/>
  <c r="W47" i="198"/>
  <c r="H47" i="198"/>
  <c r="W46" i="198"/>
  <c r="W45" i="198"/>
  <c r="W44" i="198"/>
  <c r="W43" i="198"/>
  <c r="W42" i="198"/>
  <c r="AG41" i="198"/>
  <c r="AF41" i="198"/>
  <c r="W41" i="198"/>
  <c r="AG40" i="198"/>
  <c r="AF40" i="198"/>
  <c r="W40" i="198"/>
  <c r="N40" i="198" s="1"/>
  <c r="O40" i="198" s="1"/>
  <c r="V40" i="198"/>
  <c r="P40" i="198"/>
  <c r="K40" i="198"/>
  <c r="L40" i="198" s="1"/>
  <c r="J40" i="198"/>
  <c r="F40" i="198"/>
  <c r="H40" i="198" s="1"/>
  <c r="AG39" i="198"/>
  <c r="W39" i="198"/>
  <c r="V39" i="198"/>
  <c r="N39" i="198"/>
  <c r="O39" i="198" s="1"/>
  <c r="K39" i="198"/>
  <c r="J39" i="198"/>
  <c r="P39" i="198" s="1"/>
  <c r="F39" i="198"/>
  <c r="H39" i="198" s="1"/>
  <c r="W38" i="198"/>
  <c r="N38" i="198" s="1"/>
  <c r="P38" i="198"/>
  <c r="K38" i="198"/>
  <c r="L38" i="198" s="1"/>
  <c r="J38" i="198"/>
  <c r="H38" i="198"/>
  <c r="F38" i="198"/>
  <c r="AE37" i="198"/>
  <c r="F21" i="197" s="1"/>
  <c r="AD37" i="198"/>
  <c r="AA37" i="198"/>
  <c r="Z37" i="198"/>
  <c r="M37" i="198"/>
  <c r="W36" i="198"/>
  <c r="H36" i="198"/>
  <c r="W35" i="198"/>
  <c r="W34" i="198"/>
  <c r="W33" i="198"/>
  <c r="W32" i="198"/>
  <c r="AG31" i="198"/>
  <c r="AF31" i="198"/>
  <c r="W31" i="198"/>
  <c r="W30" i="198"/>
  <c r="N30" i="198" s="1"/>
  <c r="V30" i="198"/>
  <c r="K30" i="198"/>
  <c r="L30" i="198" s="1"/>
  <c r="J30" i="198"/>
  <c r="H30" i="198"/>
  <c r="F30" i="198"/>
  <c r="W29" i="198"/>
  <c r="V29" i="198"/>
  <c r="P29" i="198"/>
  <c r="N29" i="198"/>
  <c r="O29" i="198" s="1"/>
  <c r="L29" i="198"/>
  <c r="K29" i="198"/>
  <c r="J29" i="198"/>
  <c r="F29" i="198"/>
  <c r="H29" i="198" s="1"/>
  <c r="W28" i="198"/>
  <c r="V28" i="198"/>
  <c r="P28" i="198"/>
  <c r="N28" i="198"/>
  <c r="AF28" i="198" s="1"/>
  <c r="L28" i="198"/>
  <c r="K28" i="198"/>
  <c r="F28" i="198"/>
  <c r="H28" i="198" s="1"/>
  <c r="W27" i="198"/>
  <c r="N27" i="198" s="1"/>
  <c r="P27" i="198"/>
  <c r="K27" i="198"/>
  <c r="L27" i="198" s="1"/>
  <c r="H27" i="198"/>
  <c r="F27" i="198"/>
  <c r="AE26" i="198"/>
  <c r="E21" i="197" s="1"/>
  <c r="AD26" i="198"/>
  <c r="AA26" i="198"/>
  <c r="Z26" i="198"/>
  <c r="E18" i="197" s="1"/>
  <c r="M26" i="198"/>
  <c r="W25" i="198"/>
  <c r="H25" i="198"/>
  <c r="W24" i="198"/>
  <c r="H24" i="198"/>
  <c r="W23" i="198"/>
  <c r="W21" i="198"/>
  <c r="V21" i="198"/>
  <c r="R21" i="198"/>
  <c r="N21" i="198"/>
  <c r="O21" i="198" s="1"/>
  <c r="Q21" i="198" s="1"/>
  <c r="K21" i="198"/>
  <c r="L21" i="198" s="1"/>
  <c r="J21" i="198"/>
  <c r="P21" i="198" s="1"/>
  <c r="H21" i="198"/>
  <c r="F21" i="198"/>
  <c r="W20" i="198"/>
  <c r="V20" i="198"/>
  <c r="R20" i="198"/>
  <c r="N20" i="198"/>
  <c r="O20" i="198" s="1"/>
  <c r="L20" i="198"/>
  <c r="Q20" i="198" s="1"/>
  <c r="K20" i="198"/>
  <c r="J20" i="198"/>
  <c r="P20" i="198" s="1"/>
  <c r="H20" i="198"/>
  <c r="F20" i="198"/>
  <c r="W19" i="198"/>
  <c r="V19" i="198"/>
  <c r="P19" i="198"/>
  <c r="O19" i="198"/>
  <c r="N19" i="198"/>
  <c r="K19" i="198"/>
  <c r="L19" i="198" s="1"/>
  <c r="J19" i="198"/>
  <c r="F19" i="198"/>
  <c r="H19" i="198" s="1"/>
  <c r="W18" i="198"/>
  <c r="V18" i="198"/>
  <c r="N18" i="198"/>
  <c r="K18" i="198"/>
  <c r="J18" i="198"/>
  <c r="H18" i="198"/>
  <c r="F18" i="198"/>
  <c r="W17" i="198"/>
  <c r="N17" i="198" s="1"/>
  <c r="V17" i="198"/>
  <c r="K17" i="198"/>
  <c r="L17" i="198" s="1"/>
  <c r="J17" i="198"/>
  <c r="P17" i="198" s="1"/>
  <c r="F17" i="198"/>
  <c r="H17" i="198" s="1"/>
  <c r="AG16" i="198"/>
  <c r="AF16" i="198"/>
  <c r="W16" i="198"/>
  <c r="P16" i="198"/>
  <c r="O16" i="198"/>
  <c r="N16" i="198"/>
  <c r="K16" i="198"/>
  <c r="L16" i="198" s="1"/>
  <c r="J16" i="198"/>
  <c r="F16" i="198"/>
  <c r="H16" i="198" s="1"/>
  <c r="AE15" i="198"/>
  <c r="AD15" i="198"/>
  <c r="AA15" i="198"/>
  <c r="Z15" i="198"/>
  <c r="M15" i="198"/>
  <c r="W14" i="198"/>
  <c r="W13" i="198"/>
  <c r="W12" i="198"/>
  <c r="AG11" i="198"/>
  <c r="AF11" i="198"/>
  <c r="W11" i="198"/>
  <c r="W10" i="198"/>
  <c r="N10" i="198" s="1"/>
  <c r="V10" i="198"/>
  <c r="L10" i="198"/>
  <c r="K10" i="198"/>
  <c r="J10" i="198"/>
  <c r="P10" i="198" s="1"/>
  <c r="F10" i="198"/>
  <c r="H10" i="198" s="1"/>
  <c r="AG9" i="198"/>
  <c r="AF9" i="198"/>
  <c r="W9" i="198"/>
  <c r="N9" i="198" s="1"/>
  <c r="V9" i="198"/>
  <c r="O9" i="198"/>
  <c r="K9" i="198"/>
  <c r="J9" i="198"/>
  <c r="P9" i="198" s="1"/>
  <c r="H9" i="198"/>
  <c r="F9" i="198"/>
  <c r="AG8" i="198"/>
  <c r="W8" i="198"/>
  <c r="V8" i="198"/>
  <c r="N8" i="198"/>
  <c r="AF8" i="198" s="1"/>
  <c r="L8" i="198"/>
  <c r="K8" i="198"/>
  <c r="J8" i="198"/>
  <c r="P8" i="198" s="1"/>
  <c r="H8" i="198"/>
  <c r="F8" i="198"/>
  <c r="W7" i="198"/>
  <c r="V7" i="198"/>
  <c r="P7" i="198"/>
  <c r="N7" i="198"/>
  <c r="K7" i="198"/>
  <c r="L7" i="198" s="1"/>
  <c r="J7" i="198"/>
  <c r="F7" i="198"/>
  <c r="H7" i="198" s="1"/>
  <c r="AG6" i="198"/>
  <c r="W6" i="198"/>
  <c r="V6" i="198"/>
  <c r="N6" i="198"/>
  <c r="O6" i="198" s="1"/>
  <c r="K6" i="198"/>
  <c r="J6" i="198"/>
  <c r="H6" i="198"/>
  <c r="F6" i="198"/>
  <c r="W5" i="198"/>
  <c r="N5" i="198" s="1"/>
  <c r="P5" i="198"/>
  <c r="K5" i="198"/>
  <c r="J5" i="198"/>
  <c r="F5" i="198"/>
  <c r="H5" i="198" s="1"/>
  <c r="AE2" i="198"/>
  <c r="Z2" i="198"/>
  <c r="I2" i="198"/>
  <c r="E1" i="198"/>
  <c r="H22" i="197"/>
  <c r="G22" i="197"/>
  <c r="F22" i="197"/>
  <c r="E22" i="197"/>
  <c r="I21" i="197"/>
  <c r="H21" i="197"/>
  <c r="D21" i="197"/>
  <c r="J20" i="197"/>
  <c r="H20" i="197"/>
  <c r="F20" i="197"/>
  <c r="D20" i="197"/>
  <c r="J19" i="197"/>
  <c r="I19" i="197"/>
  <c r="F19" i="197"/>
  <c r="D19" i="197"/>
  <c r="J18" i="197"/>
  <c r="I18" i="197"/>
  <c r="F18" i="197"/>
  <c r="D18" i="197"/>
  <c r="J16" i="197"/>
  <c r="I16" i="197"/>
  <c r="H16" i="197"/>
  <c r="G16" i="197"/>
  <c r="F16" i="197"/>
  <c r="E16" i="197"/>
  <c r="D16" i="197"/>
  <c r="J14" i="197"/>
  <c r="O8" i="197"/>
  <c r="N8" i="197"/>
  <c r="M8" i="197"/>
  <c r="L8" i="197"/>
  <c r="O7" i="197"/>
  <c r="N7" i="197"/>
  <c r="M7" i="197"/>
  <c r="L7" i="197"/>
  <c r="G3" i="197"/>
  <c r="AE79" i="196"/>
  <c r="AD79" i="196"/>
  <c r="J20" i="195" s="1"/>
  <c r="AA79" i="196"/>
  <c r="Z79" i="196"/>
  <c r="M79" i="196"/>
  <c r="J79" i="196"/>
  <c r="P79" i="196" s="1"/>
  <c r="W78" i="196"/>
  <c r="H78" i="196"/>
  <c r="W77" i="196"/>
  <c r="H77" i="196"/>
  <c r="W76" i="196"/>
  <c r="H76" i="196"/>
  <c r="W75" i="196"/>
  <c r="H75" i="196"/>
  <c r="W74" i="196"/>
  <c r="W73" i="196"/>
  <c r="W72" i="196"/>
  <c r="W71" i="196"/>
  <c r="W70" i="196"/>
  <c r="N70" i="196"/>
  <c r="K70" i="196"/>
  <c r="K79" i="196" s="1"/>
  <c r="J70" i="196"/>
  <c r="P70" i="196" s="1"/>
  <c r="H70" i="196"/>
  <c r="F70" i="196"/>
  <c r="AE69" i="196"/>
  <c r="I21" i="195" s="1"/>
  <c r="AD69" i="196"/>
  <c r="AA69" i="196"/>
  <c r="Z69" i="196"/>
  <c r="P69" i="196"/>
  <c r="M69" i="196"/>
  <c r="W68" i="196"/>
  <c r="H68" i="196"/>
  <c r="W67" i="196"/>
  <c r="W66" i="196"/>
  <c r="W65" i="196"/>
  <c r="W64" i="196"/>
  <c r="W63" i="196"/>
  <c r="AG62" i="196"/>
  <c r="AF62" i="196"/>
  <c r="W62" i="196"/>
  <c r="W61" i="196"/>
  <c r="V61" i="196"/>
  <c r="Q61" i="196"/>
  <c r="P61" i="196"/>
  <c r="O61" i="196"/>
  <c r="R61" i="196" s="1"/>
  <c r="N61" i="196"/>
  <c r="AG61" i="196" s="1"/>
  <c r="K61" i="196"/>
  <c r="J61" i="196"/>
  <c r="L61" i="196" s="1"/>
  <c r="H61" i="196"/>
  <c r="F61" i="196"/>
  <c r="W60" i="196"/>
  <c r="N60" i="196" s="1"/>
  <c r="V60" i="196"/>
  <c r="P60" i="196"/>
  <c r="K60" i="196"/>
  <c r="K69" i="196" s="1"/>
  <c r="J60" i="196"/>
  <c r="J69" i="196" s="1"/>
  <c r="F60" i="196"/>
  <c r="H60" i="196" s="1"/>
  <c r="W59" i="196"/>
  <c r="P59" i="196"/>
  <c r="O59" i="196"/>
  <c r="N59" i="196"/>
  <c r="K59" i="196"/>
  <c r="L59" i="196" s="1"/>
  <c r="J59" i="196"/>
  <c r="H59" i="196"/>
  <c r="F59" i="196"/>
  <c r="AE58" i="196"/>
  <c r="AD58" i="196"/>
  <c r="AA58" i="196"/>
  <c r="H19" i="195" s="1"/>
  <c r="Z58" i="196"/>
  <c r="H18" i="195" s="1"/>
  <c r="M58" i="196"/>
  <c r="K58" i="196"/>
  <c r="W57" i="196"/>
  <c r="W56" i="196"/>
  <c r="W55" i="196"/>
  <c r="W54" i="196"/>
  <c r="AG53" i="196"/>
  <c r="AF53" i="196"/>
  <c r="W53" i="196"/>
  <c r="W52" i="196"/>
  <c r="N52" i="196" s="1"/>
  <c r="V52" i="196"/>
  <c r="P52" i="196"/>
  <c r="K52" i="196"/>
  <c r="L52" i="196" s="1"/>
  <c r="J52" i="196"/>
  <c r="F52" i="196"/>
  <c r="H52" i="196" s="1"/>
  <c r="AG51" i="196"/>
  <c r="AF51" i="196"/>
  <c r="W51" i="196"/>
  <c r="V51" i="196"/>
  <c r="P51" i="196"/>
  <c r="N51" i="196"/>
  <c r="O51" i="196" s="1"/>
  <c r="K51" i="196"/>
  <c r="J51" i="196"/>
  <c r="F51" i="196"/>
  <c r="H51" i="196" s="1"/>
  <c r="W50" i="196"/>
  <c r="V50" i="196"/>
  <c r="N50" i="196"/>
  <c r="K50" i="196"/>
  <c r="L50" i="196" s="1"/>
  <c r="J50" i="196"/>
  <c r="P50" i="196" s="1"/>
  <c r="H50" i="196"/>
  <c r="F50" i="196"/>
  <c r="W49" i="196"/>
  <c r="P49" i="196"/>
  <c r="O49" i="196"/>
  <c r="N49" i="196"/>
  <c r="K49" i="196"/>
  <c r="J49" i="196"/>
  <c r="H49" i="196"/>
  <c r="F49" i="196"/>
  <c r="AE48" i="196"/>
  <c r="G21" i="195" s="1"/>
  <c r="AD48" i="196"/>
  <c r="AA48" i="196"/>
  <c r="Z48" i="196"/>
  <c r="G18" i="195" s="1"/>
  <c r="W48" i="196"/>
  <c r="M48" i="196"/>
  <c r="W47" i="196"/>
  <c r="H47" i="196"/>
  <c r="W46" i="196"/>
  <c r="W45" i="196"/>
  <c r="W44" i="196"/>
  <c r="W43" i="196"/>
  <c r="W42" i="196"/>
  <c r="W41" i="196"/>
  <c r="N41" i="196" s="1"/>
  <c r="V41" i="196"/>
  <c r="P41" i="196"/>
  <c r="K41" i="196"/>
  <c r="L41" i="196" s="1"/>
  <c r="J41" i="196"/>
  <c r="H41" i="196"/>
  <c r="F41" i="196"/>
  <c r="W40" i="196"/>
  <c r="V40" i="196"/>
  <c r="N40" i="196"/>
  <c r="L40" i="196"/>
  <c r="K40" i="196"/>
  <c r="J40" i="196"/>
  <c r="P40" i="196" s="1"/>
  <c r="F40" i="196"/>
  <c r="H40" i="196" s="1"/>
  <c r="AF39" i="196"/>
  <c r="W39" i="196"/>
  <c r="N39" i="196" s="1"/>
  <c r="V39" i="196"/>
  <c r="P39" i="196"/>
  <c r="K39" i="196"/>
  <c r="L39" i="196" s="1"/>
  <c r="J39" i="196"/>
  <c r="H39" i="196"/>
  <c r="F39" i="196"/>
  <c r="W38" i="196"/>
  <c r="N38" i="196"/>
  <c r="K38" i="196"/>
  <c r="J38" i="196"/>
  <c r="H38" i="196"/>
  <c r="F38" i="196"/>
  <c r="AE37" i="196"/>
  <c r="F21" i="195" s="1"/>
  <c r="AD37" i="196"/>
  <c r="AA37" i="196"/>
  <c r="Z37" i="196"/>
  <c r="M37" i="196"/>
  <c r="K37" i="196"/>
  <c r="W36" i="196"/>
  <c r="H36" i="196"/>
  <c r="W35" i="196"/>
  <c r="W34" i="196"/>
  <c r="W33" i="196"/>
  <c r="W32" i="196"/>
  <c r="W31" i="196"/>
  <c r="V31" i="196"/>
  <c r="N31" i="196"/>
  <c r="O31" i="196" s="1"/>
  <c r="K31" i="196"/>
  <c r="J31" i="196"/>
  <c r="P31" i="196" s="1"/>
  <c r="H31" i="196"/>
  <c r="F31" i="196"/>
  <c r="W30" i="196"/>
  <c r="V30" i="196"/>
  <c r="N30" i="196"/>
  <c r="L30" i="196"/>
  <c r="K30" i="196"/>
  <c r="J30" i="196"/>
  <c r="P30" i="196" s="1"/>
  <c r="H30" i="196"/>
  <c r="F30" i="196"/>
  <c r="AF29" i="196"/>
  <c r="W29" i="196"/>
  <c r="V29" i="196"/>
  <c r="P29" i="196"/>
  <c r="O29" i="196"/>
  <c r="N29" i="196"/>
  <c r="AG29" i="196" s="1"/>
  <c r="L29" i="196"/>
  <c r="K29" i="196"/>
  <c r="J29" i="196"/>
  <c r="F29" i="196"/>
  <c r="H29" i="196" s="1"/>
  <c r="AG28" i="196"/>
  <c r="W28" i="196"/>
  <c r="V28" i="196"/>
  <c r="P28" i="196"/>
  <c r="O28" i="196"/>
  <c r="N28" i="196"/>
  <c r="AF28" i="196" s="1"/>
  <c r="K28" i="196"/>
  <c r="J28" i="196"/>
  <c r="H28" i="196"/>
  <c r="F28" i="196"/>
  <c r="AF27" i="196"/>
  <c r="W27" i="196"/>
  <c r="N27" i="196" s="1"/>
  <c r="L27" i="196"/>
  <c r="K27" i="196"/>
  <c r="J27" i="196"/>
  <c r="P27" i="196" s="1"/>
  <c r="F27" i="196"/>
  <c r="H27" i="196" s="1"/>
  <c r="AE26" i="196"/>
  <c r="AD26" i="196"/>
  <c r="AA26" i="196"/>
  <c r="Z26" i="196"/>
  <c r="M26" i="196"/>
  <c r="W25" i="196"/>
  <c r="H25" i="196"/>
  <c r="W24" i="196"/>
  <c r="H24" i="196"/>
  <c r="W23" i="196"/>
  <c r="W21" i="196"/>
  <c r="W20" i="196"/>
  <c r="N20" i="196" s="1"/>
  <c r="O20" i="196" s="1"/>
  <c r="V20" i="196"/>
  <c r="K20" i="196"/>
  <c r="J20" i="196"/>
  <c r="H20" i="196"/>
  <c r="F20" i="196"/>
  <c r="W19" i="196"/>
  <c r="V19" i="196"/>
  <c r="N19" i="196"/>
  <c r="L19" i="196"/>
  <c r="K19" i="196"/>
  <c r="J19" i="196"/>
  <c r="P19" i="196" s="1"/>
  <c r="F19" i="196"/>
  <c r="H19" i="196" s="1"/>
  <c r="W18" i="196"/>
  <c r="V18" i="196"/>
  <c r="P18" i="196"/>
  <c r="N18" i="196"/>
  <c r="O18" i="196" s="1"/>
  <c r="K18" i="196"/>
  <c r="L18" i="196" s="1"/>
  <c r="J18" i="196"/>
  <c r="F18" i="196"/>
  <c r="H18" i="196" s="1"/>
  <c r="W17" i="196"/>
  <c r="V17" i="196"/>
  <c r="P17" i="196"/>
  <c r="N17" i="196"/>
  <c r="O17" i="196" s="1"/>
  <c r="K17" i="196"/>
  <c r="J17" i="196"/>
  <c r="H17" i="196"/>
  <c r="F17" i="196"/>
  <c r="W16" i="196"/>
  <c r="P16" i="196"/>
  <c r="N16" i="196"/>
  <c r="K16" i="196"/>
  <c r="J16" i="196"/>
  <c r="F16" i="196"/>
  <c r="H16" i="196" s="1"/>
  <c r="AE15" i="196"/>
  <c r="AD15" i="196"/>
  <c r="AA15" i="196"/>
  <c r="Z15" i="196"/>
  <c r="D18" i="195" s="1"/>
  <c r="M15" i="196"/>
  <c r="W14" i="196"/>
  <c r="W13" i="196"/>
  <c r="W12" i="196"/>
  <c r="AG11" i="196"/>
  <c r="AF11" i="196"/>
  <c r="W11" i="196"/>
  <c r="AG10" i="196"/>
  <c r="AF10" i="196"/>
  <c r="W10" i="196"/>
  <c r="AG9" i="196"/>
  <c r="AF9" i="196"/>
  <c r="W9" i="196"/>
  <c r="AG8" i="196"/>
  <c r="AF8" i="196"/>
  <c r="W8" i="196"/>
  <c r="AG7" i="196"/>
  <c r="W7" i="196"/>
  <c r="N7" i="196" s="1"/>
  <c r="O7" i="196" s="1"/>
  <c r="R7" i="196" s="1"/>
  <c r="V7" i="196"/>
  <c r="Q7" i="196"/>
  <c r="P7" i="196"/>
  <c r="K7" i="196"/>
  <c r="L7" i="196" s="1"/>
  <c r="J7" i="196"/>
  <c r="H7" i="196"/>
  <c r="F7" i="196"/>
  <c r="AG6" i="196"/>
  <c r="W6" i="196"/>
  <c r="V6" i="196"/>
  <c r="N6" i="196"/>
  <c r="L6" i="196"/>
  <c r="K6" i="196"/>
  <c r="J6" i="196"/>
  <c r="H6" i="196"/>
  <c r="F6" i="196"/>
  <c r="AF5" i="196"/>
  <c r="W5" i="196"/>
  <c r="N5" i="196" s="1"/>
  <c r="P5" i="196"/>
  <c r="L5" i="196"/>
  <c r="L15" i="196" s="1"/>
  <c r="D13" i="195" s="1"/>
  <c r="K5" i="196"/>
  <c r="J5" i="196"/>
  <c r="F5" i="196"/>
  <c r="H5" i="196" s="1"/>
  <c r="I2" i="196"/>
  <c r="I1" i="196"/>
  <c r="E1" i="196"/>
  <c r="J22" i="195"/>
  <c r="I22" i="195"/>
  <c r="H22" i="195"/>
  <c r="G22" i="195"/>
  <c r="F22" i="195"/>
  <c r="D22" i="195"/>
  <c r="J21" i="195"/>
  <c r="H21" i="195"/>
  <c r="E21" i="195"/>
  <c r="D21" i="195"/>
  <c r="I20" i="195"/>
  <c r="H20" i="195"/>
  <c r="G20" i="195"/>
  <c r="E20" i="195"/>
  <c r="D20" i="195"/>
  <c r="J19" i="195"/>
  <c r="I19" i="195"/>
  <c r="G19" i="195"/>
  <c r="F19" i="195"/>
  <c r="E19" i="195"/>
  <c r="J18" i="195"/>
  <c r="I18" i="195"/>
  <c r="F18" i="195"/>
  <c r="J16" i="195"/>
  <c r="I16" i="195"/>
  <c r="H16" i="195"/>
  <c r="G16" i="195"/>
  <c r="F16" i="195"/>
  <c r="E16" i="195"/>
  <c r="D16" i="195"/>
  <c r="O8" i="195"/>
  <c r="N8" i="195"/>
  <c r="M8" i="195"/>
  <c r="L8" i="195"/>
  <c r="O7" i="195"/>
  <c r="N7" i="195"/>
  <c r="M7" i="195"/>
  <c r="L7" i="195"/>
  <c r="G3" i="195"/>
  <c r="AE79" i="194"/>
  <c r="AD79" i="194"/>
  <c r="J20" i="193" s="1"/>
  <c r="AA79" i="194"/>
  <c r="J18" i="193" s="1"/>
  <c r="Z79" i="194"/>
  <c r="N79" i="194"/>
  <c r="M79" i="194"/>
  <c r="W78" i="194"/>
  <c r="H78" i="194"/>
  <c r="W77" i="194"/>
  <c r="H77" i="194"/>
  <c r="W76" i="194"/>
  <c r="H76" i="194"/>
  <c r="W75" i="194"/>
  <c r="H75" i="194"/>
  <c r="W74" i="194"/>
  <c r="W73" i="194"/>
  <c r="W72" i="194"/>
  <c r="W71" i="194"/>
  <c r="AG70" i="194"/>
  <c r="AF70" i="194"/>
  <c r="W70" i="194"/>
  <c r="N70" i="194" s="1"/>
  <c r="O70" i="194" s="1"/>
  <c r="K70" i="194"/>
  <c r="K79" i="194" s="1"/>
  <c r="J70" i="194"/>
  <c r="F70" i="194"/>
  <c r="H70" i="194" s="1"/>
  <c r="AE69" i="194"/>
  <c r="AD69" i="194"/>
  <c r="AA69" i="194"/>
  <c r="I19" i="193" s="1"/>
  <c r="Z69" i="194"/>
  <c r="M69" i="194"/>
  <c r="K69" i="194"/>
  <c r="W68" i="194"/>
  <c r="H68" i="194"/>
  <c r="W67" i="194"/>
  <c r="W66" i="194"/>
  <c r="W65" i="194"/>
  <c r="W64" i="194"/>
  <c r="W63" i="194"/>
  <c r="W62" i="194"/>
  <c r="V62" i="194"/>
  <c r="P62" i="194"/>
  <c r="N62" i="194"/>
  <c r="K62" i="194"/>
  <c r="L62" i="194" s="1"/>
  <c r="J62" i="194"/>
  <c r="H62" i="194"/>
  <c r="F62" i="194"/>
  <c r="W61" i="194"/>
  <c r="V61" i="194"/>
  <c r="N61" i="194"/>
  <c r="O61" i="194" s="1"/>
  <c r="K61" i="194"/>
  <c r="J61" i="194"/>
  <c r="P61" i="194" s="1"/>
  <c r="H61" i="194"/>
  <c r="F61" i="194"/>
  <c r="W60" i="194"/>
  <c r="V60" i="194"/>
  <c r="N60" i="194"/>
  <c r="K60" i="194"/>
  <c r="L60" i="194" s="1"/>
  <c r="J60" i="194"/>
  <c r="P60" i="194" s="1"/>
  <c r="H60" i="194"/>
  <c r="F60" i="194"/>
  <c r="W59" i="194"/>
  <c r="P59" i="194"/>
  <c r="O59" i="194"/>
  <c r="N59" i="194"/>
  <c r="K59" i="194"/>
  <c r="J59" i="194"/>
  <c r="F59" i="194"/>
  <c r="H59" i="194" s="1"/>
  <c r="AE58" i="194"/>
  <c r="AD58" i="194"/>
  <c r="AA58" i="194"/>
  <c r="H19" i="193" s="1"/>
  <c r="Z58" i="194"/>
  <c r="N58" i="194"/>
  <c r="M58" i="194"/>
  <c r="W57" i="194"/>
  <c r="W56" i="194"/>
  <c r="W55" i="194"/>
  <c r="W54" i="194"/>
  <c r="W53" i="194"/>
  <c r="V53" i="194"/>
  <c r="P53" i="194"/>
  <c r="N53" i="194"/>
  <c r="L53" i="194"/>
  <c r="K53" i="194"/>
  <c r="H53" i="194"/>
  <c r="F53" i="194"/>
  <c r="AF52" i="194"/>
  <c r="W52" i="194"/>
  <c r="V52" i="194"/>
  <c r="P52" i="194"/>
  <c r="N52" i="194"/>
  <c r="L52" i="194"/>
  <c r="K52" i="194"/>
  <c r="J52" i="194"/>
  <c r="F52" i="194"/>
  <c r="H52" i="194" s="1"/>
  <c r="W51" i="194"/>
  <c r="V51" i="194"/>
  <c r="O51" i="194"/>
  <c r="N51" i="194"/>
  <c r="AG51" i="194" s="1"/>
  <c r="K51" i="194"/>
  <c r="J51" i="194"/>
  <c r="H51" i="194"/>
  <c r="F51" i="194"/>
  <c r="W50" i="194"/>
  <c r="N50" i="194" s="1"/>
  <c r="V50" i="194"/>
  <c r="K50" i="194"/>
  <c r="L50" i="194" s="1"/>
  <c r="J50" i="194"/>
  <c r="P50" i="194" s="1"/>
  <c r="F50" i="194"/>
  <c r="H50" i="194" s="1"/>
  <c r="AF49" i="194"/>
  <c r="W49" i="194"/>
  <c r="N49" i="194" s="1"/>
  <c r="K49" i="194"/>
  <c r="L49" i="194" s="1"/>
  <c r="J49" i="194"/>
  <c r="P49" i="194" s="1"/>
  <c r="H49" i="194"/>
  <c r="F49" i="194"/>
  <c r="AE48" i="194"/>
  <c r="AD48" i="194"/>
  <c r="AA48" i="194"/>
  <c r="G19" i="193" s="1"/>
  <c r="Z48" i="194"/>
  <c r="W48" i="194"/>
  <c r="M48" i="194"/>
  <c r="W47" i="194"/>
  <c r="H47" i="194"/>
  <c r="W46" i="194"/>
  <c r="W45" i="194"/>
  <c r="W44" i="194"/>
  <c r="W43" i="194"/>
  <c r="W42" i="194"/>
  <c r="AG41" i="194"/>
  <c r="AF41" i="194"/>
  <c r="W41" i="194"/>
  <c r="N41" i="194" s="1"/>
  <c r="V41" i="194"/>
  <c r="P41" i="194"/>
  <c r="O41" i="194"/>
  <c r="K41" i="194"/>
  <c r="L41" i="194" s="1"/>
  <c r="J41" i="194"/>
  <c r="H41" i="194"/>
  <c r="F41" i="194"/>
  <c r="AG40" i="194"/>
  <c r="W40" i="194"/>
  <c r="V40" i="194"/>
  <c r="N40" i="194"/>
  <c r="K40" i="194"/>
  <c r="L40" i="194" s="1"/>
  <c r="J40" i="194"/>
  <c r="P40" i="194" s="1"/>
  <c r="H40" i="194"/>
  <c r="F40" i="194"/>
  <c r="W39" i="194"/>
  <c r="N39" i="194" s="1"/>
  <c r="V39" i="194"/>
  <c r="P39" i="194"/>
  <c r="O39" i="194"/>
  <c r="K39" i="194"/>
  <c r="K48" i="194" s="1"/>
  <c r="H39" i="194"/>
  <c r="F39" i="194"/>
  <c r="AG38" i="194"/>
  <c r="AF38" i="194"/>
  <c r="W38" i="194"/>
  <c r="P38" i="194"/>
  <c r="O38" i="194"/>
  <c r="N38" i="194"/>
  <c r="K38" i="194"/>
  <c r="J38" i="194"/>
  <c r="F38" i="194"/>
  <c r="H38" i="194" s="1"/>
  <c r="AE37" i="194"/>
  <c r="AD37" i="194"/>
  <c r="AA37" i="194"/>
  <c r="Z37" i="194"/>
  <c r="M37" i="194"/>
  <c r="W36" i="194"/>
  <c r="H36" i="194"/>
  <c r="W35" i="194"/>
  <c r="W34" i="194"/>
  <c r="W33" i="194"/>
  <c r="W32" i="194"/>
  <c r="AF31" i="194"/>
  <c r="W31" i="194"/>
  <c r="N31" i="194" s="1"/>
  <c r="V31" i="194"/>
  <c r="P31" i="194"/>
  <c r="K31" i="194"/>
  <c r="L31" i="194" s="1"/>
  <c r="F31" i="194"/>
  <c r="H31" i="194" s="1"/>
  <c r="W30" i="194"/>
  <c r="V30" i="194"/>
  <c r="N30" i="194"/>
  <c r="L30" i="194"/>
  <c r="K30" i="194"/>
  <c r="J30" i="194"/>
  <c r="P30" i="194" s="1"/>
  <c r="H30" i="194"/>
  <c r="F30" i="194"/>
  <c r="W29" i="194"/>
  <c r="N29" i="194" s="1"/>
  <c r="V29" i="194"/>
  <c r="O29" i="194"/>
  <c r="L29" i="194"/>
  <c r="K29" i="194"/>
  <c r="J29" i="194"/>
  <c r="F29" i="194"/>
  <c r="H29" i="194" s="1"/>
  <c r="W28" i="194"/>
  <c r="N28" i="194" s="1"/>
  <c r="V28" i="194"/>
  <c r="P28" i="194"/>
  <c r="L28" i="194"/>
  <c r="K28" i="194"/>
  <c r="H28" i="194"/>
  <c r="F28" i="194"/>
  <c r="W27" i="194"/>
  <c r="N27" i="194" s="1"/>
  <c r="P27" i="194"/>
  <c r="O27" i="194"/>
  <c r="L27" i="194"/>
  <c r="K27" i="194"/>
  <c r="H27" i="194"/>
  <c r="F27" i="194"/>
  <c r="AE26" i="194"/>
  <c r="AD26" i="194"/>
  <c r="AA26" i="194"/>
  <c r="Z26" i="194"/>
  <c r="Z2" i="194" s="1"/>
  <c r="M26" i="194"/>
  <c r="W25" i="194"/>
  <c r="H25" i="194"/>
  <c r="W24" i="194"/>
  <c r="H24" i="194"/>
  <c r="W23" i="194"/>
  <c r="W21" i="194"/>
  <c r="W20" i="194"/>
  <c r="AG19" i="194"/>
  <c r="W19" i="194"/>
  <c r="V19" i="194"/>
  <c r="N19" i="194"/>
  <c r="AF19" i="194" s="1"/>
  <c r="K19" i="194"/>
  <c r="J19" i="194"/>
  <c r="P19" i="194" s="1"/>
  <c r="F19" i="194"/>
  <c r="H19" i="194" s="1"/>
  <c r="W18" i="194"/>
  <c r="N18" i="194" s="1"/>
  <c r="AF18" i="194" s="1"/>
  <c r="V18" i="194"/>
  <c r="L18" i="194"/>
  <c r="K18" i="194"/>
  <c r="J18" i="194"/>
  <c r="P18" i="194" s="1"/>
  <c r="F18" i="194"/>
  <c r="H18" i="194" s="1"/>
  <c r="W17" i="194"/>
  <c r="N17" i="194" s="1"/>
  <c r="V17" i="194"/>
  <c r="K17" i="194"/>
  <c r="J17" i="194"/>
  <c r="P17" i="194" s="1"/>
  <c r="H17" i="194"/>
  <c r="F17" i="194"/>
  <c r="AG16" i="194"/>
  <c r="AF16" i="194"/>
  <c r="W16" i="194"/>
  <c r="O16" i="194"/>
  <c r="N16" i="194"/>
  <c r="K16" i="194"/>
  <c r="J16" i="194"/>
  <c r="J26" i="194" s="1"/>
  <c r="F16" i="194"/>
  <c r="H16" i="194" s="1"/>
  <c r="AE15" i="194"/>
  <c r="AD15" i="194"/>
  <c r="AA15" i="194"/>
  <c r="Z15" i="194"/>
  <c r="M15" i="194"/>
  <c r="K15" i="194"/>
  <c r="J15" i="194"/>
  <c r="W14" i="194"/>
  <c r="W13" i="194"/>
  <c r="W12" i="194"/>
  <c r="AG11" i="194"/>
  <c r="AF11" i="194"/>
  <c r="W11" i="194"/>
  <c r="AG10" i="194"/>
  <c r="AF10" i="194"/>
  <c r="W10" i="194"/>
  <c r="AG9" i="194"/>
  <c r="AF9" i="194"/>
  <c r="W9" i="194"/>
  <c r="W8" i="194"/>
  <c r="N8" i="194"/>
  <c r="AG8" i="194" s="1"/>
  <c r="L8" i="194"/>
  <c r="K8" i="194"/>
  <c r="J8" i="194"/>
  <c r="P8" i="194" s="1"/>
  <c r="F8" i="194"/>
  <c r="H8" i="194" s="1"/>
  <c r="AG7" i="194"/>
  <c r="W7" i="194"/>
  <c r="V7" i="194"/>
  <c r="N7" i="194"/>
  <c r="L7" i="194"/>
  <c r="K7" i="194"/>
  <c r="J7" i="194"/>
  <c r="P7" i="194" s="1"/>
  <c r="F7" i="194"/>
  <c r="H7" i="194" s="1"/>
  <c r="W6" i="194"/>
  <c r="V6" i="194"/>
  <c r="N6" i="194"/>
  <c r="K6" i="194"/>
  <c r="L6" i="194" s="1"/>
  <c r="J6" i="194"/>
  <c r="P6" i="194" s="1"/>
  <c r="F6" i="194"/>
  <c r="H6" i="194" s="1"/>
  <c r="AF5" i="194"/>
  <c r="W5" i="194"/>
  <c r="N5" i="194" s="1"/>
  <c r="P5" i="194"/>
  <c r="L5" i="194"/>
  <c r="K5" i="194"/>
  <c r="J5" i="194"/>
  <c r="H5" i="194"/>
  <c r="F5" i="194"/>
  <c r="I2" i="194"/>
  <c r="E1" i="194"/>
  <c r="J22" i="193"/>
  <c r="I22" i="193"/>
  <c r="H22" i="193"/>
  <c r="G22" i="193"/>
  <c r="J21" i="193"/>
  <c r="I21" i="193"/>
  <c r="H21" i="193"/>
  <c r="G21" i="193"/>
  <c r="E21" i="193"/>
  <c r="D21" i="193"/>
  <c r="I20" i="193"/>
  <c r="H20" i="193"/>
  <c r="G20" i="193"/>
  <c r="E20" i="193"/>
  <c r="D20" i="193"/>
  <c r="J19" i="193"/>
  <c r="F19" i="193"/>
  <c r="E19" i="193"/>
  <c r="D19" i="193"/>
  <c r="I18" i="193"/>
  <c r="H18" i="193"/>
  <c r="G18" i="193"/>
  <c r="F18" i="193"/>
  <c r="D18" i="193"/>
  <c r="J16" i="193"/>
  <c r="I16" i="193"/>
  <c r="H16" i="193"/>
  <c r="G16" i="193"/>
  <c r="F16" i="193"/>
  <c r="E16" i="193"/>
  <c r="D16" i="193"/>
  <c r="O8" i="193"/>
  <c r="N8" i="193"/>
  <c r="M8" i="193"/>
  <c r="L8" i="193"/>
  <c r="O7" i="193"/>
  <c r="N7" i="193"/>
  <c r="M7" i="193"/>
  <c r="L7" i="193"/>
  <c r="G3" i="193"/>
  <c r="AE79" i="192"/>
  <c r="AD79" i="192"/>
  <c r="J20" i="191" s="1"/>
  <c r="AA79" i="192"/>
  <c r="Z79" i="192"/>
  <c r="M79" i="192"/>
  <c r="W78" i="192"/>
  <c r="H78" i="192"/>
  <c r="W77" i="192"/>
  <c r="H77" i="192"/>
  <c r="W76" i="192"/>
  <c r="H76" i="192"/>
  <c r="W75" i="192"/>
  <c r="H75" i="192"/>
  <c r="W74" i="192"/>
  <c r="W73" i="192"/>
  <c r="W72" i="192"/>
  <c r="W71" i="192"/>
  <c r="W70" i="192"/>
  <c r="P70" i="192"/>
  <c r="N70" i="192"/>
  <c r="K70" i="192"/>
  <c r="J70" i="192"/>
  <c r="J79" i="192" s="1"/>
  <c r="H70" i="192"/>
  <c r="F70" i="192"/>
  <c r="AE69" i="192"/>
  <c r="AD69" i="192"/>
  <c r="AA69" i="192"/>
  <c r="Z69" i="192"/>
  <c r="M69" i="192"/>
  <c r="J69" i="192"/>
  <c r="P69" i="192" s="1"/>
  <c r="W68" i="192"/>
  <c r="H68" i="192"/>
  <c r="W67" i="192"/>
  <c r="W66" i="192"/>
  <c r="W65" i="192"/>
  <c r="W64" i="192"/>
  <c r="W63" i="192"/>
  <c r="W62" i="192"/>
  <c r="V62" i="192"/>
  <c r="O62" i="192"/>
  <c r="N62" i="192"/>
  <c r="AG62" i="192" s="1"/>
  <c r="L62" i="192"/>
  <c r="R62" i="192" s="1"/>
  <c r="K62" i="192"/>
  <c r="J62" i="192"/>
  <c r="P62" i="192" s="1"/>
  <c r="F62" i="192"/>
  <c r="H62" i="192" s="1"/>
  <c r="W61" i="192"/>
  <c r="V61" i="192"/>
  <c r="N61" i="192"/>
  <c r="L61" i="192"/>
  <c r="K61" i="192"/>
  <c r="J61" i="192"/>
  <c r="P61" i="192" s="1"/>
  <c r="F61" i="192"/>
  <c r="H61" i="192" s="1"/>
  <c r="W60" i="192"/>
  <c r="N60" i="192" s="1"/>
  <c r="V60" i="192"/>
  <c r="K60" i="192"/>
  <c r="L60" i="192" s="1"/>
  <c r="J60" i="192"/>
  <c r="P60" i="192" s="1"/>
  <c r="H60" i="192"/>
  <c r="F60" i="192"/>
  <c r="W59" i="192"/>
  <c r="N59" i="192"/>
  <c r="L59" i="192"/>
  <c r="K59" i="192"/>
  <c r="J59" i="192"/>
  <c r="P59" i="192" s="1"/>
  <c r="F59" i="192"/>
  <c r="H59" i="192" s="1"/>
  <c r="AE58" i="192"/>
  <c r="H21" i="191" s="1"/>
  <c r="AD58" i="192"/>
  <c r="H20" i="191" s="1"/>
  <c r="AA58" i="192"/>
  <c r="Z58" i="192"/>
  <c r="H18" i="191" s="1"/>
  <c r="M58" i="192"/>
  <c r="W57" i="192"/>
  <c r="W56" i="192"/>
  <c r="W55" i="192"/>
  <c r="W54" i="192"/>
  <c r="N54" i="192" s="1"/>
  <c r="O54" i="192" s="1"/>
  <c r="V54" i="192"/>
  <c r="P54" i="192"/>
  <c r="L54" i="192"/>
  <c r="K54" i="192"/>
  <c r="K58" i="192" s="1"/>
  <c r="J54" i="192"/>
  <c r="H54" i="192"/>
  <c r="F54" i="192"/>
  <c r="W53" i="192"/>
  <c r="V53" i="192"/>
  <c r="N53" i="192"/>
  <c r="L53" i="192"/>
  <c r="K53" i="192"/>
  <c r="J53" i="192"/>
  <c r="P53" i="192" s="1"/>
  <c r="F53" i="192"/>
  <c r="H53" i="192" s="1"/>
  <c r="W52" i="192"/>
  <c r="V52" i="192"/>
  <c r="P52" i="192"/>
  <c r="N52" i="192"/>
  <c r="L52" i="192"/>
  <c r="K52" i="192"/>
  <c r="H52" i="192"/>
  <c r="F52" i="192"/>
  <c r="W51" i="192"/>
  <c r="N51" i="192" s="1"/>
  <c r="O51" i="192" s="1"/>
  <c r="V51" i="192"/>
  <c r="P51" i="192"/>
  <c r="L51" i="192"/>
  <c r="K51" i="192"/>
  <c r="F51" i="192"/>
  <c r="H51" i="192" s="1"/>
  <c r="W50" i="192"/>
  <c r="N50" i="192" s="1"/>
  <c r="V50" i="192"/>
  <c r="K50" i="192"/>
  <c r="J50" i="192"/>
  <c r="P50" i="192" s="1"/>
  <c r="F50" i="192"/>
  <c r="H50" i="192" s="1"/>
  <c r="AG49" i="192"/>
  <c r="W49" i="192"/>
  <c r="N49" i="192" s="1"/>
  <c r="O49" i="192" s="1"/>
  <c r="K49" i="192"/>
  <c r="J49" i="192"/>
  <c r="H49" i="192"/>
  <c r="F49" i="192"/>
  <c r="AE48" i="192"/>
  <c r="AD48" i="192"/>
  <c r="AA48" i="192"/>
  <c r="G19" i="191" s="1"/>
  <c r="Z48" i="192"/>
  <c r="W48" i="192"/>
  <c r="M48" i="192"/>
  <c r="W47" i="192"/>
  <c r="H47" i="192"/>
  <c r="W46" i="192"/>
  <c r="W45" i="192"/>
  <c r="W44" i="192"/>
  <c r="W43" i="192"/>
  <c r="W42" i="192"/>
  <c r="AG41" i="192"/>
  <c r="AF41" i="192"/>
  <c r="W41" i="192"/>
  <c r="N41" i="192" s="1"/>
  <c r="V41" i="192"/>
  <c r="Q41" i="192"/>
  <c r="O41" i="192"/>
  <c r="R41" i="192" s="1"/>
  <c r="K41" i="192"/>
  <c r="L41" i="192" s="1"/>
  <c r="J41" i="192"/>
  <c r="P41" i="192" s="1"/>
  <c r="F41" i="192"/>
  <c r="H41" i="192" s="1"/>
  <c r="AG40" i="192"/>
  <c r="W40" i="192"/>
  <c r="V40" i="192"/>
  <c r="P40" i="192"/>
  <c r="N40" i="192"/>
  <c r="O40" i="192" s="1"/>
  <c r="K40" i="192"/>
  <c r="L40" i="192" s="1"/>
  <c r="J40" i="192"/>
  <c r="F40" i="192"/>
  <c r="H40" i="192" s="1"/>
  <c r="AG39" i="192"/>
  <c r="AF39" i="192"/>
  <c r="W39" i="192"/>
  <c r="V39" i="192"/>
  <c r="P39" i="192"/>
  <c r="O39" i="192"/>
  <c r="N39" i="192"/>
  <c r="L39" i="192"/>
  <c r="K39" i="192"/>
  <c r="H39" i="192"/>
  <c r="F39" i="192"/>
  <c r="W38" i="192"/>
  <c r="N38" i="192" s="1"/>
  <c r="P38" i="192"/>
  <c r="O38" i="192"/>
  <c r="K38" i="192"/>
  <c r="K48" i="192" s="1"/>
  <c r="J38" i="192"/>
  <c r="F38" i="192"/>
  <c r="H38" i="192" s="1"/>
  <c r="AE37" i="192"/>
  <c r="F21" i="191" s="1"/>
  <c r="AD37" i="192"/>
  <c r="AA37" i="192"/>
  <c r="Z37" i="192"/>
  <c r="F18" i="191" s="1"/>
  <c r="M37" i="192"/>
  <c r="W36" i="192"/>
  <c r="H36" i="192"/>
  <c r="W35" i="192"/>
  <c r="W34" i="192"/>
  <c r="W33" i="192"/>
  <c r="W32" i="192"/>
  <c r="AG31" i="192"/>
  <c r="AF31" i="192"/>
  <c r="W31" i="192"/>
  <c r="AG30" i="192"/>
  <c r="W30" i="192"/>
  <c r="V30" i="192"/>
  <c r="O30" i="192"/>
  <c r="N30" i="192"/>
  <c r="AF30" i="192" s="1"/>
  <c r="K30" i="192"/>
  <c r="J30" i="192"/>
  <c r="P30" i="192" s="1"/>
  <c r="H30" i="192"/>
  <c r="F30" i="192"/>
  <c r="AG29" i="192"/>
  <c r="AF29" i="192"/>
  <c r="W29" i="192"/>
  <c r="N29" i="192" s="1"/>
  <c r="V29" i="192"/>
  <c r="P29" i="192"/>
  <c r="O29" i="192"/>
  <c r="R29" i="192" s="1"/>
  <c r="K29" i="192"/>
  <c r="J29" i="192"/>
  <c r="L29" i="192" s="1"/>
  <c r="Q29" i="192" s="1"/>
  <c r="F29" i="192"/>
  <c r="H29" i="192" s="1"/>
  <c r="W28" i="192"/>
  <c r="V28" i="192"/>
  <c r="P28" i="192"/>
  <c r="N28" i="192"/>
  <c r="K28" i="192"/>
  <c r="F28" i="192"/>
  <c r="H28" i="192" s="1"/>
  <c r="W27" i="192"/>
  <c r="P27" i="192"/>
  <c r="N27" i="192"/>
  <c r="K27" i="192"/>
  <c r="H27" i="192"/>
  <c r="F27" i="192"/>
  <c r="AE26" i="192"/>
  <c r="AD26" i="192"/>
  <c r="AA26" i="192"/>
  <c r="E19" i="191" s="1"/>
  <c r="Z26" i="192"/>
  <c r="E18" i="191" s="1"/>
  <c r="M26" i="192"/>
  <c r="W25" i="192"/>
  <c r="H25" i="192"/>
  <c r="W24" i="192"/>
  <c r="H24" i="192"/>
  <c r="W23" i="192"/>
  <c r="W21" i="192"/>
  <c r="N21" i="192" s="1"/>
  <c r="O21" i="192" s="1"/>
  <c r="V21" i="192"/>
  <c r="P21" i="192"/>
  <c r="K21" i="192"/>
  <c r="L21" i="192" s="1"/>
  <c r="J21" i="192"/>
  <c r="F21" i="192"/>
  <c r="H21" i="192" s="1"/>
  <c r="W20" i="192"/>
  <c r="V20" i="192"/>
  <c r="Q20" i="192"/>
  <c r="O20" i="192"/>
  <c r="R20" i="192" s="1"/>
  <c r="N20" i="192"/>
  <c r="K20" i="192"/>
  <c r="L20" i="192" s="1"/>
  <c r="J20" i="192"/>
  <c r="P20" i="192" s="1"/>
  <c r="H20" i="192"/>
  <c r="F20" i="192"/>
  <c r="AG19" i="192"/>
  <c r="AF19" i="192"/>
  <c r="W19" i="192"/>
  <c r="V19" i="192"/>
  <c r="P19" i="192"/>
  <c r="N19" i="192"/>
  <c r="O19" i="192" s="1"/>
  <c r="L19" i="192"/>
  <c r="K19" i="192"/>
  <c r="J19" i="192"/>
  <c r="H19" i="192"/>
  <c r="F19" i="192"/>
  <c r="W18" i="192"/>
  <c r="V18" i="192"/>
  <c r="P18" i="192"/>
  <c r="N18" i="192"/>
  <c r="L18" i="192"/>
  <c r="K18" i="192"/>
  <c r="J18" i="192"/>
  <c r="H18" i="192"/>
  <c r="F18" i="192"/>
  <c r="W17" i="192"/>
  <c r="V17" i="192"/>
  <c r="P17" i="192"/>
  <c r="N17" i="192"/>
  <c r="K17" i="192"/>
  <c r="K26" i="192" s="1"/>
  <c r="J17" i="192"/>
  <c r="F17" i="192"/>
  <c r="H17" i="192" s="1"/>
  <c r="W16" i="192"/>
  <c r="N16" i="192" s="1"/>
  <c r="P16" i="192"/>
  <c r="K16" i="192"/>
  <c r="J16" i="192"/>
  <c r="F16" i="192"/>
  <c r="H16" i="192" s="1"/>
  <c r="AE15" i="192"/>
  <c r="AE2" i="192" s="1"/>
  <c r="AD15" i="192"/>
  <c r="AA15" i="192"/>
  <c r="Z15" i="192"/>
  <c r="Z2" i="192" s="1"/>
  <c r="M15" i="192"/>
  <c r="W14" i="192"/>
  <c r="W13" i="192"/>
  <c r="W12" i="192"/>
  <c r="AG11" i="192"/>
  <c r="AF11" i="192"/>
  <c r="W11" i="192"/>
  <c r="AG10" i="192"/>
  <c r="W10" i="192"/>
  <c r="N10" i="192" s="1"/>
  <c r="AF10" i="192" s="1"/>
  <c r="V10" i="192"/>
  <c r="P10" i="192"/>
  <c r="O10" i="192"/>
  <c r="K10" i="192"/>
  <c r="J10" i="192"/>
  <c r="L10" i="192" s="1"/>
  <c r="H10" i="192"/>
  <c r="F10" i="192"/>
  <c r="AG9" i="192"/>
  <c r="W9" i="192"/>
  <c r="V9" i="192"/>
  <c r="R9" i="192"/>
  <c r="Q9" i="192"/>
  <c r="P9" i="192"/>
  <c r="O9" i="192"/>
  <c r="N9" i="192"/>
  <c r="AF9" i="192" s="1"/>
  <c r="L9" i="192"/>
  <c r="K9" i="192"/>
  <c r="J9" i="192"/>
  <c r="H9" i="192"/>
  <c r="F9" i="192"/>
  <c r="W8" i="192"/>
  <c r="V8" i="192"/>
  <c r="N8" i="192"/>
  <c r="K8" i="192"/>
  <c r="L8" i="192" s="1"/>
  <c r="J8" i="192"/>
  <c r="P8" i="192" s="1"/>
  <c r="H8" i="192"/>
  <c r="F8" i="192"/>
  <c r="W7" i="192"/>
  <c r="V7" i="192"/>
  <c r="N7" i="192"/>
  <c r="K7" i="192"/>
  <c r="J7" i="192"/>
  <c r="P7" i="192" s="1"/>
  <c r="H7" i="192"/>
  <c r="F7" i="192"/>
  <c r="W6" i="192"/>
  <c r="N6" i="192" s="1"/>
  <c r="V6" i="192"/>
  <c r="K6" i="192"/>
  <c r="L6" i="192" s="1"/>
  <c r="J6" i="192"/>
  <c r="F6" i="192"/>
  <c r="H6" i="192" s="1"/>
  <c r="W5" i="192"/>
  <c r="P5" i="192"/>
  <c r="N5" i="192"/>
  <c r="K5" i="192"/>
  <c r="J5" i="192"/>
  <c r="H5" i="192"/>
  <c r="F5" i="192"/>
  <c r="AA2" i="192"/>
  <c r="I2" i="192"/>
  <c r="E1" i="192"/>
  <c r="G3" i="191" s="1"/>
  <c r="I22" i="191"/>
  <c r="E22" i="191"/>
  <c r="D22" i="191"/>
  <c r="J21" i="191"/>
  <c r="I21" i="191"/>
  <c r="G21" i="191"/>
  <c r="E21" i="191"/>
  <c r="D21" i="191"/>
  <c r="I20" i="191"/>
  <c r="G20" i="191"/>
  <c r="F20" i="191"/>
  <c r="E20" i="191"/>
  <c r="D20" i="191"/>
  <c r="J19" i="191"/>
  <c r="I19" i="191"/>
  <c r="H19" i="191"/>
  <c r="F19" i="191"/>
  <c r="D19" i="191"/>
  <c r="J18" i="191"/>
  <c r="I18" i="191"/>
  <c r="G18" i="191"/>
  <c r="D18" i="191"/>
  <c r="J16" i="191"/>
  <c r="I16" i="191"/>
  <c r="H16" i="191"/>
  <c r="G16" i="191"/>
  <c r="F16" i="191"/>
  <c r="E16" i="191"/>
  <c r="D16" i="191"/>
  <c r="O8" i="191"/>
  <c r="N8" i="191"/>
  <c r="M8" i="191"/>
  <c r="L8" i="191"/>
  <c r="O7" i="191"/>
  <c r="N7" i="191"/>
  <c r="M7" i="191"/>
  <c r="L7" i="191"/>
  <c r="M6" i="191"/>
  <c r="L6" i="191"/>
  <c r="AE79" i="190"/>
  <c r="J21" i="189" s="1"/>
  <c r="AD79" i="190"/>
  <c r="AA79" i="190"/>
  <c r="J18" i="189" s="1"/>
  <c r="Z79" i="190"/>
  <c r="O79" i="190"/>
  <c r="M79" i="190"/>
  <c r="J79" i="190"/>
  <c r="P79" i="190" s="1"/>
  <c r="W78" i="190"/>
  <c r="H78" i="190"/>
  <c r="W77" i="190"/>
  <c r="H77" i="190"/>
  <c r="W76" i="190"/>
  <c r="H76" i="190"/>
  <c r="W75" i="190"/>
  <c r="H75" i="190"/>
  <c r="W74" i="190"/>
  <c r="W73" i="190"/>
  <c r="W72" i="190"/>
  <c r="W71" i="190"/>
  <c r="W70" i="190"/>
  <c r="N70" i="190" s="1"/>
  <c r="AG70" i="190" s="1"/>
  <c r="R70" i="190"/>
  <c r="Q70" i="190"/>
  <c r="P70" i="190"/>
  <c r="O70" i="190"/>
  <c r="K70" i="190"/>
  <c r="L70" i="190" s="1"/>
  <c r="L79" i="190" s="1"/>
  <c r="J70" i="190"/>
  <c r="H70" i="190"/>
  <c r="F70" i="190"/>
  <c r="AE69" i="190"/>
  <c r="I21" i="189" s="1"/>
  <c r="AD69" i="190"/>
  <c r="I20" i="189" s="1"/>
  <c r="AA69" i="190"/>
  <c r="I19" i="189" s="1"/>
  <c r="Z69" i="190"/>
  <c r="M69" i="190"/>
  <c r="W68" i="190"/>
  <c r="H68" i="190"/>
  <c r="W67" i="190"/>
  <c r="W66" i="190"/>
  <c r="W65" i="190"/>
  <c r="W64" i="190"/>
  <c r="W63" i="190"/>
  <c r="W62" i="190"/>
  <c r="N62" i="190" s="1"/>
  <c r="V62" i="190"/>
  <c r="O62" i="190"/>
  <c r="K62" i="190"/>
  <c r="J62" i="190"/>
  <c r="P62" i="190" s="1"/>
  <c r="F62" i="190"/>
  <c r="H62" i="190" s="1"/>
  <c r="W61" i="190"/>
  <c r="V61" i="190"/>
  <c r="N61" i="190"/>
  <c r="L61" i="190"/>
  <c r="K61" i="190"/>
  <c r="J61" i="190"/>
  <c r="P61" i="190" s="1"/>
  <c r="F61" i="190"/>
  <c r="H61" i="190" s="1"/>
  <c r="W60" i="190"/>
  <c r="V60" i="190"/>
  <c r="N60" i="190"/>
  <c r="K60" i="190"/>
  <c r="J60" i="190"/>
  <c r="H60" i="190"/>
  <c r="F60" i="190"/>
  <c r="W59" i="190"/>
  <c r="N59" i="190" s="1"/>
  <c r="P59" i="190"/>
  <c r="L59" i="190"/>
  <c r="K59" i="190"/>
  <c r="J59" i="190"/>
  <c r="H59" i="190"/>
  <c r="F59" i="190"/>
  <c r="AE58" i="190"/>
  <c r="AD58" i="190"/>
  <c r="H20" i="189" s="1"/>
  <c r="AA58" i="190"/>
  <c r="H19" i="189" s="1"/>
  <c r="Z58" i="190"/>
  <c r="M58" i="190"/>
  <c r="W57" i="190"/>
  <c r="W56" i="190"/>
  <c r="W55" i="190"/>
  <c r="W54" i="190"/>
  <c r="AG53" i="190"/>
  <c r="AF53" i="190"/>
  <c r="W53" i="190"/>
  <c r="V53" i="190"/>
  <c r="P53" i="190"/>
  <c r="O53" i="190"/>
  <c r="N53" i="190"/>
  <c r="L53" i="190"/>
  <c r="K53" i="190"/>
  <c r="H53" i="190"/>
  <c r="F53" i="190"/>
  <c r="AG52" i="190"/>
  <c r="AF52" i="190"/>
  <c r="W52" i="190"/>
  <c r="V52" i="190"/>
  <c r="P52" i="190"/>
  <c r="N52" i="190"/>
  <c r="O52" i="190" s="1"/>
  <c r="K52" i="190"/>
  <c r="L52" i="190" s="1"/>
  <c r="J52" i="190"/>
  <c r="F52" i="190"/>
  <c r="H52" i="190" s="1"/>
  <c r="W51" i="190"/>
  <c r="V51" i="190"/>
  <c r="P51" i="190"/>
  <c r="N51" i="190"/>
  <c r="K51" i="190"/>
  <c r="J51" i="190"/>
  <c r="H51" i="190"/>
  <c r="F51" i="190"/>
  <c r="W50" i="190"/>
  <c r="V50" i="190"/>
  <c r="P50" i="190"/>
  <c r="N50" i="190"/>
  <c r="K50" i="190"/>
  <c r="L50" i="190" s="1"/>
  <c r="J50" i="190"/>
  <c r="F50" i="190"/>
  <c r="H50" i="190" s="1"/>
  <c r="AG49" i="190"/>
  <c r="AF49" i="190"/>
  <c r="W49" i="190"/>
  <c r="N49" i="190" s="1"/>
  <c r="P49" i="190"/>
  <c r="O49" i="190"/>
  <c r="K49" i="190"/>
  <c r="L49" i="190" s="1"/>
  <c r="J49" i="190"/>
  <c r="H49" i="190"/>
  <c r="F49" i="190"/>
  <c r="AE48" i="190"/>
  <c r="G21" i="189" s="1"/>
  <c r="AD48" i="190"/>
  <c r="G20" i="189" s="1"/>
  <c r="AA48" i="190"/>
  <c r="Z48" i="190"/>
  <c r="G18" i="189" s="1"/>
  <c r="W48" i="190"/>
  <c r="M48" i="190"/>
  <c r="K48" i="190"/>
  <c r="W47" i="190"/>
  <c r="H47" i="190"/>
  <c r="W46" i="190"/>
  <c r="W45" i="190"/>
  <c r="W44" i="190"/>
  <c r="W43" i="190"/>
  <c r="AG41" i="190"/>
  <c r="AF41" i="190"/>
  <c r="W41" i="190"/>
  <c r="N41" i="190" s="1"/>
  <c r="V41" i="190"/>
  <c r="O41" i="190"/>
  <c r="K41" i="190"/>
  <c r="J41" i="190"/>
  <c r="H41" i="190"/>
  <c r="F41" i="190"/>
  <c r="W40" i="190"/>
  <c r="V40" i="190"/>
  <c r="N40" i="190"/>
  <c r="K40" i="190"/>
  <c r="J40" i="190"/>
  <c r="P40" i="190" s="1"/>
  <c r="H40" i="190"/>
  <c r="F40" i="190"/>
  <c r="W39" i="190"/>
  <c r="N39" i="190" s="1"/>
  <c r="V39" i="190"/>
  <c r="P39" i="190"/>
  <c r="K39" i="190"/>
  <c r="L39" i="190" s="1"/>
  <c r="H39" i="190"/>
  <c r="F39" i="190"/>
  <c r="W38" i="190"/>
  <c r="N38" i="190"/>
  <c r="L38" i="190"/>
  <c r="K38" i="190"/>
  <c r="J38" i="190"/>
  <c r="F38" i="190"/>
  <c r="H38" i="190" s="1"/>
  <c r="AE37" i="190"/>
  <c r="F21" i="189" s="1"/>
  <c r="AD37" i="190"/>
  <c r="F20" i="189" s="1"/>
  <c r="AA37" i="190"/>
  <c r="Z37" i="190"/>
  <c r="P37" i="190"/>
  <c r="N37" i="190"/>
  <c r="M37" i="190"/>
  <c r="F22" i="189" s="1"/>
  <c r="W36" i="190"/>
  <c r="H36" i="190"/>
  <c r="W35" i="190"/>
  <c r="W34" i="190"/>
  <c r="W33" i="190"/>
  <c r="W32" i="190"/>
  <c r="W31" i="190"/>
  <c r="N31" i="190" s="1"/>
  <c r="AG31" i="190" s="1"/>
  <c r="V31" i="190"/>
  <c r="P31" i="190"/>
  <c r="O31" i="190"/>
  <c r="L31" i="190"/>
  <c r="F31" i="190"/>
  <c r="H31" i="190" s="1"/>
  <c r="AF30" i="190"/>
  <c r="W30" i="190"/>
  <c r="N30" i="190" s="1"/>
  <c r="V30" i="190"/>
  <c r="P30" i="190"/>
  <c r="K30" i="190"/>
  <c r="L30" i="190" s="1"/>
  <c r="J30" i="190"/>
  <c r="F30" i="190"/>
  <c r="H30" i="190" s="1"/>
  <c r="AG29" i="190"/>
  <c r="W29" i="190"/>
  <c r="N29" i="190" s="1"/>
  <c r="AF29" i="190" s="1"/>
  <c r="V29" i="190"/>
  <c r="P29" i="190"/>
  <c r="O29" i="190"/>
  <c r="K29" i="190"/>
  <c r="L29" i="190" s="1"/>
  <c r="J29" i="190"/>
  <c r="J37" i="190" s="1"/>
  <c r="H29" i="190"/>
  <c r="F29" i="190"/>
  <c r="W28" i="190"/>
  <c r="V28" i="190"/>
  <c r="P28" i="190"/>
  <c r="N28" i="190"/>
  <c r="O28" i="190" s="1"/>
  <c r="K28" i="190"/>
  <c r="F28" i="190"/>
  <c r="H28" i="190" s="1"/>
  <c r="AG27" i="190"/>
  <c r="W27" i="190"/>
  <c r="P27" i="190"/>
  <c r="N27" i="190"/>
  <c r="AF27" i="190" s="1"/>
  <c r="L27" i="190"/>
  <c r="H27" i="190"/>
  <c r="F27" i="190"/>
  <c r="AE26" i="190"/>
  <c r="AE2" i="190" s="1"/>
  <c r="AD26" i="190"/>
  <c r="E20" i="189" s="1"/>
  <c r="AA26" i="190"/>
  <c r="Z26" i="190"/>
  <c r="M26" i="190"/>
  <c r="J26" i="190"/>
  <c r="W25" i="190"/>
  <c r="H25" i="190"/>
  <c r="W24" i="190"/>
  <c r="H24" i="190"/>
  <c r="W23" i="190"/>
  <c r="W21" i="190"/>
  <c r="W20" i="190"/>
  <c r="W19" i="190"/>
  <c r="N19" i="190" s="1"/>
  <c r="V19" i="190"/>
  <c r="P19" i="190"/>
  <c r="K19" i="190"/>
  <c r="L19" i="190" s="1"/>
  <c r="J19" i="190"/>
  <c r="H19" i="190"/>
  <c r="F19" i="190"/>
  <c r="W18" i="190"/>
  <c r="V18" i="190"/>
  <c r="N18" i="190"/>
  <c r="K18" i="190"/>
  <c r="L18" i="190" s="1"/>
  <c r="J18" i="190"/>
  <c r="P18" i="190" s="1"/>
  <c r="H18" i="190"/>
  <c r="F18" i="190"/>
  <c r="AF17" i="190"/>
  <c r="W17" i="190"/>
  <c r="N17" i="190" s="1"/>
  <c r="O17" i="190" s="1"/>
  <c r="V17" i="190"/>
  <c r="P17" i="190"/>
  <c r="K17" i="190"/>
  <c r="L17" i="190" s="1"/>
  <c r="L26" i="190" s="1"/>
  <c r="E13" i="189" s="1"/>
  <c r="J17" i="190"/>
  <c r="H17" i="190"/>
  <c r="F17" i="190"/>
  <c r="AG16" i="190"/>
  <c r="AF16" i="190"/>
  <c r="W16" i="190"/>
  <c r="N16" i="190" s="1"/>
  <c r="L16" i="190"/>
  <c r="K16" i="190"/>
  <c r="J16" i="190"/>
  <c r="P16" i="190" s="1"/>
  <c r="F16" i="190"/>
  <c r="H16" i="190" s="1"/>
  <c r="AE15" i="190"/>
  <c r="AD15" i="190"/>
  <c r="AA15" i="190"/>
  <c r="Z15" i="190"/>
  <c r="M15" i="190"/>
  <c r="W14" i="190"/>
  <c r="W13" i="190"/>
  <c r="W12" i="190"/>
  <c r="AG11" i="190"/>
  <c r="AF11" i="190"/>
  <c r="W11" i="190"/>
  <c r="AG10" i="190"/>
  <c r="AF10" i="190"/>
  <c r="W10" i="190"/>
  <c r="AG9" i="190"/>
  <c r="AF9" i="190"/>
  <c r="W9" i="190"/>
  <c r="W8" i="190"/>
  <c r="V8" i="190"/>
  <c r="P8" i="190"/>
  <c r="N8" i="190"/>
  <c r="K8" i="190"/>
  <c r="L8" i="190" s="1"/>
  <c r="J8" i="190"/>
  <c r="F8" i="190"/>
  <c r="H8" i="190" s="1"/>
  <c r="W7" i="190"/>
  <c r="V7" i="190"/>
  <c r="P7" i="190"/>
  <c r="O7" i="190"/>
  <c r="N7" i="190"/>
  <c r="K7" i="190"/>
  <c r="J7" i="190"/>
  <c r="H7" i="190"/>
  <c r="F7" i="190"/>
  <c r="W6" i="190"/>
  <c r="V6" i="190"/>
  <c r="N6" i="190"/>
  <c r="O6" i="190" s="1"/>
  <c r="Q6" i="190" s="1"/>
  <c r="L6" i="190"/>
  <c r="R6" i="190" s="1"/>
  <c r="K6" i="190"/>
  <c r="J6" i="190"/>
  <c r="P6" i="190" s="1"/>
  <c r="H6" i="190"/>
  <c r="F6" i="190"/>
  <c r="W5" i="190"/>
  <c r="N5" i="190" s="1"/>
  <c r="K5" i="190"/>
  <c r="L5" i="190" s="1"/>
  <c r="J5" i="190"/>
  <c r="F5" i="190"/>
  <c r="H5" i="190" s="1"/>
  <c r="AD2" i="190"/>
  <c r="Z2" i="190"/>
  <c r="I2" i="190"/>
  <c r="E1" i="190"/>
  <c r="G3" i="189" s="1"/>
  <c r="J22" i="189"/>
  <c r="H22" i="189"/>
  <c r="G22" i="189"/>
  <c r="D22" i="189"/>
  <c r="H21" i="189"/>
  <c r="E21" i="189"/>
  <c r="D21" i="189"/>
  <c r="J20" i="189"/>
  <c r="D20" i="189"/>
  <c r="J19" i="189"/>
  <c r="G19" i="189"/>
  <c r="F19" i="189"/>
  <c r="E19" i="189"/>
  <c r="D19" i="189"/>
  <c r="I18" i="189"/>
  <c r="H18" i="189"/>
  <c r="F18" i="189"/>
  <c r="E18" i="189"/>
  <c r="D18" i="189"/>
  <c r="J16" i="189"/>
  <c r="I16" i="189"/>
  <c r="H16" i="189"/>
  <c r="G16" i="189"/>
  <c r="F16" i="189"/>
  <c r="E16" i="189"/>
  <c r="D16" i="189"/>
  <c r="J13" i="189"/>
  <c r="O8" i="189"/>
  <c r="N8" i="189"/>
  <c r="M8" i="189"/>
  <c r="L8" i="189"/>
  <c r="O7" i="189"/>
  <c r="N7" i="189"/>
  <c r="M7" i="189"/>
  <c r="L7" i="189"/>
  <c r="AE79" i="188"/>
  <c r="AD79" i="188"/>
  <c r="AA79" i="188"/>
  <c r="J18" i="187" s="1"/>
  <c r="Z79" i="188"/>
  <c r="M79" i="188"/>
  <c r="K79" i="188"/>
  <c r="W78" i="188"/>
  <c r="H78" i="188"/>
  <c r="W77" i="188"/>
  <c r="H77" i="188"/>
  <c r="W76" i="188"/>
  <c r="H76" i="188"/>
  <c r="W75" i="188"/>
  <c r="H75" i="188"/>
  <c r="W74" i="188"/>
  <c r="W73" i="188"/>
  <c r="W72" i="188"/>
  <c r="W71" i="188"/>
  <c r="W70" i="188"/>
  <c r="N70" i="188" s="1"/>
  <c r="AG70" i="188" s="1"/>
  <c r="P70" i="188"/>
  <c r="K70" i="188"/>
  <c r="J70" i="188"/>
  <c r="H70" i="188"/>
  <c r="F70" i="188"/>
  <c r="AE69" i="188"/>
  <c r="I21" i="187" s="1"/>
  <c r="AD69" i="188"/>
  <c r="I20" i="187" s="1"/>
  <c r="AA69" i="188"/>
  <c r="Z69" i="188"/>
  <c r="I18" i="187" s="1"/>
  <c r="M69" i="188"/>
  <c r="K69" i="188"/>
  <c r="W68" i="188"/>
  <c r="H68" i="188"/>
  <c r="W67" i="188"/>
  <c r="W66" i="188"/>
  <c r="W65" i="188"/>
  <c r="W64" i="188"/>
  <c r="W63" i="188"/>
  <c r="AG62" i="188"/>
  <c r="AF62" i="188"/>
  <c r="W62" i="188"/>
  <c r="AG61" i="188"/>
  <c r="W61" i="188"/>
  <c r="N61" i="188" s="1"/>
  <c r="O61" i="188" s="1"/>
  <c r="V61" i="188"/>
  <c r="R61" i="188"/>
  <c r="P61" i="188"/>
  <c r="L61" i="188"/>
  <c r="Q61" i="188" s="1"/>
  <c r="K61" i="188"/>
  <c r="J61" i="188"/>
  <c r="F61" i="188"/>
  <c r="H61" i="188" s="1"/>
  <c r="AG60" i="188"/>
  <c r="W60" i="188"/>
  <c r="V60" i="188"/>
  <c r="P60" i="188"/>
  <c r="N60" i="188"/>
  <c r="L60" i="188"/>
  <c r="K60" i="188"/>
  <c r="J60" i="188"/>
  <c r="F60" i="188"/>
  <c r="H60" i="188" s="1"/>
  <c r="AF59" i="188"/>
  <c r="W59" i="188"/>
  <c r="P59" i="188"/>
  <c r="O59" i="188"/>
  <c r="N59" i="188"/>
  <c r="N69" i="188" s="1"/>
  <c r="K59" i="188"/>
  <c r="J59" i="188"/>
  <c r="H59" i="188"/>
  <c r="F59" i="188"/>
  <c r="AE58" i="188"/>
  <c r="H21" i="187" s="1"/>
  <c r="AD58" i="188"/>
  <c r="H20" i="187" s="1"/>
  <c r="AA58" i="188"/>
  <c r="H19" i="187" s="1"/>
  <c r="Z58" i="188"/>
  <c r="M58" i="188"/>
  <c r="W57" i="188"/>
  <c r="W56" i="188"/>
  <c r="W55" i="188"/>
  <c r="W54" i="188"/>
  <c r="AG53" i="188"/>
  <c r="AF53" i="188"/>
  <c r="W53" i="188"/>
  <c r="W52" i="188"/>
  <c r="V52" i="188"/>
  <c r="P52" i="188"/>
  <c r="O52" i="188"/>
  <c r="N52" i="188"/>
  <c r="L52" i="188"/>
  <c r="K52" i="188"/>
  <c r="J52" i="188"/>
  <c r="F52" i="188"/>
  <c r="H52" i="188" s="1"/>
  <c r="W51" i="188"/>
  <c r="V51" i="188"/>
  <c r="P51" i="188"/>
  <c r="N51" i="188"/>
  <c r="N58" i="188" s="1"/>
  <c r="K51" i="188"/>
  <c r="L51" i="188" s="1"/>
  <c r="J51" i="188"/>
  <c r="F51" i="188"/>
  <c r="H51" i="188" s="1"/>
  <c r="AG50" i="188"/>
  <c r="W50" i="188"/>
  <c r="N50" i="188" s="1"/>
  <c r="AF50" i="188" s="1"/>
  <c r="V50" i="188"/>
  <c r="K50" i="188"/>
  <c r="J50" i="188"/>
  <c r="H50" i="188"/>
  <c r="F50" i="188"/>
  <c r="W49" i="188"/>
  <c r="N49" i="188" s="1"/>
  <c r="P49" i="188"/>
  <c r="L49" i="188"/>
  <c r="K49" i="188"/>
  <c r="K58" i="188" s="1"/>
  <c r="J49" i="188"/>
  <c r="H49" i="188"/>
  <c r="F49" i="188"/>
  <c r="AE48" i="188"/>
  <c r="G21" i="187" s="1"/>
  <c r="AD48" i="188"/>
  <c r="G20" i="187" s="1"/>
  <c r="AA48" i="188"/>
  <c r="Z48" i="188"/>
  <c r="W48" i="188"/>
  <c r="M48" i="188"/>
  <c r="W47" i="188"/>
  <c r="H47" i="188"/>
  <c r="W46" i="188"/>
  <c r="W45" i="188"/>
  <c r="W44" i="188"/>
  <c r="W43" i="188"/>
  <c r="W42" i="188"/>
  <c r="AG41" i="188"/>
  <c r="AF41" i="188"/>
  <c r="W41" i="188"/>
  <c r="W40" i="188"/>
  <c r="V40" i="188"/>
  <c r="P40" i="188"/>
  <c r="N40" i="188"/>
  <c r="K40" i="188"/>
  <c r="L40" i="188" s="1"/>
  <c r="J40" i="188"/>
  <c r="F40" i="188"/>
  <c r="H40" i="188" s="1"/>
  <c r="W39" i="188"/>
  <c r="V39" i="188"/>
  <c r="O39" i="188"/>
  <c r="N39" i="188"/>
  <c r="K39" i="188"/>
  <c r="L39" i="188" s="1"/>
  <c r="L48" i="188" s="1"/>
  <c r="G13" i="187" s="1"/>
  <c r="J39" i="188"/>
  <c r="H39" i="188"/>
  <c r="F39" i="188"/>
  <c r="W38" i="188"/>
  <c r="N38" i="188" s="1"/>
  <c r="AF38" i="188" s="1"/>
  <c r="P38" i="188"/>
  <c r="L38" i="188"/>
  <c r="K38" i="188"/>
  <c r="J38" i="188"/>
  <c r="F38" i="188"/>
  <c r="H38" i="188" s="1"/>
  <c r="AE37" i="188"/>
  <c r="AD37" i="188"/>
  <c r="AA37" i="188"/>
  <c r="Z37" i="188"/>
  <c r="F18" i="187" s="1"/>
  <c r="M37" i="188"/>
  <c r="K37" i="188"/>
  <c r="W36" i="188"/>
  <c r="H36" i="188"/>
  <c r="W35" i="188"/>
  <c r="W34" i="188"/>
  <c r="W33" i="188"/>
  <c r="W32" i="188"/>
  <c r="AG31" i="188"/>
  <c r="AF31" i="188"/>
  <c r="W31" i="188"/>
  <c r="AG30" i="188"/>
  <c r="AF30" i="188"/>
  <c r="W30" i="188"/>
  <c r="N30" i="188" s="1"/>
  <c r="V30" i="188"/>
  <c r="Q30" i="188"/>
  <c r="P30" i="188"/>
  <c r="O30" i="188"/>
  <c r="L30" i="188"/>
  <c r="K30" i="188"/>
  <c r="J30" i="188"/>
  <c r="F30" i="188"/>
  <c r="H30" i="188" s="1"/>
  <c r="W29" i="188"/>
  <c r="N29" i="188" s="1"/>
  <c r="V29" i="188"/>
  <c r="O29" i="188"/>
  <c r="K29" i="188"/>
  <c r="L29" i="188" s="1"/>
  <c r="J29" i="188"/>
  <c r="P29" i="188" s="1"/>
  <c r="H29" i="188"/>
  <c r="F29" i="188"/>
  <c r="AF28" i="188"/>
  <c r="W28" i="188"/>
  <c r="N28" i="188" s="1"/>
  <c r="AG28" i="188" s="1"/>
  <c r="V28" i="188"/>
  <c r="P28" i="188"/>
  <c r="O28" i="188"/>
  <c r="K28" i="188"/>
  <c r="J28" i="188"/>
  <c r="L28" i="188" s="1"/>
  <c r="H28" i="188"/>
  <c r="F28" i="188"/>
  <c r="W27" i="188"/>
  <c r="N27" i="188" s="1"/>
  <c r="P27" i="188"/>
  <c r="K27" i="188"/>
  <c r="L27" i="188" s="1"/>
  <c r="L37" i="188" s="1"/>
  <c r="F13" i="187" s="1"/>
  <c r="J27" i="188"/>
  <c r="J37" i="188" s="1"/>
  <c r="H27" i="188"/>
  <c r="F27" i="188"/>
  <c r="AE26" i="188"/>
  <c r="AD26" i="188"/>
  <c r="E20" i="187" s="1"/>
  <c r="AA26" i="188"/>
  <c r="E19" i="187" s="1"/>
  <c r="Z26" i="188"/>
  <c r="M26" i="188"/>
  <c r="J26" i="188"/>
  <c r="P26" i="188" s="1"/>
  <c r="W25" i="188"/>
  <c r="H25" i="188"/>
  <c r="W24" i="188"/>
  <c r="H24" i="188"/>
  <c r="W23" i="188"/>
  <c r="W21" i="188"/>
  <c r="W20" i="188"/>
  <c r="AG19" i="188"/>
  <c r="W19" i="188"/>
  <c r="N19" i="188" s="1"/>
  <c r="V19" i="188"/>
  <c r="P19" i="188"/>
  <c r="K19" i="188"/>
  <c r="L19" i="188" s="1"/>
  <c r="J19" i="188"/>
  <c r="H19" i="188"/>
  <c r="F19" i="188"/>
  <c r="W18" i="188"/>
  <c r="N18" i="188" s="1"/>
  <c r="V18" i="188"/>
  <c r="P18" i="188"/>
  <c r="L18" i="188"/>
  <c r="K18" i="188"/>
  <c r="J18" i="188"/>
  <c r="F18" i="188"/>
  <c r="H18" i="188" s="1"/>
  <c r="AF17" i="188"/>
  <c r="W17" i="188"/>
  <c r="N17" i="188" s="1"/>
  <c r="AG17" i="188" s="1"/>
  <c r="V17" i="188"/>
  <c r="P17" i="188"/>
  <c r="O17" i="188"/>
  <c r="K17" i="188"/>
  <c r="L17" i="188" s="1"/>
  <c r="J17" i="188"/>
  <c r="F17" i="188"/>
  <c r="H17" i="188" s="1"/>
  <c r="W16" i="188"/>
  <c r="N16" i="188"/>
  <c r="K16" i="188"/>
  <c r="J16" i="188"/>
  <c r="P16" i="188" s="1"/>
  <c r="H16" i="188"/>
  <c r="F16" i="188"/>
  <c r="AE15" i="188"/>
  <c r="AD15" i="188"/>
  <c r="AA15" i="188"/>
  <c r="Z15" i="188"/>
  <c r="M15" i="188"/>
  <c r="W14" i="188"/>
  <c r="W13" i="188"/>
  <c r="W12" i="188"/>
  <c r="AG11" i="188"/>
  <c r="AF11" i="188"/>
  <c r="W11" i="188"/>
  <c r="AG10" i="188"/>
  <c r="AF10" i="188"/>
  <c r="W10" i="188"/>
  <c r="W9" i="188"/>
  <c r="V9" i="188"/>
  <c r="O9" i="188"/>
  <c r="N9" i="188"/>
  <c r="K9" i="188"/>
  <c r="J9" i="188"/>
  <c r="P9" i="188" s="1"/>
  <c r="H9" i="188"/>
  <c r="F9" i="188"/>
  <c r="W8" i="188"/>
  <c r="V8" i="188"/>
  <c r="P8" i="188"/>
  <c r="N8" i="188"/>
  <c r="L8" i="188"/>
  <c r="K8" i="188"/>
  <c r="J8" i="188"/>
  <c r="H8" i="188"/>
  <c r="F8" i="188"/>
  <c r="W7" i="188"/>
  <c r="V7" i="188"/>
  <c r="P7" i="188"/>
  <c r="O7" i="188"/>
  <c r="N7" i="188"/>
  <c r="L7" i="188"/>
  <c r="K7" i="188"/>
  <c r="J7" i="188"/>
  <c r="F7" i="188"/>
  <c r="H7" i="188" s="1"/>
  <c r="W6" i="188"/>
  <c r="V6" i="188"/>
  <c r="P6" i="188"/>
  <c r="N6" i="188"/>
  <c r="L6" i="188"/>
  <c r="K6" i="188"/>
  <c r="J6" i="188"/>
  <c r="H6" i="188"/>
  <c r="F6" i="188"/>
  <c r="W5" i="188"/>
  <c r="N5" i="188" s="1"/>
  <c r="K5" i="188"/>
  <c r="J5" i="188"/>
  <c r="F5" i="188"/>
  <c r="H5" i="188" s="1"/>
  <c r="I2" i="188"/>
  <c r="E1" i="188"/>
  <c r="G3" i="187" s="1"/>
  <c r="J22" i="187"/>
  <c r="I22" i="187"/>
  <c r="F22" i="187"/>
  <c r="E22" i="187"/>
  <c r="D22" i="187"/>
  <c r="J21" i="187"/>
  <c r="F21" i="187"/>
  <c r="D21" i="187"/>
  <c r="J20" i="187"/>
  <c r="F20" i="187"/>
  <c r="J19" i="187"/>
  <c r="G19" i="187"/>
  <c r="F19" i="187"/>
  <c r="D19" i="187"/>
  <c r="H18" i="187"/>
  <c r="G18" i="187"/>
  <c r="E18" i="187"/>
  <c r="D18" i="187"/>
  <c r="J16" i="187"/>
  <c r="I16" i="187"/>
  <c r="H16" i="187"/>
  <c r="G16" i="187"/>
  <c r="F16" i="187"/>
  <c r="E16" i="187"/>
  <c r="D16" i="187"/>
  <c r="O8" i="187"/>
  <c r="N8" i="187"/>
  <c r="M8" i="187"/>
  <c r="L8" i="187"/>
  <c r="O7" i="187"/>
  <c r="N7" i="187"/>
  <c r="M7" i="187"/>
  <c r="L7" i="187"/>
  <c r="AE79" i="186"/>
  <c r="J21" i="185" s="1"/>
  <c r="AD79" i="186"/>
  <c r="AA79" i="186"/>
  <c r="Z79" i="186"/>
  <c r="M79" i="186"/>
  <c r="W78" i="186"/>
  <c r="H78" i="186"/>
  <c r="W77" i="186"/>
  <c r="H77" i="186"/>
  <c r="W76" i="186"/>
  <c r="H76" i="186"/>
  <c r="W75" i="186"/>
  <c r="H75" i="186"/>
  <c r="W74" i="186"/>
  <c r="W73" i="186"/>
  <c r="W72" i="186"/>
  <c r="W71" i="186"/>
  <c r="W70" i="186"/>
  <c r="N70" i="186" s="1"/>
  <c r="O70" i="186"/>
  <c r="K70" i="186"/>
  <c r="K79" i="186" s="1"/>
  <c r="J70" i="186"/>
  <c r="H70" i="186"/>
  <c r="F70" i="186"/>
  <c r="AE69" i="186"/>
  <c r="I21" i="185" s="1"/>
  <c r="AD69" i="186"/>
  <c r="AA69" i="186"/>
  <c r="Z69" i="186"/>
  <c r="M69" i="186"/>
  <c r="J69" i="186"/>
  <c r="P69" i="186" s="1"/>
  <c r="W68" i="186"/>
  <c r="H68" i="186"/>
  <c r="W67" i="186"/>
  <c r="W66" i="186"/>
  <c r="W65" i="186"/>
  <c r="W64" i="186"/>
  <c r="W63" i="186"/>
  <c r="AG62" i="186"/>
  <c r="AF62" i="186"/>
  <c r="W62" i="186"/>
  <c r="W61" i="186"/>
  <c r="V61" i="186"/>
  <c r="N61" i="186"/>
  <c r="L61" i="186"/>
  <c r="K61" i="186"/>
  <c r="J61" i="186"/>
  <c r="P61" i="186" s="1"/>
  <c r="F61" i="186"/>
  <c r="H61" i="186" s="1"/>
  <c r="W60" i="186"/>
  <c r="N60" i="186" s="1"/>
  <c r="V60" i="186"/>
  <c r="P60" i="186"/>
  <c r="K60" i="186"/>
  <c r="J60" i="186"/>
  <c r="L60" i="186" s="1"/>
  <c r="L69" i="186" s="1"/>
  <c r="I13" i="185" s="1"/>
  <c r="J6" i="185" s="1"/>
  <c r="H60" i="186"/>
  <c r="F60" i="186"/>
  <c r="W59" i="186"/>
  <c r="P59" i="186"/>
  <c r="N59" i="186"/>
  <c r="K59" i="186"/>
  <c r="K69" i="186" s="1"/>
  <c r="J59" i="186"/>
  <c r="L59" i="186" s="1"/>
  <c r="F59" i="186"/>
  <c r="H59" i="186" s="1"/>
  <c r="AE58" i="186"/>
  <c r="H21" i="185" s="1"/>
  <c r="AD58" i="186"/>
  <c r="AA58" i="186"/>
  <c r="H19" i="185" s="1"/>
  <c r="Z58" i="186"/>
  <c r="H18" i="185" s="1"/>
  <c r="M58" i="186"/>
  <c r="K58" i="186"/>
  <c r="W57" i="186"/>
  <c r="W56" i="186"/>
  <c r="W55" i="186"/>
  <c r="W54" i="186"/>
  <c r="AG53" i="186"/>
  <c r="AF53" i="186"/>
  <c r="W53" i="186"/>
  <c r="W52" i="186"/>
  <c r="V52" i="186"/>
  <c r="P52" i="186"/>
  <c r="N52" i="186"/>
  <c r="L52" i="186"/>
  <c r="K52" i="186"/>
  <c r="J52" i="186"/>
  <c r="F52" i="186"/>
  <c r="H52" i="186" s="1"/>
  <c r="W51" i="186"/>
  <c r="V51" i="186"/>
  <c r="P51" i="186"/>
  <c r="N51" i="186"/>
  <c r="L51" i="186"/>
  <c r="K51" i="186"/>
  <c r="J51" i="186"/>
  <c r="F51" i="186"/>
  <c r="H51" i="186" s="1"/>
  <c r="AG50" i="186"/>
  <c r="W50" i="186"/>
  <c r="N50" i="186" s="1"/>
  <c r="AF50" i="186" s="1"/>
  <c r="V50" i="186"/>
  <c r="K50" i="186"/>
  <c r="J50" i="186"/>
  <c r="H50" i="186"/>
  <c r="F50" i="186"/>
  <c r="W49" i="186"/>
  <c r="N49" i="186"/>
  <c r="K49" i="186"/>
  <c r="J49" i="186"/>
  <c r="F49" i="186"/>
  <c r="H49" i="186" s="1"/>
  <c r="AE48" i="186"/>
  <c r="AD48" i="186"/>
  <c r="AA48" i="186"/>
  <c r="Z48" i="186"/>
  <c r="W48" i="186"/>
  <c r="M48" i="186"/>
  <c r="W47" i="186"/>
  <c r="H47" i="186"/>
  <c r="W46" i="186"/>
  <c r="W45" i="186"/>
  <c r="W44" i="186"/>
  <c r="W43" i="186"/>
  <c r="W42" i="186"/>
  <c r="AG41" i="186"/>
  <c r="AF41" i="186"/>
  <c r="W41" i="186"/>
  <c r="W40" i="186"/>
  <c r="V40" i="186"/>
  <c r="O40" i="186"/>
  <c r="N40" i="186"/>
  <c r="K40" i="186"/>
  <c r="J40" i="186"/>
  <c r="P40" i="186" s="1"/>
  <c r="H40" i="186"/>
  <c r="F40" i="186"/>
  <c r="W39" i="186"/>
  <c r="N39" i="186" s="1"/>
  <c r="V39" i="186"/>
  <c r="P39" i="186"/>
  <c r="L39" i="186"/>
  <c r="K39" i="186"/>
  <c r="J39" i="186"/>
  <c r="H39" i="186"/>
  <c r="F39" i="186"/>
  <c r="AG38" i="186"/>
  <c r="W38" i="186"/>
  <c r="N38" i="186" s="1"/>
  <c r="K38" i="186"/>
  <c r="J38" i="186"/>
  <c r="H38" i="186"/>
  <c r="F38" i="186"/>
  <c r="AE37" i="186"/>
  <c r="F21" i="185" s="1"/>
  <c r="AD37" i="186"/>
  <c r="AA37" i="186"/>
  <c r="F19" i="185" s="1"/>
  <c r="Z37" i="186"/>
  <c r="F18" i="185" s="1"/>
  <c r="M37" i="186"/>
  <c r="J37" i="186"/>
  <c r="W36" i="186"/>
  <c r="H36" i="186"/>
  <c r="W35" i="186"/>
  <c r="W34" i="186"/>
  <c r="W33" i="186"/>
  <c r="W32" i="186"/>
  <c r="AG31" i="186"/>
  <c r="AF31" i="186"/>
  <c r="W31" i="186"/>
  <c r="W30" i="186"/>
  <c r="N30" i="186" s="1"/>
  <c r="V30" i="186"/>
  <c r="P30" i="186"/>
  <c r="K30" i="186"/>
  <c r="L30" i="186" s="1"/>
  <c r="J30" i="186"/>
  <c r="H30" i="186"/>
  <c r="F30" i="186"/>
  <c r="W29" i="186"/>
  <c r="N29" i="186" s="1"/>
  <c r="V29" i="186"/>
  <c r="O29" i="186"/>
  <c r="K29" i="186"/>
  <c r="L29" i="186" s="1"/>
  <c r="J29" i="186"/>
  <c r="P29" i="186" s="1"/>
  <c r="H29" i="186"/>
  <c r="F29" i="186"/>
  <c r="W28" i="186"/>
  <c r="V28" i="186"/>
  <c r="P28" i="186"/>
  <c r="N28" i="186"/>
  <c r="K28" i="186"/>
  <c r="L28" i="186" s="1"/>
  <c r="J28" i="186"/>
  <c r="F28" i="186"/>
  <c r="H28" i="186" s="1"/>
  <c r="W27" i="186"/>
  <c r="P27" i="186"/>
  <c r="N27" i="186"/>
  <c r="K27" i="186"/>
  <c r="K37" i="186" s="1"/>
  <c r="J27" i="186"/>
  <c r="H27" i="186"/>
  <c r="F27" i="186"/>
  <c r="AE26" i="186"/>
  <c r="AD26" i="186"/>
  <c r="E20" i="185" s="1"/>
  <c r="AA26" i="186"/>
  <c r="AA2" i="186" s="1"/>
  <c r="Z26" i="186"/>
  <c r="M26" i="186"/>
  <c r="W25" i="186"/>
  <c r="H25" i="186"/>
  <c r="W24" i="186"/>
  <c r="H24" i="186"/>
  <c r="W23" i="186"/>
  <c r="W21" i="186"/>
  <c r="N21" i="186" s="1"/>
  <c r="V21" i="186"/>
  <c r="P21" i="186"/>
  <c r="O21" i="186"/>
  <c r="K21" i="186"/>
  <c r="J21" i="186"/>
  <c r="L21" i="186" s="1"/>
  <c r="F21" i="186"/>
  <c r="H21" i="186" s="1"/>
  <c r="W20" i="186"/>
  <c r="N20" i="186" s="1"/>
  <c r="V20" i="186"/>
  <c r="O20" i="186"/>
  <c r="K20" i="186"/>
  <c r="L20" i="186" s="1"/>
  <c r="J20" i="186"/>
  <c r="P20" i="186" s="1"/>
  <c r="H20" i="186"/>
  <c r="F20" i="186"/>
  <c r="W19" i="186"/>
  <c r="V19" i="186"/>
  <c r="O19" i="186"/>
  <c r="N19" i="186"/>
  <c r="K19" i="186"/>
  <c r="AG19" i="186" s="1"/>
  <c r="J19" i="186"/>
  <c r="P19" i="186" s="1"/>
  <c r="H19" i="186"/>
  <c r="F19" i="186"/>
  <c r="W18" i="186"/>
  <c r="N18" i="186" s="1"/>
  <c r="V18" i="186"/>
  <c r="P18" i="186"/>
  <c r="K18" i="186"/>
  <c r="L18" i="186" s="1"/>
  <c r="J18" i="186"/>
  <c r="H18" i="186"/>
  <c r="F18" i="186"/>
  <c r="W17" i="186"/>
  <c r="V17" i="186"/>
  <c r="P17" i="186"/>
  <c r="N17" i="186"/>
  <c r="K17" i="186"/>
  <c r="L17" i="186" s="1"/>
  <c r="J17" i="186"/>
  <c r="H17" i="186"/>
  <c r="F17" i="186"/>
  <c r="W16" i="186"/>
  <c r="N16" i="186" s="1"/>
  <c r="P16" i="186"/>
  <c r="K16" i="186"/>
  <c r="J16" i="186"/>
  <c r="J26" i="186" s="1"/>
  <c r="P26" i="186" s="1"/>
  <c r="H16" i="186"/>
  <c r="F16" i="186"/>
  <c r="AE15" i="186"/>
  <c r="AE2" i="186" s="1"/>
  <c r="AD15" i="186"/>
  <c r="D20" i="185" s="1"/>
  <c r="AA15" i="186"/>
  <c r="Z15" i="186"/>
  <c r="M15" i="186"/>
  <c r="J15" i="186"/>
  <c r="W14" i="186"/>
  <c r="W13" i="186"/>
  <c r="W12" i="186"/>
  <c r="AG11" i="186"/>
  <c r="AF11" i="186"/>
  <c r="W11" i="186"/>
  <c r="AG10" i="186"/>
  <c r="AF10" i="186"/>
  <c r="W10" i="186"/>
  <c r="AG9" i="186"/>
  <c r="AF9" i="186"/>
  <c r="W9" i="186"/>
  <c r="AG8" i="186"/>
  <c r="W8" i="186"/>
  <c r="V8" i="186"/>
  <c r="N8" i="186"/>
  <c r="K8" i="186"/>
  <c r="L8" i="186" s="1"/>
  <c r="J8" i="186"/>
  <c r="P8" i="186" s="1"/>
  <c r="H8" i="186"/>
  <c r="F8" i="186"/>
  <c r="W7" i="186"/>
  <c r="N7" i="186" s="1"/>
  <c r="V7" i="186"/>
  <c r="P7" i="186"/>
  <c r="L7" i="186"/>
  <c r="K7" i="186"/>
  <c r="J7" i="186"/>
  <c r="H7" i="186"/>
  <c r="F7" i="186"/>
  <c r="W6" i="186"/>
  <c r="V6" i="186"/>
  <c r="P6" i="186"/>
  <c r="N6" i="186"/>
  <c r="O6" i="186" s="1"/>
  <c r="L6" i="186"/>
  <c r="K6" i="186"/>
  <c r="J6" i="186"/>
  <c r="F6" i="186"/>
  <c r="H6" i="186" s="1"/>
  <c r="AG5" i="186"/>
  <c r="AF5" i="186"/>
  <c r="W5" i="186"/>
  <c r="N5" i="186" s="1"/>
  <c r="O5" i="186" s="1"/>
  <c r="P5" i="186"/>
  <c r="L5" i="186"/>
  <c r="K5" i="186"/>
  <c r="K15" i="186" s="1"/>
  <c r="J5" i="186"/>
  <c r="F5" i="186"/>
  <c r="H5" i="186" s="1"/>
  <c r="Z2" i="186"/>
  <c r="I2" i="186"/>
  <c r="E1" i="186"/>
  <c r="J22" i="185"/>
  <c r="I22" i="185"/>
  <c r="H22" i="185"/>
  <c r="G22" i="185"/>
  <c r="F22" i="185"/>
  <c r="E22" i="185"/>
  <c r="G21" i="185"/>
  <c r="E21" i="185"/>
  <c r="D21" i="185"/>
  <c r="J20" i="185"/>
  <c r="I20" i="185"/>
  <c r="H20" i="185"/>
  <c r="G20" i="185"/>
  <c r="J19" i="185"/>
  <c r="I19" i="185"/>
  <c r="G19" i="185"/>
  <c r="D19" i="185"/>
  <c r="J18" i="185"/>
  <c r="I18" i="185"/>
  <c r="G18" i="185"/>
  <c r="E18" i="185"/>
  <c r="D18" i="185"/>
  <c r="J16" i="185"/>
  <c r="I16" i="185"/>
  <c r="H16" i="185"/>
  <c r="G16" i="185"/>
  <c r="F16" i="185"/>
  <c r="E16" i="185"/>
  <c r="D16" i="185"/>
  <c r="O8" i="185"/>
  <c r="N8" i="185"/>
  <c r="M8" i="185"/>
  <c r="L8" i="185"/>
  <c r="O7" i="185"/>
  <c r="N7" i="185"/>
  <c r="M7" i="185"/>
  <c r="L7" i="185"/>
  <c r="G3" i="185"/>
  <c r="AE79" i="184"/>
  <c r="J21" i="183" s="1"/>
  <c r="AD79" i="184"/>
  <c r="AA79" i="184"/>
  <c r="Z79" i="184"/>
  <c r="M79" i="184"/>
  <c r="P79" i="184" s="1"/>
  <c r="J79" i="184"/>
  <c r="W78" i="184"/>
  <c r="H78" i="184"/>
  <c r="W77" i="184"/>
  <c r="H77" i="184"/>
  <c r="W76" i="184"/>
  <c r="H76" i="184"/>
  <c r="W75" i="184"/>
  <c r="H75" i="184"/>
  <c r="W74" i="184"/>
  <c r="W73" i="184"/>
  <c r="W72" i="184"/>
  <c r="W71" i="184"/>
  <c r="W70" i="184"/>
  <c r="P70" i="184"/>
  <c r="N70" i="184"/>
  <c r="K70" i="184"/>
  <c r="K79" i="184" s="1"/>
  <c r="J70" i="184"/>
  <c r="F70" i="184"/>
  <c r="H70" i="184" s="1"/>
  <c r="AE69" i="184"/>
  <c r="AD69" i="184"/>
  <c r="I20" i="183" s="1"/>
  <c r="AA69" i="184"/>
  <c r="Z69" i="184"/>
  <c r="M69" i="184"/>
  <c r="W68" i="184"/>
  <c r="H68" i="184"/>
  <c r="W67" i="184"/>
  <c r="W66" i="184"/>
  <c r="W65" i="184"/>
  <c r="W64" i="184"/>
  <c r="W63" i="184"/>
  <c r="W62" i="184"/>
  <c r="V62" i="184"/>
  <c r="N62" i="184"/>
  <c r="K62" i="184"/>
  <c r="J62" i="184"/>
  <c r="P62" i="184" s="1"/>
  <c r="F62" i="184"/>
  <c r="H62" i="184" s="1"/>
  <c r="W61" i="184"/>
  <c r="V61" i="184"/>
  <c r="P61" i="184"/>
  <c r="N61" i="184"/>
  <c r="L61" i="184"/>
  <c r="K61" i="184"/>
  <c r="J61" i="184"/>
  <c r="F61" i="184"/>
  <c r="H61" i="184" s="1"/>
  <c r="AG60" i="184"/>
  <c r="W60" i="184"/>
  <c r="N60" i="184" s="1"/>
  <c r="AF60" i="184" s="1"/>
  <c r="V60" i="184"/>
  <c r="K60" i="184"/>
  <c r="J60" i="184"/>
  <c r="H60" i="184"/>
  <c r="F60" i="184"/>
  <c r="W59" i="184"/>
  <c r="N59" i="184" s="1"/>
  <c r="K59" i="184"/>
  <c r="J59" i="184"/>
  <c r="H59" i="184"/>
  <c r="F59" i="184"/>
  <c r="AE58" i="184"/>
  <c r="H21" i="183" s="1"/>
  <c r="AD58" i="184"/>
  <c r="AA58" i="184"/>
  <c r="Z58" i="184"/>
  <c r="M58" i="184"/>
  <c r="W57" i="184"/>
  <c r="W56" i="184"/>
  <c r="W55" i="184"/>
  <c r="W54" i="184"/>
  <c r="AG53" i="184"/>
  <c r="AF53" i="184"/>
  <c r="W53" i="184"/>
  <c r="AG52" i="184"/>
  <c r="AF52" i="184"/>
  <c r="W52" i="184"/>
  <c r="V52" i="184"/>
  <c r="N52" i="184"/>
  <c r="O52" i="184" s="1"/>
  <c r="K52" i="184"/>
  <c r="J52" i="184"/>
  <c r="P52" i="184" s="1"/>
  <c r="H52" i="184"/>
  <c r="F52" i="184"/>
  <c r="W51" i="184"/>
  <c r="N51" i="184" s="1"/>
  <c r="O51" i="184" s="1"/>
  <c r="V51" i="184"/>
  <c r="K51" i="184"/>
  <c r="J51" i="184"/>
  <c r="P51" i="184" s="1"/>
  <c r="H51" i="184"/>
  <c r="F51" i="184"/>
  <c r="W50" i="184"/>
  <c r="V50" i="184"/>
  <c r="N50" i="184"/>
  <c r="K50" i="184"/>
  <c r="J50" i="184"/>
  <c r="H50" i="184"/>
  <c r="F50" i="184"/>
  <c r="W49" i="184"/>
  <c r="N49" i="184" s="1"/>
  <c r="P49" i="184"/>
  <c r="L49" i="184"/>
  <c r="K49" i="184"/>
  <c r="J49" i="184"/>
  <c r="F49" i="184"/>
  <c r="H49" i="184" s="1"/>
  <c r="AE48" i="184"/>
  <c r="AD48" i="184"/>
  <c r="G20" i="183" s="1"/>
  <c r="AA48" i="184"/>
  <c r="G19" i="183" s="1"/>
  <c r="Z48" i="184"/>
  <c r="G18" i="183" s="1"/>
  <c r="W48" i="184"/>
  <c r="M48" i="184"/>
  <c r="W47" i="184"/>
  <c r="H47" i="184"/>
  <c r="W46" i="184"/>
  <c r="W45" i="184"/>
  <c r="W44" i="184"/>
  <c r="W43" i="184"/>
  <c r="W42" i="184"/>
  <c r="AG41" i="184"/>
  <c r="AF41" i="184"/>
  <c r="W41" i="184"/>
  <c r="W40" i="184"/>
  <c r="N40" i="184" s="1"/>
  <c r="V40" i="184"/>
  <c r="P40" i="184"/>
  <c r="L40" i="184"/>
  <c r="K40" i="184"/>
  <c r="J40" i="184"/>
  <c r="H40" i="184"/>
  <c r="F40" i="184"/>
  <c r="W39" i="184"/>
  <c r="V39" i="184"/>
  <c r="N39" i="184"/>
  <c r="K39" i="184"/>
  <c r="J39" i="184"/>
  <c r="P39" i="184" s="1"/>
  <c r="H39" i="184"/>
  <c r="F39" i="184"/>
  <c r="W38" i="184"/>
  <c r="O38" i="184"/>
  <c r="N38" i="184"/>
  <c r="K38" i="184"/>
  <c r="L38" i="184" s="1"/>
  <c r="J38" i="184"/>
  <c r="P38" i="184" s="1"/>
  <c r="H38" i="184"/>
  <c r="F38" i="184"/>
  <c r="AE37" i="184"/>
  <c r="AD37" i="184"/>
  <c r="AA37" i="184"/>
  <c r="Z37" i="184"/>
  <c r="M37" i="184"/>
  <c r="W36" i="184"/>
  <c r="H36" i="184"/>
  <c r="W35" i="184"/>
  <c r="W34" i="184"/>
  <c r="W33" i="184"/>
  <c r="W32" i="184"/>
  <c r="AF31" i="184"/>
  <c r="W31" i="184"/>
  <c r="N31" i="184" s="1"/>
  <c r="V31" i="184"/>
  <c r="K31" i="184"/>
  <c r="J31" i="184"/>
  <c r="P31" i="184" s="1"/>
  <c r="H31" i="184"/>
  <c r="F31" i="184"/>
  <c r="AF30" i="184"/>
  <c r="W30" i="184"/>
  <c r="V30" i="184"/>
  <c r="O30" i="184"/>
  <c r="N30" i="184"/>
  <c r="AG30" i="184" s="1"/>
  <c r="L30" i="184"/>
  <c r="K30" i="184"/>
  <c r="J30" i="184"/>
  <c r="P30" i="184" s="1"/>
  <c r="H30" i="184"/>
  <c r="F30" i="184"/>
  <c r="AF29" i="184"/>
  <c r="W29" i="184"/>
  <c r="N29" i="184" s="1"/>
  <c r="V29" i="184"/>
  <c r="P29" i="184"/>
  <c r="K29" i="184"/>
  <c r="L29" i="184" s="1"/>
  <c r="J29" i="184"/>
  <c r="F29" i="184"/>
  <c r="H29" i="184" s="1"/>
  <c r="W28" i="184"/>
  <c r="V28" i="184"/>
  <c r="P28" i="184"/>
  <c r="N28" i="184"/>
  <c r="L28" i="184"/>
  <c r="K28" i="184"/>
  <c r="J28" i="184"/>
  <c r="H28" i="184"/>
  <c r="F28" i="184"/>
  <c r="W27" i="184"/>
  <c r="N27" i="184"/>
  <c r="K27" i="184"/>
  <c r="J27" i="184"/>
  <c r="F27" i="184"/>
  <c r="H27" i="184" s="1"/>
  <c r="AE26" i="184"/>
  <c r="AD26" i="184"/>
  <c r="AA26" i="184"/>
  <c r="E19" i="183" s="1"/>
  <c r="Z26" i="184"/>
  <c r="M26" i="184"/>
  <c r="W25" i="184"/>
  <c r="H25" i="184"/>
  <c r="W24" i="184"/>
  <c r="H24" i="184"/>
  <c r="W23" i="184"/>
  <c r="W22" i="184"/>
  <c r="W21" i="184"/>
  <c r="W20" i="184"/>
  <c r="V20" i="184"/>
  <c r="P20" i="184"/>
  <c r="N20" i="184"/>
  <c r="L20" i="184"/>
  <c r="K20" i="184"/>
  <c r="J20" i="184"/>
  <c r="F20" i="184"/>
  <c r="H20" i="184" s="1"/>
  <c r="W19" i="184"/>
  <c r="N19" i="184" s="1"/>
  <c r="V19" i="184"/>
  <c r="P19" i="184"/>
  <c r="O19" i="184"/>
  <c r="L19" i="184"/>
  <c r="K19" i="184"/>
  <c r="J19" i="184"/>
  <c r="F19" i="184"/>
  <c r="H19" i="184" s="1"/>
  <c r="AG18" i="184"/>
  <c r="W18" i="184"/>
  <c r="V18" i="184"/>
  <c r="N18" i="184"/>
  <c r="AF18" i="184" s="1"/>
  <c r="L18" i="184"/>
  <c r="K18" i="184"/>
  <c r="J18" i="184"/>
  <c r="P18" i="184" s="1"/>
  <c r="F18" i="184"/>
  <c r="H18" i="184" s="1"/>
  <c r="AG17" i="184"/>
  <c r="W17" i="184"/>
  <c r="V17" i="184"/>
  <c r="P17" i="184"/>
  <c r="O17" i="184"/>
  <c r="N17" i="184"/>
  <c r="AF17" i="184" s="1"/>
  <c r="L17" i="184"/>
  <c r="K17" i="184"/>
  <c r="J17" i="184"/>
  <c r="H17" i="184"/>
  <c r="F17" i="184"/>
  <c r="AG16" i="184"/>
  <c r="W16" i="184"/>
  <c r="P16" i="184"/>
  <c r="O16" i="184"/>
  <c r="N16" i="184"/>
  <c r="AF16" i="184" s="1"/>
  <c r="K16" i="184"/>
  <c r="J16" i="184"/>
  <c r="H16" i="184"/>
  <c r="F16" i="184"/>
  <c r="AE15" i="184"/>
  <c r="AD15" i="184"/>
  <c r="AA15" i="184"/>
  <c r="Z15" i="184"/>
  <c r="D18" i="183" s="1"/>
  <c r="L6" i="183" s="1"/>
  <c r="M15" i="184"/>
  <c r="W14" i="184"/>
  <c r="W13" i="184"/>
  <c r="W12" i="184"/>
  <c r="W11" i="184"/>
  <c r="W10" i="184"/>
  <c r="W9" i="184"/>
  <c r="N9" i="184" s="1"/>
  <c r="V9" i="184"/>
  <c r="K9" i="184"/>
  <c r="J9" i="184"/>
  <c r="P9" i="184" s="1"/>
  <c r="F9" i="184"/>
  <c r="H9" i="184" s="1"/>
  <c r="W8" i="184"/>
  <c r="V8" i="184"/>
  <c r="P8" i="184"/>
  <c r="N8" i="184"/>
  <c r="L8" i="184"/>
  <c r="K8" i="184"/>
  <c r="J8" i="184"/>
  <c r="F8" i="184"/>
  <c r="H8" i="184" s="1"/>
  <c r="AG7" i="184"/>
  <c r="AF7" i="184"/>
  <c r="W7" i="184"/>
  <c r="N7" i="184" s="1"/>
  <c r="V7" i="184"/>
  <c r="P7" i="184"/>
  <c r="O7" i="184"/>
  <c r="L7" i="184"/>
  <c r="K7" i="184"/>
  <c r="J7" i="184"/>
  <c r="H7" i="184"/>
  <c r="F7" i="184"/>
  <c r="AG6" i="184"/>
  <c r="W6" i="184"/>
  <c r="V6" i="184"/>
  <c r="N6" i="184"/>
  <c r="AF6" i="184" s="1"/>
  <c r="K6" i="184"/>
  <c r="J6" i="184"/>
  <c r="H6" i="184"/>
  <c r="G1" i="184" s="1"/>
  <c r="F6" i="184"/>
  <c r="W5" i="184"/>
  <c r="N5" i="184" s="1"/>
  <c r="K5" i="184"/>
  <c r="K15" i="184" s="1"/>
  <c r="J5" i="184"/>
  <c r="H5" i="184"/>
  <c r="F5" i="184"/>
  <c r="Z2" i="184"/>
  <c r="I2" i="184"/>
  <c r="E1" i="184"/>
  <c r="G3" i="183" s="1"/>
  <c r="I22" i="183"/>
  <c r="I21" i="183"/>
  <c r="G21" i="183"/>
  <c r="F21" i="183"/>
  <c r="E21" i="183"/>
  <c r="D21" i="183"/>
  <c r="J20" i="183"/>
  <c r="H20" i="183"/>
  <c r="F20" i="183"/>
  <c r="E20" i="183"/>
  <c r="J19" i="183"/>
  <c r="I19" i="183"/>
  <c r="H19" i="183"/>
  <c r="F19" i="183"/>
  <c r="J18" i="183"/>
  <c r="I18" i="183"/>
  <c r="H18" i="183"/>
  <c r="F18" i="183"/>
  <c r="E18" i="183"/>
  <c r="J16" i="183"/>
  <c r="I16" i="183"/>
  <c r="H16" i="183"/>
  <c r="G16" i="183"/>
  <c r="F16" i="183"/>
  <c r="E16" i="183"/>
  <c r="D16" i="183"/>
  <c r="O8" i="183"/>
  <c r="N8" i="183"/>
  <c r="M8" i="183"/>
  <c r="L8" i="183"/>
  <c r="O7" i="183"/>
  <c r="N7" i="183"/>
  <c r="M7" i="183"/>
  <c r="L7" i="183"/>
  <c r="AE79" i="181"/>
  <c r="J21" i="180" s="1"/>
  <c r="AD79" i="181"/>
  <c r="J20" i="180" s="1"/>
  <c r="AA79" i="181"/>
  <c r="J18" i="180" s="1"/>
  <c r="Z79" i="181"/>
  <c r="N79" i="181"/>
  <c r="M79" i="181"/>
  <c r="P79" i="181" s="1"/>
  <c r="W78" i="181"/>
  <c r="H78" i="181"/>
  <c r="W77" i="181"/>
  <c r="H77" i="181"/>
  <c r="W76" i="181"/>
  <c r="H76" i="181"/>
  <c r="W75" i="181"/>
  <c r="H75" i="181"/>
  <c r="W74" i="181"/>
  <c r="W73" i="181"/>
  <c r="W72" i="181"/>
  <c r="W71" i="181"/>
  <c r="AG70" i="181"/>
  <c r="AF70" i="181"/>
  <c r="W70" i="181"/>
  <c r="P70" i="181"/>
  <c r="O70" i="181"/>
  <c r="N70" i="181"/>
  <c r="K70" i="181"/>
  <c r="J70" i="181"/>
  <c r="J79" i="181" s="1"/>
  <c r="F70" i="181"/>
  <c r="H70" i="181" s="1"/>
  <c r="AE69" i="181"/>
  <c r="AD69" i="181"/>
  <c r="I20" i="180" s="1"/>
  <c r="AA69" i="181"/>
  <c r="I19" i="180" s="1"/>
  <c r="Z69" i="181"/>
  <c r="I18" i="180" s="1"/>
  <c r="M69" i="181"/>
  <c r="I22" i="180" s="1"/>
  <c r="W68" i="181"/>
  <c r="H68" i="181"/>
  <c r="W67" i="181"/>
  <c r="W66" i="181"/>
  <c r="W65" i="181"/>
  <c r="W64" i="181"/>
  <c r="W63" i="181"/>
  <c r="AF62" i="181"/>
  <c r="W62" i="181"/>
  <c r="N62" i="181" s="1"/>
  <c r="V62" i="181"/>
  <c r="K62" i="181"/>
  <c r="J62" i="181"/>
  <c r="P62" i="181" s="1"/>
  <c r="H62" i="181"/>
  <c r="F62" i="181"/>
  <c r="W61" i="181"/>
  <c r="V61" i="181"/>
  <c r="P61" i="181"/>
  <c r="N61" i="181"/>
  <c r="K61" i="181"/>
  <c r="L61" i="181" s="1"/>
  <c r="J61" i="181"/>
  <c r="F61" i="181"/>
  <c r="H61" i="181" s="1"/>
  <c r="W60" i="181"/>
  <c r="V60" i="181"/>
  <c r="P60" i="181"/>
  <c r="O60" i="181"/>
  <c r="N60" i="181"/>
  <c r="L60" i="181"/>
  <c r="K60" i="181"/>
  <c r="J60" i="181"/>
  <c r="F60" i="181"/>
  <c r="H60" i="181" s="1"/>
  <c r="W59" i="181"/>
  <c r="P59" i="181"/>
  <c r="O59" i="181"/>
  <c r="N59" i="181"/>
  <c r="L59" i="181"/>
  <c r="K59" i="181"/>
  <c r="K69" i="181" s="1"/>
  <c r="J59" i="181"/>
  <c r="H59" i="181"/>
  <c r="F59" i="181"/>
  <c r="AE58" i="181"/>
  <c r="AD58" i="181"/>
  <c r="AA58" i="181"/>
  <c r="Z58" i="181"/>
  <c r="N58" i="181"/>
  <c r="M58" i="181"/>
  <c r="H22" i="180" s="1"/>
  <c r="W57" i="181"/>
  <c r="W56" i="181"/>
  <c r="W55" i="181"/>
  <c r="W54" i="181"/>
  <c r="AG53" i="181"/>
  <c r="AF53" i="181"/>
  <c r="W53" i="181"/>
  <c r="AG52" i="181"/>
  <c r="AF52" i="181"/>
  <c r="W52" i="181"/>
  <c r="V52" i="181"/>
  <c r="P52" i="181"/>
  <c r="N52" i="181"/>
  <c r="O52" i="181" s="1"/>
  <c r="K52" i="181"/>
  <c r="J52" i="181"/>
  <c r="L52" i="181" s="1"/>
  <c r="H52" i="181"/>
  <c r="F52" i="181"/>
  <c r="W51" i="181"/>
  <c r="V51" i="181"/>
  <c r="P51" i="181"/>
  <c r="O51" i="181"/>
  <c r="N51" i="181"/>
  <c r="AF51" i="181" s="1"/>
  <c r="K51" i="181"/>
  <c r="J51" i="181"/>
  <c r="F51" i="181"/>
  <c r="H51" i="181" s="1"/>
  <c r="W50" i="181"/>
  <c r="N50" i="181" s="1"/>
  <c r="V50" i="181"/>
  <c r="K50" i="181"/>
  <c r="J50" i="181"/>
  <c r="H50" i="181"/>
  <c r="F50" i="181"/>
  <c r="AF49" i="181"/>
  <c r="W49" i="181"/>
  <c r="P49" i="181"/>
  <c r="N49" i="181"/>
  <c r="L49" i="181"/>
  <c r="K49" i="181"/>
  <c r="K58" i="181" s="1"/>
  <c r="J49" i="181"/>
  <c r="H49" i="181"/>
  <c r="F49" i="181"/>
  <c r="AE48" i="181"/>
  <c r="G21" i="180" s="1"/>
  <c r="AD48" i="181"/>
  <c r="AA48" i="181"/>
  <c r="Z48" i="181"/>
  <c r="W48" i="181"/>
  <c r="M48" i="181"/>
  <c r="K48" i="181"/>
  <c r="W47" i="181"/>
  <c r="H47" i="181"/>
  <c r="W46" i="181"/>
  <c r="W45" i="181"/>
  <c r="W44" i="181"/>
  <c r="W43" i="181"/>
  <c r="W42" i="181"/>
  <c r="W41" i="181"/>
  <c r="V41" i="181"/>
  <c r="N41" i="181"/>
  <c r="L41" i="181"/>
  <c r="K41" i="181"/>
  <c r="J41" i="181"/>
  <c r="P41" i="181" s="1"/>
  <c r="H41" i="181"/>
  <c r="F41" i="181"/>
  <c r="W40" i="181"/>
  <c r="V40" i="181"/>
  <c r="P40" i="181"/>
  <c r="N40" i="181"/>
  <c r="K40" i="181"/>
  <c r="J40" i="181"/>
  <c r="L40" i="181" s="1"/>
  <c r="F40" i="181"/>
  <c r="H40" i="181" s="1"/>
  <c r="AG39" i="181"/>
  <c r="AF39" i="181"/>
  <c r="W39" i="181"/>
  <c r="V39" i="181"/>
  <c r="O39" i="181"/>
  <c r="N39" i="181"/>
  <c r="K39" i="181"/>
  <c r="J39" i="181"/>
  <c r="F39" i="181"/>
  <c r="H39" i="181" s="1"/>
  <c r="W38" i="181"/>
  <c r="N38" i="181" s="1"/>
  <c r="P38" i="181"/>
  <c r="K38" i="181"/>
  <c r="L38" i="181" s="1"/>
  <c r="J38" i="181"/>
  <c r="H38" i="181"/>
  <c r="F38" i="181"/>
  <c r="AE37" i="181"/>
  <c r="F21" i="180" s="1"/>
  <c r="AD37" i="181"/>
  <c r="AA37" i="181"/>
  <c r="Z37" i="181"/>
  <c r="F18" i="180" s="1"/>
  <c r="M37" i="181"/>
  <c r="K37" i="181"/>
  <c r="J37" i="181"/>
  <c r="P37" i="181" s="1"/>
  <c r="W36" i="181"/>
  <c r="H36" i="181"/>
  <c r="W35" i="181"/>
  <c r="W34" i="181"/>
  <c r="W33" i="181"/>
  <c r="W32" i="181"/>
  <c r="W31" i="181"/>
  <c r="N31" i="181" s="1"/>
  <c r="AG31" i="181" s="1"/>
  <c r="V31" i="181"/>
  <c r="P31" i="181"/>
  <c r="O31" i="181"/>
  <c r="K31" i="181"/>
  <c r="L31" i="181" s="1"/>
  <c r="J31" i="181"/>
  <c r="F31" i="181"/>
  <c r="H31" i="181" s="1"/>
  <c r="W30" i="181"/>
  <c r="N30" i="181" s="1"/>
  <c r="O30" i="181" s="1"/>
  <c r="V30" i="181"/>
  <c r="K30" i="181"/>
  <c r="J30" i="181"/>
  <c r="P30" i="181" s="1"/>
  <c r="F30" i="181"/>
  <c r="H30" i="181" s="1"/>
  <c r="W29" i="181"/>
  <c r="N29" i="181" s="1"/>
  <c r="V29" i="181"/>
  <c r="O29" i="181"/>
  <c r="K29" i="181"/>
  <c r="J29" i="181"/>
  <c r="P29" i="181" s="1"/>
  <c r="H29" i="181"/>
  <c r="F29" i="181"/>
  <c r="W28" i="181"/>
  <c r="N28" i="181" s="1"/>
  <c r="AF28" i="181" s="1"/>
  <c r="V28" i="181"/>
  <c r="K28" i="181"/>
  <c r="L28" i="181" s="1"/>
  <c r="J28" i="181"/>
  <c r="P28" i="181" s="1"/>
  <c r="H28" i="181"/>
  <c r="F28" i="181"/>
  <c r="AG27" i="181"/>
  <c r="AF27" i="181"/>
  <c r="W27" i="181"/>
  <c r="Q27" i="181"/>
  <c r="P27" i="181"/>
  <c r="O27" i="181"/>
  <c r="N27" i="181"/>
  <c r="L27" i="181"/>
  <c r="K27" i="181"/>
  <c r="J27" i="181"/>
  <c r="F27" i="181"/>
  <c r="H27" i="181" s="1"/>
  <c r="AE26" i="181"/>
  <c r="AD26" i="181"/>
  <c r="AA26" i="181"/>
  <c r="Z26" i="181"/>
  <c r="M26" i="181"/>
  <c r="W25" i="181"/>
  <c r="H25" i="181"/>
  <c r="W24" i="181"/>
  <c r="H24" i="181"/>
  <c r="W23" i="181"/>
  <c r="W22" i="181"/>
  <c r="W21" i="181"/>
  <c r="W20" i="181"/>
  <c r="V20" i="181"/>
  <c r="N20" i="181"/>
  <c r="K20" i="181"/>
  <c r="J20" i="181"/>
  <c r="P20" i="181" s="1"/>
  <c r="H20" i="181"/>
  <c r="F20" i="181"/>
  <c r="W19" i="181"/>
  <c r="N19" i="181" s="1"/>
  <c r="V19" i="181"/>
  <c r="P19" i="181"/>
  <c r="K19" i="181"/>
  <c r="L19" i="181" s="1"/>
  <c r="J19" i="181"/>
  <c r="H19" i="181"/>
  <c r="F19" i="181"/>
  <c r="AG18" i="181"/>
  <c r="W18" i="181"/>
  <c r="V18" i="181"/>
  <c r="P18" i="181"/>
  <c r="N18" i="181"/>
  <c r="AF18" i="181" s="1"/>
  <c r="L18" i="181"/>
  <c r="K18" i="181"/>
  <c r="J18" i="181"/>
  <c r="H18" i="181"/>
  <c r="F18" i="181"/>
  <c r="W17" i="181"/>
  <c r="N17" i="181" s="1"/>
  <c r="V17" i="181"/>
  <c r="K17" i="181"/>
  <c r="J17" i="181"/>
  <c r="P17" i="181" s="1"/>
  <c r="H17" i="181"/>
  <c r="F17" i="181"/>
  <c r="AG16" i="181"/>
  <c r="AF16" i="181"/>
  <c r="W16" i="181"/>
  <c r="N16" i="181"/>
  <c r="L16" i="181"/>
  <c r="K16" i="181"/>
  <c r="J16" i="181"/>
  <c r="P16" i="181" s="1"/>
  <c r="F16" i="181"/>
  <c r="H16" i="181" s="1"/>
  <c r="AE15" i="181"/>
  <c r="AD15" i="181"/>
  <c r="AA15" i="181"/>
  <c r="Z15" i="181"/>
  <c r="D18" i="180" s="1"/>
  <c r="M15" i="181"/>
  <c r="D22" i="180" s="1"/>
  <c r="W14" i="181"/>
  <c r="W13" i="181"/>
  <c r="W12" i="181"/>
  <c r="W11" i="181"/>
  <c r="W10" i="181"/>
  <c r="AG9" i="181"/>
  <c r="AF9" i="181"/>
  <c r="W9" i="181"/>
  <c r="W8" i="181"/>
  <c r="V8" i="181"/>
  <c r="P8" i="181"/>
  <c r="N8" i="181"/>
  <c r="K8" i="181"/>
  <c r="L8" i="181" s="1"/>
  <c r="J8" i="181"/>
  <c r="F8" i="181"/>
  <c r="H8" i="181" s="1"/>
  <c r="W7" i="181"/>
  <c r="V7" i="181"/>
  <c r="P7" i="181"/>
  <c r="N7" i="181"/>
  <c r="K7" i="181"/>
  <c r="J7" i="181"/>
  <c r="L7" i="181" s="1"/>
  <c r="H7" i="181"/>
  <c r="F7" i="181"/>
  <c r="W6" i="181"/>
  <c r="N6" i="181" s="1"/>
  <c r="AG6" i="181" s="1"/>
  <c r="V6" i="181"/>
  <c r="K6" i="181"/>
  <c r="J6" i="181"/>
  <c r="P6" i="181" s="1"/>
  <c r="H6" i="181"/>
  <c r="F6" i="181"/>
  <c r="W5" i="181"/>
  <c r="N5" i="181"/>
  <c r="K5" i="181"/>
  <c r="J5" i="181"/>
  <c r="H5" i="181"/>
  <c r="F5" i="181"/>
  <c r="I2" i="181"/>
  <c r="E1" i="181"/>
  <c r="G3" i="180" s="1"/>
  <c r="J22" i="180"/>
  <c r="G22" i="180"/>
  <c r="F22" i="180"/>
  <c r="E22" i="180"/>
  <c r="I21" i="180"/>
  <c r="H21" i="180"/>
  <c r="E21" i="180"/>
  <c r="H20" i="180"/>
  <c r="G20" i="180"/>
  <c r="F20" i="180"/>
  <c r="E20" i="180"/>
  <c r="J19" i="180"/>
  <c r="H19" i="180"/>
  <c r="G19" i="180"/>
  <c r="F19" i="180"/>
  <c r="D19" i="180"/>
  <c r="H18" i="180"/>
  <c r="G18" i="180"/>
  <c r="J16" i="180"/>
  <c r="I16" i="180"/>
  <c r="H16" i="180"/>
  <c r="G16" i="180"/>
  <c r="F16" i="180"/>
  <c r="E16" i="180"/>
  <c r="D16" i="180"/>
  <c r="O8" i="180"/>
  <c r="N8" i="180"/>
  <c r="M8" i="180"/>
  <c r="L8" i="180"/>
  <c r="O7" i="180"/>
  <c r="N7" i="180"/>
  <c r="M7" i="180"/>
  <c r="L7" i="180"/>
  <c r="AE79" i="179"/>
  <c r="J21" i="178" s="1"/>
  <c r="AD79" i="179"/>
  <c r="J20" i="178" s="1"/>
  <c r="AA79" i="179"/>
  <c r="J18" i="178" s="1"/>
  <c r="Z79" i="179"/>
  <c r="M79" i="179"/>
  <c r="K79" i="179"/>
  <c r="W78" i="179"/>
  <c r="H78" i="179"/>
  <c r="W77" i="179"/>
  <c r="H77" i="179"/>
  <c r="W76" i="179"/>
  <c r="H76" i="179"/>
  <c r="W75" i="179"/>
  <c r="H75" i="179"/>
  <c r="W74" i="179"/>
  <c r="W73" i="179"/>
  <c r="W72" i="179"/>
  <c r="W71" i="179"/>
  <c r="W70" i="179"/>
  <c r="N70" i="179" s="1"/>
  <c r="K70" i="179"/>
  <c r="J70" i="179"/>
  <c r="P70" i="179" s="1"/>
  <c r="H70" i="179"/>
  <c r="F70" i="179"/>
  <c r="AE69" i="179"/>
  <c r="AD69" i="179"/>
  <c r="I20" i="178" s="1"/>
  <c r="AA69" i="179"/>
  <c r="Z69" i="179"/>
  <c r="I18" i="178" s="1"/>
  <c r="M69" i="179"/>
  <c r="W68" i="179"/>
  <c r="H68" i="179"/>
  <c r="W67" i="179"/>
  <c r="W66" i="179"/>
  <c r="W65" i="179"/>
  <c r="W64" i="179"/>
  <c r="W63" i="179"/>
  <c r="AG62" i="179"/>
  <c r="W62" i="179"/>
  <c r="V62" i="179"/>
  <c r="N62" i="179"/>
  <c r="AF62" i="179" s="1"/>
  <c r="L62" i="179"/>
  <c r="K62" i="179"/>
  <c r="J62" i="179"/>
  <c r="P62" i="179" s="1"/>
  <c r="F62" i="179"/>
  <c r="H62" i="179" s="1"/>
  <c r="AG61" i="179"/>
  <c r="AF61" i="179"/>
  <c r="W61" i="179"/>
  <c r="V61" i="179"/>
  <c r="P61" i="179"/>
  <c r="O61" i="179"/>
  <c r="N61" i="179"/>
  <c r="K61" i="179"/>
  <c r="J61" i="179"/>
  <c r="F61" i="179"/>
  <c r="H61" i="179" s="1"/>
  <c r="AF60" i="179"/>
  <c r="W60" i="179"/>
  <c r="N60" i="179" s="1"/>
  <c r="V60" i="179"/>
  <c r="P60" i="179"/>
  <c r="L60" i="179"/>
  <c r="K60" i="179"/>
  <c r="J60" i="179"/>
  <c r="F60" i="179"/>
  <c r="H60" i="179" s="1"/>
  <c r="W59" i="179"/>
  <c r="N59" i="179" s="1"/>
  <c r="K59" i="179"/>
  <c r="J59" i="179"/>
  <c r="H59" i="179"/>
  <c r="F59" i="179"/>
  <c r="AE58" i="179"/>
  <c r="H21" i="178" s="1"/>
  <c r="AD58" i="179"/>
  <c r="H20" i="178" s="1"/>
  <c r="AA58" i="179"/>
  <c r="Z58" i="179"/>
  <c r="M58" i="179"/>
  <c r="H22" i="178" s="1"/>
  <c r="W57" i="179"/>
  <c r="W56" i="179"/>
  <c r="W55" i="179"/>
  <c r="W54" i="179"/>
  <c r="W53" i="179"/>
  <c r="N53" i="179" s="1"/>
  <c r="AF53" i="179" s="1"/>
  <c r="V53" i="179"/>
  <c r="P53" i="179"/>
  <c r="L53" i="179"/>
  <c r="K53" i="179"/>
  <c r="J53" i="179"/>
  <c r="F53" i="179"/>
  <c r="H53" i="179" s="1"/>
  <c r="AF52" i="179"/>
  <c r="W52" i="179"/>
  <c r="N52" i="179" s="1"/>
  <c r="V52" i="179"/>
  <c r="L52" i="179"/>
  <c r="K52" i="179"/>
  <c r="J52" i="179"/>
  <c r="P52" i="179" s="1"/>
  <c r="F52" i="179"/>
  <c r="H52" i="179" s="1"/>
  <c r="AF51" i="179"/>
  <c r="W51" i="179"/>
  <c r="N51" i="179" s="1"/>
  <c r="V51" i="179"/>
  <c r="K51" i="179"/>
  <c r="J51" i="179"/>
  <c r="L51" i="179" s="1"/>
  <c r="F51" i="179"/>
  <c r="H51" i="179" s="1"/>
  <c r="W50" i="179"/>
  <c r="N50" i="179" s="1"/>
  <c r="V50" i="179"/>
  <c r="K50" i="179"/>
  <c r="J50" i="179"/>
  <c r="P50" i="179" s="1"/>
  <c r="H50" i="179"/>
  <c r="F50" i="179"/>
  <c r="W49" i="179"/>
  <c r="N49" i="179"/>
  <c r="L49" i="179"/>
  <c r="K49" i="179"/>
  <c r="K58" i="179" s="1"/>
  <c r="J49" i="179"/>
  <c r="P49" i="179" s="1"/>
  <c r="H49" i="179"/>
  <c r="F49" i="179"/>
  <c r="AE48" i="179"/>
  <c r="G21" i="178" s="1"/>
  <c r="AD48" i="179"/>
  <c r="AA48" i="179"/>
  <c r="Z48" i="179"/>
  <c r="G18" i="178" s="1"/>
  <c r="W48" i="179"/>
  <c r="M48" i="179"/>
  <c r="W47" i="179"/>
  <c r="H47" i="179"/>
  <c r="W46" i="179"/>
  <c r="W45" i="179"/>
  <c r="W44" i="179"/>
  <c r="W43" i="179"/>
  <c r="AG42" i="179"/>
  <c r="AF42" i="179"/>
  <c r="W42" i="179"/>
  <c r="N42" i="179" s="1"/>
  <c r="V42" i="179"/>
  <c r="P42" i="179"/>
  <c r="O42" i="179"/>
  <c r="K42" i="179"/>
  <c r="J42" i="179"/>
  <c r="F42" i="179"/>
  <c r="H42" i="179" s="1"/>
  <c r="W41" i="179"/>
  <c r="N41" i="179" s="1"/>
  <c r="AG41" i="179" s="1"/>
  <c r="V41" i="179"/>
  <c r="K41" i="179"/>
  <c r="L41" i="179" s="1"/>
  <c r="J41" i="179"/>
  <c r="P41" i="179" s="1"/>
  <c r="H41" i="179"/>
  <c r="F41" i="179"/>
  <c r="W40" i="179"/>
  <c r="N40" i="179" s="1"/>
  <c r="V40" i="179"/>
  <c r="P40" i="179"/>
  <c r="K40" i="179"/>
  <c r="L40" i="179" s="1"/>
  <c r="J40" i="179"/>
  <c r="H40" i="179"/>
  <c r="F40" i="179"/>
  <c r="W39" i="179"/>
  <c r="N39" i="179" s="1"/>
  <c r="V39" i="179"/>
  <c r="P39" i="179"/>
  <c r="K39" i="179"/>
  <c r="L39" i="179" s="1"/>
  <c r="J39" i="179"/>
  <c r="F39" i="179"/>
  <c r="H39" i="179" s="1"/>
  <c r="AG38" i="179"/>
  <c r="W38" i="179"/>
  <c r="N38" i="179"/>
  <c r="AF38" i="179" s="1"/>
  <c r="K38" i="179"/>
  <c r="J38" i="179"/>
  <c r="H38" i="179"/>
  <c r="F38" i="179"/>
  <c r="AE37" i="179"/>
  <c r="AD37" i="179"/>
  <c r="AA37" i="179"/>
  <c r="Z37" i="179"/>
  <c r="M37" i="179"/>
  <c r="W36" i="179"/>
  <c r="H36" i="179"/>
  <c r="W35" i="179"/>
  <c r="W34" i="179"/>
  <c r="W33" i="179"/>
  <c r="W32" i="179"/>
  <c r="W31" i="179"/>
  <c r="N31" i="179" s="1"/>
  <c r="O31" i="179" s="1"/>
  <c r="V31" i="179"/>
  <c r="P31" i="179"/>
  <c r="L31" i="179"/>
  <c r="K31" i="179"/>
  <c r="H31" i="179"/>
  <c r="F31" i="179"/>
  <c r="W30" i="179"/>
  <c r="N30" i="179" s="1"/>
  <c r="AF30" i="179" s="1"/>
  <c r="V30" i="179"/>
  <c r="K30" i="179"/>
  <c r="L30" i="179" s="1"/>
  <c r="J30" i="179"/>
  <c r="P30" i="179" s="1"/>
  <c r="F30" i="179"/>
  <c r="H30" i="179" s="1"/>
  <c r="W29" i="179"/>
  <c r="V29" i="179"/>
  <c r="P29" i="179"/>
  <c r="O29" i="179"/>
  <c r="N29" i="179"/>
  <c r="K29" i="179"/>
  <c r="L29" i="179" s="1"/>
  <c r="Q29" i="179" s="1"/>
  <c r="J29" i="179"/>
  <c r="F29" i="179"/>
  <c r="H29" i="179" s="1"/>
  <c r="W28" i="179"/>
  <c r="V28" i="179"/>
  <c r="P28" i="179"/>
  <c r="N28" i="179"/>
  <c r="O28" i="179" s="1"/>
  <c r="Q28" i="179" s="1"/>
  <c r="K28" i="179"/>
  <c r="L28" i="179" s="1"/>
  <c r="J28" i="179"/>
  <c r="J37" i="179" s="1"/>
  <c r="H28" i="179"/>
  <c r="F28" i="179"/>
  <c r="W27" i="179"/>
  <c r="N27" i="179" s="1"/>
  <c r="P27" i="179"/>
  <c r="K27" i="179"/>
  <c r="K37" i="179" s="1"/>
  <c r="J27" i="179"/>
  <c r="F27" i="179"/>
  <c r="H27" i="179" s="1"/>
  <c r="AE26" i="179"/>
  <c r="E21" i="178" s="1"/>
  <c r="AD26" i="179"/>
  <c r="AA26" i="179"/>
  <c r="E19" i="178" s="1"/>
  <c r="Z26" i="179"/>
  <c r="M26" i="179"/>
  <c r="W25" i="179"/>
  <c r="H25" i="179"/>
  <c r="W24" i="179"/>
  <c r="H24" i="179"/>
  <c r="W23" i="179"/>
  <c r="W22" i="179"/>
  <c r="W21" i="179"/>
  <c r="W20" i="179"/>
  <c r="N20" i="179" s="1"/>
  <c r="V20" i="179"/>
  <c r="P20" i="179"/>
  <c r="O20" i="179"/>
  <c r="K20" i="179"/>
  <c r="L20" i="179" s="1"/>
  <c r="J20" i="179"/>
  <c r="H20" i="179"/>
  <c r="F20" i="179"/>
  <c r="W19" i="179"/>
  <c r="V19" i="179"/>
  <c r="N19" i="179"/>
  <c r="K19" i="179"/>
  <c r="L19" i="179" s="1"/>
  <c r="J19" i="179"/>
  <c r="P19" i="179" s="1"/>
  <c r="F19" i="179"/>
  <c r="H19" i="179" s="1"/>
  <c r="W18" i="179"/>
  <c r="N18" i="179" s="1"/>
  <c r="V18" i="179"/>
  <c r="P18" i="179"/>
  <c r="L18" i="179"/>
  <c r="K18" i="179"/>
  <c r="J18" i="179"/>
  <c r="H18" i="179"/>
  <c r="F18" i="179"/>
  <c r="W17" i="179"/>
  <c r="N17" i="179" s="1"/>
  <c r="V17" i="179"/>
  <c r="K17" i="179"/>
  <c r="J17" i="179"/>
  <c r="F17" i="179"/>
  <c r="H17" i="179" s="1"/>
  <c r="W16" i="179"/>
  <c r="N16" i="179"/>
  <c r="K16" i="179"/>
  <c r="J16" i="179"/>
  <c r="H16" i="179"/>
  <c r="F16" i="179"/>
  <c r="AE15" i="179"/>
  <c r="D21" i="178" s="1"/>
  <c r="AD15" i="179"/>
  <c r="D20" i="178" s="1"/>
  <c r="AA15" i="179"/>
  <c r="Z15" i="179"/>
  <c r="D18" i="178" s="1"/>
  <c r="M15" i="179"/>
  <c r="K15" i="179"/>
  <c r="W14" i="179"/>
  <c r="W13" i="179"/>
  <c r="W12" i="179"/>
  <c r="W11" i="179"/>
  <c r="W10" i="179"/>
  <c r="AG9" i="179"/>
  <c r="W9" i="179"/>
  <c r="V9" i="179"/>
  <c r="P9" i="179"/>
  <c r="N9" i="179"/>
  <c r="L9" i="179"/>
  <c r="K9" i="179"/>
  <c r="J9" i="179"/>
  <c r="F9" i="179"/>
  <c r="H9" i="179" s="1"/>
  <c r="W8" i="179"/>
  <c r="V8" i="179"/>
  <c r="P8" i="179"/>
  <c r="O8" i="179"/>
  <c r="N8" i="179"/>
  <c r="AG8" i="179" s="1"/>
  <c r="K8" i="179"/>
  <c r="J8" i="179"/>
  <c r="L8" i="179" s="1"/>
  <c r="H8" i="179"/>
  <c r="F8" i="179"/>
  <c r="W7" i="179"/>
  <c r="N7" i="179" s="1"/>
  <c r="V7" i="179"/>
  <c r="K7" i="179"/>
  <c r="J7" i="179"/>
  <c r="P7" i="179" s="1"/>
  <c r="F7" i="179"/>
  <c r="H7" i="179" s="1"/>
  <c r="AG6" i="179"/>
  <c r="AF6" i="179"/>
  <c r="W6" i="179"/>
  <c r="N6" i="179" s="1"/>
  <c r="O6" i="179" s="1"/>
  <c r="V6" i="179"/>
  <c r="K6" i="179"/>
  <c r="J6" i="179"/>
  <c r="F6" i="179"/>
  <c r="H6" i="179" s="1"/>
  <c r="W5" i="179"/>
  <c r="P5" i="179"/>
  <c r="N5" i="179"/>
  <c r="K5" i="179"/>
  <c r="AF5" i="179" s="1"/>
  <c r="J5" i="179"/>
  <c r="H5" i="179"/>
  <c r="F5" i="179"/>
  <c r="I2" i="179"/>
  <c r="I1" i="179"/>
  <c r="E1" i="179"/>
  <c r="G3" i="178" s="1"/>
  <c r="J22" i="178"/>
  <c r="I22" i="178"/>
  <c r="G22" i="178"/>
  <c r="F22" i="178"/>
  <c r="E22" i="178"/>
  <c r="I21" i="178"/>
  <c r="F21" i="178"/>
  <c r="G20" i="178"/>
  <c r="F20" i="178"/>
  <c r="J19" i="178"/>
  <c r="I19" i="178"/>
  <c r="H19" i="178"/>
  <c r="G19" i="178"/>
  <c r="F19" i="178"/>
  <c r="D19" i="178"/>
  <c r="H18" i="178"/>
  <c r="E18" i="178"/>
  <c r="J16" i="178"/>
  <c r="I16" i="178"/>
  <c r="H16" i="178"/>
  <c r="G16" i="178"/>
  <c r="F16" i="178"/>
  <c r="E16" i="178"/>
  <c r="D16" i="178"/>
  <c r="O8" i="178"/>
  <c r="N8" i="178"/>
  <c r="M8" i="178"/>
  <c r="L8" i="178"/>
  <c r="O7" i="178"/>
  <c r="N7" i="178"/>
  <c r="M7" i="178"/>
  <c r="L7" i="178"/>
  <c r="AE79" i="177"/>
  <c r="AD79" i="177"/>
  <c r="AA79" i="177"/>
  <c r="J18" i="176" s="1"/>
  <c r="Z79" i="177"/>
  <c r="M79" i="177"/>
  <c r="K79" i="177"/>
  <c r="J79" i="177"/>
  <c r="W78" i="177"/>
  <c r="H78" i="177"/>
  <c r="W77" i="177"/>
  <c r="H77" i="177"/>
  <c r="W76" i="177"/>
  <c r="H76" i="177"/>
  <c r="W75" i="177"/>
  <c r="H75" i="177"/>
  <c r="W74" i="177"/>
  <c r="W73" i="177"/>
  <c r="W72" i="177"/>
  <c r="W71" i="177"/>
  <c r="N71" i="177" s="1"/>
  <c r="O71" i="177" s="1"/>
  <c r="K71" i="177"/>
  <c r="L71" i="177" s="1"/>
  <c r="J71" i="177"/>
  <c r="P71" i="177" s="1"/>
  <c r="F71" i="177"/>
  <c r="H71" i="177" s="1"/>
  <c r="AF70" i="177"/>
  <c r="W70" i="177"/>
  <c r="N70" i="177" s="1"/>
  <c r="P70" i="177"/>
  <c r="K70" i="177"/>
  <c r="L70" i="177" s="1"/>
  <c r="L79" i="177" s="1"/>
  <c r="J13" i="176" s="1"/>
  <c r="J70" i="177"/>
  <c r="F70" i="177"/>
  <c r="H70" i="177" s="1"/>
  <c r="AE69" i="177"/>
  <c r="I21" i="176" s="1"/>
  <c r="AD69" i="177"/>
  <c r="I20" i="176" s="1"/>
  <c r="AA69" i="177"/>
  <c r="I19" i="176" s="1"/>
  <c r="Z69" i="177"/>
  <c r="I18" i="176" s="1"/>
  <c r="M69" i="177"/>
  <c r="W68" i="177"/>
  <c r="H68" i="177"/>
  <c r="W67" i="177"/>
  <c r="W66" i="177"/>
  <c r="W65" i="177"/>
  <c r="W64" i="177"/>
  <c r="W63" i="177"/>
  <c r="W62" i="177"/>
  <c r="V62" i="177"/>
  <c r="P62" i="177"/>
  <c r="O62" i="177"/>
  <c r="N62" i="177"/>
  <c r="K62" i="177"/>
  <c r="L62" i="177" s="1"/>
  <c r="J62" i="177"/>
  <c r="H62" i="177"/>
  <c r="F62" i="177"/>
  <c r="W61" i="177"/>
  <c r="N61" i="177" s="1"/>
  <c r="V61" i="177"/>
  <c r="O61" i="177"/>
  <c r="L61" i="177"/>
  <c r="K61" i="177"/>
  <c r="J61" i="177"/>
  <c r="P61" i="177" s="1"/>
  <c r="H61" i="177"/>
  <c r="F61" i="177"/>
  <c r="W60" i="177"/>
  <c r="N60" i="177" s="1"/>
  <c r="V60" i="177"/>
  <c r="P60" i="177"/>
  <c r="L60" i="177"/>
  <c r="K60" i="177"/>
  <c r="J60" i="177"/>
  <c r="F60" i="177"/>
  <c r="H60" i="177" s="1"/>
  <c r="W59" i="177"/>
  <c r="N59" i="177" s="1"/>
  <c r="AG59" i="177" s="1"/>
  <c r="P59" i="177"/>
  <c r="O59" i="177"/>
  <c r="K59" i="177"/>
  <c r="J59" i="177"/>
  <c r="F59" i="177"/>
  <c r="H59" i="177" s="1"/>
  <c r="AE58" i="177"/>
  <c r="AD58" i="177"/>
  <c r="H20" i="176" s="1"/>
  <c r="AA58" i="177"/>
  <c r="H19" i="176" s="1"/>
  <c r="Z58" i="177"/>
  <c r="M58" i="177"/>
  <c r="W57" i="177"/>
  <c r="W56" i="177"/>
  <c r="W55" i="177"/>
  <c r="W54" i="177"/>
  <c r="AG53" i="177"/>
  <c r="AF53" i="177"/>
  <c r="W53" i="177"/>
  <c r="W52" i="177"/>
  <c r="N52" i="177" s="1"/>
  <c r="V52" i="177"/>
  <c r="O52" i="177"/>
  <c r="K52" i="177"/>
  <c r="AG52" i="177" s="1"/>
  <c r="J52" i="177"/>
  <c r="P52" i="177" s="1"/>
  <c r="F52" i="177"/>
  <c r="H52" i="177" s="1"/>
  <c r="W51" i="177"/>
  <c r="V51" i="177"/>
  <c r="N51" i="177"/>
  <c r="AG51" i="177" s="1"/>
  <c r="K51" i="177"/>
  <c r="AF51" i="177" s="1"/>
  <c r="J51" i="177"/>
  <c r="P51" i="177" s="1"/>
  <c r="F51" i="177"/>
  <c r="H51" i="177" s="1"/>
  <c r="W50" i="177"/>
  <c r="V50" i="177"/>
  <c r="N50" i="177"/>
  <c r="K50" i="177"/>
  <c r="J50" i="177"/>
  <c r="P50" i="177" s="1"/>
  <c r="H50" i="177"/>
  <c r="F50" i="177"/>
  <c r="W49" i="177"/>
  <c r="P49" i="177"/>
  <c r="N49" i="177"/>
  <c r="L49" i="177"/>
  <c r="K49" i="177"/>
  <c r="J49" i="177"/>
  <c r="H49" i="177"/>
  <c r="F49" i="177"/>
  <c r="AE48" i="177"/>
  <c r="G21" i="176" s="1"/>
  <c r="AD48" i="177"/>
  <c r="AA48" i="177"/>
  <c r="Z48" i="177"/>
  <c r="G18" i="176" s="1"/>
  <c r="W48" i="177"/>
  <c r="M48" i="177"/>
  <c r="W47" i="177"/>
  <c r="H47" i="177"/>
  <c r="W46" i="177"/>
  <c r="W45" i="177"/>
  <c r="W44" i="177"/>
  <c r="W43" i="177"/>
  <c r="N43" i="177" s="1"/>
  <c r="O43" i="177" s="1"/>
  <c r="V43" i="177"/>
  <c r="R43" i="177"/>
  <c r="K43" i="177"/>
  <c r="L43" i="177" s="1"/>
  <c r="J43" i="177"/>
  <c r="P43" i="177" s="1"/>
  <c r="F43" i="177"/>
  <c r="H43" i="177" s="1"/>
  <c r="W42" i="177"/>
  <c r="N42" i="177" s="1"/>
  <c r="O42" i="177" s="1"/>
  <c r="V42" i="177"/>
  <c r="K42" i="177"/>
  <c r="J42" i="177"/>
  <c r="P42" i="177" s="1"/>
  <c r="F42" i="177"/>
  <c r="H42" i="177" s="1"/>
  <c r="W41" i="177"/>
  <c r="N41" i="177" s="1"/>
  <c r="V41" i="177"/>
  <c r="K41" i="177"/>
  <c r="L41" i="177" s="1"/>
  <c r="J41" i="177"/>
  <c r="P41" i="177" s="1"/>
  <c r="F41" i="177"/>
  <c r="H41" i="177" s="1"/>
  <c r="W40" i="177"/>
  <c r="V40" i="177"/>
  <c r="N40" i="177"/>
  <c r="AF40" i="177" s="1"/>
  <c r="K40" i="177"/>
  <c r="L40" i="177" s="1"/>
  <c r="J40" i="177"/>
  <c r="P40" i="177" s="1"/>
  <c r="F40" i="177"/>
  <c r="H40" i="177" s="1"/>
  <c r="AF39" i="177"/>
  <c r="W39" i="177"/>
  <c r="N39" i="177" s="1"/>
  <c r="AG39" i="177" s="1"/>
  <c r="V39" i="177"/>
  <c r="O39" i="177"/>
  <c r="K39" i="177"/>
  <c r="L39" i="177" s="1"/>
  <c r="J39" i="177"/>
  <c r="P39" i="177" s="1"/>
  <c r="F39" i="177"/>
  <c r="H39" i="177" s="1"/>
  <c r="AG38" i="177"/>
  <c r="W38" i="177"/>
  <c r="N38" i="177"/>
  <c r="K38" i="177"/>
  <c r="J38" i="177"/>
  <c r="H38" i="177"/>
  <c r="F38" i="177"/>
  <c r="AE37" i="177"/>
  <c r="AD37" i="177"/>
  <c r="F20" i="176" s="1"/>
  <c r="AA37" i="177"/>
  <c r="F19" i="176" s="1"/>
  <c r="Z37" i="177"/>
  <c r="N37" i="177"/>
  <c r="M37" i="177"/>
  <c r="W36" i="177"/>
  <c r="H36" i="177"/>
  <c r="W35" i="177"/>
  <c r="W34" i="177"/>
  <c r="W33" i="177"/>
  <c r="W32" i="177"/>
  <c r="N32" i="177" s="1"/>
  <c r="O32" i="177" s="1"/>
  <c r="V32" i="177"/>
  <c r="P32" i="177"/>
  <c r="K32" i="177"/>
  <c r="L32" i="177" s="1"/>
  <c r="R32" i="177" s="1"/>
  <c r="J32" i="177"/>
  <c r="H32" i="177"/>
  <c r="F32" i="177"/>
  <c r="W31" i="177"/>
  <c r="N31" i="177" s="1"/>
  <c r="V31" i="177"/>
  <c r="P31" i="177"/>
  <c r="L31" i="177"/>
  <c r="K31" i="177"/>
  <c r="J31" i="177"/>
  <c r="F31" i="177"/>
  <c r="H31" i="177" s="1"/>
  <c r="AG30" i="177"/>
  <c r="W30" i="177"/>
  <c r="N30" i="177" s="1"/>
  <c r="AF30" i="177" s="1"/>
  <c r="V30" i="177"/>
  <c r="P30" i="177"/>
  <c r="O30" i="177"/>
  <c r="K30" i="177"/>
  <c r="J30" i="177"/>
  <c r="F30" i="177"/>
  <c r="H30" i="177" s="1"/>
  <c r="AG29" i="177"/>
  <c r="AF29" i="177"/>
  <c r="W29" i="177"/>
  <c r="V29" i="177"/>
  <c r="P29" i="177"/>
  <c r="N29" i="177"/>
  <c r="O29" i="177" s="1"/>
  <c r="K29" i="177"/>
  <c r="L29" i="177" s="1"/>
  <c r="Q29" i="177" s="1"/>
  <c r="J29" i="177"/>
  <c r="H29" i="177"/>
  <c r="F29" i="177"/>
  <c r="AG28" i="177"/>
  <c r="W28" i="177"/>
  <c r="V28" i="177"/>
  <c r="P28" i="177"/>
  <c r="N28" i="177"/>
  <c r="AF28" i="177" s="1"/>
  <c r="K28" i="177"/>
  <c r="L28" i="177" s="1"/>
  <c r="J28" i="177"/>
  <c r="J37" i="177" s="1"/>
  <c r="F28" i="177"/>
  <c r="H28" i="177" s="1"/>
  <c r="W27" i="177"/>
  <c r="P27" i="177"/>
  <c r="N27" i="177"/>
  <c r="K27" i="177"/>
  <c r="K37" i="177" s="1"/>
  <c r="J27" i="177"/>
  <c r="H27" i="177"/>
  <c r="F27" i="177"/>
  <c r="AE26" i="177"/>
  <c r="AD26" i="177"/>
  <c r="AA26" i="177"/>
  <c r="Z26" i="177"/>
  <c r="P26" i="177"/>
  <c r="M26" i="177"/>
  <c r="E22" i="176" s="1"/>
  <c r="J26" i="177"/>
  <c r="W25" i="177"/>
  <c r="H25" i="177"/>
  <c r="W24" i="177"/>
  <c r="H24" i="177"/>
  <c r="W23" i="177"/>
  <c r="W22" i="177"/>
  <c r="W21" i="177"/>
  <c r="N21" i="177" s="1"/>
  <c r="O21" i="177" s="1"/>
  <c r="V21" i="177"/>
  <c r="P21" i="177"/>
  <c r="L21" i="177"/>
  <c r="K21" i="177"/>
  <c r="F21" i="177"/>
  <c r="H21" i="177" s="1"/>
  <c r="W20" i="177"/>
  <c r="N20" i="177" s="1"/>
  <c r="O20" i="177" s="1"/>
  <c r="Q20" i="177" s="1"/>
  <c r="V20" i="177"/>
  <c r="R20" i="177"/>
  <c r="P20" i="177"/>
  <c r="K20" i="177"/>
  <c r="L20" i="177" s="1"/>
  <c r="F20" i="177"/>
  <c r="H20" i="177" s="1"/>
  <c r="W19" i="177"/>
  <c r="N19" i="177" s="1"/>
  <c r="V19" i="177"/>
  <c r="P19" i="177"/>
  <c r="K19" i="177"/>
  <c r="L19" i="177" s="1"/>
  <c r="F19" i="177"/>
  <c r="H19" i="177" s="1"/>
  <c r="W18" i="177"/>
  <c r="N18" i="177" s="1"/>
  <c r="V18" i="177"/>
  <c r="P18" i="177"/>
  <c r="K18" i="177"/>
  <c r="L18" i="177" s="1"/>
  <c r="F18" i="177"/>
  <c r="H18" i="177" s="1"/>
  <c r="W17" i="177"/>
  <c r="N17" i="177" s="1"/>
  <c r="V17" i="177"/>
  <c r="P17" i="177"/>
  <c r="L17" i="177"/>
  <c r="K17" i="177"/>
  <c r="F17" i="177"/>
  <c r="H17" i="177" s="1"/>
  <c r="AG16" i="177"/>
  <c r="W16" i="177"/>
  <c r="P16" i="177"/>
  <c r="N16" i="177"/>
  <c r="K16" i="177"/>
  <c r="K26" i="177" s="1"/>
  <c r="F16" i="177"/>
  <c r="H16" i="177" s="1"/>
  <c r="AE15" i="177"/>
  <c r="AD15" i="177"/>
  <c r="AD2" i="177" s="1"/>
  <c r="AA15" i="177"/>
  <c r="Z15" i="177"/>
  <c r="M15" i="177"/>
  <c r="W14" i="177"/>
  <c r="W13" i="177"/>
  <c r="W12" i="177"/>
  <c r="AG11" i="177"/>
  <c r="AF11" i="177"/>
  <c r="W11" i="177"/>
  <c r="AG10" i="177"/>
  <c r="AF10" i="177"/>
  <c r="W10" i="177"/>
  <c r="AG9" i="177"/>
  <c r="AF9" i="177"/>
  <c r="W9" i="177"/>
  <c r="AG8" i="177"/>
  <c r="AF8" i="177"/>
  <c r="W8" i="177"/>
  <c r="V8" i="177"/>
  <c r="P8" i="177"/>
  <c r="N8" i="177"/>
  <c r="O8" i="177" s="1"/>
  <c r="K8" i="177"/>
  <c r="L8" i="177" s="1"/>
  <c r="F8" i="177"/>
  <c r="H8" i="177" s="1"/>
  <c r="AG7" i="177"/>
  <c r="AF7" i="177"/>
  <c r="W7" i="177"/>
  <c r="N7" i="177" s="1"/>
  <c r="V7" i="177"/>
  <c r="P7" i="177"/>
  <c r="O7" i="177"/>
  <c r="K7" i="177"/>
  <c r="L7" i="177" s="1"/>
  <c r="Q7" i="177" s="1"/>
  <c r="F7" i="177"/>
  <c r="H7" i="177" s="1"/>
  <c r="AG6" i="177"/>
  <c r="AF6" i="177"/>
  <c r="W6" i="177"/>
  <c r="V6" i="177"/>
  <c r="P6" i="177"/>
  <c r="N6" i="177"/>
  <c r="O6" i="177" s="1"/>
  <c r="R6" i="177" s="1"/>
  <c r="K6" i="177"/>
  <c r="L6" i="177" s="1"/>
  <c r="Q6" i="177" s="1"/>
  <c r="J6" i="177"/>
  <c r="H6" i="177"/>
  <c r="F6" i="177"/>
  <c r="W5" i="177"/>
  <c r="N5" i="177"/>
  <c r="K5" i="177"/>
  <c r="J5" i="177"/>
  <c r="P5" i="177" s="1"/>
  <c r="H5" i="177"/>
  <c r="F5" i="177"/>
  <c r="I2" i="177"/>
  <c r="E1" i="177"/>
  <c r="G3" i="176" s="1"/>
  <c r="I22" i="176"/>
  <c r="H22" i="176"/>
  <c r="G22" i="176"/>
  <c r="D22" i="176"/>
  <c r="J21" i="176"/>
  <c r="H21" i="176"/>
  <c r="F21" i="176"/>
  <c r="E21" i="176"/>
  <c r="D21" i="176"/>
  <c r="J20" i="176"/>
  <c r="G20" i="176"/>
  <c r="E20" i="176"/>
  <c r="J19" i="176"/>
  <c r="G19" i="176"/>
  <c r="E19" i="176"/>
  <c r="D19" i="176"/>
  <c r="F18" i="176"/>
  <c r="E18" i="176"/>
  <c r="D18" i="176"/>
  <c r="J16" i="176"/>
  <c r="I16" i="176"/>
  <c r="H16" i="176"/>
  <c r="G16" i="176"/>
  <c r="F16" i="176"/>
  <c r="E16" i="176"/>
  <c r="D16" i="176"/>
  <c r="O8" i="176"/>
  <c r="N8" i="176"/>
  <c r="M8" i="176"/>
  <c r="L8" i="176"/>
  <c r="O7" i="176"/>
  <c r="N7" i="176"/>
  <c r="M7" i="176"/>
  <c r="L7" i="176"/>
  <c r="AE79" i="175"/>
  <c r="AD79" i="175"/>
  <c r="J20" i="174" s="1"/>
  <c r="AA79" i="175"/>
  <c r="Z79" i="175"/>
  <c r="P79" i="175"/>
  <c r="M79" i="175"/>
  <c r="J22" i="174" s="1"/>
  <c r="K79" i="175"/>
  <c r="W78" i="175"/>
  <c r="H78" i="175"/>
  <c r="W77" i="175"/>
  <c r="H77" i="175"/>
  <c r="W76" i="175"/>
  <c r="W75" i="175"/>
  <c r="W74" i="175"/>
  <c r="W73" i="175"/>
  <c r="W72" i="175"/>
  <c r="W71" i="175"/>
  <c r="W70" i="175"/>
  <c r="N70" i="175" s="1"/>
  <c r="L70" i="175"/>
  <c r="L79" i="175" s="1"/>
  <c r="J13" i="174" s="1"/>
  <c r="K70" i="175"/>
  <c r="J70" i="175"/>
  <c r="J79" i="175" s="1"/>
  <c r="F70" i="175"/>
  <c r="H70" i="175" s="1"/>
  <c r="AE69" i="175"/>
  <c r="AD69" i="175"/>
  <c r="I20" i="174" s="1"/>
  <c r="N6" i="174" s="1"/>
  <c r="AA69" i="175"/>
  <c r="Z69" i="175"/>
  <c r="M69" i="175"/>
  <c r="J69" i="175"/>
  <c r="P69" i="175" s="1"/>
  <c r="W68" i="175"/>
  <c r="H68" i="175"/>
  <c r="W67" i="175"/>
  <c r="W66" i="175"/>
  <c r="W65" i="175"/>
  <c r="W64" i="175"/>
  <c r="W63" i="175"/>
  <c r="W62" i="175"/>
  <c r="P62" i="175"/>
  <c r="O62" i="175"/>
  <c r="N62" i="175"/>
  <c r="K62" i="175"/>
  <c r="L62" i="175" s="1"/>
  <c r="J62" i="175"/>
  <c r="H62" i="175"/>
  <c r="F62" i="175"/>
  <c r="W61" i="175"/>
  <c r="N61" i="175" s="1"/>
  <c r="V61" i="175"/>
  <c r="P61" i="175"/>
  <c r="K61" i="175"/>
  <c r="L61" i="175" s="1"/>
  <c r="J61" i="175"/>
  <c r="F61" i="175"/>
  <c r="H61" i="175" s="1"/>
  <c r="W60" i="175"/>
  <c r="N60" i="175" s="1"/>
  <c r="V60" i="175"/>
  <c r="K60" i="175"/>
  <c r="J60" i="175"/>
  <c r="P60" i="175" s="1"/>
  <c r="F60" i="175"/>
  <c r="H60" i="175" s="1"/>
  <c r="W59" i="175"/>
  <c r="N59" i="175" s="1"/>
  <c r="K59" i="175"/>
  <c r="L59" i="175" s="1"/>
  <c r="J59" i="175"/>
  <c r="P59" i="175" s="1"/>
  <c r="F59" i="175"/>
  <c r="H59" i="175" s="1"/>
  <c r="AE58" i="175"/>
  <c r="AD58" i="175"/>
  <c r="AA58" i="175"/>
  <c r="Z58" i="175"/>
  <c r="H18" i="174" s="1"/>
  <c r="M58" i="175"/>
  <c r="P58" i="175" s="1"/>
  <c r="W57" i="175"/>
  <c r="W56" i="175"/>
  <c r="W55" i="175"/>
  <c r="W54" i="175"/>
  <c r="AG53" i="175"/>
  <c r="AF53" i="175"/>
  <c r="W53" i="175"/>
  <c r="AF52" i="175"/>
  <c r="W52" i="175"/>
  <c r="N52" i="175" s="1"/>
  <c r="V52" i="175"/>
  <c r="L52" i="175"/>
  <c r="K52" i="175"/>
  <c r="J52" i="175"/>
  <c r="P52" i="175" s="1"/>
  <c r="F52" i="175"/>
  <c r="H52" i="175" s="1"/>
  <c r="W51" i="175"/>
  <c r="N51" i="175" s="1"/>
  <c r="V51" i="175"/>
  <c r="K51" i="175"/>
  <c r="L51" i="175" s="1"/>
  <c r="J51" i="175"/>
  <c r="P51" i="175" s="1"/>
  <c r="F51" i="175"/>
  <c r="H51" i="175" s="1"/>
  <c r="W50" i="175"/>
  <c r="V50" i="175"/>
  <c r="P50" i="175"/>
  <c r="N50" i="175"/>
  <c r="O50" i="175" s="1"/>
  <c r="K50" i="175"/>
  <c r="L50" i="175" s="1"/>
  <c r="J50" i="175"/>
  <c r="J58" i="175" s="1"/>
  <c r="F50" i="175"/>
  <c r="H50" i="175" s="1"/>
  <c r="W49" i="175"/>
  <c r="P49" i="175"/>
  <c r="N49" i="175"/>
  <c r="K49" i="175"/>
  <c r="K58" i="175" s="1"/>
  <c r="J49" i="175"/>
  <c r="F49" i="175"/>
  <c r="H49" i="175" s="1"/>
  <c r="AE48" i="175"/>
  <c r="G21" i="174" s="1"/>
  <c r="AD48" i="175"/>
  <c r="AA48" i="175"/>
  <c r="G19" i="174" s="1"/>
  <c r="Z48" i="175"/>
  <c r="W48" i="175"/>
  <c r="M48" i="175"/>
  <c r="W47" i="175"/>
  <c r="H47" i="175"/>
  <c r="W46" i="175"/>
  <c r="W45" i="175"/>
  <c r="W44" i="175"/>
  <c r="W43" i="175"/>
  <c r="V43" i="175"/>
  <c r="N43" i="175"/>
  <c r="O43" i="175" s="1"/>
  <c r="K43" i="175"/>
  <c r="L43" i="175" s="1"/>
  <c r="J43" i="175"/>
  <c r="P43" i="175" s="1"/>
  <c r="F43" i="175"/>
  <c r="H43" i="175" s="1"/>
  <c r="W42" i="175"/>
  <c r="V42" i="175"/>
  <c r="N42" i="175"/>
  <c r="O42" i="175" s="1"/>
  <c r="K42" i="175"/>
  <c r="L42" i="175" s="1"/>
  <c r="J42" i="175"/>
  <c r="P42" i="175" s="1"/>
  <c r="H42" i="175"/>
  <c r="F42" i="175"/>
  <c r="AF41" i="175"/>
  <c r="W41" i="175"/>
  <c r="N41" i="175" s="1"/>
  <c r="AG41" i="175" s="1"/>
  <c r="V41" i="175"/>
  <c r="K41" i="175"/>
  <c r="J41" i="175"/>
  <c r="P41" i="175" s="1"/>
  <c r="F41" i="175"/>
  <c r="H41" i="175" s="1"/>
  <c r="AG40" i="175"/>
  <c r="AF40" i="175"/>
  <c r="W40" i="175"/>
  <c r="V40" i="175"/>
  <c r="P40" i="175"/>
  <c r="N40" i="175"/>
  <c r="O40" i="175" s="1"/>
  <c r="K40" i="175"/>
  <c r="J40" i="175"/>
  <c r="L40" i="175" s="1"/>
  <c r="F40" i="175"/>
  <c r="H40" i="175" s="1"/>
  <c r="W39" i="175"/>
  <c r="N39" i="175" s="1"/>
  <c r="V39" i="175"/>
  <c r="O39" i="175"/>
  <c r="K39" i="175"/>
  <c r="J39" i="175"/>
  <c r="P39" i="175" s="1"/>
  <c r="H39" i="175"/>
  <c r="F39" i="175"/>
  <c r="W38" i="175"/>
  <c r="P38" i="175"/>
  <c r="N38" i="175"/>
  <c r="O38" i="175" s="1"/>
  <c r="K38" i="175"/>
  <c r="K48" i="175" s="1"/>
  <c r="J38" i="175"/>
  <c r="H38" i="175"/>
  <c r="F38" i="175"/>
  <c r="AE37" i="175"/>
  <c r="AD37" i="175"/>
  <c r="AA37" i="175"/>
  <c r="F19" i="174" s="1"/>
  <c r="Z37" i="175"/>
  <c r="F18" i="174" s="1"/>
  <c r="M37" i="175"/>
  <c r="W36" i="175"/>
  <c r="H36" i="175"/>
  <c r="W35" i="175"/>
  <c r="W34" i="175"/>
  <c r="W33" i="175"/>
  <c r="W32" i="175"/>
  <c r="W31" i="175"/>
  <c r="V31" i="175"/>
  <c r="N31" i="175"/>
  <c r="AG31" i="175" s="1"/>
  <c r="L31" i="175"/>
  <c r="K31" i="175"/>
  <c r="J31" i="175"/>
  <c r="P31" i="175" s="1"/>
  <c r="H31" i="175"/>
  <c r="F31" i="175"/>
  <c r="W30" i="175"/>
  <c r="V30" i="175"/>
  <c r="N30" i="175"/>
  <c r="K30" i="175"/>
  <c r="K37" i="175" s="1"/>
  <c r="J30" i="175"/>
  <c r="P30" i="175" s="1"/>
  <c r="F30" i="175"/>
  <c r="H30" i="175" s="1"/>
  <c r="W29" i="175"/>
  <c r="V29" i="175"/>
  <c r="P29" i="175"/>
  <c r="O29" i="175"/>
  <c r="N29" i="175"/>
  <c r="L29" i="175"/>
  <c r="K29" i="175"/>
  <c r="J29" i="175"/>
  <c r="F29" i="175"/>
  <c r="H29" i="175" s="1"/>
  <c r="AF28" i="175"/>
  <c r="W28" i="175"/>
  <c r="V28" i="175"/>
  <c r="P28" i="175"/>
  <c r="N28" i="175"/>
  <c r="AG28" i="175" s="1"/>
  <c r="K28" i="175"/>
  <c r="L28" i="175" s="1"/>
  <c r="J28" i="175"/>
  <c r="F28" i="175"/>
  <c r="H28" i="175" s="1"/>
  <c r="W27" i="175"/>
  <c r="N27" i="175" s="1"/>
  <c r="P27" i="175"/>
  <c r="K27" i="175"/>
  <c r="J27" i="175"/>
  <c r="H27" i="175"/>
  <c r="F27" i="175"/>
  <c r="AE26" i="175"/>
  <c r="AD26" i="175"/>
  <c r="AA26" i="175"/>
  <c r="E19" i="174" s="1"/>
  <c r="Z26" i="175"/>
  <c r="M26" i="175"/>
  <c r="J26" i="175"/>
  <c r="W25" i="175"/>
  <c r="H25" i="175"/>
  <c r="W24" i="175"/>
  <c r="H24" i="175"/>
  <c r="W23" i="175"/>
  <c r="W21" i="175"/>
  <c r="V21" i="175"/>
  <c r="P21" i="175"/>
  <c r="N21" i="175"/>
  <c r="O21" i="175" s="1"/>
  <c r="K21" i="175"/>
  <c r="L21" i="175" s="1"/>
  <c r="Q21" i="175" s="1"/>
  <c r="F21" i="175"/>
  <c r="H21" i="175" s="1"/>
  <c r="W20" i="175"/>
  <c r="V20" i="175"/>
  <c r="P20" i="175"/>
  <c r="N20" i="175"/>
  <c r="O20" i="175" s="1"/>
  <c r="K20" i="175"/>
  <c r="L20" i="175" s="1"/>
  <c r="H20" i="175"/>
  <c r="F20" i="175"/>
  <c r="AG19" i="175"/>
  <c r="W19" i="175"/>
  <c r="V19" i="175"/>
  <c r="P19" i="175"/>
  <c r="N19" i="175"/>
  <c r="K19" i="175"/>
  <c r="L19" i="175" s="1"/>
  <c r="F19" i="175"/>
  <c r="H19" i="175" s="1"/>
  <c r="W18" i="175"/>
  <c r="V18" i="175"/>
  <c r="P18" i="175"/>
  <c r="N18" i="175"/>
  <c r="K18" i="175"/>
  <c r="L18" i="175" s="1"/>
  <c r="H18" i="175"/>
  <c r="F18" i="175"/>
  <c r="AG17" i="175"/>
  <c r="W17" i="175"/>
  <c r="V17" i="175"/>
  <c r="P17" i="175"/>
  <c r="N17" i="175"/>
  <c r="AF17" i="175" s="1"/>
  <c r="L17" i="175"/>
  <c r="K17" i="175"/>
  <c r="F17" i="175"/>
  <c r="H17" i="175" s="1"/>
  <c r="W16" i="175"/>
  <c r="P16" i="175"/>
  <c r="N16" i="175"/>
  <c r="K16" i="175"/>
  <c r="H16" i="175"/>
  <c r="F16" i="175"/>
  <c r="AE15" i="175"/>
  <c r="AD15" i="175"/>
  <c r="AD2" i="175" s="1"/>
  <c r="AA15" i="175"/>
  <c r="Z15" i="175"/>
  <c r="M15" i="175"/>
  <c r="D22" i="174" s="1"/>
  <c r="W14" i="175"/>
  <c r="W13" i="175"/>
  <c r="W12" i="175"/>
  <c r="AG11" i="175"/>
  <c r="AF11" i="175"/>
  <c r="W11" i="175"/>
  <c r="AG10" i="175"/>
  <c r="AF10" i="175"/>
  <c r="W10" i="175"/>
  <c r="AG9" i="175"/>
  <c r="AF9" i="175"/>
  <c r="W9" i="175"/>
  <c r="W8" i="175"/>
  <c r="V8" i="175"/>
  <c r="P8" i="175"/>
  <c r="N8" i="175"/>
  <c r="O8" i="175" s="1"/>
  <c r="L8" i="175"/>
  <c r="K8" i="175"/>
  <c r="F8" i="175"/>
  <c r="H8" i="175" s="1"/>
  <c r="W7" i="175"/>
  <c r="N7" i="175" s="1"/>
  <c r="V7" i="175"/>
  <c r="P7" i="175"/>
  <c r="K7" i="175"/>
  <c r="L7" i="175" s="1"/>
  <c r="F7" i="175"/>
  <c r="H7" i="175" s="1"/>
  <c r="W6" i="175"/>
  <c r="N6" i="175" s="1"/>
  <c r="V6" i="175"/>
  <c r="P6" i="175"/>
  <c r="L6" i="175"/>
  <c r="K6" i="175"/>
  <c r="K15" i="175" s="1"/>
  <c r="J6" i="175"/>
  <c r="F6" i="175"/>
  <c r="H6" i="175" s="1"/>
  <c r="W5" i="175"/>
  <c r="N5" i="175" s="1"/>
  <c r="O5" i="175" s="1"/>
  <c r="P5" i="175"/>
  <c r="K5" i="175"/>
  <c r="J5" i="175"/>
  <c r="J15" i="175" s="1"/>
  <c r="F5" i="175"/>
  <c r="H5" i="175" s="1"/>
  <c r="Z2" i="175"/>
  <c r="I2" i="175"/>
  <c r="E1" i="175"/>
  <c r="I22" i="174"/>
  <c r="H22" i="174"/>
  <c r="G22" i="174"/>
  <c r="F22" i="174"/>
  <c r="J21" i="174"/>
  <c r="I21" i="174"/>
  <c r="H21" i="174"/>
  <c r="F21" i="174"/>
  <c r="D21" i="174"/>
  <c r="H20" i="174"/>
  <c r="G20" i="174"/>
  <c r="F20" i="174"/>
  <c r="E20" i="174"/>
  <c r="D20" i="174"/>
  <c r="J19" i="174"/>
  <c r="I19" i="174"/>
  <c r="H19" i="174"/>
  <c r="J18" i="174"/>
  <c r="I18" i="174"/>
  <c r="G18" i="174"/>
  <c r="E18" i="174"/>
  <c r="D18" i="174"/>
  <c r="J16" i="174"/>
  <c r="I16" i="174"/>
  <c r="H16" i="174"/>
  <c r="G16" i="174"/>
  <c r="F16" i="174"/>
  <c r="E16" i="174"/>
  <c r="D16" i="174"/>
  <c r="O8" i="174"/>
  <c r="N8" i="174"/>
  <c r="M8" i="174"/>
  <c r="L8" i="174"/>
  <c r="O7" i="174"/>
  <c r="N7" i="174"/>
  <c r="M7" i="174"/>
  <c r="L7" i="174"/>
  <c r="G3" i="174"/>
  <c r="AE79" i="3"/>
  <c r="AD79" i="3"/>
  <c r="AA79" i="3"/>
  <c r="Z79" i="3"/>
  <c r="M79" i="3"/>
  <c r="W78" i="3"/>
  <c r="H78" i="3"/>
  <c r="W77" i="3"/>
  <c r="H77" i="3"/>
  <c r="W76" i="3"/>
  <c r="H76" i="3"/>
  <c r="W75" i="3"/>
  <c r="H75" i="3"/>
  <c r="W74" i="3"/>
  <c r="W73" i="3"/>
  <c r="W72" i="3"/>
  <c r="W71" i="3"/>
  <c r="W70" i="3"/>
  <c r="N70" i="3" s="1"/>
  <c r="K70" i="3"/>
  <c r="K79" i="3" s="1"/>
  <c r="J70" i="3"/>
  <c r="P70" i="3" s="1"/>
  <c r="H70" i="3"/>
  <c r="F70" i="3"/>
  <c r="B70" i="3"/>
  <c r="AE69" i="3"/>
  <c r="AD69" i="3"/>
  <c r="AA69" i="3"/>
  <c r="Z69" i="3"/>
  <c r="M69" i="3"/>
  <c r="I22" i="2" s="1"/>
  <c r="W68" i="3"/>
  <c r="H68" i="3"/>
  <c r="W67" i="3"/>
  <c r="W66" i="3"/>
  <c r="W65" i="3"/>
  <c r="W64" i="3"/>
  <c r="W63" i="3"/>
  <c r="AG62" i="3"/>
  <c r="AF62" i="3"/>
  <c r="W62" i="3"/>
  <c r="W61" i="3"/>
  <c r="V61" i="3"/>
  <c r="N61" i="3"/>
  <c r="O61" i="3" s="1"/>
  <c r="K61" i="3"/>
  <c r="J61" i="3"/>
  <c r="P61" i="3" s="1"/>
  <c r="F61" i="3"/>
  <c r="H61" i="3" s="1"/>
  <c r="B61" i="3"/>
  <c r="W60" i="3"/>
  <c r="N60" i="3" s="1"/>
  <c r="V60" i="3"/>
  <c r="P60" i="3"/>
  <c r="K60" i="3"/>
  <c r="L60" i="3" s="1"/>
  <c r="J60" i="3"/>
  <c r="F60" i="3"/>
  <c r="H60" i="3" s="1"/>
  <c r="B60" i="3"/>
  <c r="W59" i="3"/>
  <c r="N59" i="3"/>
  <c r="O59" i="3" s="1"/>
  <c r="K59" i="3"/>
  <c r="K69" i="3" s="1"/>
  <c r="J59" i="3"/>
  <c r="H59" i="3"/>
  <c r="F59" i="3"/>
  <c r="B59" i="3"/>
  <c r="AE58" i="3"/>
  <c r="AD58" i="3"/>
  <c r="AA58" i="3"/>
  <c r="Z58" i="3"/>
  <c r="M58" i="3"/>
  <c r="W57" i="3"/>
  <c r="W56" i="3"/>
  <c r="W55" i="3"/>
  <c r="W54" i="3"/>
  <c r="AG53" i="3"/>
  <c r="AF53" i="3"/>
  <c r="W53" i="3"/>
  <c r="AG52" i="3"/>
  <c r="AF52" i="3"/>
  <c r="W52" i="3"/>
  <c r="V52" i="3"/>
  <c r="AG51" i="3"/>
  <c r="W51" i="3"/>
  <c r="V51" i="3"/>
  <c r="P51" i="3"/>
  <c r="O51" i="3"/>
  <c r="N51" i="3"/>
  <c r="AF51" i="3" s="1"/>
  <c r="K51" i="3"/>
  <c r="J51" i="3"/>
  <c r="L51" i="3" s="1"/>
  <c r="R51" i="3" s="1"/>
  <c r="H51" i="3"/>
  <c r="F51" i="3"/>
  <c r="B51" i="3"/>
  <c r="AF50" i="3"/>
  <c r="W50" i="3"/>
  <c r="N50" i="3" s="1"/>
  <c r="V50" i="3"/>
  <c r="P50" i="3"/>
  <c r="L50" i="3"/>
  <c r="K50" i="3"/>
  <c r="J50" i="3"/>
  <c r="F50" i="3"/>
  <c r="H50" i="3" s="1"/>
  <c r="B50" i="3"/>
  <c r="W49" i="3"/>
  <c r="N49" i="3"/>
  <c r="O49" i="3" s="1"/>
  <c r="K49" i="3"/>
  <c r="J49" i="3"/>
  <c r="P49" i="3" s="1"/>
  <c r="F49" i="3"/>
  <c r="H49" i="3" s="1"/>
  <c r="B49" i="3"/>
  <c r="AE48" i="3"/>
  <c r="AD48" i="3"/>
  <c r="AA48" i="3"/>
  <c r="Z48" i="3"/>
  <c r="W48" i="3"/>
  <c r="M48" i="3"/>
  <c r="K48" i="3"/>
  <c r="W47" i="3"/>
  <c r="H47" i="3"/>
  <c r="W46" i="3"/>
  <c r="W45" i="3"/>
  <c r="W44" i="3"/>
  <c r="W43" i="3"/>
  <c r="W42" i="3"/>
  <c r="AG41" i="3"/>
  <c r="AF41" i="3"/>
  <c r="W41" i="3"/>
  <c r="AF40" i="3"/>
  <c r="W40" i="3"/>
  <c r="V40" i="3"/>
  <c r="P40" i="3"/>
  <c r="N40" i="3"/>
  <c r="AG40" i="3" s="1"/>
  <c r="K40" i="3"/>
  <c r="L40" i="3" s="1"/>
  <c r="J40" i="3"/>
  <c r="F40" i="3"/>
  <c r="H40" i="3" s="1"/>
  <c r="B40" i="3"/>
  <c r="W39" i="3"/>
  <c r="N39" i="3" s="1"/>
  <c r="V39" i="3"/>
  <c r="P39" i="3"/>
  <c r="K39" i="3"/>
  <c r="L39" i="3" s="1"/>
  <c r="J39" i="3"/>
  <c r="F39" i="3"/>
  <c r="H39" i="3" s="1"/>
  <c r="B39" i="3"/>
  <c r="AG38" i="3"/>
  <c r="AF38" i="3"/>
  <c r="W38" i="3"/>
  <c r="N38" i="3" s="1"/>
  <c r="K38" i="3"/>
  <c r="J38" i="3"/>
  <c r="J48" i="3" s="1"/>
  <c r="P48" i="3" s="1"/>
  <c r="H38" i="3"/>
  <c r="F38" i="3"/>
  <c r="B38" i="3"/>
  <c r="AE37" i="3"/>
  <c r="AD37" i="3"/>
  <c r="AA37" i="3"/>
  <c r="Z37" i="3"/>
  <c r="M37" i="3"/>
  <c r="K37" i="3"/>
  <c r="W36" i="3"/>
  <c r="H36" i="3"/>
  <c r="W35" i="3"/>
  <c r="W34" i="3"/>
  <c r="W33" i="3"/>
  <c r="W32" i="3"/>
  <c r="AG31" i="3"/>
  <c r="AF31" i="3"/>
  <c r="W31" i="3"/>
  <c r="AG30" i="3"/>
  <c r="AF30" i="3"/>
  <c r="W30" i="3"/>
  <c r="V30" i="3"/>
  <c r="W29" i="3"/>
  <c r="V29" i="3"/>
  <c r="Q29" i="3"/>
  <c r="P29" i="3"/>
  <c r="O29" i="3"/>
  <c r="R29" i="3" s="1"/>
  <c r="N29" i="3"/>
  <c r="AG29" i="3" s="1"/>
  <c r="K29" i="3"/>
  <c r="L29" i="3" s="1"/>
  <c r="J29" i="3"/>
  <c r="F29" i="3"/>
  <c r="H29" i="3" s="1"/>
  <c r="B29" i="3"/>
  <c r="W28" i="3"/>
  <c r="N28" i="3" s="1"/>
  <c r="V28" i="3"/>
  <c r="P28" i="3"/>
  <c r="K28" i="3"/>
  <c r="J28" i="3"/>
  <c r="H28" i="3"/>
  <c r="F28" i="3"/>
  <c r="B28" i="3"/>
  <c r="W27" i="3"/>
  <c r="N27" i="3" s="1"/>
  <c r="O27" i="3" s="1"/>
  <c r="L27" i="3"/>
  <c r="L37" i="3" s="1"/>
  <c r="K27" i="3"/>
  <c r="J27" i="3"/>
  <c r="P27" i="3" s="1"/>
  <c r="F27" i="3"/>
  <c r="H27" i="3" s="1"/>
  <c r="B27" i="3"/>
  <c r="AE26" i="3"/>
  <c r="AD26" i="3"/>
  <c r="AA26" i="3"/>
  <c r="Z26" i="3"/>
  <c r="M26" i="3"/>
  <c r="K26" i="3"/>
  <c r="W25" i="3"/>
  <c r="H25" i="3"/>
  <c r="W24" i="3"/>
  <c r="H24" i="3"/>
  <c r="W23" i="3"/>
  <c r="W21" i="3"/>
  <c r="W20" i="3"/>
  <c r="V20" i="3"/>
  <c r="AG19" i="3"/>
  <c r="AF19" i="3"/>
  <c r="W19" i="3"/>
  <c r="V19" i="3"/>
  <c r="W18" i="3"/>
  <c r="V18" i="3"/>
  <c r="P18" i="3"/>
  <c r="N18" i="3"/>
  <c r="K18" i="3"/>
  <c r="L18" i="3" s="1"/>
  <c r="J18" i="3"/>
  <c r="F18" i="3"/>
  <c r="H18" i="3" s="1"/>
  <c r="B18" i="3"/>
  <c r="AG17" i="3"/>
  <c r="AF17" i="3"/>
  <c r="W17" i="3"/>
  <c r="N17" i="3" s="1"/>
  <c r="V17" i="3"/>
  <c r="P17" i="3"/>
  <c r="O17" i="3"/>
  <c r="Q17" i="3" s="1"/>
  <c r="L17" i="3"/>
  <c r="K17" i="3"/>
  <c r="J17" i="3"/>
  <c r="F17" i="3"/>
  <c r="H17" i="3" s="1"/>
  <c r="B17" i="3"/>
  <c r="W16" i="3"/>
  <c r="N16" i="3" s="1"/>
  <c r="K16" i="3"/>
  <c r="J16" i="3"/>
  <c r="J26" i="3" s="1"/>
  <c r="F16" i="3"/>
  <c r="H16" i="3" s="1"/>
  <c r="B16" i="3"/>
  <c r="AE15" i="3"/>
  <c r="AD15" i="3"/>
  <c r="AA15" i="3"/>
  <c r="AA2" i="3" s="1"/>
  <c r="Z15" i="3"/>
  <c r="M15" i="3"/>
  <c r="J15" i="3"/>
  <c r="P15" i="3" s="1"/>
  <c r="W14" i="3"/>
  <c r="W13" i="3"/>
  <c r="W12" i="3"/>
  <c r="AG11" i="3"/>
  <c r="AF11" i="3"/>
  <c r="W11" i="3"/>
  <c r="AG10" i="3"/>
  <c r="AF10" i="3"/>
  <c r="W10" i="3"/>
  <c r="AG9" i="3"/>
  <c r="AF9" i="3"/>
  <c r="W9" i="3"/>
  <c r="AG8" i="3"/>
  <c r="AF8" i="3"/>
  <c r="W8" i="3"/>
  <c r="W7" i="3"/>
  <c r="V7" i="3"/>
  <c r="N7" i="3"/>
  <c r="O7" i="3" s="1"/>
  <c r="K7" i="3"/>
  <c r="J7" i="3"/>
  <c r="P7" i="3" s="1"/>
  <c r="H7" i="3"/>
  <c r="F7" i="3"/>
  <c r="B7" i="3"/>
  <c r="W6" i="3"/>
  <c r="N6" i="3" s="1"/>
  <c r="V6" i="3"/>
  <c r="P6" i="3"/>
  <c r="K6" i="3"/>
  <c r="L6" i="3" s="1"/>
  <c r="J6" i="3"/>
  <c r="H6" i="3"/>
  <c r="F6" i="3"/>
  <c r="B6" i="3"/>
  <c r="W5" i="3"/>
  <c r="N5" i="3" s="1"/>
  <c r="P5" i="3"/>
  <c r="K5" i="3"/>
  <c r="K15" i="3" s="1"/>
  <c r="J5" i="3"/>
  <c r="L5" i="3" s="1"/>
  <c r="L15" i="3" s="1"/>
  <c r="F5" i="3"/>
  <c r="H5" i="3" s="1"/>
  <c r="G1" i="3" s="1"/>
  <c r="B5" i="3"/>
  <c r="Z2" i="3"/>
  <c r="I2" i="3"/>
  <c r="G2" i="3"/>
  <c r="E1" i="3"/>
  <c r="J22" i="2"/>
  <c r="H22" i="2"/>
  <c r="G22" i="2"/>
  <c r="E22" i="2"/>
  <c r="D22" i="2"/>
  <c r="J16" i="2"/>
  <c r="I16" i="2"/>
  <c r="H16" i="2"/>
  <c r="G16" i="2"/>
  <c r="F16" i="2"/>
  <c r="E16" i="2"/>
  <c r="D16" i="2"/>
  <c r="F13" i="2"/>
  <c r="L6" i="2"/>
  <c r="G3" i="2"/>
  <c r="AE79" i="226"/>
  <c r="J21" i="225" s="1"/>
  <c r="AD79" i="226"/>
  <c r="J20" i="225" s="1"/>
  <c r="AA79" i="226"/>
  <c r="J18" i="225" s="1"/>
  <c r="Z79" i="226"/>
  <c r="M79" i="226"/>
  <c r="J22" i="225" s="1"/>
  <c r="K79" i="226"/>
  <c r="J79" i="226"/>
  <c r="W78" i="226"/>
  <c r="H78" i="226"/>
  <c r="W77" i="226"/>
  <c r="H77" i="226"/>
  <c r="W76" i="226"/>
  <c r="H76" i="226"/>
  <c r="W75" i="226"/>
  <c r="H75" i="226"/>
  <c r="W74" i="226"/>
  <c r="W73" i="226"/>
  <c r="W72" i="226"/>
  <c r="V72" i="226"/>
  <c r="P72" i="226"/>
  <c r="O72" i="226"/>
  <c r="N72" i="226"/>
  <c r="L72" i="226"/>
  <c r="K72" i="226"/>
  <c r="J72" i="226"/>
  <c r="H72" i="226"/>
  <c r="F72" i="226"/>
  <c r="W71" i="226"/>
  <c r="V71" i="226"/>
  <c r="P71" i="226"/>
  <c r="N71" i="226"/>
  <c r="O71" i="226" s="1"/>
  <c r="L71" i="226"/>
  <c r="K71" i="226"/>
  <c r="J71" i="226"/>
  <c r="H71" i="226"/>
  <c r="F71" i="226"/>
  <c r="W70" i="226"/>
  <c r="P70" i="226"/>
  <c r="N70" i="226"/>
  <c r="AG70" i="226" s="1"/>
  <c r="K70" i="226"/>
  <c r="L70" i="226" s="1"/>
  <c r="J70" i="226"/>
  <c r="F70" i="226"/>
  <c r="H70" i="226" s="1"/>
  <c r="AE69" i="226"/>
  <c r="I21" i="225" s="1"/>
  <c r="AD69" i="226"/>
  <c r="I20" i="225" s="1"/>
  <c r="AA69" i="226"/>
  <c r="I19" i="225" s="1"/>
  <c r="Z69" i="226"/>
  <c r="I18" i="225" s="1"/>
  <c r="M69" i="226"/>
  <c r="W68" i="226"/>
  <c r="H68" i="226"/>
  <c r="W67" i="226"/>
  <c r="W66" i="226"/>
  <c r="W65" i="226"/>
  <c r="W64" i="226"/>
  <c r="W63" i="226"/>
  <c r="AG62" i="226"/>
  <c r="AF62" i="226"/>
  <c r="W62" i="226"/>
  <c r="W61" i="226"/>
  <c r="N61" i="226" s="1"/>
  <c r="V61" i="226"/>
  <c r="P61" i="226"/>
  <c r="K61" i="226"/>
  <c r="L61" i="226" s="1"/>
  <c r="J61" i="226"/>
  <c r="F61" i="226"/>
  <c r="H61" i="226" s="1"/>
  <c r="W60" i="226"/>
  <c r="V60" i="226"/>
  <c r="N60" i="226"/>
  <c r="AG60" i="226" s="1"/>
  <c r="K60" i="226"/>
  <c r="L60" i="226" s="1"/>
  <c r="J60" i="226"/>
  <c r="P60" i="226" s="1"/>
  <c r="H60" i="226"/>
  <c r="F60" i="226"/>
  <c r="W59" i="226"/>
  <c r="N59" i="226"/>
  <c r="AF59" i="226" s="1"/>
  <c r="K59" i="226"/>
  <c r="K69" i="226" s="1"/>
  <c r="J59" i="226"/>
  <c r="L59" i="226" s="1"/>
  <c r="L69" i="226" s="1"/>
  <c r="I13" i="225" s="1"/>
  <c r="J6" i="225" s="1"/>
  <c r="H59" i="226"/>
  <c r="F59" i="226"/>
  <c r="AE58" i="226"/>
  <c r="H21" i="225" s="1"/>
  <c r="AD58" i="226"/>
  <c r="H20" i="225" s="1"/>
  <c r="AA58" i="226"/>
  <c r="H19" i="225" s="1"/>
  <c r="Z58" i="226"/>
  <c r="H18" i="225" s="1"/>
  <c r="M58" i="226"/>
  <c r="H22" i="225" s="1"/>
  <c r="W57" i="226"/>
  <c r="W56" i="226"/>
  <c r="W55" i="226"/>
  <c r="W54" i="226"/>
  <c r="W53" i="226"/>
  <c r="W52" i="226"/>
  <c r="N52" i="226" s="1"/>
  <c r="O52" i="226" s="1"/>
  <c r="V52" i="226"/>
  <c r="L52" i="226"/>
  <c r="R52" i="226" s="1"/>
  <c r="K52" i="226"/>
  <c r="P52" i="226"/>
  <c r="F52" i="226"/>
  <c r="H52" i="226" s="1"/>
  <c r="W51" i="226"/>
  <c r="N51" i="226" s="1"/>
  <c r="O51" i="226" s="1"/>
  <c r="V51" i="226"/>
  <c r="P51" i="226"/>
  <c r="F51" i="226"/>
  <c r="H51" i="226" s="1"/>
  <c r="W50" i="226"/>
  <c r="V50" i="226"/>
  <c r="N50" i="226"/>
  <c r="AG50" i="226"/>
  <c r="H50" i="226"/>
  <c r="F50" i="226"/>
  <c r="W49" i="226"/>
  <c r="N49" i="226" s="1"/>
  <c r="P49" i="226"/>
  <c r="L49" i="226"/>
  <c r="F49" i="226"/>
  <c r="H49" i="226" s="1"/>
  <c r="AE48" i="226"/>
  <c r="G21" i="225" s="1"/>
  <c r="AD48" i="226"/>
  <c r="G20" i="225" s="1"/>
  <c r="AA48" i="226"/>
  <c r="G19" i="225" s="1"/>
  <c r="Z48" i="226"/>
  <c r="G18" i="225" s="1"/>
  <c r="W48" i="226"/>
  <c r="M48" i="226"/>
  <c r="W47" i="226"/>
  <c r="H47" i="226"/>
  <c r="W46" i="226"/>
  <c r="W45" i="226"/>
  <c r="W44" i="226"/>
  <c r="W43" i="226"/>
  <c r="W42" i="226"/>
  <c r="W41" i="226"/>
  <c r="W40" i="226"/>
  <c r="N40" i="226" s="1"/>
  <c r="AF40" i="226" s="1"/>
  <c r="V40" i="226"/>
  <c r="P40" i="226"/>
  <c r="K40" i="226"/>
  <c r="J40" i="226"/>
  <c r="L40" i="226" s="1"/>
  <c r="H40" i="226"/>
  <c r="G40" i="226"/>
  <c r="F40" i="226"/>
  <c r="W39" i="226"/>
  <c r="N39" i="226" s="1"/>
  <c r="AF39" i="226" s="1"/>
  <c r="V39" i="226"/>
  <c r="L39" i="226"/>
  <c r="K39" i="226"/>
  <c r="J39" i="226"/>
  <c r="P39" i="226" s="1"/>
  <c r="F39" i="226"/>
  <c r="H39" i="226" s="1"/>
  <c r="W38" i="226"/>
  <c r="P38" i="226"/>
  <c r="N38" i="226"/>
  <c r="O38" i="226" s="1"/>
  <c r="K38" i="226"/>
  <c r="J48" i="226"/>
  <c r="F38" i="226"/>
  <c r="H38" i="226" s="1"/>
  <c r="AE37" i="226"/>
  <c r="F21" i="225" s="1"/>
  <c r="AD37" i="226"/>
  <c r="F20" i="225" s="1"/>
  <c r="AA37" i="226"/>
  <c r="F19" i="225" s="1"/>
  <c r="Z37" i="226"/>
  <c r="F18" i="225" s="1"/>
  <c r="M37" i="226"/>
  <c r="F22" i="225" s="1"/>
  <c r="W36" i="226"/>
  <c r="H36" i="226"/>
  <c r="W35" i="226"/>
  <c r="W34" i="226"/>
  <c r="W33" i="226"/>
  <c r="W32" i="226"/>
  <c r="W31" i="226"/>
  <c r="N31" i="226" s="1"/>
  <c r="AF31" i="226" s="1"/>
  <c r="V31" i="226"/>
  <c r="P31" i="226"/>
  <c r="O31" i="226"/>
  <c r="K31" i="226"/>
  <c r="L31" i="226" s="1"/>
  <c r="H31" i="226"/>
  <c r="F31" i="226"/>
  <c r="AG30" i="226"/>
  <c r="AF30" i="226"/>
  <c r="W30" i="226"/>
  <c r="V30" i="226"/>
  <c r="N30" i="226"/>
  <c r="O30" i="226" s="1"/>
  <c r="K30" i="226"/>
  <c r="L30" i="226" s="1"/>
  <c r="J30" i="226"/>
  <c r="P30" i="226" s="1"/>
  <c r="H30" i="226"/>
  <c r="F30" i="226"/>
  <c r="W29" i="226"/>
  <c r="V29" i="226"/>
  <c r="N29" i="226"/>
  <c r="K29" i="226"/>
  <c r="L29" i="226" s="1"/>
  <c r="J29" i="226"/>
  <c r="F29" i="226"/>
  <c r="H29" i="226" s="1"/>
  <c r="W28" i="226"/>
  <c r="N28" i="226" s="1"/>
  <c r="V28" i="226"/>
  <c r="P28" i="226"/>
  <c r="L28" i="226"/>
  <c r="K28" i="226"/>
  <c r="H28" i="226"/>
  <c r="F28" i="226"/>
  <c r="AG27" i="226"/>
  <c r="W27" i="226"/>
  <c r="N27" i="226" s="1"/>
  <c r="AF27" i="226" s="1"/>
  <c r="P27" i="226"/>
  <c r="O27" i="226"/>
  <c r="R27" i="226" s="1"/>
  <c r="L27" i="226"/>
  <c r="K27" i="226"/>
  <c r="F27" i="226"/>
  <c r="H27" i="226" s="1"/>
  <c r="AE26" i="226"/>
  <c r="E21" i="225" s="1"/>
  <c r="AD26" i="226"/>
  <c r="E20" i="225" s="1"/>
  <c r="AA26" i="226"/>
  <c r="E19" i="225" s="1"/>
  <c r="Z26" i="226"/>
  <c r="M26" i="226"/>
  <c r="W25" i="226"/>
  <c r="H25" i="226"/>
  <c r="W24" i="226"/>
  <c r="H24" i="226"/>
  <c r="W23" i="226"/>
  <c r="W21" i="226"/>
  <c r="W20" i="226"/>
  <c r="AF19" i="226"/>
  <c r="W19" i="226"/>
  <c r="V19" i="226"/>
  <c r="P19" i="226"/>
  <c r="O19" i="226"/>
  <c r="R19" i="226" s="1"/>
  <c r="N19" i="226"/>
  <c r="AG19" i="226" s="1"/>
  <c r="L19" i="226"/>
  <c r="K19" i="226"/>
  <c r="J19" i="226"/>
  <c r="F19" i="226"/>
  <c r="H19" i="226" s="1"/>
  <c r="W18" i="226"/>
  <c r="N18" i="226" s="1"/>
  <c r="V18" i="226"/>
  <c r="K18" i="226"/>
  <c r="J18" i="226"/>
  <c r="P18" i="226" s="1"/>
  <c r="F18" i="226"/>
  <c r="H18" i="226" s="1"/>
  <c r="AF17" i="226"/>
  <c r="W17" i="226"/>
  <c r="N17" i="226" s="1"/>
  <c r="V17" i="226"/>
  <c r="L17" i="226"/>
  <c r="K17" i="226"/>
  <c r="J17" i="226"/>
  <c r="P17" i="226" s="1"/>
  <c r="F17" i="226"/>
  <c r="H17" i="226" s="1"/>
  <c r="AF16" i="226"/>
  <c r="W16" i="226"/>
  <c r="N16" i="226" s="1"/>
  <c r="P16" i="226"/>
  <c r="K16" i="226"/>
  <c r="J16" i="226"/>
  <c r="F16" i="226"/>
  <c r="H16" i="226" s="1"/>
  <c r="AE15" i="226"/>
  <c r="D21" i="225" s="1"/>
  <c r="AD15" i="226"/>
  <c r="D20" i="225" s="1"/>
  <c r="AA15" i="226"/>
  <c r="Z15" i="226"/>
  <c r="D18" i="225" s="1"/>
  <c r="M15" i="226"/>
  <c r="W14" i="226"/>
  <c r="W13" i="226"/>
  <c r="W12" i="226"/>
  <c r="AG11" i="226"/>
  <c r="AF11" i="226"/>
  <c r="W11" i="226"/>
  <c r="AG10" i="226"/>
  <c r="AF10" i="226"/>
  <c r="W10" i="226"/>
  <c r="AG9" i="226"/>
  <c r="AF9" i="226"/>
  <c r="W9" i="226"/>
  <c r="W8" i="226"/>
  <c r="N8" i="226" s="1"/>
  <c r="AG8" i="226" s="1"/>
  <c r="V8" i="226"/>
  <c r="P8" i="226"/>
  <c r="L8" i="226"/>
  <c r="K8" i="226"/>
  <c r="J8" i="226"/>
  <c r="F8" i="226"/>
  <c r="H8" i="226" s="1"/>
  <c r="W7" i="226"/>
  <c r="N7" i="226" s="1"/>
  <c r="V7" i="226"/>
  <c r="K7" i="226"/>
  <c r="J7" i="226"/>
  <c r="P7" i="226" s="1"/>
  <c r="F7" i="226"/>
  <c r="H7" i="226" s="1"/>
  <c r="W6" i="226"/>
  <c r="N6" i="226" s="1"/>
  <c r="V6" i="226"/>
  <c r="L6" i="226"/>
  <c r="K6" i="226"/>
  <c r="J6" i="226"/>
  <c r="P6" i="226" s="1"/>
  <c r="F6" i="226"/>
  <c r="H6" i="226" s="1"/>
  <c r="W5" i="226"/>
  <c r="N5" i="226" s="1"/>
  <c r="O5" i="226" s="1"/>
  <c r="K5" i="226"/>
  <c r="J5" i="226"/>
  <c r="F5" i="226"/>
  <c r="H5" i="226" s="1"/>
  <c r="I2" i="226"/>
  <c r="E1" i="226"/>
  <c r="G3" i="225" s="1"/>
  <c r="AG19" i="232" l="1"/>
  <c r="O17" i="232"/>
  <c r="AG17" i="232"/>
  <c r="AF17" i="232"/>
  <c r="N48" i="232"/>
  <c r="O38" i="232"/>
  <c r="AF38" i="232"/>
  <c r="AG38" i="232"/>
  <c r="AG40" i="232"/>
  <c r="O40" i="232"/>
  <c r="AF40" i="232"/>
  <c r="O69" i="232"/>
  <c r="R69" i="232" s="1"/>
  <c r="S59" i="232" s="1"/>
  <c r="O79" i="232"/>
  <c r="R79" i="232" s="1"/>
  <c r="S70" i="232" s="1"/>
  <c r="R70" i="232"/>
  <c r="Q70" i="232"/>
  <c r="Q72" i="232"/>
  <c r="R72" i="232"/>
  <c r="L37" i="232"/>
  <c r="AG7" i="232"/>
  <c r="AF7" i="232"/>
  <c r="O7" i="232"/>
  <c r="N69" i="232"/>
  <c r="O60" i="232"/>
  <c r="AF60" i="232"/>
  <c r="AG60" i="232"/>
  <c r="O5" i="232"/>
  <c r="AF5" i="232"/>
  <c r="AG5" i="232"/>
  <c r="N15" i="232"/>
  <c r="K26" i="232"/>
  <c r="L19" i="232"/>
  <c r="L26" i="232" s="1"/>
  <c r="E13" i="231" s="1"/>
  <c r="L48" i="232"/>
  <c r="G13" i="231" s="1"/>
  <c r="O61" i="232"/>
  <c r="AG61" i="232"/>
  <c r="AF61" i="232"/>
  <c r="AG18" i="232"/>
  <c r="AF18" i="232"/>
  <c r="O18" i="232"/>
  <c r="O30" i="232"/>
  <c r="AG30" i="232"/>
  <c r="AF30" i="232"/>
  <c r="G1" i="232"/>
  <c r="G2" i="232" s="1"/>
  <c r="N26" i="232"/>
  <c r="AG16" i="232"/>
  <c r="O16" i="232"/>
  <c r="AF16" i="232"/>
  <c r="O6" i="232"/>
  <c r="AG6" i="232"/>
  <c r="AF6" i="232"/>
  <c r="K15" i="232"/>
  <c r="R29" i="232"/>
  <c r="Q29" i="232"/>
  <c r="O39" i="232"/>
  <c r="AG39" i="232"/>
  <c r="AF39" i="232"/>
  <c r="Q71" i="232"/>
  <c r="R71" i="232"/>
  <c r="P79" i="232"/>
  <c r="L59" i="232"/>
  <c r="L69" i="232" s="1"/>
  <c r="H22" i="231"/>
  <c r="P15" i="232"/>
  <c r="N37" i="232"/>
  <c r="J69" i="232"/>
  <c r="P69" i="232" s="1"/>
  <c r="O8" i="232"/>
  <c r="O28" i="232"/>
  <c r="I1" i="232"/>
  <c r="J26" i="232"/>
  <c r="P26" i="232" s="1"/>
  <c r="P71" i="232"/>
  <c r="M6" i="231"/>
  <c r="N58" i="232"/>
  <c r="N79" i="232"/>
  <c r="O27" i="232"/>
  <c r="L28" i="232"/>
  <c r="O49" i="232"/>
  <c r="O19" i="232"/>
  <c r="E18" i="231"/>
  <c r="AF27" i="232"/>
  <c r="AF49" i="232"/>
  <c r="AF70" i="232"/>
  <c r="P5" i="232"/>
  <c r="AF8" i="232"/>
  <c r="AF19" i="232"/>
  <c r="AF50" i="232"/>
  <c r="AF51" i="232"/>
  <c r="AG70" i="232"/>
  <c r="O50" i="232"/>
  <c r="O51" i="232"/>
  <c r="AF28" i="232"/>
  <c r="H13" i="231"/>
  <c r="J13" i="231"/>
  <c r="I13" i="231"/>
  <c r="J6" i="231" s="1"/>
  <c r="D21" i="231"/>
  <c r="F13" i="231"/>
  <c r="D20" i="231"/>
  <c r="I18" i="231"/>
  <c r="R71" i="230"/>
  <c r="Q71" i="230"/>
  <c r="O29" i="230"/>
  <c r="AG29" i="230"/>
  <c r="AF29" i="230"/>
  <c r="O39" i="230"/>
  <c r="AG39" i="230"/>
  <c r="AF39" i="230"/>
  <c r="L58" i="230"/>
  <c r="H13" i="229" s="1"/>
  <c r="AG6" i="230"/>
  <c r="AF6" i="230"/>
  <c r="O6" i="230"/>
  <c r="G1" i="230"/>
  <c r="G2" i="230" s="1"/>
  <c r="N48" i="230"/>
  <c r="O38" i="230"/>
  <c r="AG38" i="230"/>
  <c r="AF38" i="230"/>
  <c r="N15" i="230"/>
  <c r="O5" i="230"/>
  <c r="AG5" i="230"/>
  <c r="AF5" i="230"/>
  <c r="Q28" i="230"/>
  <c r="R28" i="230"/>
  <c r="L26" i="230"/>
  <c r="O30" i="230"/>
  <c r="AG30" i="230"/>
  <c r="AF30" i="230"/>
  <c r="L79" i="230"/>
  <c r="J13" i="229" s="1"/>
  <c r="O61" i="230"/>
  <c r="AG61" i="230"/>
  <c r="AF61" i="230"/>
  <c r="AG16" i="230"/>
  <c r="O16" i="230"/>
  <c r="AF16" i="230"/>
  <c r="N26" i="230"/>
  <c r="O60" i="230"/>
  <c r="AG60" i="230"/>
  <c r="AF60" i="230"/>
  <c r="AF79" i="230"/>
  <c r="Q79" i="230"/>
  <c r="AD2" i="230"/>
  <c r="O17" i="230"/>
  <c r="AE2" i="230"/>
  <c r="O7" i="230"/>
  <c r="L27" i="230"/>
  <c r="L37" i="230" s="1"/>
  <c r="F13" i="229" s="1"/>
  <c r="O18" i="230"/>
  <c r="O49" i="230"/>
  <c r="L51" i="230"/>
  <c r="Q58" i="230"/>
  <c r="L59" i="230"/>
  <c r="L69" i="230" s="1"/>
  <c r="I13" i="229" s="1"/>
  <c r="J6" i="229" s="1"/>
  <c r="P79" i="230"/>
  <c r="O27" i="230"/>
  <c r="O50" i="230"/>
  <c r="J69" i="230"/>
  <c r="P69" i="230" s="1"/>
  <c r="O70" i="230"/>
  <c r="O51" i="230"/>
  <c r="O52" i="230"/>
  <c r="O59" i="230"/>
  <c r="AG7" i="230"/>
  <c r="AF18" i="230"/>
  <c r="K26" i="230"/>
  <c r="AF49" i="230"/>
  <c r="AF58" i="230"/>
  <c r="E18" i="229"/>
  <c r="I1" i="230"/>
  <c r="AF17" i="230"/>
  <c r="AF70" i="230"/>
  <c r="J26" i="230"/>
  <c r="P26" i="230" s="1"/>
  <c r="L39" i="230"/>
  <c r="L48" i="230" s="1"/>
  <c r="G13" i="229" s="1"/>
  <c r="N69" i="230"/>
  <c r="AG70" i="230"/>
  <c r="AF27" i="230"/>
  <c r="AF50" i="230"/>
  <c r="K79" i="230"/>
  <c r="AG79" i="230" s="1"/>
  <c r="AH70" i="230" s="1"/>
  <c r="O19" i="230"/>
  <c r="N37" i="230"/>
  <c r="D13" i="229"/>
  <c r="E13" i="229"/>
  <c r="I18" i="229"/>
  <c r="L6" i="229" s="1"/>
  <c r="D22" i="229"/>
  <c r="M6" i="229"/>
  <c r="N6" i="229"/>
  <c r="O16" i="228"/>
  <c r="AG16" i="228"/>
  <c r="AF16" i="228"/>
  <c r="K15" i="228"/>
  <c r="L7" i="228"/>
  <c r="R7" i="228" s="1"/>
  <c r="AF30" i="228"/>
  <c r="O30" i="228"/>
  <c r="AG30" i="228"/>
  <c r="R39" i="228"/>
  <c r="Q39" i="228"/>
  <c r="P58" i="228"/>
  <c r="AA2" i="228"/>
  <c r="F19" i="227"/>
  <c r="R71" i="228"/>
  <c r="N69" i="228"/>
  <c r="AG59" i="228"/>
  <c r="AF59" i="228"/>
  <c r="O59" i="228"/>
  <c r="AG39" i="228"/>
  <c r="AF39" i="228"/>
  <c r="AG52" i="228"/>
  <c r="AF52" i="228"/>
  <c r="O52" i="228"/>
  <c r="N58" i="228"/>
  <c r="O5" i="228"/>
  <c r="N15" i="228"/>
  <c r="AG5" i="228"/>
  <c r="AF5" i="228"/>
  <c r="AF17" i="228"/>
  <c r="O17" i="228"/>
  <c r="AG17" i="228"/>
  <c r="O60" i="228"/>
  <c r="AG60" i="228"/>
  <c r="AF60" i="228"/>
  <c r="N26" i="228"/>
  <c r="AG29" i="228"/>
  <c r="AF29" i="228"/>
  <c r="O29" i="228"/>
  <c r="R51" i="228"/>
  <c r="Q51" i="228"/>
  <c r="N79" i="228"/>
  <c r="O72" i="228"/>
  <c r="R28" i="228"/>
  <c r="Q28" i="228"/>
  <c r="J79" i="228"/>
  <c r="P79" i="228" s="1"/>
  <c r="P70" i="228"/>
  <c r="N48" i="228"/>
  <c r="O38" i="228"/>
  <c r="AG38" i="228"/>
  <c r="AF38" i="228"/>
  <c r="AF61" i="228"/>
  <c r="O61" i="228"/>
  <c r="AG61" i="228"/>
  <c r="O6" i="228"/>
  <c r="AF6" i="228"/>
  <c r="AG6" i="228"/>
  <c r="G1" i="228"/>
  <c r="G2" i="228" s="1"/>
  <c r="AG18" i="228"/>
  <c r="R50" i="228"/>
  <c r="Q50" i="228"/>
  <c r="O27" i="228"/>
  <c r="O70" i="228"/>
  <c r="O8" i="228"/>
  <c r="O19" i="228"/>
  <c r="O49" i="228"/>
  <c r="P8" i="228"/>
  <c r="N37" i="228"/>
  <c r="L59" i="228"/>
  <c r="L69" i="228" s="1"/>
  <c r="M6" i="227"/>
  <c r="O18" i="228"/>
  <c r="K37" i="228"/>
  <c r="I1" i="228"/>
  <c r="L16" i="228"/>
  <c r="L26" i="228" s="1"/>
  <c r="J26" i="228"/>
  <c r="P26" i="228" s="1"/>
  <c r="L38" i="228"/>
  <c r="L48" i="228" s="1"/>
  <c r="L70" i="228"/>
  <c r="L79" i="228" s="1"/>
  <c r="AF7" i="228"/>
  <c r="AF18" i="228"/>
  <c r="P52" i="228"/>
  <c r="P59" i="228"/>
  <c r="Q71" i="228"/>
  <c r="AG7" i="228"/>
  <c r="AF27" i="228"/>
  <c r="AF70" i="228"/>
  <c r="L6" i="227"/>
  <c r="G13" i="227"/>
  <c r="D21" i="227"/>
  <c r="J13" i="227"/>
  <c r="G22" i="227"/>
  <c r="E22" i="227"/>
  <c r="D20" i="227"/>
  <c r="G3" i="227"/>
  <c r="F13" i="227"/>
  <c r="P79" i="226"/>
  <c r="AG59" i="226"/>
  <c r="O40" i="226"/>
  <c r="R40" i="226" s="1"/>
  <c r="AG31" i="226"/>
  <c r="O17" i="224"/>
  <c r="AF17" i="224"/>
  <c r="AG17" i="224"/>
  <c r="AG9" i="224"/>
  <c r="AF9" i="224"/>
  <c r="O9" i="224"/>
  <c r="R9" i="224" s="1"/>
  <c r="Q9" i="224"/>
  <c r="AG6" i="175"/>
  <c r="AF6" i="175"/>
  <c r="O6" i="175"/>
  <c r="N15" i="175"/>
  <c r="R6" i="186"/>
  <c r="Q6" i="186"/>
  <c r="AG58" i="188"/>
  <c r="AH49" i="188" s="1"/>
  <c r="Q58" i="188"/>
  <c r="AF58" i="188"/>
  <c r="R71" i="226"/>
  <c r="Q71" i="226"/>
  <c r="N79" i="3"/>
  <c r="AG70" i="3"/>
  <c r="AF70" i="3"/>
  <c r="O70" i="3"/>
  <c r="Q38" i="175"/>
  <c r="R38" i="175"/>
  <c r="N69" i="177"/>
  <c r="AF60" i="177"/>
  <c r="AG60" i="177"/>
  <c r="O60" i="177"/>
  <c r="R38" i="184"/>
  <c r="Q38" i="184"/>
  <c r="AF28" i="226"/>
  <c r="AG28" i="226"/>
  <c r="N37" i="226"/>
  <c r="O28" i="226"/>
  <c r="O37" i="226" s="1"/>
  <c r="AG6" i="3"/>
  <c r="AF6" i="3"/>
  <c r="O6" i="3"/>
  <c r="AG7" i="175"/>
  <c r="AF7" i="175"/>
  <c r="O7" i="175"/>
  <c r="G1" i="226"/>
  <c r="AF49" i="226"/>
  <c r="AG49" i="226"/>
  <c r="O49" i="226"/>
  <c r="N58" i="226"/>
  <c r="M6" i="2"/>
  <c r="G2" i="184"/>
  <c r="J3" i="183"/>
  <c r="N69" i="175"/>
  <c r="O59" i="175"/>
  <c r="AG59" i="175"/>
  <c r="AF59" i="175"/>
  <c r="O51" i="175"/>
  <c r="AF51" i="175"/>
  <c r="AG51" i="175"/>
  <c r="Q8" i="175"/>
  <c r="R8" i="175"/>
  <c r="O60" i="3"/>
  <c r="O69" i="3" s="1"/>
  <c r="AF60" i="3"/>
  <c r="AG60" i="3"/>
  <c r="Q50" i="175"/>
  <c r="R50" i="175"/>
  <c r="I22" i="225"/>
  <c r="G1" i="175"/>
  <c r="Q32" i="177"/>
  <c r="G1" i="190"/>
  <c r="AG50" i="192"/>
  <c r="AF50" i="192"/>
  <c r="O50" i="192"/>
  <c r="E22" i="201"/>
  <c r="I1" i="202"/>
  <c r="O18" i="226"/>
  <c r="AG18" i="226"/>
  <c r="AF18" i="226"/>
  <c r="K37" i="226"/>
  <c r="K58" i="226"/>
  <c r="AG51" i="226"/>
  <c r="O61" i="226"/>
  <c r="AG61" i="226"/>
  <c r="AF61" i="226"/>
  <c r="AG5" i="3"/>
  <c r="N15" i="3"/>
  <c r="AF5" i="3"/>
  <c r="M6" i="176"/>
  <c r="R31" i="181"/>
  <c r="Q31" i="181"/>
  <c r="AG40" i="181"/>
  <c r="AF40" i="181"/>
  <c r="O40" i="181"/>
  <c r="AD2" i="188"/>
  <c r="D20" i="187"/>
  <c r="AG62" i="190"/>
  <c r="AF62" i="190"/>
  <c r="L16" i="3"/>
  <c r="L26" i="3" s="1"/>
  <c r="O38" i="3"/>
  <c r="N48" i="3"/>
  <c r="O39" i="3"/>
  <c r="AG39" i="3"/>
  <c r="AF39" i="3"/>
  <c r="R21" i="175"/>
  <c r="O27" i="175"/>
  <c r="N37" i="175"/>
  <c r="AG27" i="175"/>
  <c r="AF27" i="175"/>
  <c r="L30" i="175"/>
  <c r="O41" i="175"/>
  <c r="L49" i="175"/>
  <c r="L58" i="175" s="1"/>
  <c r="H13" i="174" s="1"/>
  <c r="AG62" i="175"/>
  <c r="AF62" i="175"/>
  <c r="AG5" i="177"/>
  <c r="R8" i="177"/>
  <c r="Q8" i="177"/>
  <c r="AE2" i="177"/>
  <c r="L27" i="177"/>
  <c r="J69" i="177"/>
  <c r="P69" i="177" s="1"/>
  <c r="AE2" i="179"/>
  <c r="O9" i="179"/>
  <c r="AF9" i="179"/>
  <c r="O18" i="179"/>
  <c r="AG18" i="179"/>
  <c r="AF18" i="179"/>
  <c r="R20" i="179"/>
  <c r="O51" i="179"/>
  <c r="AG51" i="179"/>
  <c r="J48" i="181"/>
  <c r="L39" i="181"/>
  <c r="P39" i="181"/>
  <c r="L52" i="184"/>
  <c r="R52" i="184" s="1"/>
  <c r="L70" i="184"/>
  <c r="L79" i="184" s="1"/>
  <c r="J13" i="183" s="1"/>
  <c r="I19" i="187"/>
  <c r="AA2" i="188"/>
  <c r="L62" i="190"/>
  <c r="R62" i="190" s="1"/>
  <c r="P69" i="190"/>
  <c r="I22" i="189"/>
  <c r="AF60" i="192"/>
  <c r="AG60" i="192"/>
  <c r="O60" i="192"/>
  <c r="AG31" i="194"/>
  <c r="O31" i="194"/>
  <c r="F21" i="193"/>
  <c r="AE2" i="194"/>
  <c r="K26" i="202"/>
  <c r="L17" i="202"/>
  <c r="L50" i="226"/>
  <c r="AF27" i="3"/>
  <c r="AG5" i="226"/>
  <c r="AG29" i="226"/>
  <c r="AF29" i="226"/>
  <c r="O29" i="226"/>
  <c r="L38" i="3"/>
  <c r="L48" i="3" s="1"/>
  <c r="L50" i="177"/>
  <c r="L58" i="177" s="1"/>
  <c r="H13" i="176" s="1"/>
  <c r="P6" i="179"/>
  <c r="L6" i="179"/>
  <c r="O27" i="179"/>
  <c r="AG27" i="179"/>
  <c r="N37" i="179"/>
  <c r="AF27" i="179"/>
  <c r="AG49" i="179"/>
  <c r="AF49" i="179"/>
  <c r="O49" i="179"/>
  <c r="N58" i="179"/>
  <c r="E19" i="180"/>
  <c r="AA2" i="181"/>
  <c r="O61" i="181"/>
  <c r="AG61" i="181"/>
  <c r="AF61" i="181"/>
  <c r="O27" i="184"/>
  <c r="AF27" i="184"/>
  <c r="AG27" i="184"/>
  <c r="N37" i="184"/>
  <c r="R17" i="188"/>
  <c r="Q17" i="188"/>
  <c r="L53" i="202"/>
  <c r="K58" i="202"/>
  <c r="AG53" i="202"/>
  <c r="L70" i="3"/>
  <c r="L79" i="3" s="1"/>
  <c r="P26" i="175"/>
  <c r="E22" i="174"/>
  <c r="J48" i="175"/>
  <c r="O60" i="175"/>
  <c r="AF60" i="175"/>
  <c r="AG60" i="175"/>
  <c r="L5" i="177"/>
  <c r="L15" i="177" s="1"/>
  <c r="D13" i="176" s="1"/>
  <c r="K15" i="177"/>
  <c r="D22" i="178"/>
  <c r="AG38" i="184"/>
  <c r="K48" i="184"/>
  <c r="L70" i="186"/>
  <c r="L79" i="186" s="1"/>
  <c r="J13" i="185" s="1"/>
  <c r="P70" i="186"/>
  <c r="J79" i="186"/>
  <c r="P79" i="186" s="1"/>
  <c r="AG60" i="190"/>
  <c r="AF60" i="190"/>
  <c r="O60" i="190"/>
  <c r="K69" i="190"/>
  <c r="O18" i="192"/>
  <c r="AG18" i="192"/>
  <c r="AF18" i="192"/>
  <c r="J26" i="226"/>
  <c r="G22" i="225"/>
  <c r="P48" i="226"/>
  <c r="P16" i="3"/>
  <c r="O6" i="174"/>
  <c r="D19" i="174"/>
  <c r="M6" i="174" s="1"/>
  <c r="AA2" i="175"/>
  <c r="AG30" i="175"/>
  <c r="AF30" i="175"/>
  <c r="O30" i="175"/>
  <c r="AG49" i="175"/>
  <c r="AF50" i="175"/>
  <c r="L69" i="175"/>
  <c r="I13" i="174" s="1"/>
  <c r="J6" i="174" s="1"/>
  <c r="Q62" i="175"/>
  <c r="R62" i="175"/>
  <c r="AG70" i="175"/>
  <c r="O70" i="175"/>
  <c r="N79" i="175"/>
  <c r="AF70" i="175"/>
  <c r="AG27" i="177"/>
  <c r="AF27" i="177"/>
  <c r="O27" i="177"/>
  <c r="K58" i="177"/>
  <c r="AA2" i="179"/>
  <c r="L17" i="179"/>
  <c r="P17" i="179"/>
  <c r="O39" i="179"/>
  <c r="AG39" i="179"/>
  <c r="AF39" i="179"/>
  <c r="L6" i="181"/>
  <c r="K15" i="181"/>
  <c r="J58" i="181"/>
  <c r="P58" i="181" s="1"/>
  <c r="L50" i="181"/>
  <c r="P50" i="181"/>
  <c r="O5" i="184"/>
  <c r="AG5" i="184"/>
  <c r="AF5" i="184"/>
  <c r="N15" i="184"/>
  <c r="AG8" i="184"/>
  <c r="O8" i="184"/>
  <c r="AF8" i="184"/>
  <c r="D22" i="185"/>
  <c r="I1" i="186"/>
  <c r="P15" i="186"/>
  <c r="AF38" i="186"/>
  <c r="N48" i="186"/>
  <c r="O38" i="186"/>
  <c r="AG7" i="188"/>
  <c r="AF7" i="188"/>
  <c r="AG52" i="188"/>
  <c r="AF52" i="188"/>
  <c r="P58" i="188"/>
  <c r="H22" i="187"/>
  <c r="AF52" i="196"/>
  <c r="O52" i="196"/>
  <c r="AG52" i="196"/>
  <c r="AF16" i="200"/>
  <c r="O16" i="200"/>
  <c r="N26" i="200"/>
  <c r="AG16" i="200"/>
  <c r="AD2" i="212"/>
  <c r="E20" i="211"/>
  <c r="E18" i="225"/>
  <c r="Z2" i="226"/>
  <c r="Q27" i="3"/>
  <c r="R27" i="3"/>
  <c r="G1" i="208"/>
  <c r="AF50" i="226"/>
  <c r="AG18" i="3"/>
  <c r="AF18" i="3"/>
  <c r="O18" i="3"/>
  <c r="O18" i="188"/>
  <c r="AG18" i="188"/>
  <c r="AF18" i="188"/>
  <c r="P59" i="226"/>
  <c r="J69" i="226"/>
  <c r="P69" i="226" s="1"/>
  <c r="N69" i="226"/>
  <c r="O60" i="226"/>
  <c r="N37" i="3"/>
  <c r="P38" i="3"/>
  <c r="L41" i="175"/>
  <c r="AG50" i="177"/>
  <c r="AF8" i="226"/>
  <c r="K26" i="226"/>
  <c r="L16" i="226"/>
  <c r="L26" i="226" s="1"/>
  <c r="E13" i="225" s="1"/>
  <c r="O17" i="226"/>
  <c r="AG17" i="226"/>
  <c r="L37" i="226"/>
  <c r="F13" i="225" s="1"/>
  <c r="K48" i="226"/>
  <c r="L38" i="226"/>
  <c r="L48" i="226" s="1"/>
  <c r="G13" i="225" s="1"/>
  <c r="AF60" i="226"/>
  <c r="K58" i="3"/>
  <c r="L49" i="3"/>
  <c r="Q51" i="3"/>
  <c r="AG50" i="175"/>
  <c r="R39" i="177"/>
  <c r="Q39" i="177"/>
  <c r="J58" i="177"/>
  <c r="P58" i="177" s="1"/>
  <c r="O69" i="177"/>
  <c r="O70" i="177"/>
  <c r="AG70" i="177"/>
  <c r="N79" i="177"/>
  <c r="G1" i="179"/>
  <c r="E20" i="178"/>
  <c r="AD2" i="179"/>
  <c r="AG60" i="181"/>
  <c r="AF60" i="181"/>
  <c r="O20" i="184"/>
  <c r="AG20" i="184"/>
  <c r="AF20" i="184"/>
  <c r="N26" i="184"/>
  <c r="AG29" i="184"/>
  <c r="O29" i="184"/>
  <c r="AG18" i="186"/>
  <c r="AF18" i="186"/>
  <c r="O18" i="186"/>
  <c r="O61" i="186"/>
  <c r="AG61" i="186"/>
  <c r="AF61" i="186"/>
  <c r="Q7" i="188"/>
  <c r="R7" i="188"/>
  <c r="R52" i="188"/>
  <c r="Q52" i="188"/>
  <c r="O18" i="190"/>
  <c r="AG18" i="190"/>
  <c r="AF18" i="190"/>
  <c r="N26" i="192"/>
  <c r="AG17" i="192"/>
  <c r="AF17" i="192"/>
  <c r="O17" i="192"/>
  <c r="J58" i="192"/>
  <c r="P49" i="192"/>
  <c r="L49" i="192"/>
  <c r="R16" i="198"/>
  <c r="Q16" i="198"/>
  <c r="L18" i="198"/>
  <c r="L26" i="198" s="1"/>
  <c r="E13" i="197" s="1"/>
  <c r="P18" i="198"/>
  <c r="D20" i="180"/>
  <c r="AD2" i="181"/>
  <c r="L59" i="3"/>
  <c r="O7" i="226"/>
  <c r="AG7" i="226"/>
  <c r="AF7" i="226"/>
  <c r="E21" i="174"/>
  <c r="AE2" i="175"/>
  <c r="O19" i="177"/>
  <c r="AF19" i="177"/>
  <c r="AG19" i="177"/>
  <c r="O79" i="181"/>
  <c r="F22" i="183"/>
  <c r="N15" i="226"/>
  <c r="N26" i="226"/>
  <c r="O16" i="226"/>
  <c r="AG40" i="226"/>
  <c r="J3" i="2"/>
  <c r="O16" i="3"/>
  <c r="AG16" i="3"/>
  <c r="AF16" i="3"/>
  <c r="O50" i="3"/>
  <c r="AG50" i="3"/>
  <c r="L61" i="3"/>
  <c r="R61" i="3" s="1"/>
  <c r="L6" i="174"/>
  <c r="AF18" i="175"/>
  <c r="R20" i="175"/>
  <c r="Q20" i="175"/>
  <c r="AG29" i="175"/>
  <c r="AF29" i="175"/>
  <c r="O52" i="175"/>
  <c r="AG52" i="175"/>
  <c r="D20" i="176"/>
  <c r="R7" i="177"/>
  <c r="AF16" i="177"/>
  <c r="N26" i="177"/>
  <c r="O16" i="177"/>
  <c r="Q21" i="177"/>
  <c r="R21" i="177"/>
  <c r="O31" i="177"/>
  <c r="AF31" i="177"/>
  <c r="AG31" i="177"/>
  <c r="J48" i="177"/>
  <c r="P48" i="177" s="1"/>
  <c r="P38" i="177"/>
  <c r="AF62" i="177"/>
  <c r="AG62" i="177"/>
  <c r="AG17" i="179"/>
  <c r="AF17" i="179"/>
  <c r="O17" i="179"/>
  <c r="AG19" i="179"/>
  <c r="AF19" i="179"/>
  <c r="O19" i="179"/>
  <c r="AG60" i="179"/>
  <c r="O60" i="179"/>
  <c r="O8" i="181"/>
  <c r="AG8" i="181"/>
  <c r="AF8" i="181"/>
  <c r="K26" i="184"/>
  <c r="AG19" i="184"/>
  <c r="AF19" i="184"/>
  <c r="AG17" i="186"/>
  <c r="O17" i="186"/>
  <c r="AF17" i="186"/>
  <c r="AG27" i="186"/>
  <c r="AF27" i="186"/>
  <c r="N37" i="186"/>
  <c r="O27" i="186"/>
  <c r="AG51" i="186"/>
  <c r="O51" i="186"/>
  <c r="AF51" i="186"/>
  <c r="Q29" i="188"/>
  <c r="R29" i="188"/>
  <c r="O48" i="192"/>
  <c r="R18" i="196"/>
  <c r="Q18" i="196"/>
  <c r="P38" i="196"/>
  <c r="J48" i="196"/>
  <c r="P48" i="196" s="1"/>
  <c r="L38" i="196"/>
  <c r="L48" i="196" s="1"/>
  <c r="G13" i="195" s="1"/>
  <c r="Q9" i="204"/>
  <c r="R9" i="204"/>
  <c r="O40" i="204"/>
  <c r="AG40" i="204"/>
  <c r="AF40" i="204"/>
  <c r="O28" i="3"/>
  <c r="O37" i="3" s="1"/>
  <c r="AG28" i="3"/>
  <c r="AF28" i="3"/>
  <c r="L60" i="175"/>
  <c r="K69" i="175"/>
  <c r="F22" i="176"/>
  <c r="P37" i="177"/>
  <c r="P59" i="184"/>
  <c r="J69" i="184"/>
  <c r="P69" i="184" s="1"/>
  <c r="L59" i="184"/>
  <c r="L69" i="184" s="1"/>
  <c r="I13" i="183" s="1"/>
  <c r="J6" i="183" s="1"/>
  <c r="F22" i="191"/>
  <c r="R16" i="208"/>
  <c r="AF61" i="224"/>
  <c r="L61" i="224"/>
  <c r="Q37" i="177"/>
  <c r="AG37" i="177"/>
  <c r="AH27" i="177" s="1"/>
  <c r="AF37" i="177"/>
  <c r="O40" i="177"/>
  <c r="AG40" i="177"/>
  <c r="L42" i="177"/>
  <c r="R61" i="177"/>
  <c r="AG7" i="179"/>
  <c r="AF7" i="179"/>
  <c r="N15" i="179"/>
  <c r="O7" i="179"/>
  <c r="AG59" i="179"/>
  <c r="AF59" i="179"/>
  <c r="O59" i="179"/>
  <c r="N69" i="179"/>
  <c r="L20" i="181"/>
  <c r="R51" i="181"/>
  <c r="AG52" i="192"/>
  <c r="O52" i="192"/>
  <c r="AF52" i="192"/>
  <c r="AF51" i="226"/>
  <c r="AG27" i="3"/>
  <c r="N48" i="175"/>
  <c r="AF38" i="175"/>
  <c r="AG38" i="175"/>
  <c r="AF5" i="226"/>
  <c r="O8" i="226"/>
  <c r="P79" i="177"/>
  <c r="I1" i="177"/>
  <c r="D22" i="225"/>
  <c r="I1" i="226"/>
  <c r="R31" i="226"/>
  <c r="Q31" i="226"/>
  <c r="Q38" i="226"/>
  <c r="O48" i="226"/>
  <c r="R30" i="177"/>
  <c r="AG5" i="175"/>
  <c r="AF5" i="175"/>
  <c r="R62" i="177"/>
  <c r="Q62" i="177"/>
  <c r="N26" i="3"/>
  <c r="J15" i="177"/>
  <c r="P15" i="177" s="1"/>
  <c r="P16" i="179"/>
  <c r="J26" i="179"/>
  <c r="P26" i="179" s="1"/>
  <c r="AF31" i="179"/>
  <c r="O70" i="179"/>
  <c r="N79" i="179"/>
  <c r="AG70" i="179"/>
  <c r="P5" i="181"/>
  <c r="J15" i="181"/>
  <c r="P15" i="181" s="1"/>
  <c r="L5" i="181"/>
  <c r="L15" i="181" s="1"/>
  <c r="D13" i="180" s="1"/>
  <c r="N69" i="181"/>
  <c r="AD2" i="184"/>
  <c r="D20" i="183"/>
  <c r="O40" i="184"/>
  <c r="AG40" i="184"/>
  <c r="J48" i="184"/>
  <c r="P48" i="184" s="1"/>
  <c r="L15" i="186"/>
  <c r="D13" i="185" s="1"/>
  <c r="R5" i="186"/>
  <c r="Q5" i="186"/>
  <c r="AF59" i="190"/>
  <c r="N69" i="190"/>
  <c r="O59" i="190"/>
  <c r="AG59" i="190"/>
  <c r="AD2" i="192"/>
  <c r="AG6" i="192"/>
  <c r="AF6" i="192"/>
  <c r="O6" i="192"/>
  <c r="R30" i="192"/>
  <c r="Q30" i="192"/>
  <c r="P5" i="204"/>
  <c r="J15" i="204"/>
  <c r="L5" i="204"/>
  <c r="L15" i="204" s="1"/>
  <c r="D13" i="203" s="1"/>
  <c r="Q5" i="226"/>
  <c r="D19" i="225"/>
  <c r="M6" i="225" s="1"/>
  <c r="AA2" i="226"/>
  <c r="R42" i="175"/>
  <c r="Q42" i="175"/>
  <c r="AG7" i="181"/>
  <c r="AF7" i="181"/>
  <c r="L48" i="181"/>
  <c r="G13" i="180" s="1"/>
  <c r="AG41" i="181"/>
  <c r="AF41" i="181"/>
  <c r="O41" i="181"/>
  <c r="L27" i="184"/>
  <c r="L37" i="184" s="1"/>
  <c r="F13" i="183" s="1"/>
  <c r="J37" i="184"/>
  <c r="P37" i="184" s="1"/>
  <c r="P27" i="184"/>
  <c r="O39" i="184"/>
  <c r="N48" i="184"/>
  <c r="AG39" i="184"/>
  <c r="AF39" i="184"/>
  <c r="N79" i="188"/>
  <c r="AF70" i="188"/>
  <c r="O70" i="188"/>
  <c r="R31" i="190"/>
  <c r="Q31" i="190"/>
  <c r="R7" i="208"/>
  <c r="Q7" i="208"/>
  <c r="AF26" i="208"/>
  <c r="R38" i="208"/>
  <c r="P15" i="175"/>
  <c r="I1" i="175"/>
  <c r="L38" i="175"/>
  <c r="G1" i="177"/>
  <c r="O18" i="177"/>
  <c r="AG18" i="177"/>
  <c r="AF18" i="177"/>
  <c r="O30" i="179"/>
  <c r="AG30" i="179"/>
  <c r="AG40" i="179"/>
  <c r="AF40" i="179"/>
  <c r="O40" i="179"/>
  <c r="O7" i="181"/>
  <c r="AE2" i="181"/>
  <c r="D21" i="180"/>
  <c r="AG9" i="184"/>
  <c r="AF9" i="184"/>
  <c r="O9" i="184"/>
  <c r="AG16" i="186"/>
  <c r="K26" i="186"/>
  <c r="L16" i="186"/>
  <c r="L26" i="186" s="1"/>
  <c r="E13" i="185" s="1"/>
  <c r="K37" i="190"/>
  <c r="L28" i="190"/>
  <c r="R28" i="190" s="1"/>
  <c r="AG28" i="190"/>
  <c r="AF28" i="190"/>
  <c r="K79" i="192"/>
  <c r="L70" i="192"/>
  <c r="L79" i="192" s="1"/>
  <c r="J13" i="191" s="1"/>
  <c r="P53" i="202"/>
  <c r="J58" i="202"/>
  <c r="P58" i="202" s="1"/>
  <c r="L7" i="226"/>
  <c r="R17" i="3"/>
  <c r="N48" i="226"/>
  <c r="O39" i="226"/>
  <c r="AG39" i="226"/>
  <c r="AG8" i="175"/>
  <c r="AF8" i="175"/>
  <c r="Q40" i="175"/>
  <c r="R40" i="175"/>
  <c r="R43" i="175"/>
  <c r="Q43" i="175"/>
  <c r="O17" i="177"/>
  <c r="AF17" i="177"/>
  <c r="AG17" i="177"/>
  <c r="AF49" i="177"/>
  <c r="N58" i="177"/>
  <c r="AG49" i="177"/>
  <c r="O49" i="177"/>
  <c r="Q8" i="179"/>
  <c r="R8" i="179"/>
  <c r="AF41" i="179"/>
  <c r="O41" i="179"/>
  <c r="AG53" i="179"/>
  <c r="O53" i="179"/>
  <c r="Q60" i="181"/>
  <c r="R60" i="181"/>
  <c r="G1" i="186"/>
  <c r="AG6" i="186"/>
  <c r="AF6" i="186"/>
  <c r="N15" i="186"/>
  <c r="AG40" i="186"/>
  <c r="K48" i="186"/>
  <c r="L40" i="186"/>
  <c r="Q40" i="186" s="1"/>
  <c r="J20" i="209"/>
  <c r="O6" i="209" s="1"/>
  <c r="AD2" i="210"/>
  <c r="J15" i="226"/>
  <c r="Q27" i="226"/>
  <c r="R72" i="226"/>
  <c r="Q72" i="226"/>
  <c r="D13" i="2"/>
  <c r="L7" i="3"/>
  <c r="R7" i="3" s="1"/>
  <c r="P26" i="3"/>
  <c r="Q29" i="175"/>
  <c r="R29" i="175"/>
  <c r="AG39" i="175"/>
  <c r="AF39" i="175"/>
  <c r="J22" i="176"/>
  <c r="M6" i="178"/>
  <c r="R28" i="179"/>
  <c r="R31" i="179"/>
  <c r="Q31" i="179"/>
  <c r="Z2" i="179"/>
  <c r="F18" i="178"/>
  <c r="L6" i="178" s="1"/>
  <c r="AF19" i="181"/>
  <c r="AG19" i="181"/>
  <c r="O19" i="181"/>
  <c r="AG28" i="181"/>
  <c r="O28" i="181"/>
  <c r="N37" i="181"/>
  <c r="L30" i="181"/>
  <c r="L37" i="181" s="1"/>
  <c r="F13" i="180" s="1"/>
  <c r="R52" i="181"/>
  <c r="Q52" i="181"/>
  <c r="L69" i="181"/>
  <c r="I13" i="180" s="1"/>
  <c r="J6" i="180" s="1"/>
  <c r="R59" i="181"/>
  <c r="Q59" i="181"/>
  <c r="AF28" i="184"/>
  <c r="O28" i="184"/>
  <c r="AG28" i="184"/>
  <c r="K69" i="184"/>
  <c r="L62" i="184"/>
  <c r="AF6" i="188"/>
  <c r="AG6" i="188"/>
  <c r="N15" i="188"/>
  <c r="O6" i="188"/>
  <c r="N26" i="188"/>
  <c r="L6" i="187"/>
  <c r="AG51" i="188"/>
  <c r="AF51" i="188"/>
  <c r="O51" i="188"/>
  <c r="N69" i="192"/>
  <c r="AF59" i="192"/>
  <c r="AG59" i="192"/>
  <c r="O59" i="192"/>
  <c r="J79" i="194"/>
  <c r="P70" i="194"/>
  <c r="R29" i="196"/>
  <c r="Q29" i="196"/>
  <c r="L5" i="198"/>
  <c r="K15" i="198"/>
  <c r="P52" i="198"/>
  <c r="L52" i="198"/>
  <c r="L58" i="198" s="1"/>
  <c r="H13" i="197" s="1"/>
  <c r="J58" i="198"/>
  <c r="P58" i="198" s="1"/>
  <c r="K15" i="226"/>
  <c r="L5" i="226"/>
  <c r="L15" i="226" s="1"/>
  <c r="D13" i="225" s="1"/>
  <c r="O6" i="226"/>
  <c r="AG6" i="226"/>
  <c r="P15" i="226"/>
  <c r="AG16" i="226"/>
  <c r="L18" i="226"/>
  <c r="E22" i="225"/>
  <c r="P26" i="226"/>
  <c r="R30" i="226"/>
  <c r="Q30" i="226"/>
  <c r="AF38" i="226"/>
  <c r="L51" i="226"/>
  <c r="R51" i="226" s="1"/>
  <c r="Q52" i="226"/>
  <c r="L79" i="226"/>
  <c r="J13" i="225" s="1"/>
  <c r="F22" i="2"/>
  <c r="Q7" i="3"/>
  <c r="AD2" i="3"/>
  <c r="O40" i="3"/>
  <c r="AG49" i="3"/>
  <c r="J58" i="3"/>
  <c r="P58" i="3" s="1"/>
  <c r="L16" i="175"/>
  <c r="L26" i="175" s="1"/>
  <c r="E13" i="174" s="1"/>
  <c r="K26" i="175"/>
  <c r="J37" i="175"/>
  <c r="P37" i="175" s="1"/>
  <c r="O28" i="175"/>
  <c r="L39" i="175"/>
  <c r="R39" i="175" s="1"/>
  <c r="R29" i="177"/>
  <c r="O41" i="177"/>
  <c r="AF41" i="177"/>
  <c r="AG41" i="177"/>
  <c r="H18" i="176"/>
  <c r="L6" i="176" s="1"/>
  <c r="Z2" i="177"/>
  <c r="P5" i="226"/>
  <c r="AF6" i="226"/>
  <c r="Q19" i="226"/>
  <c r="J37" i="226"/>
  <c r="P37" i="226" s="1"/>
  <c r="P29" i="226"/>
  <c r="AG38" i="226"/>
  <c r="J58" i="226"/>
  <c r="P58" i="226" s="1"/>
  <c r="P50" i="226"/>
  <c r="O70" i="226"/>
  <c r="N79" i="226"/>
  <c r="AF70" i="226"/>
  <c r="O5" i="3"/>
  <c r="AE2" i="3"/>
  <c r="AF29" i="3"/>
  <c r="J69" i="3"/>
  <c r="P59" i="3"/>
  <c r="AG16" i="175"/>
  <c r="AF16" i="175"/>
  <c r="N26" i="175"/>
  <c r="O16" i="175"/>
  <c r="O61" i="175"/>
  <c r="AG61" i="175"/>
  <c r="AF61" i="175"/>
  <c r="Q43" i="177"/>
  <c r="R71" i="177"/>
  <c r="Q71" i="177"/>
  <c r="L7" i="179"/>
  <c r="AF8" i="179"/>
  <c r="K26" i="179"/>
  <c r="L16" i="179"/>
  <c r="AG31" i="179"/>
  <c r="O50" i="179"/>
  <c r="AF50" i="179"/>
  <c r="AG50" i="179"/>
  <c r="O52" i="179"/>
  <c r="AG52" i="179"/>
  <c r="AF70" i="179"/>
  <c r="R30" i="181"/>
  <c r="AG58" i="181"/>
  <c r="AH49" i="181" s="1"/>
  <c r="Q58" i="181"/>
  <c r="AF58" i="181"/>
  <c r="AG62" i="181"/>
  <c r="O62" i="181"/>
  <c r="AF40" i="184"/>
  <c r="L50" i="186"/>
  <c r="P50" i="186"/>
  <c r="Z2" i="188"/>
  <c r="AE2" i="188"/>
  <c r="E21" i="187"/>
  <c r="AG37" i="190"/>
  <c r="AH27" i="190" s="1"/>
  <c r="AF37" i="190"/>
  <c r="Q37" i="190"/>
  <c r="AE2" i="196"/>
  <c r="I22" i="197"/>
  <c r="P69" i="198"/>
  <c r="I22" i="207"/>
  <c r="L38" i="177"/>
  <c r="L48" i="177" s="1"/>
  <c r="G13" i="176" s="1"/>
  <c r="AG28" i="179"/>
  <c r="O30" i="186"/>
  <c r="AF30" i="186"/>
  <c r="AG30" i="186"/>
  <c r="AG6" i="194"/>
  <c r="AF6" i="194"/>
  <c r="AG28" i="194"/>
  <c r="AF28" i="194"/>
  <c r="O28" i="194"/>
  <c r="AG60" i="194"/>
  <c r="AF60" i="194"/>
  <c r="Q51" i="196"/>
  <c r="AA2" i="210"/>
  <c r="H19" i="209"/>
  <c r="M6" i="209" s="1"/>
  <c r="N48" i="177"/>
  <c r="L51" i="177"/>
  <c r="L52" i="177"/>
  <c r="R52" i="177" s="1"/>
  <c r="N26" i="179"/>
  <c r="O16" i="179"/>
  <c r="AG29" i="179"/>
  <c r="Q30" i="181"/>
  <c r="P48" i="181"/>
  <c r="R7" i="184"/>
  <c r="Q7" i="184"/>
  <c r="L16" i="184"/>
  <c r="L26" i="184" s="1"/>
  <c r="E13" i="183" s="1"/>
  <c r="J26" i="184"/>
  <c r="P26" i="184" s="1"/>
  <c r="L31" i="184"/>
  <c r="N58" i="184"/>
  <c r="N69" i="184"/>
  <c r="O59" i="184"/>
  <c r="AG59" i="184"/>
  <c r="AF59" i="184"/>
  <c r="AG62" i="184"/>
  <c r="AF62" i="184"/>
  <c r="O62" i="184"/>
  <c r="R29" i="186"/>
  <c r="Q29" i="186"/>
  <c r="AF40" i="186"/>
  <c r="O79" i="186"/>
  <c r="R70" i="186"/>
  <c r="Q70" i="186"/>
  <c r="L50" i="188"/>
  <c r="J58" i="188"/>
  <c r="P50" i="188"/>
  <c r="AG5" i="190"/>
  <c r="N15" i="190"/>
  <c r="O5" i="190"/>
  <c r="AG50" i="190"/>
  <c r="N58" i="190"/>
  <c r="AF50" i="190"/>
  <c r="O50" i="190"/>
  <c r="L69" i="190"/>
  <c r="I13" i="189" s="1"/>
  <c r="J6" i="189" s="1"/>
  <c r="L28" i="192"/>
  <c r="AG28" i="192"/>
  <c r="G22" i="191"/>
  <c r="I1" i="192"/>
  <c r="AG70" i="192"/>
  <c r="AF70" i="192"/>
  <c r="O70" i="192"/>
  <c r="O6" i="194"/>
  <c r="AG30" i="194"/>
  <c r="AF30" i="194"/>
  <c r="O30" i="194"/>
  <c r="AG39" i="194"/>
  <c r="N48" i="194"/>
  <c r="AF39" i="194"/>
  <c r="L51" i="194"/>
  <c r="P51" i="194"/>
  <c r="O60" i="194"/>
  <c r="AF41" i="196"/>
  <c r="O41" i="196"/>
  <c r="E20" i="197"/>
  <c r="O6" i="197" s="1"/>
  <c r="AD2" i="198"/>
  <c r="O28" i="198"/>
  <c r="P60" i="198"/>
  <c r="L60" i="198"/>
  <c r="L69" i="198" s="1"/>
  <c r="I13" i="197" s="1"/>
  <c r="J6" i="197" s="1"/>
  <c r="AG5" i="202"/>
  <c r="N15" i="202"/>
  <c r="O5" i="202"/>
  <c r="AF5" i="202"/>
  <c r="O6" i="210"/>
  <c r="AG6" i="210"/>
  <c r="AF8" i="210"/>
  <c r="L8" i="210"/>
  <c r="K15" i="210"/>
  <c r="N58" i="175"/>
  <c r="J15" i="179"/>
  <c r="P15" i="179" s="1"/>
  <c r="AF29" i="179"/>
  <c r="E22" i="183"/>
  <c r="H22" i="183"/>
  <c r="AG38" i="188"/>
  <c r="N48" i="188"/>
  <c r="O38" i="188"/>
  <c r="AG38" i="192"/>
  <c r="AF38" i="192"/>
  <c r="O18" i="194"/>
  <c r="AG18" i="194"/>
  <c r="AG61" i="198"/>
  <c r="AF61" i="198"/>
  <c r="O61" i="198"/>
  <c r="O50" i="226"/>
  <c r="O59" i="226"/>
  <c r="AF61" i="3"/>
  <c r="O17" i="175"/>
  <c r="AG18" i="175"/>
  <c r="AF19" i="175"/>
  <c r="O31" i="175"/>
  <c r="O5" i="177"/>
  <c r="N15" i="177"/>
  <c r="L30" i="177"/>
  <c r="Q30" i="177" s="1"/>
  <c r="O38" i="177"/>
  <c r="O50" i="177"/>
  <c r="AF59" i="177"/>
  <c r="Q61" i="177"/>
  <c r="L5" i="179"/>
  <c r="L15" i="179" s="1"/>
  <c r="D13" i="178" s="1"/>
  <c r="Q20" i="179"/>
  <c r="L61" i="179"/>
  <c r="Q61" i="179" s="1"/>
  <c r="J79" i="179"/>
  <c r="I1" i="181"/>
  <c r="AG5" i="181"/>
  <c r="AF5" i="181"/>
  <c r="N15" i="181"/>
  <c r="L17" i="181"/>
  <c r="L26" i="181" s="1"/>
  <c r="E13" i="180" s="1"/>
  <c r="O18" i="181"/>
  <c r="AG20" i="181"/>
  <c r="AF20" i="181"/>
  <c r="J26" i="181"/>
  <c r="P26" i="181" s="1"/>
  <c r="L29" i="181"/>
  <c r="R29" i="181" s="1"/>
  <c r="AG49" i="184"/>
  <c r="AF49" i="184"/>
  <c r="O49" i="184"/>
  <c r="L51" i="184"/>
  <c r="N26" i="186"/>
  <c r="O16" i="186"/>
  <c r="L19" i="186"/>
  <c r="R19" i="186" s="1"/>
  <c r="R40" i="186"/>
  <c r="P5" i="188"/>
  <c r="J15" i="188"/>
  <c r="P15" i="188" s="1"/>
  <c r="R28" i="188"/>
  <c r="Q28" i="188"/>
  <c r="O40" i="188"/>
  <c r="AF40" i="188"/>
  <c r="AF5" i="190"/>
  <c r="L7" i="190"/>
  <c r="AG7" i="190"/>
  <c r="P41" i="190"/>
  <c r="L41" i="190"/>
  <c r="R41" i="190" s="1"/>
  <c r="J58" i="190"/>
  <c r="P58" i="190" s="1"/>
  <c r="K15" i="192"/>
  <c r="L5" i="192"/>
  <c r="L15" i="192" s="1"/>
  <c r="D13" i="191" s="1"/>
  <c r="J26" i="192"/>
  <c r="P26" i="192" s="1"/>
  <c r="L16" i="192"/>
  <c r="N48" i="192"/>
  <c r="AG61" i="192"/>
  <c r="AF61" i="192"/>
  <c r="O61" i="192"/>
  <c r="G1" i="194"/>
  <c r="L37" i="194"/>
  <c r="F13" i="193" s="1"/>
  <c r="L58" i="194"/>
  <c r="H13" i="193" s="1"/>
  <c r="O40" i="196"/>
  <c r="AG40" i="196"/>
  <c r="AF40" i="196"/>
  <c r="AG41" i="196"/>
  <c r="O6" i="199"/>
  <c r="N6" i="199"/>
  <c r="E19" i="203"/>
  <c r="M6" i="203" s="1"/>
  <c r="AA2" i="204"/>
  <c r="AF39" i="204"/>
  <c r="AG39" i="204"/>
  <c r="L39" i="204"/>
  <c r="AF6" i="210"/>
  <c r="Q8" i="212"/>
  <c r="O30" i="212"/>
  <c r="AG30" i="212"/>
  <c r="AF30" i="212"/>
  <c r="AG27" i="214"/>
  <c r="O27" i="214"/>
  <c r="N37" i="214"/>
  <c r="AF27" i="214"/>
  <c r="O6" i="181"/>
  <c r="P6" i="184"/>
  <c r="L6" i="184"/>
  <c r="Q19" i="184"/>
  <c r="R19" i="184"/>
  <c r="AG70" i="184"/>
  <c r="AF70" i="184"/>
  <c r="O70" i="184"/>
  <c r="AG7" i="186"/>
  <c r="AF7" i="186"/>
  <c r="O7" i="186"/>
  <c r="AA2" i="198"/>
  <c r="E19" i="197"/>
  <c r="N69" i="198"/>
  <c r="J15" i="210"/>
  <c r="P8" i="210"/>
  <c r="O49" i="175"/>
  <c r="L6" i="225"/>
  <c r="Q59" i="3"/>
  <c r="AG61" i="3"/>
  <c r="O18" i="175"/>
  <c r="O19" i="175"/>
  <c r="L16" i="177"/>
  <c r="L26" i="177" s="1"/>
  <c r="E13" i="176" s="1"/>
  <c r="O28" i="177"/>
  <c r="O51" i="177"/>
  <c r="O5" i="179"/>
  <c r="AG5" i="179"/>
  <c r="L42" i="179"/>
  <c r="Q42" i="179" s="1"/>
  <c r="O5" i="181"/>
  <c r="K26" i="181"/>
  <c r="O20" i="181"/>
  <c r="Q29" i="181"/>
  <c r="AF31" i="181"/>
  <c r="O49" i="181"/>
  <c r="AG49" i="181"/>
  <c r="J15" i="184"/>
  <c r="P15" i="184" s="1"/>
  <c r="O6" i="184"/>
  <c r="O18" i="184"/>
  <c r="O31" i="184"/>
  <c r="AG31" i="184"/>
  <c r="AG61" i="184"/>
  <c r="O61" i="184"/>
  <c r="AF61" i="184"/>
  <c r="AF16" i="186"/>
  <c r="AG29" i="186"/>
  <c r="AF29" i="186"/>
  <c r="F20" i="185"/>
  <c r="O6" i="185" s="1"/>
  <c r="AD2" i="186"/>
  <c r="P49" i="186"/>
  <c r="L49" i="186"/>
  <c r="K15" i="188"/>
  <c r="L5" i="188"/>
  <c r="AG5" i="188"/>
  <c r="L9" i="188"/>
  <c r="Q9" i="188" s="1"/>
  <c r="L16" i="188"/>
  <c r="L26" i="188" s="1"/>
  <c r="E13" i="187" s="1"/>
  <c r="K26" i="188"/>
  <c r="AF29" i="188"/>
  <c r="AG29" i="188"/>
  <c r="M6" i="189"/>
  <c r="N15" i="192"/>
  <c r="AG5" i="192"/>
  <c r="AF5" i="192"/>
  <c r="O5" i="192"/>
  <c r="R40" i="192"/>
  <c r="Q40" i="192"/>
  <c r="R27" i="194"/>
  <c r="Q27" i="194"/>
  <c r="L31" i="196"/>
  <c r="AF31" i="196"/>
  <c r="L70" i="196"/>
  <c r="L79" i="196" s="1"/>
  <c r="J13" i="195" s="1"/>
  <c r="R51" i="198"/>
  <c r="Q51" i="198"/>
  <c r="K48" i="202"/>
  <c r="L39" i="202"/>
  <c r="L48" i="202" s="1"/>
  <c r="G13" i="201" s="1"/>
  <c r="R59" i="208"/>
  <c r="K26" i="214"/>
  <c r="AF17" i="214"/>
  <c r="L17" i="214"/>
  <c r="AG17" i="214"/>
  <c r="J58" i="179"/>
  <c r="I1" i="184"/>
  <c r="L60" i="184"/>
  <c r="P60" i="184"/>
  <c r="R51" i="192"/>
  <c r="Q51" i="192"/>
  <c r="AG70" i="196"/>
  <c r="AF70" i="196"/>
  <c r="N79" i="196"/>
  <c r="O70" i="196"/>
  <c r="J37" i="202"/>
  <c r="P30" i="202"/>
  <c r="H22" i="207"/>
  <c r="K79" i="208"/>
  <c r="L70" i="208"/>
  <c r="L79" i="208" s="1"/>
  <c r="J13" i="207" s="1"/>
  <c r="AF29" i="210"/>
  <c r="AG29" i="210"/>
  <c r="O40" i="216"/>
  <c r="AG40" i="216"/>
  <c r="AF40" i="216"/>
  <c r="P49" i="218"/>
  <c r="J58" i="218"/>
  <c r="AF61" i="177"/>
  <c r="AG61" i="177"/>
  <c r="L27" i="179"/>
  <c r="L37" i="179" s="1"/>
  <c r="F13" i="178" s="1"/>
  <c r="P38" i="179"/>
  <c r="L38" i="179"/>
  <c r="L48" i="179" s="1"/>
  <c r="G13" i="178" s="1"/>
  <c r="J69" i="179"/>
  <c r="P69" i="179" s="1"/>
  <c r="P59" i="179"/>
  <c r="O62" i="179"/>
  <c r="N26" i="181"/>
  <c r="O16" i="181"/>
  <c r="AF30" i="181"/>
  <c r="O50" i="181"/>
  <c r="AG50" i="181"/>
  <c r="AF50" i="181"/>
  <c r="D22" i="183"/>
  <c r="L5" i="184"/>
  <c r="P50" i="184"/>
  <c r="J58" i="184"/>
  <c r="P58" i="184" s="1"/>
  <c r="AF51" i="184"/>
  <c r="N58" i="186"/>
  <c r="O49" i="186"/>
  <c r="AG49" i="186"/>
  <c r="AF49" i="186"/>
  <c r="K48" i="188"/>
  <c r="AF8" i="190"/>
  <c r="AG17" i="190"/>
  <c r="K26" i="190"/>
  <c r="R52" i="190"/>
  <c r="Q52" i="190"/>
  <c r="AF61" i="190"/>
  <c r="AG61" i="190"/>
  <c r="O61" i="190"/>
  <c r="Q21" i="192"/>
  <c r="R21" i="192"/>
  <c r="AF51" i="192"/>
  <c r="P79" i="192"/>
  <c r="J22" i="191"/>
  <c r="E22" i="193"/>
  <c r="I1" i="194"/>
  <c r="P26" i="194"/>
  <c r="R29" i="194"/>
  <c r="Q29" i="194"/>
  <c r="AG50" i="196"/>
  <c r="AF50" i="196"/>
  <c r="O50" i="196"/>
  <c r="AG10" i="198"/>
  <c r="AF10" i="198"/>
  <c r="O10" i="198"/>
  <c r="AG28" i="198"/>
  <c r="R19" i="202"/>
  <c r="Q19" i="202"/>
  <c r="AG39" i="202"/>
  <c r="AF39" i="202"/>
  <c r="O39" i="202"/>
  <c r="AG59" i="202"/>
  <c r="AF59" i="202"/>
  <c r="N69" i="202"/>
  <c r="O59" i="202"/>
  <c r="L6" i="204"/>
  <c r="Q17" i="210"/>
  <c r="R17" i="210"/>
  <c r="O29" i="210"/>
  <c r="L38" i="210"/>
  <c r="AG52" i="216"/>
  <c r="AF52" i="216"/>
  <c r="O52" i="216"/>
  <c r="O8" i="218"/>
  <c r="AG8" i="218"/>
  <c r="AF8" i="218"/>
  <c r="L28" i="3"/>
  <c r="J37" i="3"/>
  <c r="P37" i="3" s="1"/>
  <c r="N69" i="3"/>
  <c r="L27" i="175"/>
  <c r="L37" i="175" s="1"/>
  <c r="F13" i="174" s="1"/>
  <c r="K48" i="177"/>
  <c r="AF16" i="179"/>
  <c r="K48" i="179"/>
  <c r="L50" i="179"/>
  <c r="L58" i="179" s="1"/>
  <c r="H13" i="178" s="1"/>
  <c r="L59" i="179"/>
  <c r="L69" i="179" s="1"/>
  <c r="I13" i="178" s="1"/>
  <c r="J6" i="178" s="1"/>
  <c r="K69" i="179"/>
  <c r="L70" i="179"/>
  <c r="L79" i="179" s="1"/>
  <c r="J13" i="178" s="1"/>
  <c r="M6" i="180"/>
  <c r="AG29" i="181"/>
  <c r="AF29" i="181"/>
  <c r="AG30" i="181"/>
  <c r="AG38" i="181"/>
  <c r="AF38" i="181"/>
  <c r="O38" i="181"/>
  <c r="N48" i="181"/>
  <c r="L62" i="181"/>
  <c r="P5" i="184"/>
  <c r="K58" i="184"/>
  <c r="L50" i="184"/>
  <c r="L58" i="184" s="1"/>
  <c r="H13" i="183" s="1"/>
  <c r="AG51" i="184"/>
  <c r="AE2" i="184"/>
  <c r="N79" i="184"/>
  <c r="AF8" i="186"/>
  <c r="O8" i="186"/>
  <c r="J58" i="186"/>
  <c r="P58" i="186" s="1"/>
  <c r="O60" i="186"/>
  <c r="AG60" i="186"/>
  <c r="AF60" i="186"/>
  <c r="I1" i="188"/>
  <c r="AG40" i="188"/>
  <c r="O60" i="188"/>
  <c r="O69" i="188" s="1"/>
  <c r="AF60" i="188"/>
  <c r="O16" i="190"/>
  <c r="N26" i="190"/>
  <c r="O6" i="191"/>
  <c r="N6" i="191"/>
  <c r="AG51" i="192"/>
  <c r="N79" i="192"/>
  <c r="O19" i="194"/>
  <c r="N26" i="194"/>
  <c r="AF40" i="194"/>
  <c r="O40" i="194"/>
  <c r="AG38" i="198"/>
  <c r="AF38" i="198"/>
  <c r="N48" i="198"/>
  <c r="O38" i="198"/>
  <c r="R17" i="200"/>
  <c r="Q17" i="200"/>
  <c r="H22" i="199"/>
  <c r="P58" i="200"/>
  <c r="I1" i="200"/>
  <c r="AF6" i="204"/>
  <c r="Q41" i="204"/>
  <c r="R42" i="179"/>
  <c r="R61" i="179"/>
  <c r="R17" i="184"/>
  <c r="Q17" i="184"/>
  <c r="R51" i="184"/>
  <c r="Q51" i="184"/>
  <c r="P39" i="188"/>
  <c r="J48" i="188"/>
  <c r="Q41" i="190"/>
  <c r="R53" i="190"/>
  <c r="Q53" i="190"/>
  <c r="K26" i="194"/>
  <c r="AG17" i="194"/>
  <c r="L17" i="194"/>
  <c r="AG20" i="179"/>
  <c r="AF20" i="179"/>
  <c r="AF28" i="179"/>
  <c r="J48" i="179"/>
  <c r="P48" i="179" s="1"/>
  <c r="AD2" i="226"/>
  <c r="I1" i="3"/>
  <c r="AF7" i="3"/>
  <c r="AF59" i="3"/>
  <c r="L5" i="175"/>
  <c r="L15" i="175" s="1"/>
  <c r="D13" i="174" s="1"/>
  <c r="AF31" i="175"/>
  <c r="P48" i="175"/>
  <c r="AF49" i="175"/>
  <c r="P70" i="175"/>
  <c r="AF5" i="177"/>
  <c r="AF50" i="177"/>
  <c r="AF52" i="177"/>
  <c r="AG16" i="179"/>
  <c r="R29" i="179"/>
  <c r="P37" i="179"/>
  <c r="N48" i="179"/>
  <c r="P51" i="179"/>
  <c r="O17" i="181"/>
  <c r="AG17" i="181"/>
  <c r="AF17" i="181"/>
  <c r="R27" i="181"/>
  <c r="J69" i="181"/>
  <c r="P69" i="181" s="1"/>
  <c r="J22" i="183"/>
  <c r="L9" i="184"/>
  <c r="J48" i="186"/>
  <c r="P48" i="186" s="1"/>
  <c r="L38" i="186"/>
  <c r="L48" i="186" s="1"/>
  <c r="G13" i="185" s="1"/>
  <c r="P38" i="186"/>
  <c r="AG39" i="186"/>
  <c r="AF39" i="186"/>
  <c r="O39" i="186"/>
  <c r="AG52" i="186"/>
  <c r="AF52" i="186"/>
  <c r="O52" i="186"/>
  <c r="AG8" i="188"/>
  <c r="AF8" i="188"/>
  <c r="AF19" i="188"/>
  <c r="O19" i="188"/>
  <c r="P48" i="188"/>
  <c r="G22" i="187"/>
  <c r="L58" i="188"/>
  <c r="H13" i="187" s="1"/>
  <c r="E22" i="189"/>
  <c r="P26" i="190"/>
  <c r="AG30" i="190"/>
  <c r="O30" i="190"/>
  <c r="P6" i="192"/>
  <c r="J15" i="192"/>
  <c r="P15" i="192" s="1"/>
  <c r="Q10" i="192"/>
  <c r="R10" i="192"/>
  <c r="L27" i="192"/>
  <c r="K37" i="192"/>
  <c r="AG27" i="192"/>
  <c r="AF40" i="192"/>
  <c r="R54" i="192"/>
  <c r="Q54" i="192"/>
  <c r="N15" i="194"/>
  <c r="O5" i="194"/>
  <c r="AG5" i="194"/>
  <c r="AG31" i="196"/>
  <c r="AG30" i="198"/>
  <c r="O30" i="198"/>
  <c r="AF30" i="198"/>
  <c r="AF79" i="208"/>
  <c r="Q79" i="208"/>
  <c r="AG79" i="208"/>
  <c r="AH70" i="208" s="1"/>
  <c r="AG28" i="214"/>
  <c r="AF28" i="214"/>
  <c r="O28" i="214"/>
  <c r="O27" i="216"/>
  <c r="N37" i="216"/>
  <c r="AG27" i="216"/>
  <c r="AF27" i="216"/>
  <c r="AF6" i="181"/>
  <c r="AF79" i="181"/>
  <c r="R16" i="184"/>
  <c r="O28" i="186"/>
  <c r="AG28" i="186"/>
  <c r="AF28" i="186"/>
  <c r="AF16" i="188"/>
  <c r="O16" i="188"/>
  <c r="AG16" i="188"/>
  <c r="J14" i="189"/>
  <c r="R79" i="190"/>
  <c r="S70" i="190" s="1"/>
  <c r="J15" i="189" s="1"/>
  <c r="AF8" i="194"/>
  <c r="O8" i="194"/>
  <c r="AG62" i="194"/>
  <c r="AF62" i="194"/>
  <c r="O62" i="194"/>
  <c r="O69" i="194" s="1"/>
  <c r="AG18" i="196"/>
  <c r="AF18" i="196"/>
  <c r="AF50" i="198"/>
  <c r="O50" i="198"/>
  <c r="O6" i="225"/>
  <c r="N6" i="225"/>
  <c r="AE2" i="226"/>
  <c r="AG7" i="3"/>
  <c r="AF49" i="3"/>
  <c r="N58" i="3"/>
  <c r="AG59" i="3"/>
  <c r="P69" i="3"/>
  <c r="J79" i="3"/>
  <c r="P79" i="3" s="1"/>
  <c r="AA2" i="177"/>
  <c r="AF38" i="177"/>
  <c r="K69" i="177"/>
  <c r="L59" i="177"/>
  <c r="L69" i="177" s="1"/>
  <c r="I13" i="176" s="1"/>
  <c r="J6" i="176" s="1"/>
  <c r="O38" i="179"/>
  <c r="P58" i="179"/>
  <c r="Z2" i="181"/>
  <c r="L51" i="181"/>
  <c r="Q51" i="181" s="1"/>
  <c r="AG59" i="181"/>
  <c r="AF59" i="181"/>
  <c r="D19" i="183"/>
  <c r="M6" i="183" s="1"/>
  <c r="AA2" i="184"/>
  <c r="L39" i="184"/>
  <c r="L48" i="184" s="1"/>
  <c r="G13" i="183" s="1"/>
  <c r="R21" i="186"/>
  <c r="Q21" i="186"/>
  <c r="L27" i="186"/>
  <c r="L37" i="186" s="1"/>
  <c r="F13" i="185" s="1"/>
  <c r="AG59" i="186"/>
  <c r="AF59" i="186"/>
  <c r="O59" i="186"/>
  <c r="N69" i="186"/>
  <c r="O8" i="188"/>
  <c r="AF27" i="188"/>
  <c r="N37" i="188"/>
  <c r="O27" i="188"/>
  <c r="AG27" i="188"/>
  <c r="R39" i="188"/>
  <c r="Q69" i="188"/>
  <c r="AG69" i="188"/>
  <c r="AH59" i="188" s="1"/>
  <c r="AF69" i="188"/>
  <c r="O6" i="189"/>
  <c r="N6" i="189"/>
  <c r="O19" i="190"/>
  <c r="AG19" i="190"/>
  <c r="AF19" i="190"/>
  <c r="R29" i="190"/>
  <c r="Q29" i="190"/>
  <c r="N48" i="190"/>
  <c r="AG38" i="190"/>
  <c r="AF38" i="190"/>
  <c r="O38" i="190"/>
  <c r="L6" i="189"/>
  <c r="Q19" i="192"/>
  <c r="R19" i="192"/>
  <c r="AG53" i="192"/>
  <c r="O53" i="192"/>
  <c r="AF53" i="192"/>
  <c r="AD2" i="194"/>
  <c r="F20" i="193"/>
  <c r="AG53" i="194"/>
  <c r="AF53" i="194"/>
  <c r="O53" i="194"/>
  <c r="AG17" i="196"/>
  <c r="AF17" i="196"/>
  <c r="L17" i="196"/>
  <c r="R17" i="196" s="1"/>
  <c r="AG30" i="196"/>
  <c r="AF30" i="196"/>
  <c r="O30" i="196"/>
  <c r="AG39" i="196"/>
  <c r="O39" i="196"/>
  <c r="N48" i="196"/>
  <c r="R19" i="198"/>
  <c r="Q19" i="198"/>
  <c r="AF27" i="198"/>
  <c r="N37" i="198"/>
  <c r="O27" i="198"/>
  <c r="AG27" i="198"/>
  <c r="AG50" i="198"/>
  <c r="AF30" i="200"/>
  <c r="O30" i="200"/>
  <c r="N37" i="204"/>
  <c r="AG27" i="204"/>
  <c r="O27" i="204"/>
  <c r="G22" i="183"/>
  <c r="Q52" i="184"/>
  <c r="AF19" i="186"/>
  <c r="R20" i="186"/>
  <c r="Q20" i="186"/>
  <c r="P37" i="186"/>
  <c r="J15" i="190"/>
  <c r="P15" i="190" s="1"/>
  <c r="P5" i="190"/>
  <c r="K15" i="190"/>
  <c r="L40" i="190"/>
  <c r="L48" i="190" s="1"/>
  <c r="G13" i="189" s="1"/>
  <c r="AF8" i="192"/>
  <c r="AG8" i="192"/>
  <c r="O8" i="192"/>
  <c r="AG16" i="192"/>
  <c r="AF16" i="192"/>
  <c r="AG29" i="194"/>
  <c r="AF29" i="194"/>
  <c r="AG61" i="194"/>
  <c r="AF61" i="194"/>
  <c r="L61" i="194"/>
  <c r="AG27" i="196"/>
  <c r="O27" i="196"/>
  <c r="N37" i="196"/>
  <c r="K15" i="204"/>
  <c r="N48" i="204"/>
  <c r="AG38" i="204"/>
  <c r="AF38" i="204"/>
  <c r="O38" i="204"/>
  <c r="AG17" i="208"/>
  <c r="K26" i="208"/>
  <c r="AG26" i="208" s="1"/>
  <c r="AH16" i="208" s="1"/>
  <c r="K26" i="210"/>
  <c r="L16" i="210"/>
  <c r="L26" i="210" s="1"/>
  <c r="E13" i="209" s="1"/>
  <c r="AG16" i="210"/>
  <c r="AF16" i="210"/>
  <c r="AG70" i="210"/>
  <c r="AF70" i="210"/>
  <c r="O70" i="210"/>
  <c r="N79" i="210"/>
  <c r="L8" i="214"/>
  <c r="Q8" i="214" s="1"/>
  <c r="AG8" i="214"/>
  <c r="Q30" i="184"/>
  <c r="AF50" i="184"/>
  <c r="M6" i="185"/>
  <c r="O49" i="188"/>
  <c r="AG49" i="188"/>
  <c r="AG40" i="190"/>
  <c r="AF40" i="190"/>
  <c r="O40" i="190"/>
  <c r="R49" i="190"/>
  <c r="J69" i="190"/>
  <c r="P60" i="190"/>
  <c r="AF7" i="194"/>
  <c r="O7" i="194"/>
  <c r="Q17" i="196"/>
  <c r="AG8" i="200"/>
  <c r="AF8" i="200"/>
  <c r="O8" i="200"/>
  <c r="P17" i="200"/>
  <c r="J26" i="200"/>
  <c r="P26" i="200" s="1"/>
  <c r="P59" i="200"/>
  <c r="L59" i="200"/>
  <c r="J69" i="200"/>
  <c r="P69" i="200" s="1"/>
  <c r="L59" i="202"/>
  <c r="L69" i="202" s="1"/>
  <c r="I13" i="201" s="1"/>
  <c r="J6" i="201" s="1"/>
  <c r="K69" i="202"/>
  <c r="R17" i="208"/>
  <c r="Q17" i="208"/>
  <c r="O40" i="208"/>
  <c r="AG40" i="208"/>
  <c r="AF40" i="208"/>
  <c r="AA2" i="208"/>
  <c r="I19" i="207"/>
  <c r="M6" i="207" s="1"/>
  <c r="AF61" i="210"/>
  <c r="AG61" i="210"/>
  <c r="O61" i="210"/>
  <c r="N69" i="210"/>
  <c r="O40" i="212"/>
  <c r="AG40" i="212"/>
  <c r="AF40" i="212"/>
  <c r="R8" i="214"/>
  <c r="E18" i="180"/>
  <c r="L6" i="180" s="1"/>
  <c r="O50" i="184"/>
  <c r="E19" i="185"/>
  <c r="O15" i="186"/>
  <c r="O5" i="188"/>
  <c r="AF5" i="188"/>
  <c r="Q39" i="188"/>
  <c r="AF49" i="188"/>
  <c r="L59" i="188"/>
  <c r="L69" i="188" s="1"/>
  <c r="I13" i="187" s="1"/>
  <c r="J6" i="187" s="1"/>
  <c r="J69" i="188"/>
  <c r="I1" i="190"/>
  <c r="AF31" i="190"/>
  <c r="AF17" i="194"/>
  <c r="O17" i="194"/>
  <c r="AG52" i="194"/>
  <c r="O52" i="194"/>
  <c r="AF6" i="196"/>
  <c r="O6" i="196"/>
  <c r="AG49" i="196"/>
  <c r="N58" i="196"/>
  <c r="AF49" i="196"/>
  <c r="O5" i="198"/>
  <c r="AG5" i="198"/>
  <c r="AF5" i="198"/>
  <c r="N15" i="198"/>
  <c r="L17" i="200"/>
  <c r="R31" i="200"/>
  <c r="Q31" i="200"/>
  <c r="AG51" i="200"/>
  <c r="AF51" i="200"/>
  <c r="O51" i="200"/>
  <c r="N6" i="201"/>
  <c r="O6" i="201"/>
  <c r="R8" i="204"/>
  <c r="Q8" i="204"/>
  <c r="L17" i="204"/>
  <c r="AF17" i="204"/>
  <c r="K26" i="204"/>
  <c r="O27" i="208"/>
  <c r="N37" i="208"/>
  <c r="AF7" i="210"/>
  <c r="O7" i="210"/>
  <c r="AG7" i="210"/>
  <c r="L37" i="210"/>
  <c r="F13" i="209" s="1"/>
  <c r="O29" i="212"/>
  <c r="N37" i="212"/>
  <c r="R31" i="212"/>
  <c r="Q31" i="212"/>
  <c r="P79" i="179"/>
  <c r="R30" i="184"/>
  <c r="N6" i="185"/>
  <c r="AF70" i="186"/>
  <c r="AG70" i="186"/>
  <c r="Q17" i="190"/>
  <c r="R17" i="190"/>
  <c r="Q49" i="190"/>
  <c r="K58" i="190"/>
  <c r="L60" i="190"/>
  <c r="L7" i="192"/>
  <c r="L69" i="192"/>
  <c r="I13" i="191" s="1"/>
  <c r="J6" i="191" s="1"/>
  <c r="M6" i="193"/>
  <c r="K37" i="194"/>
  <c r="R41" i="194"/>
  <c r="Q41" i="194"/>
  <c r="K26" i="196"/>
  <c r="L16" i="196"/>
  <c r="L26" i="196" s="1"/>
  <c r="E13" i="195" s="1"/>
  <c r="P20" i="196"/>
  <c r="J26" i="196"/>
  <c r="E18" i="195"/>
  <c r="L6" i="195" s="1"/>
  <c r="Z2" i="196"/>
  <c r="O58" i="196"/>
  <c r="R49" i="196"/>
  <c r="Q49" i="196"/>
  <c r="AG7" i="198"/>
  <c r="O7" i="198"/>
  <c r="AG19" i="198"/>
  <c r="P30" i="198"/>
  <c r="J37" i="198"/>
  <c r="P37" i="198" s="1"/>
  <c r="AF17" i="200"/>
  <c r="AG17" i="200"/>
  <c r="M6" i="199"/>
  <c r="L19" i="208"/>
  <c r="R19" i="208" s="1"/>
  <c r="AG19" i="208"/>
  <c r="AF19" i="208"/>
  <c r="J37" i="208"/>
  <c r="P37" i="208" s="1"/>
  <c r="P29" i="208"/>
  <c r="L49" i="210"/>
  <c r="L58" i="210" s="1"/>
  <c r="H13" i="209" s="1"/>
  <c r="J58" i="210"/>
  <c r="P58" i="210" s="1"/>
  <c r="P49" i="210"/>
  <c r="O40" i="214"/>
  <c r="AG40" i="214"/>
  <c r="AF40" i="214"/>
  <c r="K37" i="184"/>
  <c r="AF38" i="184"/>
  <c r="AG50" i="184"/>
  <c r="O60" i="184"/>
  <c r="O50" i="186"/>
  <c r="N79" i="186"/>
  <c r="R30" i="188"/>
  <c r="O50" i="188"/>
  <c r="AF7" i="190"/>
  <c r="L51" i="190"/>
  <c r="L58" i="190" s="1"/>
  <c r="H13" i="189" s="1"/>
  <c r="J37" i="192"/>
  <c r="P37" i="192" s="1"/>
  <c r="J48" i="192"/>
  <c r="P48" i="192" s="1"/>
  <c r="L38" i="192"/>
  <c r="L48" i="192" s="1"/>
  <c r="G13" i="191" s="1"/>
  <c r="Q39" i="192"/>
  <c r="R39" i="192"/>
  <c r="K69" i="192"/>
  <c r="O6" i="193"/>
  <c r="N6" i="193"/>
  <c r="AF27" i="194"/>
  <c r="N37" i="194"/>
  <c r="J37" i="194"/>
  <c r="P29" i="194"/>
  <c r="O49" i="194"/>
  <c r="AG49" i="194"/>
  <c r="AG59" i="194"/>
  <c r="AF59" i="194"/>
  <c r="N69" i="194"/>
  <c r="N15" i="196"/>
  <c r="AG5" i="196"/>
  <c r="O5" i="196"/>
  <c r="Q28" i="196"/>
  <c r="AF7" i="198"/>
  <c r="O27" i="200"/>
  <c r="AG27" i="200"/>
  <c r="N37" i="200"/>
  <c r="O52" i="200"/>
  <c r="AF52" i="200"/>
  <c r="AG52" i="200"/>
  <c r="O37" i="202"/>
  <c r="N58" i="202"/>
  <c r="O49" i="202"/>
  <c r="AG49" i="202"/>
  <c r="AF49" i="202"/>
  <c r="AG39" i="210"/>
  <c r="AF39" i="210"/>
  <c r="O39" i="210"/>
  <c r="G1" i="181"/>
  <c r="AG51" i="181"/>
  <c r="K79" i="181"/>
  <c r="AG79" i="181" s="1"/>
  <c r="AH70" i="181" s="1"/>
  <c r="L70" i="181"/>
  <c r="L79" i="181" s="1"/>
  <c r="J13" i="180" s="1"/>
  <c r="O48" i="184"/>
  <c r="L6" i="185"/>
  <c r="M6" i="187"/>
  <c r="G1" i="188"/>
  <c r="AG9" i="188"/>
  <c r="P38" i="190"/>
  <c r="J48" i="190"/>
  <c r="P48" i="190" s="1"/>
  <c r="AG39" i="190"/>
  <c r="AF39" i="190"/>
  <c r="O39" i="190"/>
  <c r="O16" i="192"/>
  <c r="O58" i="192"/>
  <c r="AG27" i="194"/>
  <c r="P58" i="194"/>
  <c r="O19" i="196"/>
  <c r="AG19" i="196"/>
  <c r="AF19" i="196"/>
  <c r="AF19" i="198"/>
  <c r="AF30" i="202"/>
  <c r="AG30" i="202"/>
  <c r="O30" i="202"/>
  <c r="N37" i="202"/>
  <c r="R60" i="202"/>
  <c r="Q60" i="202"/>
  <c r="Q61" i="202"/>
  <c r="R61" i="202"/>
  <c r="K37" i="204"/>
  <c r="L27" i="204"/>
  <c r="AF38" i="208"/>
  <c r="AG38" i="208"/>
  <c r="N48" i="208"/>
  <c r="AF51" i="210"/>
  <c r="O51" i="210"/>
  <c r="AG51" i="210"/>
  <c r="N48" i="212"/>
  <c r="O38" i="212"/>
  <c r="AG38" i="212"/>
  <c r="AF38" i="212"/>
  <c r="L51" i="214"/>
  <c r="K58" i="214"/>
  <c r="AD2" i="220"/>
  <c r="D20" i="219"/>
  <c r="AF39" i="188"/>
  <c r="L37" i="190"/>
  <c r="F13" i="189" s="1"/>
  <c r="O7" i="192"/>
  <c r="AG7" i="192"/>
  <c r="P15" i="194"/>
  <c r="P79" i="194"/>
  <c r="K48" i="196"/>
  <c r="AG38" i="196"/>
  <c r="J15" i="198"/>
  <c r="P15" i="198" s="1"/>
  <c r="L6" i="198"/>
  <c r="P6" i="198"/>
  <c r="AG52" i="198"/>
  <c r="AF52" i="198"/>
  <c r="O52" i="198"/>
  <c r="AG60" i="198"/>
  <c r="O60" i="198"/>
  <c r="AF60" i="198"/>
  <c r="G1" i="200"/>
  <c r="J15" i="200"/>
  <c r="P15" i="200" s="1"/>
  <c r="Q39" i="200"/>
  <c r="R39" i="200"/>
  <c r="N69" i="200"/>
  <c r="AG61" i="200"/>
  <c r="G1" i="202"/>
  <c r="E19" i="201"/>
  <c r="AA2" i="202"/>
  <c r="R53" i="202"/>
  <c r="Q53" i="202"/>
  <c r="L52" i="204"/>
  <c r="O61" i="204"/>
  <c r="AG61" i="204"/>
  <c r="AF61" i="204"/>
  <c r="N69" i="204"/>
  <c r="J69" i="208"/>
  <c r="P69" i="208" s="1"/>
  <c r="P59" i="208"/>
  <c r="I1" i="210"/>
  <c r="P15" i="210"/>
  <c r="O40" i="210"/>
  <c r="AG40" i="210"/>
  <c r="AF40" i="210"/>
  <c r="AG50" i="210"/>
  <c r="AF50" i="210"/>
  <c r="P58" i="212"/>
  <c r="H22" i="211"/>
  <c r="Q16" i="216"/>
  <c r="R16" i="216"/>
  <c r="G1" i="218"/>
  <c r="O49" i="220"/>
  <c r="N58" i="220"/>
  <c r="AG49" i="220"/>
  <c r="R29" i="222"/>
  <c r="Q29" i="222"/>
  <c r="AG8" i="190"/>
  <c r="AF51" i="190"/>
  <c r="AG51" i="190"/>
  <c r="N37" i="192"/>
  <c r="AF28" i="192"/>
  <c r="Q62" i="192"/>
  <c r="L15" i="194"/>
  <c r="D13" i="193" s="1"/>
  <c r="P37" i="194"/>
  <c r="R51" i="194"/>
  <c r="Q51" i="194"/>
  <c r="AF79" i="194"/>
  <c r="Q79" i="194"/>
  <c r="G1" i="196"/>
  <c r="J15" i="196"/>
  <c r="P15" i="196" s="1"/>
  <c r="P6" i="196"/>
  <c r="AG16" i="196"/>
  <c r="N26" i="196"/>
  <c r="J37" i="196"/>
  <c r="P37" i="196" s="1"/>
  <c r="AG18" i="198"/>
  <c r="AF18" i="198"/>
  <c r="L37" i="198"/>
  <c r="F13" i="197" s="1"/>
  <c r="O69" i="198"/>
  <c r="R59" i="198"/>
  <c r="Q59" i="198"/>
  <c r="P79" i="198"/>
  <c r="J22" i="197"/>
  <c r="L6" i="199"/>
  <c r="L8" i="200"/>
  <c r="P8" i="200"/>
  <c r="K26" i="200"/>
  <c r="R28" i="200"/>
  <c r="Q28" i="200"/>
  <c r="AG29" i="200"/>
  <c r="O29" i="200"/>
  <c r="L48" i="200"/>
  <c r="G13" i="199" s="1"/>
  <c r="L41" i="200"/>
  <c r="R41" i="200" s="1"/>
  <c r="J48" i="200"/>
  <c r="P41" i="200"/>
  <c r="N26" i="202"/>
  <c r="O16" i="202"/>
  <c r="J26" i="204"/>
  <c r="P26" i="204" s="1"/>
  <c r="J48" i="204"/>
  <c r="P48" i="204" s="1"/>
  <c r="P38" i="204"/>
  <c r="L38" i="204"/>
  <c r="L48" i="204" s="1"/>
  <c r="G13" i="203" s="1"/>
  <c r="L49" i="204"/>
  <c r="AG49" i="204"/>
  <c r="AG29" i="208"/>
  <c r="AF29" i="208"/>
  <c r="O29" i="208"/>
  <c r="AG39" i="208"/>
  <c r="AF39" i="208"/>
  <c r="O39" i="208"/>
  <c r="O48" i="208" s="1"/>
  <c r="L59" i="208"/>
  <c r="L69" i="208" s="1"/>
  <c r="I13" i="207" s="1"/>
  <c r="J6" i="207" s="1"/>
  <c r="K69" i="208"/>
  <c r="L15" i="210"/>
  <c r="D13" i="209" s="1"/>
  <c r="L6" i="209"/>
  <c r="R50" i="210"/>
  <c r="Q50" i="210"/>
  <c r="L69" i="210"/>
  <c r="I13" i="209" s="1"/>
  <c r="J6" i="209" s="1"/>
  <c r="AF58" i="212"/>
  <c r="R61" i="212"/>
  <c r="Q61" i="212"/>
  <c r="AG59" i="188"/>
  <c r="AF61" i="188"/>
  <c r="O8" i="190"/>
  <c r="O27" i="190"/>
  <c r="O51" i="190"/>
  <c r="O58" i="190" s="1"/>
  <c r="AF70" i="190"/>
  <c r="O27" i="192"/>
  <c r="O28" i="192"/>
  <c r="L30" i="192"/>
  <c r="L50" i="192"/>
  <c r="L16" i="194"/>
  <c r="L26" i="194" s="1"/>
  <c r="E13" i="193" s="1"/>
  <c r="L19" i="194"/>
  <c r="L39" i="194"/>
  <c r="R39" i="194" s="1"/>
  <c r="N6" i="195"/>
  <c r="K15" i="196"/>
  <c r="O16" i="196"/>
  <c r="AF38" i="196"/>
  <c r="L60" i="196"/>
  <c r="M6" i="197"/>
  <c r="G1" i="198"/>
  <c r="R6" i="198"/>
  <c r="Q6" i="198"/>
  <c r="O18" i="198"/>
  <c r="L39" i="198"/>
  <c r="L48" i="198" s="1"/>
  <c r="G13" i="197" s="1"/>
  <c r="R40" i="198"/>
  <c r="Q40" i="198"/>
  <c r="AF79" i="198"/>
  <c r="L5" i="200"/>
  <c r="AG9" i="200"/>
  <c r="AF9" i="200"/>
  <c r="O9" i="200"/>
  <c r="L16" i="200"/>
  <c r="L26" i="200" s="1"/>
  <c r="E13" i="199" s="1"/>
  <c r="AF29" i="200"/>
  <c r="O38" i="200"/>
  <c r="N48" i="200"/>
  <c r="AF38" i="200"/>
  <c r="Q59" i="200"/>
  <c r="O69" i="200"/>
  <c r="R59" i="200"/>
  <c r="AF6" i="202"/>
  <c r="O6" i="202"/>
  <c r="AG6" i="202"/>
  <c r="R28" i="202"/>
  <c r="Q28" i="202"/>
  <c r="AF53" i="202"/>
  <c r="N69" i="208"/>
  <c r="AG59" i="208"/>
  <c r="AF59" i="208"/>
  <c r="L26" i="212"/>
  <c r="E13" i="211" s="1"/>
  <c r="AG30" i="214"/>
  <c r="L30" i="214"/>
  <c r="Q30" i="214" s="1"/>
  <c r="AF70" i="214"/>
  <c r="N79" i="214"/>
  <c r="AG70" i="214"/>
  <c r="O70" i="214"/>
  <c r="AG61" i="216"/>
  <c r="AF61" i="216"/>
  <c r="O61" i="216"/>
  <c r="P37" i="188"/>
  <c r="P69" i="188"/>
  <c r="J79" i="188"/>
  <c r="P79" i="188" s="1"/>
  <c r="L70" i="188"/>
  <c r="L79" i="188" s="1"/>
  <c r="J13" i="187" s="1"/>
  <c r="K79" i="190"/>
  <c r="P58" i="192"/>
  <c r="H22" i="191"/>
  <c r="E18" i="193"/>
  <c r="L6" i="193" s="1"/>
  <c r="D22" i="193"/>
  <c r="P16" i="194"/>
  <c r="AF51" i="194"/>
  <c r="P26" i="196"/>
  <c r="E22" i="195"/>
  <c r="L69" i="196"/>
  <c r="I13" i="195" s="1"/>
  <c r="J6" i="195" s="1"/>
  <c r="AF6" i="198"/>
  <c r="L9" i="198"/>
  <c r="Q9" i="198" s="1"/>
  <c r="J26" i="198"/>
  <c r="P26" i="198" s="1"/>
  <c r="AG59" i="198"/>
  <c r="L37" i="200"/>
  <c r="F13" i="199" s="1"/>
  <c r="AG38" i="200"/>
  <c r="O9" i="202"/>
  <c r="AG9" i="202"/>
  <c r="AF9" i="202"/>
  <c r="AG16" i="202"/>
  <c r="L37" i="202"/>
  <c r="F13" i="201" s="1"/>
  <c r="L58" i="202"/>
  <c r="H13" i="201" s="1"/>
  <c r="P16" i="204"/>
  <c r="L18" i="204"/>
  <c r="O51" i="204"/>
  <c r="AF51" i="204"/>
  <c r="Q28" i="208"/>
  <c r="R28" i="208"/>
  <c r="R41" i="208"/>
  <c r="Q41" i="208"/>
  <c r="E22" i="209"/>
  <c r="P26" i="210"/>
  <c r="AG30" i="210"/>
  <c r="AF30" i="210"/>
  <c r="O30" i="210"/>
  <c r="F22" i="213"/>
  <c r="P37" i="214"/>
  <c r="AD2" i="218"/>
  <c r="D20" i="217"/>
  <c r="N37" i="218"/>
  <c r="AF27" i="218"/>
  <c r="AG27" i="218"/>
  <c r="O27" i="218"/>
  <c r="AG30" i="218"/>
  <c r="AF30" i="218"/>
  <c r="O30" i="218"/>
  <c r="J3" i="219"/>
  <c r="G2" i="220"/>
  <c r="O8" i="220"/>
  <c r="AG8" i="220"/>
  <c r="AF8" i="220"/>
  <c r="AG31" i="222"/>
  <c r="AF31" i="222"/>
  <c r="O31" i="222"/>
  <c r="N37" i="222"/>
  <c r="AF9" i="188"/>
  <c r="AF6" i="190"/>
  <c r="AA2" i="190"/>
  <c r="G1" i="192"/>
  <c r="AF7" i="192"/>
  <c r="N58" i="192"/>
  <c r="AF62" i="192"/>
  <c r="AA2" i="194"/>
  <c r="J69" i="194"/>
  <c r="P69" i="194" s="1"/>
  <c r="L59" i="194"/>
  <c r="R59" i="194" s="1"/>
  <c r="AG79" i="194"/>
  <c r="AH70" i="194" s="1"/>
  <c r="D19" i="195"/>
  <c r="M6" i="195" s="1"/>
  <c r="AA2" i="196"/>
  <c r="AF16" i="196"/>
  <c r="P58" i="196"/>
  <c r="N69" i="196"/>
  <c r="AG59" i="196"/>
  <c r="AF59" i="196"/>
  <c r="AF61" i="196"/>
  <c r="D22" i="197"/>
  <c r="I1" i="198"/>
  <c r="K79" i="198"/>
  <c r="Q79" i="198" s="1"/>
  <c r="L70" i="198"/>
  <c r="Z2" i="200"/>
  <c r="O49" i="200"/>
  <c r="N58" i="200"/>
  <c r="Z2" i="202"/>
  <c r="D18" i="201"/>
  <c r="L6" i="201" s="1"/>
  <c r="R27" i="202"/>
  <c r="Q27" i="202"/>
  <c r="AG5" i="204"/>
  <c r="N15" i="204"/>
  <c r="O5" i="204"/>
  <c r="AF5" i="204"/>
  <c r="O28" i="204"/>
  <c r="AG28" i="204"/>
  <c r="AF28" i="204"/>
  <c r="AG60" i="204"/>
  <c r="AF60" i="204"/>
  <c r="O60" i="204"/>
  <c r="AG8" i="208"/>
  <c r="AF8" i="208"/>
  <c r="O8" i="208"/>
  <c r="AF5" i="212"/>
  <c r="N15" i="212"/>
  <c r="AG5" i="212"/>
  <c r="O5" i="212"/>
  <c r="AG58" i="212"/>
  <c r="AH49" i="212" s="1"/>
  <c r="F18" i="217"/>
  <c r="Z2" i="218"/>
  <c r="AG39" i="188"/>
  <c r="AG6" i="190"/>
  <c r="N79" i="190"/>
  <c r="L17" i="192"/>
  <c r="AF27" i="192"/>
  <c r="AF49" i="192"/>
  <c r="F22" i="193"/>
  <c r="O50" i="194"/>
  <c r="AG50" i="194"/>
  <c r="AF50" i="194"/>
  <c r="J58" i="194"/>
  <c r="R70" i="194"/>
  <c r="O79" i="194"/>
  <c r="AF7" i="196"/>
  <c r="AD2" i="196"/>
  <c r="F20" i="195"/>
  <c r="O6" i="195" s="1"/>
  <c r="J58" i="196"/>
  <c r="L49" i="196"/>
  <c r="R59" i="196"/>
  <c r="Q59" i="196"/>
  <c r="O69" i="196"/>
  <c r="O60" i="196"/>
  <c r="AG60" i="196"/>
  <c r="AF60" i="196"/>
  <c r="N6" i="197"/>
  <c r="N26" i="198"/>
  <c r="L6" i="197"/>
  <c r="K37" i="198"/>
  <c r="AF39" i="198"/>
  <c r="Q18" i="200"/>
  <c r="AG31" i="200"/>
  <c r="AF31" i="200"/>
  <c r="AF49" i="200"/>
  <c r="L27" i="208"/>
  <c r="L37" i="208" s="1"/>
  <c r="F13" i="207" s="1"/>
  <c r="K37" i="208"/>
  <c r="AF17" i="210"/>
  <c r="N26" i="210"/>
  <c r="AF52" i="210"/>
  <c r="O52" i="210"/>
  <c r="AG60" i="212"/>
  <c r="O60" i="212"/>
  <c r="AF60" i="212"/>
  <c r="O48" i="216"/>
  <c r="R38" i="216"/>
  <c r="P6" i="218"/>
  <c r="J15" i="218"/>
  <c r="P15" i="218" s="1"/>
  <c r="L9" i="202"/>
  <c r="AG17" i="202"/>
  <c r="AF17" i="202"/>
  <c r="O17" i="202"/>
  <c r="L30" i="202"/>
  <c r="AG31" i="202"/>
  <c r="AF31" i="202"/>
  <c r="O31" i="202"/>
  <c r="R40" i="202"/>
  <c r="AE2" i="204"/>
  <c r="R50" i="204"/>
  <c r="Q50" i="204"/>
  <c r="K15" i="208"/>
  <c r="P9" i="208"/>
  <c r="J15" i="208"/>
  <c r="L51" i="208"/>
  <c r="AG51" i="208"/>
  <c r="AF51" i="208"/>
  <c r="O52" i="208"/>
  <c r="AG52" i="208"/>
  <c r="N15" i="210"/>
  <c r="O5" i="210"/>
  <c r="O26" i="210"/>
  <c r="R38" i="210"/>
  <c r="Q38" i="210"/>
  <c r="O48" i="210"/>
  <c r="L60" i="210"/>
  <c r="Q39" i="212"/>
  <c r="R39" i="212"/>
  <c r="G1" i="214"/>
  <c r="AA2" i="214"/>
  <c r="D19" i="213"/>
  <c r="M6" i="213" s="1"/>
  <c r="J15" i="220"/>
  <c r="P5" i="220"/>
  <c r="P16" i="208"/>
  <c r="L16" i="208"/>
  <c r="J15" i="212"/>
  <c r="P15" i="212" s="1"/>
  <c r="P6" i="212"/>
  <c r="AG17" i="212"/>
  <c r="O17" i="212"/>
  <c r="L38" i="212"/>
  <c r="L48" i="212" s="1"/>
  <c r="G13" i="211" s="1"/>
  <c r="K48" i="212"/>
  <c r="L59" i="212"/>
  <c r="L69" i="212" s="1"/>
  <c r="I13" i="211" s="1"/>
  <c r="J6" i="211" s="1"/>
  <c r="K69" i="212"/>
  <c r="AF19" i="214"/>
  <c r="AG19" i="214"/>
  <c r="I1" i="214"/>
  <c r="P28" i="216"/>
  <c r="J37" i="216"/>
  <c r="P37" i="216" s="1"/>
  <c r="G20" i="215"/>
  <c r="AD2" i="216"/>
  <c r="AG8" i="222"/>
  <c r="AF8" i="222"/>
  <c r="O8" i="222"/>
  <c r="R29" i="198"/>
  <c r="Q29" i="198"/>
  <c r="K58" i="198"/>
  <c r="AF51" i="198"/>
  <c r="K69" i="198"/>
  <c r="P15" i="202"/>
  <c r="Q40" i="202"/>
  <c r="L52" i="202"/>
  <c r="J58" i="204"/>
  <c r="P49" i="204"/>
  <c r="Q5" i="208"/>
  <c r="L9" i="208"/>
  <c r="Q9" i="208" s="1"/>
  <c r="AG28" i="208"/>
  <c r="AF28" i="208"/>
  <c r="J79" i="208"/>
  <c r="P79" i="208" s="1"/>
  <c r="P70" i="208"/>
  <c r="AG5" i="210"/>
  <c r="P37" i="210"/>
  <c r="P48" i="210"/>
  <c r="G22" i="209"/>
  <c r="N58" i="210"/>
  <c r="O49" i="210"/>
  <c r="AG49" i="210"/>
  <c r="AF49" i="210"/>
  <c r="AG60" i="210"/>
  <c r="O60" i="210"/>
  <c r="AF17" i="212"/>
  <c r="L19" i="212"/>
  <c r="R19" i="212" s="1"/>
  <c r="AG52" i="212"/>
  <c r="AF52" i="212"/>
  <c r="O59" i="212"/>
  <c r="N69" i="212"/>
  <c r="O19" i="214"/>
  <c r="Q29" i="214"/>
  <c r="R60" i="214"/>
  <c r="Q60" i="214"/>
  <c r="O6" i="215"/>
  <c r="N6" i="215"/>
  <c r="L39" i="216"/>
  <c r="L48" i="216" s="1"/>
  <c r="G13" i="215" s="1"/>
  <c r="AG6" i="218"/>
  <c r="O6" i="218"/>
  <c r="N15" i="218"/>
  <c r="AF6" i="218"/>
  <c r="O51" i="218"/>
  <c r="AG51" i="218"/>
  <c r="AF51" i="218"/>
  <c r="O19" i="220"/>
  <c r="AG19" i="220"/>
  <c r="AF19" i="220"/>
  <c r="L59" i="220"/>
  <c r="L69" i="220" s="1"/>
  <c r="I13" i="219" s="1"/>
  <c r="J6" i="219" s="1"/>
  <c r="P59" i="220"/>
  <c r="J69" i="220"/>
  <c r="P69" i="220" s="1"/>
  <c r="K79" i="220"/>
  <c r="L70" i="220"/>
  <c r="L79" i="220" s="1"/>
  <c r="J13" i="219" s="1"/>
  <c r="L20" i="196"/>
  <c r="R20" i="196" s="1"/>
  <c r="P6" i="200"/>
  <c r="L6" i="200"/>
  <c r="R6" i="200" s="1"/>
  <c r="AF50" i="200"/>
  <c r="O50" i="200"/>
  <c r="M6" i="201"/>
  <c r="R18" i="202"/>
  <c r="Q18" i="202"/>
  <c r="N48" i="202"/>
  <c r="O17" i="204"/>
  <c r="AG17" i="204"/>
  <c r="N26" i="204"/>
  <c r="G22" i="203"/>
  <c r="AF49" i="204"/>
  <c r="O49" i="204"/>
  <c r="N58" i="204"/>
  <c r="N15" i="208"/>
  <c r="AG70" i="208"/>
  <c r="AF70" i="208"/>
  <c r="O70" i="208"/>
  <c r="O19" i="210"/>
  <c r="AG19" i="210"/>
  <c r="R28" i="210"/>
  <c r="Q28" i="210"/>
  <c r="P39" i="210"/>
  <c r="L39" i="210"/>
  <c r="AG6" i="212"/>
  <c r="O6" i="212"/>
  <c r="G1" i="212"/>
  <c r="P29" i="212"/>
  <c r="J37" i="212"/>
  <c r="P37" i="212"/>
  <c r="R39" i="214"/>
  <c r="Q39" i="214"/>
  <c r="Q28" i="218"/>
  <c r="R28" i="218"/>
  <c r="L38" i="194"/>
  <c r="L48" i="194" s="1"/>
  <c r="G13" i="193" s="1"/>
  <c r="J48" i="194"/>
  <c r="P48" i="194" s="1"/>
  <c r="O17" i="198"/>
  <c r="O26" i="198" s="1"/>
  <c r="AG17" i="198"/>
  <c r="AF17" i="198"/>
  <c r="AF29" i="198"/>
  <c r="O7" i="200"/>
  <c r="AG7" i="200"/>
  <c r="AF7" i="200"/>
  <c r="AE2" i="200"/>
  <c r="D21" i="199"/>
  <c r="AF39" i="200"/>
  <c r="AF70" i="200"/>
  <c r="N79" i="200"/>
  <c r="AD2" i="202"/>
  <c r="AF19" i="202"/>
  <c r="O48" i="202"/>
  <c r="R38" i="202"/>
  <c r="Q38" i="202"/>
  <c r="G1" i="204"/>
  <c r="O52" i="204"/>
  <c r="AG52" i="204"/>
  <c r="AG59" i="204"/>
  <c r="O15" i="208"/>
  <c r="J26" i="208"/>
  <c r="J58" i="208"/>
  <c r="P58" i="208" s="1"/>
  <c r="P49" i="208"/>
  <c r="AG18" i="210"/>
  <c r="L18" i="210"/>
  <c r="Q18" i="210" s="1"/>
  <c r="L15" i="212"/>
  <c r="D13" i="211" s="1"/>
  <c r="L8" i="212"/>
  <c r="R8" i="212" s="1"/>
  <c r="P8" i="212"/>
  <c r="K15" i="212"/>
  <c r="O16" i="214"/>
  <c r="N26" i="214"/>
  <c r="AG16" i="214"/>
  <c r="AF16" i="214"/>
  <c r="O6" i="216"/>
  <c r="AG6" i="216"/>
  <c r="AF6" i="216"/>
  <c r="AF50" i="216"/>
  <c r="AG50" i="216"/>
  <c r="O50" i="216"/>
  <c r="L28" i="196"/>
  <c r="L37" i="196" s="1"/>
  <c r="F13" i="195" s="1"/>
  <c r="L51" i="196"/>
  <c r="R51" i="196" s="1"/>
  <c r="AG29" i="198"/>
  <c r="N58" i="198"/>
  <c r="O49" i="198"/>
  <c r="AG49" i="198"/>
  <c r="AF49" i="198"/>
  <c r="AG51" i="198"/>
  <c r="O70" i="200"/>
  <c r="P37" i="202"/>
  <c r="F22" i="201"/>
  <c r="R51" i="202"/>
  <c r="Q51" i="202"/>
  <c r="N6" i="203"/>
  <c r="AG8" i="204"/>
  <c r="AF8" i="204"/>
  <c r="AG9" i="204"/>
  <c r="AF9" i="204"/>
  <c r="AF52" i="204"/>
  <c r="I22" i="203"/>
  <c r="P69" i="204"/>
  <c r="L6" i="207"/>
  <c r="P26" i="208"/>
  <c r="I1" i="208"/>
  <c r="E22" i="207"/>
  <c r="L49" i="208"/>
  <c r="L58" i="208" s="1"/>
  <c r="H13" i="207" s="1"/>
  <c r="K58" i="208"/>
  <c r="Q58" i="208" s="1"/>
  <c r="J22" i="207"/>
  <c r="G1" i="210"/>
  <c r="O59" i="210"/>
  <c r="AG59" i="210"/>
  <c r="L70" i="210"/>
  <c r="L79" i="210" s="1"/>
  <c r="J13" i="209" s="1"/>
  <c r="O16" i="212"/>
  <c r="AG16" i="212"/>
  <c r="AF16" i="212"/>
  <c r="AF19" i="212"/>
  <c r="N26" i="212"/>
  <c r="AG31" i="212"/>
  <c r="AF31" i="212"/>
  <c r="J15" i="214"/>
  <c r="P5" i="214"/>
  <c r="L5" i="214"/>
  <c r="L15" i="214" s="1"/>
  <c r="D13" i="213" s="1"/>
  <c r="AG18" i="214"/>
  <c r="O18" i="214"/>
  <c r="AG19" i="218"/>
  <c r="AF19" i="218"/>
  <c r="O19" i="218"/>
  <c r="Q27" i="220"/>
  <c r="R27" i="220"/>
  <c r="L29" i="220"/>
  <c r="K37" i="220"/>
  <c r="R71" i="220"/>
  <c r="Q71" i="220"/>
  <c r="P48" i="202"/>
  <c r="P15" i="204"/>
  <c r="L16" i="204"/>
  <c r="L26" i="204" s="1"/>
  <c r="E13" i="203" s="1"/>
  <c r="AG29" i="204"/>
  <c r="AF29" i="204"/>
  <c r="O6" i="207"/>
  <c r="N6" i="207"/>
  <c r="R9" i="208"/>
  <c r="O20" i="210"/>
  <c r="AG20" i="210"/>
  <c r="AG38" i="210"/>
  <c r="N48" i="210"/>
  <c r="AG19" i="212"/>
  <c r="P30" i="212"/>
  <c r="L30" i="212"/>
  <c r="D20" i="213"/>
  <c r="AD2" i="214"/>
  <c r="K26" i="216"/>
  <c r="L17" i="216"/>
  <c r="L26" i="216" s="1"/>
  <c r="E13" i="215" s="1"/>
  <c r="J22" i="215"/>
  <c r="AG79" i="222"/>
  <c r="AH70" i="222" s="1"/>
  <c r="Q79" i="222"/>
  <c r="AF79" i="222"/>
  <c r="K58" i="194"/>
  <c r="Q58" i="194" s="1"/>
  <c r="O38" i="196"/>
  <c r="O8" i="198"/>
  <c r="K26" i="198"/>
  <c r="O40" i="200"/>
  <c r="AG40" i="200"/>
  <c r="P48" i="200"/>
  <c r="G22" i="199"/>
  <c r="L60" i="200"/>
  <c r="L7" i="202"/>
  <c r="Q7" i="202" s="1"/>
  <c r="AF52" i="202"/>
  <c r="O52" i="202"/>
  <c r="I1" i="204"/>
  <c r="AG19" i="204"/>
  <c r="L41" i="204"/>
  <c r="R41" i="204" s="1"/>
  <c r="H22" i="203"/>
  <c r="P58" i="204"/>
  <c r="P59" i="204"/>
  <c r="J69" i="204"/>
  <c r="L18" i="208"/>
  <c r="Q19" i="208"/>
  <c r="AF50" i="208"/>
  <c r="AF20" i="210"/>
  <c r="AF38" i="210"/>
  <c r="O28" i="212"/>
  <c r="AG28" i="212"/>
  <c r="I22" i="211"/>
  <c r="P69" i="212"/>
  <c r="D21" i="213"/>
  <c r="AE2" i="214"/>
  <c r="P40" i="214"/>
  <c r="L40" i="214"/>
  <c r="G22" i="217"/>
  <c r="AG7" i="222"/>
  <c r="AF7" i="222"/>
  <c r="O7" i="222"/>
  <c r="N15" i="222"/>
  <c r="R17" i="224"/>
  <c r="Q17" i="224"/>
  <c r="L70" i="194"/>
  <c r="L79" i="194" s="1"/>
  <c r="J13" i="193" s="1"/>
  <c r="AD2" i="200"/>
  <c r="AF19" i="200"/>
  <c r="L70" i="200"/>
  <c r="L79" i="200" s="1"/>
  <c r="J13" i="199" s="1"/>
  <c r="K15" i="202"/>
  <c r="R7" i="202"/>
  <c r="L16" i="202"/>
  <c r="L26" i="202" s="1"/>
  <c r="E13" i="201" s="1"/>
  <c r="J26" i="202"/>
  <c r="P26" i="202" s="1"/>
  <c r="K37" i="202"/>
  <c r="O29" i="202"/>
  <c r="AG29" i="202"/>
  <c r="AG51" i="202"/>
  <c r="J69" i="202"/>
  <c r="P69" i="202" s="1"/>
  <c r="P59" i="202"/>
  <c r="O18" i="204"/>
  <c r="AG18" i="204"/>
  <c r="AF18" i="204"/>
  <c r="K69" i="204"/>
  <c r="K79" i="204"/>
  <c r="AG79" i="204" s="1"/>
  <c r="AH70" i="204" s="1"/>
  <c r="L70" i="204"/>
  <c r="L79" i="204" s="1"/>
  <c r="J13" i="203" s="1"/>
  <c r="O6" i="208"/>
  <c r="AG9" i="208"/>
  <c r="AF18" i="208"/>
  <c r="O18" i="208"/>
  <c r="O26" i="208" s="1"/>
  <c r="K26" i="212"/>
  <c r="AF51" i="212"/>
  <c r="O51" i="212"/>
  <c r="AG51" i="212"/>
  <c r="N15" i="216"/>
  <c r="AG5" i="216"/>
  <c r="O5" i="216"/>
  <c r="AF5" i="216"/>
  <c r="AA2" i="218"/>
  <c r="D19" i="217"/>
  <c r="M6" i="217" s="1"/>
  <c r="L50" i="220"/>
  <c r="R50" i="220" s="1"/>
  <c r="AG62" i="222"/>
  <c r="AF62" i="222"/>
  <c r="O62" i="222"/>
  <c r="N69" i="222"/>
  <c r="P71" i="222"/>
  <c r="J79" i="222"/>
  <c r="P79" i="222" s="1"/>
  <c r="L71" i="222"/>
  <c r="R71" i="222" s="1"/>
  <c r="AF5" i="200"/>
  <c r="P16" i="202"/>
  <c r="AG52" i="202"/>
  <c r="L29" i="204"/>
  <c r="K48" i="204"/>
  <c r="AF61" i="208"/>
  <c r="O61" i="208"/>
  <c r="AF18" i="210"/>
  <c r="O6" i="211"/>
  <c r="N6" i="211"/>
  <c r="L29" i="212"/>
  <c r="L37" i="212" s="1"/>
  <c r="F13" i="211" s="1"/>
  <c r="AF52" i="214"/>
  <c r="AG52" i="214"/>
  <c r="AG59" i="214"/>
  <c r="N69" i="214"/>
  <c r="AF59" i="214"/>
  <c r="O59" i="214"/>
  <c r="L61" i="214"/>
  <c r="Q61" i="214" s="1"/>
  <c r="AG61" i="214"/>
  <c r="K69" i="214"/>
  <c r="Q29" i="216"/>
  <c r="P59" i="218"/>
  <c r="J69" i="218"/>
  <c r="AG5" i="200"/>
  <c r="N15" i="200"/>
  <c r="J58" i="200"/>
  <c r="AF60" i="200"/>
  <c r="AF7" i="202"/>
  <c r="AF29" i="202"/>
  <c r="AF51" i="202"/>
  <c r="D22" i="203"/>
  <c r="O19" i="204"/>
  <c r="O29" i="204"/>
  <c r="Z2" i="210"/>
  <c r="O41" i="210"/>
  <c r="AG41" i="210"/>
  <c r="K37" i="212"/>
  <c r="R5" i="214"/>
  <c r="AF9" i="214"/>
  <c r="O9" i="214"/>
  <c r="AG9" i="214"/>
  <c r="Q52" i="214"/>
  <c r="R52" i="214"/>
  <c r="AF7" i="216"/>
  <c r="AG7" i="216"/>
  <c r="O7" i="216"/>
  <c r="P48" i="216"/>
  <c r="O53" i="216"/>
  <c r="AF53" i="216"/>
  <c r="O6" i="220"/>
  <c r="N15" i="220"/>
  <c r="AG6" i="220"/>
  <c r="AF30" i="220"/>
  <c r="O30" i="220"/>
  <c r="AG30" i="220"/>
  <c r="P51" i="220"/>
  <c r="J58" i="220"/>
  <c r="P58" i="220" s="1"/>
  <c r="L51" i="220"/>
  <c r="AF59" i="220"/>
  <c r="AG59" i="220"/>
  <c r="O59" i="220"/>
  <c r="N69" i="220"/>
  <c r="AG61" i="220"/>
  <c r="O61" i="220"/>
  <c r="AF61" i="220"/>
  <c r="K69" i="222"/>
  <c r="L60" i="222"/>
  <c r="N37" i="210"/>
  <c r="AF7" i="212"/>
  <c r="Q27" i="212"/>
  <c r="R27" i="212"/>
  <c r="AG50" i="212"/>
  <c r="AF50" i="212"/>
  <c r="L70" i="212"/>
  <c r="K79" i="212"/>
  <c r="J69" i="214"/>
  <c r="P69" i="214" s="1"/>
  <c r="P59" i="214"/>
  <c r="Z2" i="216"/>
  <c r="D18" i="215"/>
  <c r="L6" i="215" s="1"/>
  <c r="AG16" i="216"/>
  <c r="N26" i="216"/>
  <c r="AF16" i="216"/>
  <c r="R51" i="216"/>
  <c r="Q51" i="216"/>
  <c r="L6" i="218"/>
  <c r="AG38" i="218"/>
  <c r="AF38" i="218"/>
  <c r="N48" i="218"/>
  <c r="AG49" i="218"/>
  <c r="AF49" i="218"/>
  <c r="N58" i="218"/>
  <c r="O49" i="218"/>
  <c r="Q69" i="218"/>
  <c r="AG69" i="218"/>
  <c r="AH59" i="218" s="1"/>
  <c r="P15" i="220"/>
  <c r="I1" i="220"/>
  <c r="O18" i="220"/>
  <c r="N26" i="220"/>
  <c r="AG18" i="220"/>
  <c r="M6" i="219"/>
  <c r="L40" i="220"/>
  <c r="AG40" i="220"/>
  <c r="N26" i="222"/>
  <c r="O16" i="222"/>
  <c r="AG16" i="222"/>
  <c r="AF16" i="222"/>
  <c r="O6" i="204"/>
  <c r="L59" i="204"/>
  <c r="R59" i="204" s="1"/>
  <c r="L38" i="208"/>
  <c r="L48" i="208" s="1"/>
  <c r="G13" i="207" s="1"/>
  <c r="O49" i="208"/>
  <c r="O27" i="210"/>
  <c r="J69" i="210"/>
  <c r="P69" i="210" s="1"/>
  <c r="AG7" i="212"/>
  <c r="AF27" i="212"/>
  <c r="K58" i="212"/>
  <c r="Q58" i="212" s="1"/>
  <c r="L49" i="212"/>
  <c r="O50" i="212"/>
  <c r="O58" i="212" s="1"/>
  <c r="O79" i="212"/>
  <c r="O7" i="214"/>
  <c r="AF7" i="214"/>
  <c r="N15" i="214"/>
  <c r="AG7" i="214"/>
  <c r="Z2" i="214"/>
  <c r="D18" i="213"/>
  <c r="L6" i="213" s="1"/>
  <c r="J37" i="214"/>
  <c r="P28" i="214"/>
  <c r="P8" i="216"/>
  <c r="L8" i="216"/>
  <c r="AA2" i="216"/>
  <c r="D19" i="215"/>
  <c r="M6" i="215" s="1"/>
  <c r="AG29" i="216"/>
  <c r="AF29" i="216"/>
  <c r="J26" i="218"/>
  <c r="P26" i="218" s="1"/>
  <c r="P16" i="218"/>
  <c r="O38" i="218"/>
  <c r="P60" i="218"/>
  <c r="L60" i="218"/>
  <c r="AF18" i="220"/>
  <c r="G1" i="222"/>
  <c r="L19" i="204"/>
  <c r="AF17" i="208"/>
  <c r="AG8" i="210"/>
  <c r="P29" i="210"/>
  <c r="K58" i="210"/>
  <c r="AG70" i="212"/>
  <c r="N79" i="212"/>
  <c r="AF70" i="212"/>
  <c r="K15" i="214"/>
  <c r="R17" i="214"/>
  <c r="Q17" i="214"/>
  <c r="P38" i="214"/>
  <c r="L38" i="214"/>
  <c r="L48" i="214" s="1"/>
  <c r="G13" i="213" s="1"/>
  <c r="J48" i="214"/>
  <c r="P48" i="214" s="1"/>
  <c r="L28" i="216"/>
  <c r="L7" i="218"/>
  <c r="AG7" i="218"/>
  <c r="O29" i="218"/>
  <c r="AG29" i="218"/>
  <c r="K15" i="220"/>
  <c r="L5" i="220"/>
  <c r="L15" i="220" s="1"/>
  <c r="D13" i="219" s="1"/>
  <c r="AD2" i="204"/>
  <c r="P15" i="208"/>
  <c r="AG50" i="208"/>
  <c r="AF60" i="208"/>
  <c r="AG49" i="212"/>
  <c r="J69" i="212"/>
  <c r="P59" i="212"/>
  <c r="L16" i="214"/>
  <c r="L26" i="214" s="1"/>
  <c r="E13" i="213" s="1"/>
  <c r="P16" i="214"/>
  <c r="J26" i="214"/>
  <c r="AF28" i="218"/>
  <c r="AG28" i="218"/>
  <c r="O50" i="218"/>
  <c r="AG50" i="218"/>
  <c r="AF50" i="218"/>
  <c r="R73" i="220"/>
  <c r="Q73" i="220"/>
  <c r="AG70" i="222"/>
  <c r="AF70" i="222"/>
  <c r="O70" i="222"/>
  <c r="Q6" i="214"/>
  <c r="AF8" i="214"/>
  <c r="K48" i="214"/>
  <c r="L19" i="216"/>
  <c r="K37" i="216"/>
  <c r="J48" i="216"/>
  <c r="P38" i="216"/>
  <c r="N58" i="216"/>
  <c r="J58" i="216"/>
  <c r="P58" i="216" s="1"/>
  <c r="O59" i="216"/>
  <c r="AF59" i="216"/>
  <c r="P70" i="216"/>
  <c r="J79" i="216"/>
  <c r="P79" i="216" s="1"/>
  <c r="AF7" i="218"/>
  <c r="N26" i="218"/>
  <c r="AF16" i="218"/>
  <c r="AG16" i="218"/>
  <c r="O16" i="218"/>
  <c r="AF39" i="218"/>
  <c r="O39" i="218"/>
  <c r="AG7" i="220"/>
  <c r="O7" i="220"/>
  <c r="AF17" i="220"/>
  <c r="L17" i="220"/>
  <c r="Q17" i="220" s="1"/>
  <c r="L31" i="220"/>
  <c r="AG31" i="220"/>
  <c r="AF60" i="220"/>
  <c r="O60" i="220"/>
  <c r="AE2" i="222"/>
  <c r="N48" i="222"/>
  <c r="O38" i="222"/>
  <c r="AG38" i="222"/>
  <c r="AF38" i="222"/>
  <c r="R63" i="222"/>
  <c r="Q63" i="222"/>
  <c r="P79" i="212"/>
  <c r="R6" i="214"/>
  <c r="P15" i="214"/>
  <c r="D22" i="213"/>
  <c r="AF29" i="214"/>
  <c r="AG29" i="214"/>
  <c r="L49" i="214"/>
  <c r="R49" i="214" s="1"/>
  <c r="J58" i="214"/>
  <c r="P58" i="214" s="1"/>
  <c r="O51" i="214"/>
  <c r="AG51" i="214"/>
  <c r="AF51" i="214"/>
  <c r="N58" i="214"/>
  <c r="AE2" i="216"/>
  <c r="AF19" i="216"/>
  <c r="O19" i="216"/>
  <c r="K48" i="216"/>
  <c r="R49" i="216"/>
  <c r="Q49" i="216"/>
  <c r="R60" i="216"/>
  <c r="Q60" i="216"/>
  <c r="R7" i="218"/>
  <c r="Q7" i="218"/>
  <c r="AG59" i="218"/>
  <c r="AF59" i="218"/>
  <c r="O59" i="218"/>
  <c r="AF70" i="220"/>
  <c r="AG70" i="220"/>
  <c r="O70" i="220"/>
  <c r="N79" i="220"/>
  <c r="R72" i="220"/>
  <c r="Q72" i="220"/>
  <c r="L28" i="222"/>
  <c r="K37" i="222"/>
  <c r="L27" i="214"/>
  <c r="L37" i="214" s="1"/>
  <c r="F13" i="213" s="1"/>
  <c r="K37" i="214"/>
  <c r="AG39" i="214"/>
  <c r="N48" i="214"/>
  <c r="I1" i="218"/>
  <c r="D22" i="217"/>
  <c r="AG53" i="218"/>
  <c r="O53" i="218"/>
  <c r="O61" i="218"/>
  <c r="AG61" i="218"/>
  <c r="AF61" i="218"/>
  <c r="P79" i="220"/>
  <c r="J22" i="219"/>
  <c r="L7" i="222"/>
  <c r="P7" i="222"/>
  <c r="K26" i="222"/>
  <c r="O38" i="214"/>
  <c r="AF39" i="214"/>
  <c r="AG50" i="214"/>
  <c r="AF50" i="214"/>
  <c r="O50" i="214"/>
  <c r="G1" i="216"/>
  <c r="J26" i="216"/>
  <c r="P26" i="216" s="1"/>
  <c r="AG39" i="216"/>
  <c r="AF39" i="216"/>
  <c r="L53" i="216"/>
  <c r="L58" i="216" s="1"/>
  <c r="H13" i="215" s="1"/>
  <c r="N69" i="216"/>
  <c r="Q70" i="216"/>
  <c r="O79" i="216"/>
  <c r="R70" i="216"/>
  <c r="L6" i="217"/>
  <c r="AG18" i="218"/>
  <c r="AF18" i="218"/>
  <c r="O18" i="218"/>
  <c r="J26" i="220"/>
  <c r="P26" i="220" s="1"/>
  <c r="P16" i="220"/>
  <c r="AG17" i="220"/>
  <c r="AG60" i="220"/>
  <c r="L17" i="222"/>
  <c r="AG50" i="222"/>
  <c r="N58" i="222"/>
  <c r="O50" i="222"/>
  <c r="AF50" i="222"/>
  <c r="AE2" i="224"/>
  <c r="AG6" i="224"/>
  <c r="O6" i="224"/>
  <c r="AF6" i="224"/>
  <c r="O19" i="224"/>
  <c r="O26" i="224" s="1"/>
  <c r="AG19" i="224"/>
  <c r="AF19" i="224"/>
  <c r="J26" i="212"/>
  <c r="P26" i="212" s="1"/>
  <c r="L7" i="214"/>
  <c r="R30" i="214"/>
  <c r="L60" i="214"/>
  <c r="AF61" i="214"/>
  <c r="N79" i="216"/>
  <c r="AF52" i="218"/>
  <c r="O52" i="218"/>
  <c r="AG60" i="218"/>
  <c r="AF60" i="218"/>
  <c r="O60" i="218"/>
  <c r="AF9" i="220"/>
  <c r="O9" i="220"/>
  <c r="AG9" i="220"/>
  <c r="P20" i="220"/>
  <c r="L20" i="220"/>
  <c r="L39" i="220"/>
  <c r="R39" i="220" s="1"/>
  <c r="E21" i="221"/>
  <c r="L18" i="222"/>
  <c r="P18" i="222"/>
  <c r="L30" i="222"/>
  <c r="Q30" i="222" s="1"/>
  <c r="P30" i="222"/>
  <c r="N15" i="224"/>
  <c r="AF5" i="224"/>
  <c r="AG5" i="224"/>
  <c r="O5" i="224"/>
  <c r="AG18" i="224"/>
  <c r="O18" i="224"/>
  <c r="N37" i="224"/>
  <c r="AG27" i="224"/>
  <c r="O27" i="224"/>
  <c r="F22" i="223"/>
  <c r="P37" i="224"/>
  <c r="AG38" i="220"/>
  <c r="AF38" i="220"/>
  <c r="O38" i="220"/>
  <c r="J15" i="222"/>
  <c r="P15" i="222" s="1"/>
  <c r="P5" i="222"/>
  <c r="AF30" i="214"/>
  <c r="O28" i="216"/>
  <c r="AG28" i="216"/>
  <c r="AF38" i="216"/>
  <c r="AG38" i="216"/>
  <c r="N48" i="216"/>
  <c r="AG17" i="218"/>
  <c r="AF17" i="218"/>
  <c r="O17" i="218"/>
  <c r="L6" i="219"/>
  <c r="P37" i="220"/>
  <c r="R62" i="220"/>
  <c r="Q62" i="220"/>
  <c r="L71" i="220"/>
  <c r="J37" i="224"/>
  <c r="L29" i="224"/>
  <c r="R29" i="224" s="1"/>
  <c r="P29" i="224"/>
  <c r="L71" i="224"/>
  <c r="Q71" i="224" s="1"/>
  <c r="K79" i="224"/>
  <c r="L59" i="214"/>
  <c r="AF18" i="216"/>
  <c r="L29" i="216"/>
  <c r="R29" i="216" s="1"/>
  <c r="P29" i="216"/>
  <c r="AG30" i="216"/>
  <c r="AF30" i="216"/>
  <c r="O30" i="216"/>
  <c r="P61" i="216"/>
  <c r="L61" i="216"/>
  <c r="R40" i="218"/>
  <c r="Q16" i="220"/>
  <c r="R16" i="220"/>
  <c r="AG29" i="220"/>
  <c r="AF29" i="220"/>
  <c r="O29" i="220"/>
  <c r="AG60" i="214"/>
  <c r="AF60" i="214"/>
  <c r="AF17" i="216"/>
  <c r="AG17" i="216"/>
  <c r="O17" i="216"/>
  <c r="R18" i="216"/>
  <c r="L5" i="218"/>
  <c r="K15" i="218"/>
  <c r="P58" i="218"/>
  <c r="AE2" i="220"/>
  <c r="N48" i="220"/>
  <c r="K58" i="220"/>
  <c r="L49" i="220"/>
  <c r="L58" i="220" s="1"/>
  <c r="H13" i="219" s="1"/>
  <c r="O18" i="222"/>
  <c r="AG18" i="222"/>
  <c r="AF29" i="222"/>
  <c r="AG29" i="222"/>
  <c r="L79" i="222"/>
  <c r="J13" i="221" s="1"/>
  <c r="O7" i="224"/>
  <c r="AG7" i="224"/>
  <c r="AF7" i="224"/>
  <c r="O17" i="222"/>
  <c r="AF17" i="222"/>
  <c r="AG59" i="222"/>
  <c r="AF59" i="222"/>
  <c r="O59" i="222"/>
  <c r="L6" i="223"/>
  <c r="G1" i="224"/>
  <c r="R31" i="224"/>
  <c r="Q31" i="224"/>
  <c r="L49" i="218"/>
  <c r="L58" i="218" s="1"/>
  <c r="H13" i="217" s="1"/>
  <c r="L59" i="218"/>
  <c r="Z2" i="220"/>
  <c r="AG27" i="220"/>
  <c r="AF27" i="220"/>
  <c r="AF28" i="220"/>
  <c r="N37" i="220"/>
  <c r="O28" i="220"/>
  <c r="AG17" i="222"/>
  <c r="AG40" i="222"/>
  <c r="AF40" i="222"/>
  <c r="O40" i="222"/>
  <c r="Q71" i="222"/>
  <c r="L50" i="224"/>
  <c r="L58" i="224" s="1"/>
  <c r="H13" i="223" s="1"/>
  <c r="J58" i="224"/>
  <c r="P58" i="224" s="1"/>
  <c r="P50" i="224"/>
  <c r="L37" i="218"/>
  <c r="F13" i="217" s="1"/>
  <c r="L37" i="220"/>
  <c r="F13" i="219" s="1"/>
  <c r="G22" i="219"/>
  <c r="L16" i="222"/>
  <c r="J37" i="222"/>
  <c r="L49" i="222"/>
  <c r="L58" i="222" s="1"/>
  <c r="H13" i="221" s="1"/>
  <c r="R61" i="222"/>
  <c r="K69" i="224"/>
  <c r="O51" i="220"/>
  <c r="AG51" i="220"/>
  <c r="O6" i="221"/>
  <c r="N6" i="221"/>
  <c r="AG19" i="222"/>
  <c r="O19" i="222"/>
  <c r="O8" i="224"/>
  <c r="AG8" i="224"/>
  <c r="AF8" i="224"/>
  <c r="L38" i="224"/>
  <c r="R38" i="224" s="1"/>
  <c r="K48" i="224"/>
  <c r="AF5" i="218"/>
  <c r="AE2" i="218"/>
  <c r="L41" i="218"/>
  <c r="R41" i="218" s="1"/>
  <c r="K69" i="218"/>
  <c r="AF69" i="218" s="1"/>
  <c r="AG28" i="220"/>
  <c r="AF51" i="220"/>
  <c r="P60" i="220"/>
  <c r="J26" i="222"/>
  <c r="P26" i="222" s="1"/>
  <c r="Q72" i="222"/>
  <c r="J79" i="224"/>
  <c r="P79" i="224" s="1"/>
  <c r="P72" i="224"/>
  <c r="P26" i="214"/>
  <c r="P15" i="216"/>
  <c r="L59" i="216"/>
  <c r="O15" i="218"/>
  <c r="J48" i="218"/>
  <c r="P48" i="218" s="1"/>
  <c r="P69" i="218"/>
  <c r="AF5" i="220"/>
  <c r="O5" i="220"/>
  <c r="O31" i="220"/>
  <c r="AF31" i="220"/>
  <c r="AF39" i="220"/>
  <c r="AF40" i="220"/>
  <c r="Q50" i="220"/>
  <c r="O5" i="222"/>
  <c r="AA2" i="222"/>
  <c r="L37" i="222"/>
  <c r="F13" i="221" s="1"/>
  <c r="P29" i="222"/>
  <c r="P51" i="222"/>
  <c r="L51" i="222"/>
  <c r="P69" i="222"/>
  <c r="I22" i="221"/>
  <c r="R72" i="222"/>
  <c r="L40" i="222"/>
  <c r="L48" i="222" s="1"/>
  <c r="G13" i="221" s="1"/>
  <c r="P40" i="222"/>
  <c r="L59" i="222"/>
  <c r="J69" i="222"/>
  <c r="AG60" i="222"/>
  <c r="AF60" i="222"/>
  <c r="O60" i="222"/>
  <c r="O6" i="223"/>
  <c r="P15" i="224"/>
  <c r="I1" i="224"/>
  <c r="AG31" i="224"/>
  <c r="AF31" i="224"/>
  <c r="J48" i="224"/>
  <c r="P48" i="224" s="1"/>
  <c r="AG40" i="224"/>
  <c r="AF40" i="224"/>
  <c r="O40" i="224"/>
  <c r="P62" i="224"/>
  <c r="L62" i="224"/>
  <c r="L69" i="224" s="1"/>
  <c r="I13" i="223" s="1"/>
  <c r="J6" i="223" s="1"/>
  <c r="L27" i="224"/>
  <c r="L37" i="224" s="1"/>
  <c r="F13" i="223" s="1"/>
  <c r="R30" i="224"/>
  <c r="AG28" i="222"/>
  <c r="AF28" i="222"/>
  <c r="O51" i="222"/>
  <c r="AG51" i="222"/>
  <c r="AF51" i="222"/>
  <c r="P58" i="222"/>
  <c r="Z2" i="224"/>
  <c r="P19" i="224"/>
  <c r="L19" i="224"/>
  <c r="AG28" i="224"/>
  <c r="AF28" i="224"/>
  <c r="O28" i="224"/>
  <c r="O49" i="224"/>
  <c r="AG49" i="224"/>
  <c r="Q70" i="224"/>
  <c r="O79" i="224"/>
  <c r="L7" i="220"/>
  <c r="L5" i="222"/>
  <c r="L6" i="222"/>
  <c r="O28" i="222"/>
  <c r="F22" i="221"/>
  <c r="P37" i="222"/>
  <c r="N6" i="223"/>
  <c r="AA2" i="224"/>
  <c r="D19" i="223"/>
  <c r="M6" i="223" s="1"/>
  <c r="AF49" i="224"/>
  <c r="N58" i="224"/>
  <c r="N69" i="224"/>
  <c r="AG59" i="224"/>
  <c r="O59" i="224"/>
  <c r="AF59" i="224"/>
  <c r="R70" i="224"/>
  <c r="L16" i="218"/>
  <c r="L26" i="218" s="1"/>
  <c r="E13" i="217" s="1"/>
  <c r="J48" i="220"/>
  <c r="P48" i="220" s="1"/>
  <c r="O6" i="222"/>
  <c r="AF6" i="222"/>
  <c r="J48" i="222"/>
  <c r="P48" i="222" s="1"/>
  <c r="L61" i="222"/>
  <c r="Q61" i="222" s="1"/>
  <c r="AG61" i="222"/>
  <c r="AF61" i="222"/>
  <c r="J26" i="224"/>
  <c r="P26" i="224" s="1"/>
  <c r="Q29" i="224"/>
  <c r="P37" i="218"/>
  <c r="AA2" i="220"/>
  <c r="K48" i="220"/>
  <c r="AG30" i="222"/>
  <c r="O39" i="222"/>
  <c r="AF39" i="222"/>
  <c r="D22" i="223"/>
  <c r="L16" i="224"/>
  <c r="L26" i="224" s="1"/>
  <c r="E13" i="223" s="1"/>
  <c r="AF16" i="224"/>
  <c r="K26" i="224"/>
  <c r="P60" i="224"/>
  <c r="J69" i="224"/>
  <c r="AG61" i="224"/>
  <c r="O61" i="224"/>
  <c r="L30" i="224"/>
  <c r="Q30" i="224" s="1"/>
  <c r="AG38" i="224"/>
  <c r="N48" i="224"/>
  <c r="AF38" i="224"/>
  <c r="Z2" i="222"/>
  <c r="AD2" i="224"/>
  <c r="P9" i="224"/>
  <c r="L39" i="224"/>
  <c r="AG39" i="224"/>
  <c r="AF39" i="224"/>
  <c r="O50" i="224"/>
  <c r="AG50" i="224"/>
  <c r="AF50" i="224"/>
  <c r="AG51" i="224"/>
  <c r="O51" i="224"/>
  <c r="AF51" i="224"/>
  <c r="I22" i="223"/>
  <c r="P69" i="224"/>
  <c r="AG62" i="224"/>
  <c r="O62" i="224"/>
  <c r="AF70" i="224"/>
  <c r="N79" i="224"/>
  <c r="AF60" i="224"/>
  <c r="O49" i="222"/>
  <c r="O60" i="224"/>
  <c r="L40" i="224"/>
  <c r="AG60" i="224"/>
  <c r="L72" i="224"/>
  <c r="AG16" i="224"/>
  <c r="N26" i="224"/>
  <c r="Q7" i="232" l="1"/>
  <c r="R7" i="232"/>
  <c r="R28" i="232"/>
  <c r="Q28" i="232"/>
  <c r="R39" i="232"/>
  <c r="Q39" i="232"/>
  <c r="R61" i="232"/>
  <c r="Q61" i="232"/>
  <c r="R8" i="232"/>
  <c r="Q8" i="232"/>
  <c r="AG15" i="232"/>
  <c r="AH5" i="232" s="1"/>
  <c r="AF15" i="232"/>
  <c r="R51" i="232"/>
  <c r="Q51" i="232"/>
  <c r="R19" i="232"/>
  <c r="Q19" i="232"/>
  <c r="R30" i="232"/>
  <c r="Q30" i="232"/>
  <c r="O48" i="232"/>
  <c r="R48" i="232" s="1"/>
  <c r="S38" i="232" s="1"/>
  <c r="Q38" i="232"/>
  <c r="R38" i="232"/>
  <c r="H6" i="231"/>
  <c r="O26" i="232"/>
  <c r="R16" i="232"/>
  <c r="Q16" i="232"/>
  <c r="AG69" i="232"/>
  <c r="AH59" i="232" s="1"/>
  <c r="Q69" i="232"/>
  <c r="AF69" i="232"/>
  <c r="AG26" i="232"/>
  <c r="AH16" i="232" s="1"/>
  <c r="AF26" i="232"/>
  <c r="R40" i="232"/>
  <c r="Q40" i="232"/>
  <c r="R50" i="232"/>
  <c r="Q50" i="232"/>
  <c r="O58" i="232"/>
  <c r="R58" i="232" s="1"/>
  <c r="S49" i="232" s="1"/>
  <c r="R49" i="232"/>
  <c r="Q49" i="232"/>
  <c r="AG37" i="232"/>
  <c r="AH27" i="232" s="1"/>
  <c r="Q37" i="232"/>
  <c r="AF37" i="232"/>
  <c r="Q18" i="232"/>
  <c r="R18" i="232"/>
  <c r="AG48" i="232"/>
  <c r="AH38" i="232" s="1"/>
  <c r="AF48" i="232"/>
  <c r="Q48" i="232"/>
  <c r="L6" i="231"/>
  <c r="R5" i="232"/>
  <c r="Q5" i="232"/>
  <c r="O15" i="232"/>
  <c r="O37" i="232"/>
  <c r="R37" i="232" s="1"/>
  <c r="S27" i="232" s="1"/>
  <c r="R27" i="232"/>
  <c r="Q27" i="232"/>
  <c r="AG79" i="232"/>
  <c r="AH70" i="232" s="1"/>
  <c r="AF79" i="232"/>
  <c r="Q79" i="232"/>
  <c r="R6" i="232"/>
  <c r="Q6" i="232"/>
  <c r="Q59" i="232"/>
  <c r="R17" i="232"/>
  <c r="Q17" i="232"/>
  <c r="AG58" i="232"/>
  <c r="AH49" i="232" s="1"/>
  <c r="AF58" i="232"/>
  <c r="Q58" i="232"/>
  <c r="Q60" i="232"/>
  <c r="R60" i="232"/>
  <c r="R59" i="232"/>
  <c r="O6" i="231"/>
  <c r="N6" i="231"/>
  <c r="F6" i="231"/>
  <c r="J14" i="231"/>
  <c r="J15" i="231"/>
  <c r="J3" i="231"/>
  <c r="R19" i="230"/>
  <c r="Q19" i="230"/>
  <c r="R52" i="230"/>
  <c r="Q52" i="230"/>
  <c r="R51" i="230"/>
  <c r="Q51" i="230"/>
  <c r="R7" i="230"/>
  <c r="Q7" i="230"/>
  <c r="R16" i="230"/>
  <c r="O26" i="230"/>
  <c r="Q16" i="230"/>
  <c r="R70" i="230"/>
  <c r="Q70" i="230"/>
  <c r="O79" i="230"/>
  <c r="R17" i="230"/>
  <c r="Q17" i="230"/>
  <c r="Q50" i="230"/>
  <c r="R50" i="230"/>
  <c r="AG15" i="230"/>
  <c r="AH5" i="230" s="1"/>
  <c r="AF15" i="230"/>
  <c r="Q37" i="230"/>
  <c r="AG37" i="230"/>
  <c r="AH27" i="230" s="1"/>
  <c r="AF37" i="230"/>
  <c r="R39" i="230"/>
  <c r="Q39" i="230"/>
  <c r="R38" i="230"/>
  <c r="Q38" i="230"/>
  <c r="O48" i="230"/>
  <c r="R48" i="230" s="1"/>
  <c r="S38" i="230" s="1"/>
  <c r="AG48" i="230"/>
  <c r="AH38" i="230" s="1"/>
  <c r="AF48" i="230"/>
  <c r="Q48" i="230"/>
  <c r="R29" i="230"/>
  <c r="Q29" i="230"/>
  <c r="R61" i="230"/>
  <c r="Q61" i="230"/>
  <c r="Q30" i="230"/>
  <c r="R30" i="230"/>
  <c r="Q5" i="230"/>
  <c r="O15" i="230"/>
  <c r="R5" i="230"/>
  <c r="R49" i="230"/>
  <c r="Q49" i="230"/>
  <c r="O58" i="230"/>
  <c r="R58" i="230" s="1"/>
  <c r="S49" i="230" s="1"/>
  <c r="R60" i="230"/>
  <c r="Q60" i="230"/>
  <c r="R27" i="230"/>
  <c r="O37" i="230"/>
  <c r="R37" i="230" s="1"/>
  <c r="S27" i="230" s="1"/>
  <c r="Q27" i="230"/>
  <c r="Q69" i="230"/>
  <c r="AG69" i="230"/>
  <c r="AH59" i="230" s="1"/>
  <c r="AF69" i="230"/>
  <c r="R59" i="230"/>
  <c r="Q59" i="230"/>
  <c r="O69" i="230"/>
  <c r="R69" i="230" s="1"/>
  <c r="S59" i="230" s="1"/>
  <c r="Q18" i="230"/>
  <c r="R18" i="230"/>
  <c r="AG26" i="230"/>
  <c r="AH16" i="230" s="1"/>
  <c r="AF26" i="230"/>
  <c r="R6" i="230"/>
  <c r="Q6" i="230"/>
  <c r="J3" i="229"/>
  <c r="F6" i="229"/>
  <c r="Q49" i="228"/>
  <c r="R49" i="228"/>
  <c r="O58" i="228"/>
  <c r="R58" i="228" s="1"/>
  <c r="S49" i="228" s="1"/>
  <c r="Q6" i="228"/>
  <c r="R6" i="228"/>
  <c r="R72" i="228"/>
  <c r="Q72" i="228"/>
  <c r="Q17" i="228"/>
  <c r="R17" i="228"/>
  <c r="R59" i="228"/>
  <c r="Q59" i="228"/>
  <c r="O69" i="228"/>
  <c r="R69" i="228" s="1"/>
  <c r="S59" i="228" s="1"/>
  <c r="Q19" i="228"/>
  <c r="R19" i="228"/>
  <c r="AG79" i="228"/>
  <c r="AH70" i="228" s="1"/>
  <c r="AF79" i="228"/>
  <c r="Q79" i="228"/>
  <c r="Q30" i="228"/>
  <c r="R30" i="228"/>
  <c r="Q8" i="228"/>
  <c r="R8" i="228"/>
  <c r="Q61" i="228"/>
  <c r="R61" i="228"/>
  <c r="R70" i="228"/>
  <c r="O79" i="228"/>
  <c r="R79" i="228" s="1"/>
  <c r="S70" i="228" s="1"/>
  <c r="Q70" i="228"/>
  <c r="AG69" i="228"/>
  <c r="AH59" i="228" s="1"/>
  <c r="AF69" i="228"/>
  <c r="Q69" i="228"/>
  <c r="AF37" i="228"/>
  <c r="Q37" i="228"/>
  <c r="AG37" i="228"/>
  <c r="AH27" i="228" s="1"/>
  <c r="R60" i="228"/>
  <c r="Q60" i="228"/>
  <c r="O37" i="228"/>
  <c r="R37" i="228" s="1"/>
  <c r="S27" i="228" s="1"/>
  <c r="R27" i="228"/>
  <c r="Q27" i="228"/>
  <c r="R29" i="228"/>
  <c r="Q29" i="228"/>
  <c r="AG15" i="228"/>
  <c r="AH5" i="228" s="1"/>
  <c r="AF15" i="228"/>
  <c r="R5" i="228"/>
  <c r="O15" i="228"/>
  <c r="Q5" i="228"/>
  <c r="L15" i="228"/>
  <c r="D13" i="227" s="1"/>
  <c r="O48" i="228"/>
  <c r="R48" i="228" s="1"/>
  <c r="S38" i="228" s="1"/>
  <c r="R38" i="228"/>
  <c r="Q38" i="228"/>
  <c r="AG58" i="228"/>
  <c r="AH49" i="228" s="1"/>
  <c r="Q58" i="228"/>
  <c r="AF58" i="228"/>
  <c r="R18" i="228"/>
  <c r="Q18" i="228"/>
  <c r="AF48" i="228"/>
  <c r="Q48" i="228"/>
  <c r="AG48" i="228"/>
  <c r="AH38" i="228" s="1"/>
  <c r="AG26" i="228"/>
  <c r="AH16" i="228" s="1"/>
  <c r="AF26" i="228"/>
  <c r="R52" i="228"/>
  <c r="Q52" i="228"/>
  <c r="Q7" i="228"/>
  <c r="O26" i="228"/>
  <c r="R16" i="228"/>
  <c r="Q16" i="228"/>
  <c r="D14" i="227"/>
  <c r="E13" i="227"/>
  <c r="I13" i="227"/>
  <c r="J6" i="227" s="1"/>
  <c r="H14" i="227"/>
  <c r="O6" i="227"/>
  <c r="N6" i="227"/>
  <c r="H13" i="227"/>
  <c r="F6" i="227" s="1"/>
  <c r="J3" i="227"/>
  <c r="L58" i="226"/>
  <c r="H13" i="225" s="1"/>
  <c r="Q40" i="226"/>
  <c r="R38" i="226"/>
  <c r="O15" i="226"/>
  <c r="Q38" i="224"/>
  <c r="H14" i="211"/>
  <c r="H14" i="189"/>
  <c r="H15" i="189" s="1"/>
  <c r="R58" i="190"/>
  <c r="S49" i="190" s="1"/>
  <c r="Q26" i="208"/>
  <c r="E14" i="207"/>
  <c r="E15" i="207" s="1"/>
  <c r="R26" i="208"/>
  <c r="S16" i="208" s="1"/>
  <c r="I14" i="193"/>
  <c r="I14" i="2"/>
  <c r="R48" i="208"/>
  <c r="S38" i="208" s="1"/>
  <c r="G14" i="207"/>
  <c r="G15" i="207" s="1"/>
  <c r="R37" i="3"/>
  <c r="S27" i="3" s="1"/>
  <c r="F14" i="2"/>
  <c r="F15" i="2" s="1"/>
  <c r="Q26" i="198"/>
  <c r="E14" i="197"/>
  <c r="E15" i="197" s="1"/>
  <c r="R26" i="198"/>
  <c r="S16" i="198" s="1"/>
  <c r="D14" i="225"/>
  <c r="R15" i="226"/>
  <c r="S5" i="226" s="1"/>
  <c r="Q15" i="226"/>
  <c r="I14" i="187"/>
  <c r="R69" i="188"/>
  <c r="S59" i="188" s="1"/>
  <c r="J3" i="225"/>
  <c r="G2" i="226"/>
  <c r="O37" i="224"/>
  <c r="R27" i="224"/>
  <c r="Q27" i="224"/>
  <c r="Q50" i="214"/>
  <c r="R50" i="214"/>
  <c r="R39" i="218"/>
  <c r="Q39" i="218"/>
  <c r="L58" i="212"/>
  <c r="H13" i="211" s="1"/>
  <c r="Q49" i="212"/>
  <c r="R18" i="204"/>
  <c r="Q18" i="204"/>
  <c r="Q52" i="202"/>
  <c r="R52" i="202"/>
  <c r="AG26" i="212"/>
  <c r="AH16" i="212" s="1"/>
  <c r="AF26" i="212"/>
  <c r="R31" i="202"/>
  <c r="Q31" i="202"/>
  <c r="O6" i="2"/>
  <c r="R28" i="181"/>
  <c r="Q28" i="181"/>
  <c r="AG15" i="186"/>
  <c r="AH5" i="186" s="1"/>
  <c r="AF15" i="186"/>
  <c r="R49" i="177"/>
  <c r="Q49" i="177"/>
  <c r="O58" i="177"/>
  <c r="R18" i="177"/>
  <c r="Q18" i="177"/>
  <c r="Q20" i="196"/>
  <c r="AG26" i="3"/>
  <c r="AH16" i="3" s="1"/>
  <c r="AF26" i="3"/>
  <c r="G14" i="225"/>
  <c r="G15" i="225" s="1"/>
  <c r="R48" i="226"/>
  <c r="S38" i="226" s="1"/>
  <c r="AG48" i="175"/>
  <c r="AH38" i="175" s="1"/>
  <c r="AF48" i="175"/>
  <c r="Q48" i="175"/>
  <c r="Q37" i="186"/>
  <c r="AF37" i="186"/>
  <c r="AG37" i="186"/>
  <c r="AH27" i="186" s="1"/>
  <c r="Q8" i="181"/>
  <c r="R8" i="181"/>
  <c r="R79" i="181"/>
  <c r="S70" i="181" s="1"/>
  <c r="J15" i="180" s="1"/>
  <c r="J14" i="180"/>
  <c r="R18" i="186"/>
  <c r="Q18" i="186"/>
  <c r="Q39" i="194"/>
  <c r="Q18" i="179"/>
  <c r="R18" i="179"/>
  <c r="AG48" i="3"/>
  <c r="AH38" i="3" s="1"/>
  <c r="AF48" i="3"/>
  <c r="Q48" i="3"/>
  <c r="R5" i="175"/>
  <c r="AF79" i="3"/>
  <c r="Q79" i="3"/>
  <c r="AG79" i="3"/>
  <c r="AH70" i="3" s="1"/>
  <c r="AG37" i="220"/>
  <c r="AH27" i="220" s="1"/>
  <c r="AF37" i="220"/>
  <c r="Q37" i="220"/>
  <c r="Q8" i="222"/>
  <c r="R8" i="222"/>
  <c r="R39" i="196"/>
  <c r="Q39" i="196"/>
  <c r="AF37" i="188"/>
  <c r="AG37" i="188"/>
  <c r="AH27" i="188" s="1"/>
  <c r="Q37" i="188"/>
  <c r="R39" i="186"/>
  <c r="Q39" i="186"/>
  <c r="Q60" i="188"/>
  <c r="R60" i="188"/>
  <c r="R61" i="184"/>
  <c r="Q61" i="184"/>
  <c r="R17" i="175"/>
  <c r="Q17" i="175"/>
  <c r="R16" i="177"/>
  <c r="Q16" i="177"/>
  <c r="O26" i="177"/>
  <c r="AG37" i="226"/>
  <c r="AH27" i="226" s="1"/>
  <c r="AF37" i="226"/>
  <c r="Q37" i="226"/>
  <c r="R51" i="214"/>
  <c r="Q51" i="214"/>
  <c r="Q79" i="200"/>
  <c r="AG79" i="200"/>
  <c r="AH70" i="200" s="1"/>
  <c r="AF79" i="200"/>
  <c r="Q62" i="224"/>
  <c r="R62" i="224"/>
  <c r="R5" i="220"/>
  <c r="O15" i="220"/>
  <c r="Q5" i="220"/>
  <c r="R30" i="222"/>
  <c r="Q58" i="222"/>
  <c r="AF58" i="222"/>
  <c r="AG58" i="222"/>
  <c r="AH49" i="222" s="1"/>
  <c r="Q38" i="214"/>
  <c r="O48" i="214"/>
  <c r="R38" i="214"/>
  <c r="Q48" i="218"/>
  <c r="AG48" i="218"/>
  <c r="AH38" i="218" s="1"/>
  <c r="AF48" i="218"/>
  <c r="AF26" i="204"/>
  <c r="AG26" i="204"/>
  <c r="AH16" i="204" s="1"/>
  <c r="AG15" i="218"/>
  <c r="AH5" i="218" s="1"/>
  <c r="AF15" i="218"/>
  <c r="O69" i="212"/>
  <c r="R59" i="212"/>
  <c r="Q59" i="212"/>
  <c r="G14" i="209"/>
  <c r="Q17" i="202"/>
  <c r="R17" i="202"/>
  <c r="Q9" i="202"/>
  <c r="R9" i="202"/>
  <c r="R19" i="196"/>
  <c r="Q19" i="196"/>
  <c r="AF58" i="208"/>
  <c r="R49" i="194"/>
  <c r="Q49" i="194"/>
  <c r="O58" i="194"/>
  <c r="R27" i="208"/>
  <c r="Q27" i="208"/>
  <c r="O37" i="208"/>
  <c r="L37" i="192"/>
  <c r="F13" i="191" s="1"/>
  <c r="R19" i="188"/>
  <c r="Q19" i="188"/>
  <c r="AF79" i="192"/>
  <c r="AG79" i="192"/>
  <c r="AH70" i="192" s="1"/>
  <c r="Q79" i="192"/>
  <c r="R6" i="184"/>
  <c r="Q6" i="184"/>
  <c r="R51" i="177"/>
  <c r="Q51" i="177"/>
  <c r="R6" i="181"/>
  <c r="Q6" i="181"/>
  <c r="J3" i="193"/>
  <c r="G2" i="194"/>
  <c r="AG26" i="186"/>
  <c r="AH16" i="186" s="1"/>
  <c r="AF26" i="186"/>
  <c r="AG15" i="181"/>
  <c r="AH5" i="181" s="1"/>
  <c r="AF15" i="181"/>
  <c r="O48" i="177"/>
  <c r="R38" i="177"/>
  <c r="Q38" i="177"/>
  <c r="R59" i="226"/>
  <c r="O69" i="226"/>
  <c r="Q59" i="226"/>
  <c r="Q38" i="188"/>
  <c r="O48" i="188"/>
  <c r="R38" i="188"/>
  <c r="Q41" i="196"/>
  <c r="R41" i="196"/>
  <c r="O79" i="192"/>
  <c r="Q70" i="192"/>
  <c r="R70" i="192"/>
  <c r="L79" i="224"/>
  <c r="J13" i="223" s="1"/>
  <c r="R71" i="224"/>
  <c r="O69" i="224"/>
  <c r="Q59" i="224"/>
  <c r="R59" i="224"/>
  <c r="L15" i="222"/>
  <c r="D13" i="221" s="1"/>
  <c r="O58" i="224"/>
  <c r="Q49" i="224"/>
  <c r="R49" i="224"/>
  <c r="L69" i="218"/>
  <c r="I13" i="217" s="1"/>
  <c r="J6" i="217" s="1"/>
  <c r="Q29" i="220"/>
  <c r="R29" i="220"/>
  <c r="R5" i="224"/>
  <c r="O15" i="224"/>
  <c r="Q5" i="224"/>
  <c r="L37" i="216"/>
  <c r="F13" i="215" s="1"/>
  <c r="AG26" i="218"/>
  <c r="AH16" i="218" s="1"/>
  <c r="AF26" i="218"/>
  <c r="R27" i="210"/>
  <c r="Q27" i="210"/>
  <c r="O37" i="210"/>
  <c r="R30" i="220"/>
  <c r="Q30" i="220"/>
  <c r="R41" i="210"/>
  <c r="Q41" i="210"/>
  <c r="R6" i="208"/>
  <c r="Q6" i="208"/>
  <c r="R18" i="214"/>
  <c r="Q18" i="214"/>
  <c r="Q70" i="204"/>
  <c r="R50" i="216"/>
  <c r="Q50" i="216"/>
  <c r="R52" i="204"/>
  <c r="Q52" i="204"/>
  <c r="R6" i="218"/>
  <c r="Q6" i="218"/>
  <c r="L26" i="208"/>
  <c r="E13" i="207" s="1"/>
  <c r="AF26" i="210"/>
  <c r="AG26" i="210"/>
  <c r="AH16" i="210" s="1"/>
  <c r="AG26" i="198"/>
  <c r="AH16" i="198" s="1"/>
  <c r="AF26" i="198"/>
  <c r="AG79" i="190"/>
  <c r="AH70" i="190" s="1"/>
  <c r="AF79" i="190"/>
  <c r="Q79" i="190"/>
  <c r="R9" i="198"/>
  <c r="AF37" i="218"/>
  <c r="AG37" i="218"/>
  <c r="AH27" i="218" s="1"/>
  <c r="Q37" i="218"/>
  <c r="O79" i="214"/>
  <c r="Q70" i="214"/>
  <c r="R70" i="214"/>
  <c r="R9" i="200"/>
  <c r="Q9" i="200"/>
  <c r="Q29" i="208"/>
  <c r="R29" i="208"/>
  <c r="J3" i="195"/>
  <c r="G2" i="196"/>
  <c r="R61" i="204"/>
  <c r="Q61" i="204"/>
  <c r="Q6" i="200"/>
  <c r="G2" i="188"/>
  <c r="J3" i="187"/>
  <c r="AG58" i="208"/>
  <c r="AH49" i="208" s="1"/>
  <c r="R27" i="200"/>
  <c r="Q27" i="200"/>
  <c r="O37" i="200"/>
  <c r="R16" i="194"/>
  <c r="Q19" i="186"/>
  <c r="L69" i="200"/>
  <c r="I13" i="199" s="1"/>
  <c r="J6" i="199" s="1"/>
  <c r="AG79" i="210"/>
  <c r="AH70" i="210" s="1"/>
  <c r="AF79" i="210"/>
  <c r="Q79" i="210"/>
  <c r="O37" i="198"/>
  <c r="Q27" i="198"/>
  <c r="R27" i="198"/>
  <c r="O48" i="179"/>
  <c r="R38" i="179"/>
  <c r="Q38" i="179"/>
  <c r="R30" i="198"/>
  <c r="Q30" i="198"/>
  <c r="R8" i="218"/>
  <c r="Q8" i="218"/>
  <c r="R9" i="188"/>
  <c r="R50" i="181"/>
  <c r="Q50" i="181"/>
  <c r="AG15" i="192"/>
  <c r="AH5" i="192" s="1"/>
  <c r="AF15" i="192"/>
  <c r="Q28" i="177"/>
  <c r="R28" i="177"/>
  <c r="Q61" i="192"/>
  <c r="R61" i="192"/>
  <c r="R7" i="190"/>
  <c r="Q7" i="190"/>
  <c r="R50" i="226"/>
  <c r="Q50" i="226"/>
  <c r="Q48" i="188"/>
  <c r="AF48" i="188"/>
  <c r="AG48" i="188"/>
  <c r="AH38" i="188" s="1"/>
  <c r="R5" i="190"/>
  <c r="O15" i="190"/>
  <c r="Q5" i="190"/>
  <c r="Q62" i="184"/>
  <c r="R62" i="184"/>
  <c r="Q52" i="179"/>
  <c r="R52" i="179"/>
  <c r="O15" i="3"/>
  <c r="Q5" i="3"/>
  <c r="R5" i="3"/>
  <c r="AG69" i="192"/>
  <c r="AH59" i="192" s="1"/>
  <c r="AF69" i="192"/>
  <c r="Q69" i="192"/>
  <c r="G2" i="177"/>
  <c r="J3" i="176"/>
  <c r="Q69" i="181"/>
  <c r="AF69" i="181"/>
  <c r="AG69" i="181"/>
  <c r="AH59" i="181" s="1"/>
  <c r="R7" i="179"/>
  <c r="Q7" i="179"/>
  <c r="R60" i="179"/>
  <c r="Q60" i="179"/>
  <c r="R52" i="175"/>
  <c r="Q52" i="175"/>
  <c r="R16" i="3"/>
  <c r="O26" i="3"/>
  <c r="Q16" i="3"/>
  <c r="Q70" i="181"/>
  <c r="N6" i="180"/>
  <c r="O6" i="180"/>
  <c r="AF26" i="192"/>
  <c r="AG26" i="192"/>
  <c r="AH16" i="192" s="1"/>
  <c r="O6" i="178"/>
  <c r="N6" i="178"/>
  <c r="Q18" i="192"/>
  <c r="R18" i="192"/>
  <c r="G13" i="2"/>
  <c r="R31" i="194"/>
  <c r="Q31" i="194"/>
  <c r="R59" i="188"/>
  <c r="R38" i="3"/>
  <c r="Q38" i="3"/>
  <c r="O48" i="3"/>
  <c r="J3" i="174"/>
  <c r="G2" i="175"/>
  <c r="R51" i="175"/>
  <c r="Q51" i="175"/>
  <c r="Q51" i="226"/>
  <c r="Q5" i="175"/>
  <c r="R52" i="218"/>
  <c r="Q52" i="218"/>
  <c r="Q58" i="204"/>
  <c r="AG58" i="204"/>
  <c r="AH49" i="204" s="1"/>
  <c r="AF58" i="204"/>
  <c r="O15" i="212"/>
  <c r="R5" i="212"/>
  <c r="Q5" i="212"/>
  <c r="R50" i="186"/>
  <c r="Q50" i="186"/>
  <c r="G2" i="208"/>
  <c r="J3" i="207"/>
  <c r="Q79" i="220"/>
  <c r="AG79" i="220"/>
  <c r="AH70" i="220" s="1"/>
  <c r="AF79" i="220"/>
  <c r="AG58" i="216"/>
  <c r="AH49" i="216" s="1"/>
  <c r="AF58" i="216"/>
  <c r="Q58" i="216"/>
  <c r="O58" i="198"/>
  <c r="R49" i="198"/>
  <c r="Q49" i="198"/>
  <c r="G2" i="214"/>
  <c r="J3" i="213"/>
  <c r="R50" i="194"/>
  <c r="Q50" i="194"/>
  <c r="R8" i="190"/>
  <c r="Q8" i="190"/>
  <c r="R60" i="184"/>
  <c r="Q60" i="184"/>
  <c r="R39" i="224"/>
  <c r="Q39" i="224"/>
  <c r="R79" i="216"/>
  <c r="S70" i="216" s="1"/>
  <c r="J15" i="215" s="1"/>
  <c r="J14" i="215"/>
  <c r="R59" i="218"/>
  <c r="Q59" i="218"/>
  <c r="O69" i="218"/>
  <c r="R60" i="220"/>
  <c r="Q60" i="220"/>
  <c r="Q19" i="212"/>
  <c r="Q38" i="218"/>
  <c r="R38" i="218"/>
  <c r="O48" i="218"/>
  <c r="Q16" i="212"/>
  <c r="O26" i="212"/>
  <c r="R16" i="212"/>
  <c r="Q51" i="208"/>
  <c r="R51" i="208"/>
  <c r="L69" i="194"/>
  <c r="I13" i="193" s="1"/>
  <c r="J6" i="193" s="1"/>
  <c r="Q59" i="194"/>
  <c r="Q16" i="194"/>
  <c r="R52" i="194"/>
  <c r="Q52" i="194"/>
  <c r="O15" i="188"/>
  <c r="R5" i="188"/>
  <c r="Q5" i="188"/>
  <c r="R61" i="210"/>
  <c r="Q61" i="210"/>
  <c r="AG48" i="224"/>
  <c r="AH38" i="224" s="1"/>
  <c r="Q48" i="224"/>
  <c r="AF48" i="224"/>
  <c r="Q28" i="224"/>
  <c r="R28" i="224"/>
  <c r="L48" i="224"/>
  <c r="G13" i="223" s="1"/>
  <c r="F6" i="223" s="1"/>
  <c r="Q39" i="220"/>
  <c r="Q40" i="222"/>
  <c r="R40" i="222"/>
  <c r="Q16" i="224"/>
  <c r="Q7" i="224"/>
  <c r="R7" i="224"/>
  <c r="L15" i="218"/>
  <c r="D13" i="217" s="1"/>
  <c r="R5" i="218"/>
  <c r="Q5" i="218"/>
  <c r="R9" i="220"/>
  <c r="Q9" i="220"/>
  <c r="AF69" i="216"/>
  <c r="Q69" i="216"/>
  <c r="AG69" i="216"/>
  <c r="AH59" i="216" s="1"/>
  <c r="Q19" i="216"/>
  <c r="R19" i="216"/>
  <c r="R61" i="214"/>
  <c r="AF15" i="214"/>
  <c r="AG15" i="214"/>
  <c r="AH5" i="214" s="1"/>
  <c r="R49" i="208"/>
  <c r="O58" i="208"/>
  <c r="Q49" i="208"/>
  <c r="AG26" i="220"/>
  <c r="AH16" i="220" s="1"/>
  <c r="AF26" i="220"/>
  <c r="O58" i="214"/>
  <c r="O15" i="216"/>
  <c r="R5" i="216"/>
  <c r="Q5" i="216"/>
  <c r="Q48" i="210"/>
  <c r="AG48" i="210"/>
  <c r="AH38" i="210" s="1"/>
  <c r="AF48" i="210"/>
  <c r="R70" i="204"/>
  <c r="H6" i="211"/>
  <c r="G2" i="204"/>
  <c r="J3" i="203"/>
  <c r="R19" i="210"/>
  <c r="Q19" i="210"/>
  <c r="Q17" i="204"/>
  <c r="R17" i="204"/>
  <c r="Q70" i="194"/>
  <c r="Q60" i="204"/>
  <c r="R60" i="204"/>
  <c r="O6" i="217"/>
  <c r="N6" i="217"/>
  <c r="G2" i="198"/>
  <c r="J3" i="197"/>
  <c r="G2" i="200"/>
  <c r="J3" i="199"/>
  <c r="O69" i="204"/>
  <c r="H14" i="195"/>
  <c r="R58" i="196"/>
  <c r="S49" i="196" s="1"/>
  <c r="Q17" i="194"/>
  <c r="R17" i="194"/>
  <c r="D14" i="185"/>
  <c r="R15" i="186"/>
  <c r="S5" i="186" s="1"/>
  <c r="Q15" i="186"/>
  <c r="O79" i="210"/>
  <c r="Q70" i="210"/>
  <c r="R70" i="210"/>
  <c r="AF48" i="204"/>
  <c r="Q48" i="204"/>
  <c r="AG48" i="204"/>
  <c r="AH38" i="204" s="1"/>
  <c r="Q37" i="198"/>
  <c r="AG37" i="198"/>
  <c r="AH27" i="198" s="1"/>
  <c r="AF37" i="198"/>
  <c r="O48" i="190"/>
  <c r="R38" i="190"/>
  <c r="Q38" i="190"/>
  <c r="R60" i="186"/>
  <c r="Q60" i="186"/>
  <c r="Q48" i="181"/>
  <c r="AF48" i="181"/>
  <c r="AG48" i="181"/>
  <c r="AH38" i="181" s="1"/>
  <c r="R52" i="216"/>
  <c r="Q52" i="216"/>
  <c r="Q39" i="202"/>
  <c r="R39" i="202"/>
  <c r="O79" i="196"/>
  <c r="Q70" i="196"/>
  <c r="R70" i="196"/>
  <c r="Q31" i="196"/>
  <c r="R31" i="196"/>
  <c r="R7" i="186"/>
  <c r="Q7" i="186"/>
  <c r="AF37" i="214"/>
  <c r="AG37" i="214"/>
  <c r="AH27" i="214" s="1"/>
  <c r="Q37" i="214"/>
  <c r="O58" i="184"/>
  <c r="Q49" i="184"/>
  <c r="R49" i="184"/>
  <c r="AG15" i="177"/>
  <c r="AH5" i="177" s="1"/>
  <c r="AF15" i="177"/>
  <c r="Q61" i="198"/>
  <c r="R61" i="198"/>
  <c r="Q6" i="210"/>
  <c r="R6" i="210"/>
  <c r="Q60" i="194"/>
  <c r="R60" i="194"/>
  <c r="AF15" i="190"/>
  <c r="AG15" i="190"/>
  <c r="AH5" i="190" s="1"/>
  <c r="R40" i="3"/>
  <c r="Q40" i="3"/>
  <c r="R19" i="181"/>
  <c r="Q19" i="181"/>
  <c r="AF58" i="177"/>
  <c r="Q58" i="177"/>
  <c r="AG58" i="177"/>
  <c r="AH49" i="177" s="1"/>
  <c r="Q39" i="226"/>
  <c r="R39" i="226"/>
  <c r="L48" i="175"/>
  <c r="G13" i="174" s="1"/>
  <c r="H6" i="174" s="1"/>
  <c r="R41" i="181"/>
  <c r="Q41" i="181"/>
  <c r="R5" i="226"/>
  <c r="O69" i="190"/>
  <c r="R59" i="190"/>
  <c r="Q59" i="190"/>
  <c r="AG15" i="179"/>
  <c r="AH5" i="179" s="1"/>
  <c r="AF15" i="179"/>
  <c r="R70" i="181"/>
  <c r="G2" i="179"/>
  <c r="J3" i="178"/>
  <c r="L58" i="3"/>
  <c r="R49" i="3"/>
  <c r="Q49" i="3"/>
  <c r="Q18" i="188"/>
  <c r="R18" i="188"/>
  <c r="Q41" i="200"/>
  <c r="Q16" i="184"/>
  <c r="Q79" i="175"/>
  <c r="AF79" i="175"/>
  <c r="AG79" i="175"/>
  <c r="AH70" i="175" s="1"/>
  <c r="H6" i="176"/>
  <c r="Q58" i="179"/>
  <c r="AG58" i="179"/>
  <c r="AH49" i="179" s="1"/>
  <c r="AF58" i="179"/>
  <c r="Q29" i="226"/>
  <c r="R29" i="226"/>
  <c r="R41" i="175"/>
  <c r="Q41" i="175"/>
  <c r="E13" i="2"/>
  <c r="Q18" i="226"/>
  <c r="R18" i="226"/>
  <c r="R60" i="177"/>
  <c r="Q60" i="177"/>
  <c r="R39" i="190"/>
  <c r="Q39" i="190"/>
  <c r="Q49" i="188"/>
  <c r="O58" i="188"/>
  <c r="R49" i="188"/>
  <c r="R28" i="192"/>
  <c r="Q28" i="192"/>
  <c r="R38" i="212"/>
  <c r="O48" i="212"/>
  <c r="Q38" i="212"/>
  <c r="AG37" i="194"/>
  <c r="AH27" i="194" s="1"/>
  <c r="AF37" i="194"/>
  <c r="Q37" i="194"/>
  <c r="AG15" i="198"/>
  <c r="AH5" i="198" s="1"/>
  <c r="AF15" i="198"/>
  <c r="R40" i="190"/>
  <c r="Q40" i="190"/>
  <c r="Q53" i="194"/>
  <c r="R53" i="194"/>
  <c r="R50" i="198"/>
  <c r="Q50" i="198"/>
  <c r="O26" i="188"/>
  <c r="R16" i="188"/>
  <c r="Q16" i="188"/>
  <c r="Q38" i="181"/>
  <c r="O48" i="181"/>
  <c r="R38" i="181"/>
  <c r="AF58" i="194"/>
  <c r="O26" i="181"/>
  <c r="Q16" i="181"/>
  <c r="R16" i="181"/>
  <c r="Q79" i="196"/>
  <c r="AG79" i="196"/>
  <c r="AH70" i="196" s="1"/>
  <c r="AF79" i="196"/>
  <c r="R49" i="181"/>
  <c r="Q49" i="181"/>
  <c r="O58" i="181"/>
  <c r="R19" i="175"/>
  <c r="Q19" i="175"/>
  <c r="R27" i="214"/>
  <c r="O37" i="214"/>
  <c r="Q27" i="214"/>
  <c r="R5" i="177"/>
  <c r="O15" i="177"/>
  <c r="Q5" i="177"/>
  <c r="R61" i="175"/>
  <c r="Q61" i="175"/>
  <c r="AG79" i="226"/>
  <c r="AH70" i="226" s="1"/>
  <c r="AF79" i="226"/>
  <c r="Q79" i="226"/>
  <c r="R51" i="188"/>
  <c r="Q51" i="188"/>
  <c r="R28" i="184"/>
  <c r="Q28" i="184"/>
  <c r="F14" i="225"/>
  <c r="F15" i="225" s="1"/>
  <c r="R37" i="226"/>
  <c r="S27" i="226" s="1"/>
  <c r="G2" i="186"/>
  <c r="J3" i="185"/>
  <c r="Q48" i="226"/>
  <c r="AF48" i="226"/>
  <c r="AG48" i="226"/>
  <c r="AH38" i="226" s="1"/>
  <c r="R7" i="181"/>
  <c r="Q7" i="181"/>
  <c r="AG69" i="190"/>
  <c r="AH59" i="190" s="1"/>
  <c r="AF69" i="190"/>
  <c r="Q69" i="190"/>
  <c r="R48" i="192"/>
  <c r="S38" i="192" s="1"/>
  <c r="G14" i="191"/>
  <c r="G15" i="191" s="1"/>
  <c r="R19" i="179"/>
  <c r="Q19" i="179"/>
  <c r="R29" i="184"/>
  <c r="Q29" i="184"/>
  <c r="Q79" i="177"/>
  <c r="AG79" i="177"/>
  <c r="AH70" i="177" s="1"/>
  <c r="AF79" i="177"/>
  <c r="Q18" i="3"/>
  <c r="R18" i="3"/>
  <c r="Q70" i="175"/>
  <c r="O79" i="175"/>
  <c r="R70" i="175"/>
  <c r="R60" i="190"/>
  <c r="Q60" i="190"/>
  <c r="O58" i="179"/>
  <c r="R49" i="179"/>
  <c r="Q49" i="179"/>
  <c r="R60" i="192"/>
  <c r="Q60" i="192"/>
  <c r="R9" i="179"/>
  <c r="Q9" i="179"/>
  <c r="AG58" i="226"/>
  <c r="AH49" i="226" s="1"/>
  <c r="AF58" i="226"/>
  <c r="Q58" i="226"/>
  <c r="R6" i="3"/>
  <c r="Q6" i="3"/>
  <c r="R18" i="222"/>
  <c r="Q18" i="222"/>
  <c r="Q61" i="208"/>
  <c r="R61" i="208"/>
  <c r="R19" i="220"/>
  <c r="Q19" i="220"/>
  <c r="R70" i="198"/>
  <c r="Q70" i="198"/>
  <c r="L79" i="198"/>
  <c r="AG15" i="196"/>
  <c r="AH5" i="196" s="1"/>
  <c r="AF15" i="196"/>
  <c r="R28" i="186"/>
  <c r="Q28" i="186"/>
  <c r="R40" i="200"/>
  <c r="Q40" i="200"/>
  <c r="O69" i="210"/>
  <c r="R59" i="210"/>
  <c r="Q59" i="210"/>
  <c r="Q26" i="210"/>
  <c r="E14" i="209"/>
  <c r="E15" i="209" s="1"/>
  <c r="R26" i="210"/>
  <c r="S16" i="210" s="1"/>
  <c r="Q79" i="214"/>
  <c r="AF79" i="214"/>
  <c r="AG79" i="214"/>
  <c r="AH70" i="214" s="1"/>
  <c r="Q15" i="218"/>
  <c r="D14" i="217"/>
  <c r="R15" i="218"/>
  <c r="S5" i="218" s="1"/>
  <c r="R16" i="224"/>
  <c r="L69" i="214"/>
  <c r="I13" i="213" s="1"/>
  <c r="J6" i="213" s="1"/>
  <c r="AG15" i="224"/>
  <c r="AH5" i="224" s="1"/>
  <c r="AF15" i="224"/>
  <c r="Q60" i="218"/>
  <c r="R60" i="218"/>
  <c r="L79" i="212"/>
  <c r="J13" i="211" s="1"/>
  <c r="F6" i="211" s="1"/>
  <c r="R70" i="212"/>
  <c r="AF15" i="220"/>
  <c r="AG15" i="220"/>
  <c r="AH5" i="220" s="1"/>
  <c r="L15" i="200"/>
  <c r="D13" i="199" s="1"/>
  <c r="R5" i="200"/>
  <c r="Q5" i="200"/>
  <c r="R27" i="192"/>
  <c r="O37" i="192"/>
  <c r="Q27" i="192"/>
  <c r="R29" i="200"/>
  <c r="Q29" i="200"/>
  <c r="R69" i="198"/>
  <c r="S59" i="198" s="1"/>
  <c r="I14" i="197"/>
  <c r="R60" i="198"/>
  <c r="Q60" i="198"/>
  <c r="AG48" i="212"/>
  <c r="AH38" i="212" s="1"/>
  <c r="AF48" i="212"/>
  <c r="Q48" i="212"/>
  <c r="R48" i="184"/>
  <c r="S38" i="184" s="1"/>
  <c r="G14" i="183"/>
  <c r="G15" i="183" s="1"/>
  <c r="R28" i="196"/>
  <c r="R50" i="188"/>
  <c r="Q50" i="188"/>
  <c r="Q50" i="184"/>
  <c r="R50" i="184"/>
  <c r="AG37" i="196"/>
  <c r="AH27" i="196" s="1"/>
  <c r="AF37" i="196"/>
  <c r="Q37" i="196"/>
  <c r="Q8" i="192"/>
  <c r="R8" i="192"/>
  <c r="AG37" i="216"/>
  <c r="AH27" i="216" s="1"/>
  <c r="Q37" i="216"/>
  <c r="AF37" i="216"/>
  <c r="Q52" i="186"/>
  <c r="R52" i="186"/>
  <c r="O48" i="198"/>
  <c r="Q38" i="198"/>
  <c r="R38" i="198"/>
  <c r="AF26" i="190"/>
  <c r="AG26" i="190"/>
  <c r="AH16" i="190" s="1"/>
  <c r="AG58" i="194"/>
  <c r="AH49" i="194" s="1"/>
  <c r="R61" i="190"/>
  <c r="Q61" i="190"/>
  <c r="Q49" i="186"/>
  <c r="O58" i="186"/>
  <c r="R49" i="186"/>
  <c r="AF26" i="181"/>
  <c r="AG26" i="181"/>
  <c r="AH16" i="181" s="1"/>
  <c r="R18" i="175"/>
  <c r="Q18" i="175"/>
  <c r="AF48" i="192"/>
  <c r="Q48" i="192"/>
  <c r="AG48" i="192"/>
  <c r="AH38" i="192" s="1"/>
  <c r="R40" i="188"/>
  <c r="Q40" i="188"/>
  <c r="Q31" i="175"/>
  <c r="R31" i="175"/>
  <c r="R5" i="202"/>
  <c r="O15" i="202"/>
  <c r="Q5" i="202"/>
  <c r="R28" i="194"/>
  <c r="Q28" i="194"/>
  <c r="R62" i="181"/>
  <c r="Q62" i="181"/>
  <c r="Q50" i="179"/>
  <c r="R50" i="179"/>
  <c r="Q39" i="175"/>
  <c r="O79" i="226"/>
  <c r="R70" i="226"/>
  <c r="Q70" i="226"/>
  <c r="Q70" i="188"/>
  <c r="O79" i="188"/>
  <c r="R70" i="188"/>
  <c r="Q52" i="192"/>
  <c r="R52" i="192"/>
  <c r="Q16" i="208"/>
  <c r="R28" i="3"/>
  <c r="Q28" i="3"/>
  <c r="Q38" i="192"/>
  <c r="R17" i="186"/>
  <c r="Q17" i="186"/>
  <c r="Q31" i="177"/>
  <c r="R31" i="177"/>
  <c r="R18" i="190"/>
  <c r="Q18" i="190"/>
  <c r="AG37" i="3"/>
  <c r="AH27" i="3" s="1"/>
  <c r="AF37" i="3"/>
  <c r="Q37" i="3"/>
  <c r="R8" i="184"/>
  <c r="Q8" i="184"/>
  <c r="AG37" i="184"/>
  <c r="AH27" i="184" s="1"/>
  <c r="AF37" i="184"/>
  <c r="Q37" i="184"/>
  <c r="AF15" i="3"/>
  <c r="AG15" i="3"/>
  <c r="AH5" i="3" s="1"/>
  <c r="Q49" i="226"/>
  <c r="R49" i="226"/>
  <c r="O58" i="226"/>
  <c r="R59" i="222"/>
  <c r="O69" i="222"/>
  <c r="Q59" i="222"/>
  <c r="R18" i="218"/>
  <c r="Q18" i="218"/>
  <c r="R8" i="216"/>
  <c r="Q8" i="216"/>
  <c r="Q53" i="216"/>
  <c r="R53" i="216"/>
  <c r="Q27" i="190"/>
  <c r="O37" i="190"/>
  <c r="R27" i="190"/>
  <c r="G2" i="218"/>
  <c r="J3" i="217"/>
  <c r="Q52" i="198"/>
  <c r="R52" i="198"/>
  <c r="E14" i="223"/>
  <c r="E15" i="223" s="1"/>
  <c r="R26" i="224"/>
  <c r="S16" i="224" s="1"/>
  <c r="Q26" i="224"/>
  <c r="R38" i="220"/>
  <c r="O48" i="220"/>
  <c r="Q38" i="220"/>
  <c r="Q18" i="220"/>
  <c r="O26" i="220"/>
  <c r="R18" i="220"/>
  <c r="R61" i="220"/>
  <c r="Q61" i="220"/>
  <c r="R9" i="214"/>
  <c r="Q9" i="214"/>
  <c r="R29" i="204"/>
  <c r="Q29" i="204"/>
  <c r="R29" i="202"/>
  <c r="Q29" i="202"/>
  <c r="Q7" i="200"/>
  <c r="O15" i="200"/>
  <c r="R7" i="200"/>
  <c r="O79" i="208"/>
  <c r="R70" i="208"/>
  <c r="Q70" i="208"/>
  <c r="Q48" i="202"/>
  <c r="AG48" i="202"/>
  <c r="AH38" i="202" s="1"/>
  <c r="AF48" i="202"/>
  <c r="L15" i="208"/>
  <c r="D13" i="207" s="1"/>
  <c r="R79" i="194"/>
  <c r="S70" i="194" s="1"/>
  <c r="J15" i="193" s="1"/>
  <c r="J14" i="193"/>
  <c r="R6" i="202"/>
  <c r="Q6" i="202"/>
  <c r="AF58" i="224"/>
  <c r="AG58" i="224"/>
  <c r="AH49" i="224" s="1"/>
  <c r="Q58" i="224"/>
  <c r="R17" i="216"/>
  <c r="Q17" i="216"/>
  <c r="AG48" i="214"/>
  <c r="AH38" i="214" s="1"/>
  <c r="Q48" i="214"/>
  <c r="AF48" i="214"/>
  <c r="Q50" i="218"/>
  <c r="R50" i="218"/>
  <c r="Q7" i="214"/>
  <c r="R7" i="214"/>
  <c r="L69" i="204"/>
  <c r="I13" i="203" s="1"/>
  <c r="J6" i="203" s="1"/>
  <c r="Q59" i="204"/>
  <c r="Q19" i="204"/>
  <c r="R19" i="204"/>
  <c r="AG15" i="216"/>
  <c r="AH5" i="216" s="1"/>
  <c r="AF15" i="216"/>
  <c r="Q79" i="204"/>
  <c r="AF79" i="204"/>
  <c r="AG15" i="222"/>
  <c r="AH5" i="222" s="1"/>
  <c r="AF15" i="222"/>
  <c r="L48" i="218"/>
  <c r="G13" i="217" s="1"/>
  <c r="G2" i="210"/>
  <c r="J3" i="209"/>
  <c r="R70" i="200"/>
  <c r="Q70" i="200"/>
  <c r="O79" i="200"/>
  <c r="Q16" i="210"/>
  <c r="AF58" i="200"/>
  <c r="Q58" i="200"/>
  <c r="AG58" i="200"/>
  <c r="AH49" i="200" s="1"/>
  <c r="AF58" i="192"/>
  <c r="AG58" i="192"/>
  <c r="AH49" i="192" s="1"/>
  <c r="Q58" i="192"/>
  <c r="Q8" i="220"/>
  <c r="R8" i="220"/>
  <c r="Q51" i="204"/>
  <c r="R51" i="204"/>
  <c r="R72" i="224"/>
  <c r="Q72" i="224"/>
  <c r="R49" i="222"/>
  <c r="Q49" i="222"/>
  <c r="O58" i="222"/>
  <c r="R51" i="224"/>
  <c r="Q51" i="224"/>
  <c r="L69" i="216"/>
  <c r="I13" i="215" s="1"/>
  <c r="J6" i="215" s="1"/>
  <c r="Q8" i="224"/>
  <c r="R8" i="224"/>
  <c r="G2" i="224"/>
  <c r="J3" i="223"/>
  <c r="Q19" i="224"/>
  <c r="R19" i="224"/>
  <c r="Q58" i="214"/>
  <c r="AG58" i="214"/>
  <c r="AH49" i="214" s="1"/>
  <c r="AF58" i="214"/>
  <c r="Q70" i="212"/>
  <c r="R6" i="204"/>
  <c r="Q6" i="204"/>
  <c r="AG69" i="220"/>
  <c r="AH59" i="220" s="1"/>
  <c r="Q69" i="220"/>
  <c r="AF69" i="220"/>
  <c r="R6" i="220"/>
  <c r="Q6" i="220"/>
  <c r="Q5" i="214"/>
  <c r="AF69" i="222"/>
  <c r="Q69" i="222"/>
  <c r="AG69" i="222"/>
  <c r="AH59" i="222" s="1"/>
  <c r="Q7" i="222"/>
  <c r="R7" i="222"/>
  <c r="R8" i="198"/>
  <c r="Q8" i="198"/>
  <c r="R20" i="210"/>
  <c r="Q20" i="210"/>
  <c r="N6" i="209"/>
  <c r="G14" i="201"/>
  <c r="G15" i="201" s="1"/>
  <c r="R48" i="202"/>
  <c r="S38" i="202" s="1"/>
  <c r="Q60" i="210"/>
  <c r="R60" i="210"/>
  <c r="R16" i="210"/>
  <c r="R79" i="204"/>
  <c r="S70" i="204" s="1"/>
  <c r="J15" i="203" s="1"/>
  <c r="R60" i="196"/>
  <c r="Q60" i="196"/>
  <c r="Q49" i="200"/>
  <c r="O58" i="200"/>
  <c r="R49" i="200"/>
  <c r="AG69" i="196"/>
  <c r="AH59" i="196" s="1"/>
  <c r="Q69" i="196"/>
  <c r="AF69" i="196"/>
  <c r="AG79" i="198"/>
  <c r="AH70" i="198" s="1"/>
  <c r="L58" i="204"/>
  <c r="H13" i="203" s="1"/>
  <c r="Q58" i="220"/>
  <c r="AG58" i="220"/>
  <c r="AH49" i="220" s="1"/>
  <c r="AF58" i="220"/>
  <c r="Q40" i="210"/>
  <c r="R40" i="210"/>
  <c r="Q37" i="202"/>
  <c r="AG37" i="202"/>
  <c r="AH27" i="202" s="1"/>
  <c r="AF37" i="202"/>
  <c r="H14" i="191"/>
  <c r="O58" i="202"/>
  <c r="R49" i="202"/>
  <c r="Q49" i="202"/>
  <c r="O15" i="196"/>
  <c r="R5" i="196"/>
  <c r="Q5" i="196"/>
  <c r="O26" i="194"/>
  <c r="R40" i="214"/>
  <c r="Q40" i="214"/>
  <c r="AF37" i="212"/>
  <c r="AG37" i="212"/>
  <c r="AH27" i="212" s="1"/>
  <c r="Q37" i="212"/>
  <c r="Q8" i="200"/>
  <c r="R8" i="200"/>
  <c r="Q27" i="196"/>
  <c r="R27" i="196"/>
  <c r="O37" i="196"/>
  <c r="AG48" i="190"/>
  <c r="AH38" i="190" s="1"/>
  <c r="AF48" i="190"/>
  <c r="Q48" i="190"/>
  <c r="R27" i="216"/>
  <c r="Q27" i="216"/>
  <c r="O37" i="216"/>
  <c r="R5" i="194"/>
  <c r="Q5" i="194"/>
  <c r="O15" i="194"/>
  <c r="R30" i="190"/>
  <c r="Q30" i="190"/>
  <c r="O37" i="181"/>
  <c r="AG48" i="198"/>
  <c r="AH38" i="198" s="1"/>
  <c r="Q48" i="198"/>
  <c r="AF48" i="198"/>
  <c r="O26" i="190"/>
  <c r="R16" i="190"/>
  <c r="Q16" i="190"/>
  <c r="R8" i="186"/>
  <c r="Q8" i="186"/>
  <c r="L48" i="210"/>
  <c r="G13" i="209" s="1"/>
  <c r="AG58" i="186"/>
  <c r="AH49" i="186" s="1"/>
  <c r="AF58" i="186"/>
  <c r="Q58" i="186"/>
  <c r="R62" i="179"/>
  <c r="Q62" i="179"/>
  <c r="Q40" i="216"/>
  <c r="R40" i="216"/>
  <c r="O69" i="208"/>
  <c r="O37" i="194"/>
  <c r="O79" i="184"/>
  <c r="Q70" i="184"/>
  <c r="R70" i="184"/>
  <c r="L26" i="192"/>
  <c r="E13" i="191" s="1"/>
  <c r="F6" i="191" s="1"/>
  <c r="L58" i="181"/>
  <c r="H13" i="180" s="1"/>
  <c r="H6" i="180" s="1"/>
  <c r="AG15" i="202"/>
  <c r="AH5" i="202" s="1"/>
  <c r="AF15" i="202"/>
  <c r="O26" i="179"/>
  <c r="R16" i="179"/>
  <c r="Q16" i="179"/>
  <c r="O26" i="175"/>
  <c r="Q16" i="175"/>
  <c r="R16" i="175"/>
  <c r="R41" i="177"/>
  <c r="Q41" i="177"/>
  <c r="L15" i="198"/>
  <c r="D13" i="197" s="1"/>
  <c r="Q40" i="179"/>
  <c r="R40" i="179"/>
  <c r="R38" i="192"/>
  <c r="Q19" i="177"/>
  <c r="R19" i="177"/>
  <c r="AG26" i="184"/>
  <c r="AH16" i="184" s="1"/>
  <c r="AF26" i="184"/>
  <c r="Q70" i="177"/>
  <c r="O79" i="177"/>
  <c r="R70" i="177"/>
  <c r="R60" i="226"/>
  <c r="Q60" i="226"/>
  <c r="AG26" i="200"/>
  <c r="AH16" i="200" s="1"/>
  <c r="AF26" i="200"/>
  <c r="R39" i="179"/>
  <c r="Q39" i="179"/>
  <c r="Q60" i="175"/>
  <c r="R60" i="175"/>
  <c r="R39" i="181"/>
  <c r="Q39" i="181"/>
  <c r="R59" i="175"/>
  <c r="Q59" i="175"/>
  <c r="O69" i="175"/>
  <c r="AF69" i="177"/>
  <c r="Q69" i="177"/>
  <c r="AG69" i="177"/>
  <c r="AH59" i="177" s="1"/>
  <c r="Q48" i="216"/>
  <c r="AG48" i="216"/>
  <c r="AH38" i="216" s="1"/>
  <c r="AF48" i="216"/>
  <c r="R6" i="224"/>
  <c r="Q6" i="224"/>
  <c r="Q50" i="212"/>
  <c r="R50" i="212"/>
  <c r="AG26" i="216"/>
  <c r="AH16" i="216" s="1"/>
  <c r="AF26" i="216"/>
  <c r="R6" i="212"/>
  <c r="Q6" i="212"/>
  <c r="AF15" i="210"/>
  <c r="AG15" i="210"/>
  <c r="AH5" i="210" s="1"/>
  <c r="R37" i="202"/>
  <c r="S27" i="202" s="1"/>
  <c r="F14" i="201"/>
  <c r="F15" i="201" s="1"/>
  <c r="R70" i="179"/>
  <c r="O79" i="179"/>
  <c r="Q70" i="179"/>
  <c r="Q60" i="224"/>
  <c r="R60" i="224"/>
  <c r="AF69" i="224"/>
  <c r="Q69" i="224"/>
  <c r="AG69" i="224"/>
  <c r="AH59" i="224" s="1"/>
  <c r="R17" i="218"/>
  <c r="Q17" i="218"/>
  <c r="AG26" i="224"/>
  <c r="AH16" i="224" s="1"/>
  <c r="AF26" i="224"/>
  <c r="Q39" i="222"/>
  <c r="R39" i="222"/>
  <c r="R60" i="222"/>
  <c r="Q60" i="222"/>
  <c r="R5" i="222"/>
  <c r="Q5" i="222"/>
  <c r="O15" i="222"/>
  <c r="Q19" i="222"/>
  <c r="R19" i="222"/>
  <c r="R28" i="220"/>
  <c r="Q28" i="220"/>
  <c r="R7" i="220"/>
  <c r="Q7" i="220"/>
  <c r="O69" i="216"/>
  <c r="R59" i="216"/>
  <c r="Q59" i="216"/>
  <c r="G2" i="222"/>
  <c r="J3" i="221"/>
  <c r="J14" i="211"/>
  <c r="R79" i="212"/>
  <c r="S70" i="212" s="1"/>
  <c r="J15" i="211" s="1"/>
  <c r="R59" i="220"/>
  <c r="O69" i="220"/>
  <c r="Q59" i="220"/>
  <c r="O15" i="214"/>
  <c r="R62" i="222"/>
  <c r="Q62" i="222"/>
  <c r="Q51" i="212"/>
  <c r="R51" i="212"/>
  <c r="Q28" i="212"/>
  <c r="R28" i="212"/>
  <c r="O48" i="196"/>
  <c r="R38" i="196"/>
  <c r="Q38" i="196"/>
  <c r="O26" i="204"/>
  <c r="R6" i="216"/>
  <c r="Q6" i="216"/>
  <c r="G2" i="212"/>
  <c r="J3" i="211"/>
  <c r="AG15" i="208"/>
  <c r="AH5" i="208" s="1"/>
  <c r="AF15" i="208"/>
  <c r="O15" i="210"/>
  <c r="Q5" i="210"/>
  <c r="R5" i="210"/>
  <c r="I14" i="195"/>
  <c r="R69" i="196"/>
  <c r="S59" i="196" s="1"/>
  <c r="J3" i="191"/>
  <c r="G2" i="192"/>
  <c r="R30" i="210"/>
  <c r="Q30" i="210"/>
  <c r="I14" i="199"/>
  <c r="R69" i="200"/>
  <c r="S59" i="200" s="1"/>
  <c r="R16" i="196"/>
  <c r="O26" i="196"/>
  <c r="Q16" i="196"/>
  <c r="R51" i="190"/>
  <c r="Q51" i="190"/>
  <c r="Q49" i="220"/>
  <c r="R49" i="220"/>
  <c r="O58" i="220"/>
  <c r="Q7" i="192"/>
  <c r="R7" i="192"/>
  <c r="Q51" i="210"/>
  <c r="R51" i="210"/>
  <c r="Q30" i="202"/>
  <c r="R30" i="202"/>
  <c r="O26" i="192"/>
  <c r="R16" i="192"/>
  <c r="Q16" i="192"/>
  <c r="AG58" i="202"/>
  <c r="AH49" i="202" s="1"/>
  <c r="AF58" i="202"/>
  <c r="Q58" i="202"/>
  <c r="AG79" i="186"/>
  <c r="AH70" i="186" s="1"/>
  <c r="AF79" i="186"/>
  <c r="Q79" i="186"/>
  <c r="Q29" i="212"/>
  <c r="R29" i="212"/>
  <c r="O15" i="198"/>
  <c r="R5" i="198"/>
  <c r="Q5" i="198"/>
  <c r="Q27" i="204"/>
  <c r="R27" i="204"/>
  <c r="O37" i="204"/>
  <c r="Q48" i="196"/>
  <c r="AG48" i="196"/>
  <c r="AH38" i="196" s="1"/>
  <c r="AF48" i="196"/>
  <c r="O37" i="188"/>
  <c r="R27" i="188"/>
  <c r="Q27" i="188"/>
  <c r="R28" i="214"/>
  <c r="Q28" i="214"/>
  <c r="AG15" i="194"/>
  <c r="AH5" i="194" s="1"/>
  <c r="AF15" i="194"/>
  <c r="AF69" i="3"/>
  <c r="AG69" i="3"/>
  <c r="AH59" i="3" s="1"/>
  <c r="Q69" i="3"/>
  <c r="Q29" i="210"/>
  <c r="R29" i="210"/>
  <c r="Q59" i="208"/>
  <c r="Q20" i="181"/>
  <c r="R20" i="181"/>
  <c r="Q18" i="194"/>
  <c r="R18" i="194"/>
  <c r="Q48" i="194"/>
  <c r="AG48" i="194"/>
  <c r="AH38" i="194" s="1"/>
  <c r="AF48" i="194"/>
  <c r="Q59" i="184"/>
  <c r="O69" i="184"/>
  <c r="R59" i="184"/>
  <c r="AG26" i="179"/>
  <c r="AH16" i="179" s="1"/>
  <c r="AF26" i="179"/>
  <c r="O69" i="181"/>
  <c r="L26" i="179"/>
  <c r="E13" i="178" s="1"/>
  <c r="F6" i="178" s="1"/>
  <c r="AF26" i="175"/>
  <c r="AG26" i="175"/>
  <c r="AH16" i="175" s="1"/>
  <c r="N6" i="2"/>
  <c r="R53" i="179"/>
  <c r="Q53" i="179"/>
  <c r="Q17" i="177"/>
  <c r="R17" i="177"/>
  <c r="Q38" i="208"/>
  <c r="AG79" i="188"/>
  <c r="AH70" i="188" s="1"/>
  <c r="AF79" i="188"/>
  <c r="Q79" i="188"/>
  <c r="Q79" i="179"/>
  <c r="AF79" i="179"/>
  <c r="AG79" i="179"/>
  <c r="AH70" i="179" s="1"/>
  <c r="R42" i="177"/>
  <c r="Q42" i="177"/>
  <c r="Q17" i="179"/>
  <c r="R17" i="179"/>
  <c r="R59" i="177"/>
  <c r="Q69" i="226"/>
  <c r="AG69" i="226"/>
  <c r="AH59" i="226" s="1"/>
  <c r="AF69" i="226"/>
  <c r="R16" i="200"/>
  <c r="Q16" i="200"/>
  <c r="O26" i="200"/>
  <c r="AG15" i="184"/>
  <c r="AH5" i="184" s="1"/>
  <c r="AF15" i="184"/>
  <c r="L37" i="177"/>
  <c r="F13" i="176" s="1"/>
  <c r="F6" i="176" s="1"/>
  <c r="AG37" i="175"/>
  <c r="AH27" i="175" s="1"/>
  <c r="Q37" i="175"/>
  <c r="AF37" i="175"/>
  <c r="R50" i="192"/>
  <c r="Q50" i="192"/>
  <c r="Q69" i="175"/>
  <c r="AG69" i="175"/>
  <c r="AH59" i="175" s="1"/>
  <c r="AF69" i="175"/>
  <c r="R28" i="226"/>
  <c r="Q28" i="226"/>
  <c r="O48" i="175"/>
  <c r="J3" i="215"/>
  <c r="G2" i="216"/>
  <c r="F6" i="209"/>
  <c r="H6" i="209"/>
  <c r="H6" i="193"/>
  <c r="J3" i="201"/>
  <c r="G2" i="202"/>
  <c r="R40" i="208"/>
  <c r="Q40" i="208"/>
  <c r="AG69" i="184"/>
  <c r="AH59" i="184" s="1"/>
  <c r="Q69" i="184"/>
  <c r="AF69" i="184"/>
  <c r="AF26" i="188"/>
  <c r="AG26" i="188"/>
  <c r="AH16" i="188" s="1"/>
  <c r="R40" i="204"/>
  <c r="Q40" i="204"/>
  <c r="R27" i="184"/>
  <c r="O37" i="184"/>
  <c r="Q27" i="184"/>
  <c r="Q37" i="179"/>
  <c r="AG37" i="179"/>
  <c r="AH27" i="179" s="1"/>
  <c r="AF37" i="179"/>
  <c r="O37" i="175"/>
  <c r="Q27" i="175"/>
  <c r="R27" i="175"/>
  <c r="O6" i="187"/>
  <c r="N6" i="187"/>
  <c r="R49" i="218"/>
  <c r="Q49" i="218"/>
  <c r="O58" i="218"/>
  <c r="R17" i="198"/>
  <c r="Q17" i="198"/>
  <c r="AF48" i="208"/>
  <c r="Q48" i="208"/>
  <c r="AG48" i="208"/>
  <c r="AH38" i="208" s="1"/>
  <c r="J3" i="180"/>
  <c r="G2" i="181"/>
  <c r="Q69" i="194"/>
  <c r="AG69" i="194"/>
  <c r="AH59" i="194" s="1"/>
  <c r="AF69" i="194"/>
  <c r="Q17" i="181"/>
  <c r="R17" i="181"/>
  <c r="R40" i="194"/>
  <c r="Q40" i="194"/>
  <c r="R40" i="196"/>
  <c r="Q40" i="196"/>
  <c r="Q58" i="184"/>
  <c r="AG58" i="184"/>
  <c r="AH49" i="184" s="1"/>
  <c r="AF58" i="184"/>
  <c r="AG26" i="226"/>
  <c r="AH16" i="226" s="1"/>
  <c r="AF26" i="226"/>
  <c r="R20" i="184"/>
  <c r="Q20" i="184"/>
  <c r="O48" i="186"/>
  <c r="R38" i="186"/>
  <c r="Q38" i="186"/>
  <c r="Q61" i="226"/>
  <c r="R61" i="226"/>
  <c r="R60" i="3"/>
  <c r="Q60" i="3"/>
  <c r="R7" i="175"/>
  <c r="Q7" i="175"/>
  <c r="AG15" i="175"/>
  <c r="AH5" i="175" s="1"/>
  <c r="AF15" i="175"/>
  <c r="Q50" i="224"/>
  <c r="R50" i="224"/>
  <c r="R61" i="224"/>
  <c r="Q61" i="224"/>
  <c r="J14" i="223"/>
  <c r="R40" i="224"/>
  <c r="Q40" i="224"/>
  <c r="O48" i="224"/>
  <c r="R30" i="216"/>
  <c r="Q30" i="216"/>
  <c r="Q79" i="216"/>
  <c r="AG79" i="216"/>
  <c r="AH70" i="216" s="1"/>
  <c r="AF79" i="216"/>
  <c r="Q70" i="220"/>
  <c r="R70" i="220"/>
  <c r="O79" i="220"/>
  <c r="O58" i="216"/>
  <c r="R38" i="222"/>
  <c r="Q38" i="222"/>
  <c r="O48" i="222"/>
  <c r="R70" i="222"/>
  <c r="Q70" i="222"/>
  <c r="O79" i="222"/>
  <c r="AF26" i="222"/>
  <c r="AG26" i="222"/>
  <c r="AH16" i="222" s="1"/>
  <c r="Q58" i="218"/>
  <c r="AG58" i="218"/>
  <c r="AH49" i="218" s="1"/>
  <c r="AF58" i="218"/>
  <c r="O37" i="212"/>
  <c r="R7" i="216"/>
  <c r="Q7" i="216"/>
  <c r="R49" i="212"/>
  <c r="O69" i="214"/>
  <c r="R59" i="214"/>
  <c r="Q59" i="214"/>
  <c r="Q16" i="204"/>
  <c r="L15" i="202"/>
  <c r="D13" i="201" s="1"/>
  <c r="R18" i="210"/>
  <c r="O37" i="220"/>
  <c r="AF58" i="198"/>
  <c r="AG58" i="198"/>
  <c r="AH49" i="198" s="1"/>
  <c r="Q58" i="198"/>
  <c r="AG26" i="214"/>
  <c r="AH16" i="214" s="1"/>
  <c r="AF26" i="214"/>
  <c r="O58" i="210"/>
  <c r="R49" i="210"/>
  <c r="Q49" i="210"/>
  <c r="Q17" i="212"/>
  <c r="R17" i="212"/>
  <c r="R52" i="208"/>
  <c r="Q52" i="208"/>
  <c r="Q60" i="212"/>
  <c r="R60" i="212"/>
  <c r="L58" i="196"/>
  <c r="H13" i="195" s="1"/>
  <c r="F6" i="195" s="1"/>
  <c r="AF15" i="212"/>
  <c r="AG15" i="212"/>
  <c r="AH5" i="212" s="1"/>
  <c r="Q5" i="204"/>
  <c r="O15" i="204"/>
  <c r="R5" i="204"/>
  <c r="L48" i="220"/>
  <c r="G13" i="219" s="1"/>
  <c r="Q48" i="200"/>
  <c r="AF48" i="200"/>
  <c r="AG48" i="200"/>
  <c r="AH38" i="200" s="1"/>
  <c r="AG26" i="196"/>
  <c r="AH16" i="196" s="1"/>
  <c r="AF26" i="196"/>
  <c r="O26" i="216"/>
  <c r="AG69" i="200"/>
  <c r="AH59" i="200" s="1"/>
  <c r="Q69" i="200"/>
  <c r="AF69" i="200"/>
  <c r="O6" i="219"/>
  <c r="N6" i="219"/>
  <c r="Q39" i="210"/>
  <c r="R39" i="210"/>
  <c r="R7" i="210"/>
  <c r="Q7" i="210"/>
  <c r="R7" i="194"/>
  <c r="Q7" i="194"/>
  <c r="R30" i="200"/>
  <c r="Q30" i="200"/>
  <c r="Q30" i="196"/>
  <c r="R30" i="196"/>
  <c r="Q53" i="192"/>
  <c r="R53" i="192"/>
  <c r="R8" i="188"/>
  <c r="Q8" i="188"/>
  <c r="AF58" i="3"/>
  <c r="AG58" i="3"/>
  <c r="AH49" i="3" s="1"/>
  <c r="Q58" i="3"/>
  <c r="O26" i="184"/>
  <c r="L15" i="184"/>
  <c r="D13" i="183" s="1"/>
  <c r="L15" i="188"/>
  <c r="D13" i="187" s="1"/>
  <c r="Q62" i="190"/>
  <c r="Q58" i="175"/>
  <c r="AF58" i="175"/>
  <c r="AG58" i="175"/>
  <c r="AH49" i="175" s="1"/>
  <c r="Q28" i="198"/>
  <c r="R28" i="198"/>
  <c r="Q50" i="190"/>
  <c r="R50" i="190"/>
  <c r="R79" i="186"/>
  <c r="S70" i="186" s="1"/>
  <c r="J15" i="185" s="1"/>
  <c r="J14" i="185"/>
  <c r="AG48" i="177"/>
  <c r="AH38" i="177" s="1"/>
  <c r="AF48" i="177"/>
  <c r="Q48" i="177"/>
  <c r="AG15" i="188"/>
  <c r="AH5" i="188" s="1"/>
  <c r="AF15" i="188"/>
  <c r="F6" i="2"/>
  <c r="H6" i="2"/>
  <c r="R30" i="179"/>
  <c r="Q30" i="179"/>
  <c r="Q48" i="184"/>
  <c r="AF48" i="184"/>
  <c r="AG48" i="184"/>
  <c r="AH38" i="184" s="1"/>
  <c r="Q6" i="192"/>
  <c r="R6" i="192"/>
  <c r="AF69" i="179"/>
  <c r="Q69" i="179"/>
  <c r="AG69" i="179"/>
  <c r="AH59" i="179" s="1"/>
  <c r="Q51" i="186"/>
  <c r="R51" i="186"/>
  <c r="AG15" i="226"/>
  <c r="AH5" i="226" s="1"/>
  <c r="AF15" i="226"/>
  <c r="Q17" i="226"/>
  <c r="R17" i="226"/>
  <c r="R52" i="196"/>
  <c r="Q52" i="196"/>
  <c r="Q48" i="186"/>
  <c r="AF48" i="186"/>
  <c r="AG48" i="186"/>
  <c r="AH38" i="186" s="1"/>
  <c r="R5" i="184"/>
  <c r="Q5" i="184"/>
  <c r="O15" i="184"/>
  <c r="J13" i="2"/>
  <c r="Q27" i="179"/>
  <c r="O37" i="179"/>
  <c r="R27" i="179"/>
  <c r="R40" i="181"/>
  <c r="Q40" i="181"/>
  <c r="Q28" i="190"/>
  <c r="R70" i="3"/>
  <c r="Q70" i="3"/>
  <c r="O79" i="3"/>
  <c r="R6" i="175"/>
  <c r="Q6" i="175"/>
  <c r="Q50" i="200"/>
  <c r="R50" i="200"/>
  <c r="G14" i="215"/>
  <c r="G15" i="215" s="1"/>
  <c r="R48" i="216"/>
  <c r="S38" i="216" s="1"/>
  <c r="R28" i="204"/>
  <c r="Q28" i="204"/>
  <c r="Q30" i="218"/>
  <c r="R30" i="218"/>
  <c r="R6" i="188"/>
  <c r="Q6" i="188"/>
  <c r="R41" i="179"/>
  <c r="Q41" i="179"/>
  <c r="R8" i="226"/>
  <c r="Q8" i="226"/>
  <c r="R40" i="177"/>
  <c r="Q40" i="177"/>
  <c r="Q79" i="224"/>
  <c r="AG79" i="224"/>
  <c r="AH70" i="224" s="1"/>
  <c r="AF79" i="224"/>
  <c r="AG48" i="220"/>
  <c r="AH38" i="220" s="1"/>
  <c r="AF48" i="220"/>
  <c r="Q48" i="220"/>
  <c r="R61" i="218"/>
  <c r="Q61" i="218"/>
  <c r="L58" i="214"/>
  <c r="H13" i="213" s="1"/>
  <c r="H6" i="213" s="1"/>
  <c r="Q49" i="214"/>
  <c r="AG48" i="222"/>
  <c r="AH38" i="222" s="1"/>
  <c r="Q48" i="222"/>
  <c r="AF48" i="222"/>
  <c r="R29" i="218"/>
  <c r="Q29" i="218"/>
  <c r="Q41" i="218"/>
  <c r="R18" i="208"/>
  <c r="Q18" i="208"/>
  <c r="R16" i="204"/>
  <c r="L15" i="216"/>
  <c r="D13" i="215" s="1"/>
  <c r="O6" i="213"/>
  <c r="N6" i="213"/>
  <c r="R19" i="218"/>
  <c r="Q19" i="218"/>
  <c r="O26" i="214"/>
  <c r="R16" i="214"/>
  <c r="Q16" i="214"/>
  <c r="E2" i="208"/>
  <c r="R15" i="208"/>
  <c r="S5" i="208" s="1"/>
  <c r="D14" i="207"/>
  <c r="R51" i="218"/>
  <c r="Q51" i="218"/>
  <c r="R19" i="214"/>
  <c r="Q19" i="214"/>
  <c r="AG15" i="204"/>
  <c r="AH5" i="204" s="1"/>
  <c r="AF15" i="204"/>
  <c r="Q61" i="216"/>
  <c r="R61" i="216"/>
  <c r="AG69" i="208"/>
  <c r="AH59" i="208" s="1"/>
  <c r="AF69" i="208"/>
  <c r="Q69" i="208"/>
  <c r="R38" i="200"/>
  <c r="Q38" i="200"/>
  <c r="O48" i="200"/>
  <c r="Q39" i="198"/>
  <c r="R39" i="198"/>
  <c r="R39" i="208"/>
  <c r="Q39" i="208"/>
  <c r="Q52" i="200"/>
  <c r="R52" i="200"/>
  <c r="R7" i="198"/>
  <c r="Q7" i="198"/>
  <c r="R40" i="212"/>
  <c r="Q40" i="212"/>
  <c r="Q19" i="190"/>
  <c r="R19" i="190"/>
  <c r="Q69" i="186"/>
  <c r="AF69" i="186"/>
  <c r="AG69" i="186"/>
  <c r="AH59" i="186" s="1"/>
  <c r="R8" i="194"/>
  <c r="Q8" i="194"/>
  <c r="AF48" i="179"/>
  <c r="AG48" i="179"/>
  <c r="AH38" i="179" s="1"/>
  <c r="Q48" i="179"/>
  <c r="AG26" i="194"/>
  <c r="AH16" i="194" s="1"/>
  <c r="AF26" i="194"/>
  <c r="Q59" i="202"/>
  <c r="R59" i="202"/>
  <c r="O69" i="202"/>
  <c r="O15" i="192"/>
  <c r="R5" i="192"/>
  <c r="Q5" i="192"/>
  <c r="R31" i="184"/>
  <c r="Q31" i="184"/>
  <c r="Q39" i="204"/>
  <c r="R39" i="204"/>
  <c r="Q18" i="181"/>
  <c r="R18" i="181"/>
  <c r="Q52" i="177"/>
  <c r="Q6" i="226"/>
  <c r="R6" i="226"/>
  <c r="O69" i="192"/>
  <c r="R59" i="192"/>
  <c r="Q59" i="192"/>
  <c r="Q9" i="184"/>
  <c r="R9" i="184"/>
  <c r="R39" i="184"/>
  <c r="Q39" i="184"/>
  <c r="R40" i="184"/>
  <c r="Q40" i="184"/>
  <c r="Q59" i="179"/>
  <c r="O69" i="179"/>
  <c r="R59" i="179"/>
  <c r="Q50" i="3"/>
  <c r="O58" i="3"/>
  <c r="R50" i="3"/>
  <c r="R7" i="226"/>
  <c r="Q7" i="226"/>
  <c r="R17" i="192"/>
  <c r="Q17" i="192"/>
  <c r="R27" i="177"/>
  <c r="O37" i="177"/>
  <c r="Q27" i="177"/>
  <c r="R30" i="175"/>
  <c r="Q30" i="175"/>
  <c r="R61" i="181"/>
  <c r="Q61" i="181"/>
  <c r="Q6" i="179"/>
  <c r="R6" i="179"/>
  <c r="Q61" i="3"/>
  <c r="R61" i="194"/>
  <c r="Q61" i="194"/>
  <c r="R62" i="194"/>
  <c r="Q62" i="194"/>
  <c r="Q79" i="184"/>
  <c r="AF79" i="184"/>
  <c r="AG79" i="184"/>
  <c r="AH70" i="184" s="1"/>
  <c r="Q30" i="212"/>
  <c r="R30" i="212"/>
  <c r="F6" i="185"/>
  <c r="Q16" i="226"/>
  <c r="O26" i="226"/>
  <c r="R16" i="226"/>
  <c r="R49" i="192"/>
  <c r="L58" i="192"/>
  <c r="H13" i="191" s="1"/>
  <c r="Q49" i="192"/>
  <c r="R69" i="177"/>
  <c r="S59" i="177" s="1"/>
  <c r="I14" i="176"/>
  <c r="O26" i="222"/>
  <c r="R16" i="222"/>
  <c r="Q16" i="222"/>
  <c r="R49" i="204"/>
  <c r="Q49" i="204"/>
  <c r="O58" i="204"/>
  <c r="R51" i="200"/>
  <c r="Q51" i="200"/>
  <c r="Q58" i="196"/>
  <c r="AF58" i="196"/>
  <c r="AG58" i="196"/>
  <c r="AH49" i="196" s="1"/>
  <c r="Q37" i="204"/>
  <c r="AG37" i="204"/>
  <c r="AH27" i="204" s="1"/>
  <c r="AF37" i="204"/>
  <c r="Q10" i="198"/>
  <c r="R10" i="198"/>
  <c r="O15" i="181"/>
  <c r="Q5" i="181"/>
  <c r="R5" i="181"/>
  <c r="Q49" i="175"/>
  <c r="O58" i="175"/>
  <c r="R49" i="175"/>
  <c r="R30" i="194"/>
  <c r="Q30" i="194"/>
  <c r="R28" i="175"/>
  <c r="Q28" i="175"/>
  <c r="AG26" i="177"/>
  <c r="AH16" i="177" s="1"/>
  <c r="AF26" i="177"/>
  <c r="R51" i="179"/>
  <c r="Q51" i="179"/>
  <c r="L69" i="222"/>
  <c r="I13" i="221" s="1"/>
  <c r="J6" i="221" s="1"/>
  <c r="L26" i="222"/>
  <c r="E13" i="221" s="1"/>
  <c r="Q37" i="224"/>
  <c r="AG37" i="224"/>
  <c r="AH27" i="224" s="1"/>
  <c r="AF37" i="224"/>
  <c r="Q39" i="216"/>
  <c r="O26" i="218"/>
  <c r="E2" i="218" s="1"/>
  <c r="Q16" i="218"/>
  <c r="R16" i="218"/>
  <c r="Q79" i="212"/>
  <c r="AF79" i="212"/>
  <c r="AG79" i="212"/>
  <c r="AH70" i="212" s="1"/>
  <c r="L26" i="220"/>
  <c r="E13" i="219" s="1"/>
  <c r="F6" i="219" s="1"/>
  <c r="AF58" i="210"/>
  <c r="AG58" i="210"/>
  <c r="AH49" i="210" s="1"/>
  <c r="Q58" i="210"/>
  <c r="Q37" i="222"/>
  <c r="AG37" i="222"/>
  <c r="AH27" i="222" s="1"/>
  <c r="AF37" i="222"/>
  <c r="R27" i="218"/>
  <c r="Q27" i="218"/>
  <c r="O37" i="218"/>
  <c r="Q16" i="202"/>
  <c r="R16" i="202"/>
  <c r="O26" i="202"/>
  <c r="Q37" i="192"/>
  <c r="AG37" i="192"/>
  <c r="AH27" i="192" s="1"/>
  <c r="AF37" i="192"/>
  <c r="AG69" i="204"/>
  <c r="AH59" i="204" s="1"/>
  <c r="Q69" i="204"/>
  <c r="AF69" i="204"/>
  <c r="R6" i="196"/>
  <c r="Q6" i="196"/>
  <c r="Q38" i="194"/>
  <c r="Q79" i="181"/>
  <c r="Q6" i="222"/>
  <c r="R6" i="222"/>
  <c r="R28" i="222"/>
  <c r="O37" i="222"/>
  <c r="Q28" i="222"/>
  <c r="R51" i="222"/>
  <c r="Q51" i="222"/>
  <c r="R31" i="220"/>
  <c r="Q31" i="220"/>
  <c r="Q51" i="220"/>
  <c r="R51" i="220"/>
  <c r="R17" i="220"/>
  <c r="R17" i="222"/>
  <c r="Q17" i="222"/>
  <c r="Q28" i="216"/>
  <c r="R28" i="216"/>
  <c r="Q18" i="224"/>
  <c r="R18" i="224"/>
  <c r="Q20" i="220"/>
  <c r="R20" i="220"/>
  <c r="R50" i="222"/>
  <c r="Q50" i="222"/>
  <c r="R53" i="218"/>
  <c r="Q53" i="218"/>
  <c r="R39" i="216"/>
  <c r="Q40" i="220"/>
  <c r="R40" i="220"/>
  <c r="Q37" i="210"/>
  <c r="AG37" i="210"/>
  <c r="AH27" i="210" s="1"/>
  <c r="AF37" i="210"/>
  <c r="AG15" i="200"/>
  <c r="AH5" i="200" s="1"/>
  <c r="AF15" i="200"/>
  <c r="AG69" i="214"/>
  <c r="AH59" i="214" s="1"/>
  <c r="AF69" i="214"/>
  <c r="Q69" i="214"/>
  <c r="R60" i="200"/>
  <c r="Q60" i="200"/>
  <c r="AG69" i="212"/>
  <c r="AH59" i="212" s="1"/>
  <c r="AF69" i="212"/>
  <c r="Q69" i="212"/>
  <c r="R52" i="210"/>
  <c r="Q52" i="210"/>
  <c r="R8" i="208"/>
  <c r="Q8" i="208"/>
  <c r="Q31" i="222"/>
  <c r="R31" i="222"/>
  <c r="R18" i="198"/>
  <c r="Q18" i="198"/>
  <c r="AF26" i="202"/>
  <c r="AG26" i="202"/>
  <c r="AH16" i="202" s="1"/>
  <c r="L37" i="204"/>
  <c r="F13" i="203" s="1"/>
  <c r="F6" i="203" s="1"/>
  <c r="AG37" i="200"/>
  <c r="AH27" i="200" s="1"/>
  <c r="AF37" i="200"/>
  <c r="Q37" i="200"/>
  <c r="Q37" i="208"/>
  <c r="AG37" i="208"/>
  <c r="AH27" i="208" s="1"/>
  <c r="AF37" i="208"/>
  <c r="AF69" i="210"/>
  <c r="AG69" i="210"/>
  <c r="AH59" i="210" s="1"/>
  <c r="Q69" i="210"/>
  <c r="Q38" i="204"/>
  <c r="R38" i="204"/>
  <c r="O48" i="204"/>
  <c r="R38" i="194"/>
  <c r="Q59" i="186"/>
  <c r="O69" i="186"/>
  <c r="R59" i="186"/>
  <c r="Q19" i="194"/>
  <c r="R19" i="194"/>
  <c r="AG69" i="202"/>
  <c r="AH59" i="202" s="1"/>
  <c r="AF69" i="202"/>
  <c r="Q69" i="202"/>
  <c r="Q50" i="196"/>
  <c r="R50" i="196"/>
  <c r="L58" i="186"/>
  <c r="H13" i="185" s="1"/>
  <c r="H6" i="185" s="1"/>
  <c r="R18" i="184"/>
  <c r="Q18" i="184"/>
  <c r="R5" i="179"/>
  <c r="Q5" i="179"/>
  <c r="O15" i="179"/>
  <c r="AG69" i="198"/>
  <c r="AH59" i="198" s="1"/>
  <c r="AF69" i="198"/>
  <c r="Q69" i="198"/>
  <c r="O26" i="186"/>
  <c r="E2" i="186" s="1"/>
  <c r="R16" i="186"/>
  <c r="Q16" i="186"/>
  <c r="R50" i="177"/>
  <c r="Q50" i="177"/>
  <c r="L15" i="190"/>
  <c r="D13" i="189" s="1"/>
  <c r="Q8" i="210"/>
  <c r="R8" i="210"/>
  <c r="R6" i="194"/>
  <c r="Q6" i="194"/>
  <c r="AF58" i="190"/>
  <c r="AG58" i="190"/>
  <c r="AH49" i="190" s="1"/>
  <c r="Q58" i="190"/>
  <c r="Q30" i="186"/>
  <c r="R30" i="186"/>
  <c r="H6" i="225"/>
  <c r="F6" i="225"/>
  <c r="AF37" i="181"/>
  <c r="Q37" i="181"/>
  <c r="AG37" i="181"/>
  <c r="AH27" i="181" s="1"/>
  <c r="N6" i="183"/>
  <c r="O6" i="183"/>
  <c r="R27" i="186"/>
  <c r="O37" i="186"/>
  <c r="Q27" i="186"/>
  <c r="Q59" i="177"/>
  <c r="N6" i="176"/>
  <c r="O6" i="176"/>
  <c r="L69" i="3"/>
  <c r="R59" i="3"/>
  <c r="Q61" i="186"/>
  <c r="R61" i="186"/>
  <c r="O48" i="194"/>
  <c r="Q59" i="188"/>
  <c r="R39" i="3"/>
  <c r="Q39" i="3"/>
  <c r="J3" i="189"/>
  <c r="G2" i="190"/>
  <c r="O15" i="175"/>
  <c r="R26" i="232" l="1"/>
  <c r="S16" i="232" s="1"/>
  <c r="Q26" i="232"/>
  <c r="E2" i="232"/>
  <c r="R15" i="232"/>
  <c r="S5" i="232" s="1"/>
  <c r="Q15" i="232"/>
  <c r="F14" i="231"/>
  <c r="F15" i="231" s="1"/>
  <c r="D14" i="231"/>
  <c r="G14" i="231"/>
  <c r="G15" i="231" s="1"/>
  <c r="E14" i="231"/>
  <c r="E15" i="231" s="1"/>
  <c r="H14" i="231"/>
  <c r="H15" i="231" s="1"/>
  <c r="I14" i="231"/>
  <c r="E2" i="230"/>
  <c r="Q15" i="230"/>
  <c r="R15" i="230"/>
  <c r="S5" i="230" s="1"/>
  <c r="R26" i="230"/>
  <c r="S16" i="230" s="1"/>
  <c r="Q26" i="230"/>
  <c r="R79" i="230"/>
  <c r="S70" i="230" s="1"/>
  <c r="J15" i="229" s="1"/>
  <c r="J14" i="229"/>
  <c r="F14" i="229"/>
  <c r="F15" i="229" s="1"/>
  <c r="E14" i="229"/>
  <c r="E15" i="229" s="1"/>
  <c r="G14" i="229"/>
  <c r="G15" i="229" s="1"/>
  <c r="I14" i="229"/>
  <c r="H14" i="229"/>
  <c r="H15" i="229" s="1"/>
  <c r="D14" i="229"/>
  <c r="R15" i="228"/>
  <c r="S5" i="228" s="1"/>
  <c r="E2" i="228"/>
  <c r="Q15" i="228"/>
  <c r="Q26" i="228"/>
  <c r="R26" i="228"/>
  <c r="S16" i="228" s="1"/>
  <c r="I14" i="227"/>
  <c r="H15" i="227"/>
  <c r="J14" i="227"/>
  <c r="J15" i="227"/>
  <c r="H6" i="227"/>
  <c r="F14" i="227"/>
  <c r="F15" i="227" s="1"/>
  <c r="E14" i="227"/>
  <c r="E15" i="227" s="1"/>
  <c r="D15" i="227"/>
  <c r="R79" i="224"/>
  <c r="S70" i="224" s="1"/>
  <c r="J15" i="223" s="1"/>
  <c r="F14" i="221"/>
  <c r="F15" i="221" s="1"/>
  <c r="R37" i="222"/>
  <c r="S27" i="222" s="1"/>
  <c r="R69" i="179"/>
  <c r="S59" i="179" s="1"/>
  <c r="I14" i="178"/>
  <c r="I14" i="191"/>
  <c r="R69" i="192"/>
  <c r="S59" i="192" s="1"/>
  <c r="E2" i="192"/>
  <c r="R15" i="192"/>
  <c r="S5" i="192" s="1"/>
  <c r="D14" i="191"/>
  <c r="Q15" i="192"/>
  <c r="E14" i="213"/>
  <c r="E15" i="213" s="1"/>
  <c r="Q26" i="214"/>
  <c r="R26" i="214"/>
  <c r="S16" i="214" s="1"/>
  <c r="R58" i="210"/>
  <c r="S49" i="210" s="1"/>
  <c r="H14" i="209"/>
  <c r="H15" i="209" s="1"/>
  <c r="I14" i="213"/>
  <c r="R69" i="214"/>
  <c r="S59" i="214" s="1"/>
  <c r="R26" i="200"/>
  <c r="S16" i="200" s="1"/>
  <c r="Q26" i="200"/>
  <c r="E14" i="199"/>
  <c r="E15" i="199" s="1"/>
  <c r="J7" i="195"/>
  <c r="J8" i="195" s="1"/>
  <c r="I15" i="195"/>
  <c r="Q26" i="190"/>
  <c r="E14" i="189"/>
  <c r="E15" i="189" s="1"/>
  <c r="R26" i="190"/>
  <c r="S16" i="190" s="1"/>
  <c r="I14" i="221"/>
  <c r="R69" i="222"/>
  <c r="S59" i="222" s="1"/>
  <c r="I14" i="209"/>
  <c r="R69" i="210"/>
  <c r="S59" i="210" s="1"/>
  <c r="D14" i="176"/>
  <c r="R15" i="177"/>
  <c r="S5" i="177" s="1"/>
  <c r="Q15" i="177"/>
  <c r="E2" i="177"/>
  <c r="R48" i="212"/>
  <c r="S38" i="212" s="1"/>
  <c r="G14" i="211"/>
  <c r="G15" i="211" s="1"/>
  <c r="G14" i="2"/>
  <c r="G15" i="2" s="1"/>
  <c r="R48" i="3"/>
  <c r="S38" i="3" s="1"/>
  <c r="R58" i="224"/>
  <c r="S49" i="224" s="1"/>
  <c r="H14" i="223"/>
  <c r="H15" i="223" s="1"/>
  <c r="F14" i="207"/>
  <c r="F15" i="207" s="1"/>
  <c r="R37" i="208"/>
  <c r="S27" i="208" s="1"/>
  <c r="D14" i="219"/>
  <c r="E2" i="220"/>
  <c r="R15" i="220"/>
  <c r="S5" i="220" s="1"/>
  <c r="Q15" i="220"/>
  <c r="R48" i="196"/>
  <c r="S38" i="196" s="1"/>
  <c r="G14" i="195"/>
  <c r="G15" i="195" s="1"/>
  <c r="H14" i="199"/>
  <c r="H15" i="199" s="1"/>
  <c r="R58" i="200"/>
  <c r="S49" i="200" s="1"/>
  <c r="H14" i="221"/>
  <c r="H15" i="221" s="1"/>
  <c r="R58" i="222"/>
  <c r="S49" i="222" s="1"/>
  <c r="R69" i="218"/>
  <c r="S59" i="218" s="1"/>
  <c r="I14" i="217"/>
  <c r="H6" i="221"/>
  <c r="F6" i="221"/>
  <c r="I14" i="225"/>
  <c r="R69" i="226"/>
  <c r="S59" i="226" s="1"/>
  <c r="G15" i="209"/>
  <c r="R37" i="224"/>
  <c r="S27" i="224" s="1"/>
  <c r="F14" i="223"/>
  <c r="F15" i="223" s="1"/>
  <c r="J7" i="193"/>
  <c r="J8" i="193" s="1"/>
  <c r="I15" i="193"/>
  <c r="R69" i="202"/>
  <c r="S59" i="202" s="1"/>
  <c r="I14" i="201"/>
  <c r="F6" i="187"/>
  <c r="H6" i="187"/>
  <c r="G14" i="221"/>
  <c r="G15" i="221" s="1"/>
  <c r="R48" i="222"/>
  <c r="S38" i="222" s="1"/>
  <c r="F14" i="183"/>
  <c r="F15" i="183" s="1"/>
  <c r="R37" i="184"/>
  <c r="S27" i="184" s="1"/>
  <c r="F14" i="217"/>
  <c r="F15" i="217" s="1"/>
  <c r="R37" i="218"/>
  <c r="S27" i="218" s="1"/>
  <c r="H14" i="203"/>
  <c r="H15" i="203" s="1"/>
  <c r="R58" i="204"/>
  <c r="S49" i="204" s="1"/>
  <c r="R37" i="177"/>
  <c r="S27" i="177" s="1"/>
  <c r="F14" i="176"/>
  <c r="F15" i="176" s="1"/>
  <c r="F14" i="178"/>
  <c r="F15" i="178" s="1"/>
  <c r="R37" i="179"/>
  <c r="S27" i="179" s="1"/>
  <c r="H6" i="183"/>
  <c r="F6" i="183"/>
  <c r="R26" i="192"/>
  <c r="S16" i="192" s="1"/>
  <c r="Q26" i="192"/>
  <c r="E14" i="191"/>
  <c r="E15" i="191" s="1"/>
  <c r="E14" i="178"/>
  <c r="E15" i="178" s="1"/>
  <c r="R26" i="179"/>
  <c r="S16" i="179" s="1"/>
  <c r="Q26" i="179"/>
  <c r="Q26" i="194"/>
  <c r="R26" i="194"/>
  <c r="S16" i="194" s="1"/>
  <c r="E14" i="193"/>
  <c r="E15" i="193" s="1"/>
  <c r="Q26" i="220"/>
  <c r="R26" i="220"/>
  <c r="S16" i="220" s="1"/>
  <c r="E14" i="219"/>
  <c r="E15" i="219" s="1"/>
  <c r="H14" i="225"/>
  <c r="H15" i="225" s="1"/>
  <c r="R58" i="226"/>
  <c r="S49" i="226" s="1"/>
  <c r="H6" i="199"/>
  <c r="F6" i="199"/>
  <c r="H15" i="195"/>
  <c r="E2" i="3"/>
  <c r="R15" i="3"/>
  <c r="S5" i="3" s="1"/>
  <c r="Q15" i="3"/>
  <c r="D14" i="2"/>
  <c r="R48" i="210"/>
  <c r="S38" i="210" s="1"/>
  <c r="G14" i="213"/>
  <c r="G15" i="213" s="1"/>
  <c r="R48" i="214"/>
  <c r="S38" i="214" s="1"/>
  <c r="R69" i="194"/>
  <c r="S59" i="194" s="1"/>
  <c r="D14" i="199"/>
  <c r="R15" i="200"/>
  <c r="S5" i="200" s="1"/>
  <c r="Q15" i="200"/>
  <c r="E2" i="200"/>
  <c r="J13" i="197"/>
  <c r="F6" i="197" s="1"/>
  <c r="R79" i="198"/>
  <c r="S70" i="198" s="1"/>
  <c r="J15" i="197" s="1"/>
  <c r="J14" i="174"/>
  <c r="R79" i="175"/>
  <c r="S70" i="175" s="1"/>
  <c r="J15" i="174" s="1"/>
  <c r="R15" i="175"/>
  <c r="S5" i="175" s="1"/>
  <c r="D14" i="174"/>
  <c r="Q15" i="175"/>
  <c r="E2" i="175"/>
  <c r="I13" i="2"/>
  <c r="J6" i="2" s="1"/>
  <c r="R69" i="186"/>
  <c r="S59" i="186" s="1"/>
  <c r="I14" i="185"/>
  <c r="R15" i="181"/>
  <c r="S5" i="181" s="1"/>
  <c r="Q15" i="181"/>
  <c r="E2" i="181"/>
  <c r="D14" i="180"/>
  <c r="R26" i="216"/>
  <c r="S16" i="216" s="1"/>
  <c r="Q26" i="216"/>
  <c r="E14" i="215"/>
  <c r="E15" i="215" s="1"/>
  <c r="D14" i="197"/>
  <c r="Q15" i="198"/>
  <c r="E2" i="198"/>
  <c r="R15" i="198"/>
  <c r="S5" i="198" s="1"/>
  <c r="R26" i="196"/>
  <c r="S16" i="196" s="1"/>
  <c r="Q26" i="196"/>
  <c r="E14" i="195"/>
  <c r="E15" i="195" s="1"/>
  <c r="R15" i="210"/>
  <c r="S5" i="210" s="1"/>
  <c r="Q15" i="210"/>
  <c r="D14" i="209"/>
  <c r="E2" i="210"/>
  <c r="E2" i="222"/>
  <c r="D14" i="221"/>
  <c r="R15" i="222"/>
  <c r="S5" i="222" s="1"/>
  <c r="Q15" i="222"/>
  <c r="F6" i="213"/>
  <c r="R37" i="190"/>
  <c r="S27" i="190" s="1"/>
  <c r="F14" i="189"/>
  <c r="F15" i="189" s="1"/>
  <c r="H6" i="203"/>
  <c r="F14" i="213"/>
  <c r="F15" i="213" s="1"/>
  <c r="R37" i="214"/>
  <c r="S27" i="214" s="1"/>
  <c r="R69" i="204"/>
  <c r="S59" i="204" s="1"/>
  <c r="I14" i="203"/>
  <c r="D14" i="215"/>
  <c r="Q15" i="216"/>
  <c r="E2" i="216"/>
  <c r="R15" i="216"/>
  <c r="S5" i="216" s="1"/>
  <c r="F14" i="209"/>
  <c r="F15" i="209" s="1"/>
  <c r="R37" i="210"/>
  <c r="S27" i="210" s="1"/>
  <c r="H14" i="193"/>
  <c r="H15" i="193" s="1"/>
  <c r="R58" i="194"/>
  <c r="S49" i="194" s="1"/>
  <c r="H6" i="191"/>
  <c r="H6" i="223"/>
  <c r="R37" i="212"/>
  <c r="S27" i="212" s="1"/>
  <c r="F14" i="211"/>
  <c r="F15" i="211" s="1"/>
  <c r="H14" i="215"/>
  <c r="H15" i="215" s="1"/>
  <c r="R58" i="216"/>
  <c r="S49" i="216" s="1"/>
  <c r="F14" i="180"/>
  <c r="F15" i="180" s="1"/>
  <c r="R37" i="181"/>
  <c r="S27" i="181" s="1"/>
  <c r="R37" i="196"/>
  <c r="S27" i="196" s="1"/>
  <c r="F14" i="195"/>
  <c r="F15" i="195" s="1"/>
  <c r="D15" i="217"/>
  <c r="E14" i="180"/>
  <c r="E15" i="180" s="1"/>
  <c r="R26" i="181"/>
  <c r="S16" i="181" s="1"/>
  <c r="Q26" i="181"/>
  <c r="R58" i="214"/>
  <c r="S49" i="214" s="1"/>
  <c r="H14" i="213"/>
  <c r="H15" i="213" s="1"/>
  <c r="I14" i="223"/>
  <c r="R69" i="224"/>
  <c r="S59" i="224" s="1"/>
  <c r="F6" i="189"/>
  <c r="H6" i="189"/>
  <c r="Q26" i="184"/>
  <c r="E14" i="183"/>
  <c r="E15" i="183" s="1"/>
  <c r="R26" i="184"/>
  <c r="S16" i="184" s="1"/>
  <c r="E14" i="217"/>
  <c r="E15" i="217" s="1"/>
  <c r="R26" i="218"/>
  <c r="S16" i="218" s="1"/>
  <c r="Q26" i="218"/>
  <c r="F6" i="193"/>
  <c r="I14" i="180"/>
  <c r="R69" i="181"/>
  <c r="S59" i="181" s="1"/>
  <c r="R15" i="196"/>
  <c r="S5" i="196" s="1"/>
  <c r="Q15" i="196"/>
  <c r="D14" i="195"/>
  <c r="E2" i="196"/>
  <c r="R79" i="200"/>
  <c r="S70" i="200" s="1"/>
  <c r="J15" i="199" s="1"/>
  <c r="J14" i="199"/>
  <c r="H6" i="207"/>
  <c r="F6" i="207"/>
  <c r="G14" i="219"/>
  <c r="G15" i="219" s="1"/>
  <c r="R48" i="220"/>
  <c r="S38" i="220" s="1"/>
  <c r="I15" i="197"/>
  <c r="J7" i="197"/>
  <c r="J8" i="197" s="1"/>
  <c r="H14" i="187"/>
  <c r="H15" i="187" s="1"/>
  <c r="R58" i="188"/>
  <c r="S49" i="188" s="1"/>
  <c r="F6" i="180"/>
  <c r="R26" i="212"/>
  <c r="S16" i="212" s="1"/>
  <c r="Q26" i="212"/>
  <c r="E14" i="211"/>
  <c r="E15" i="211" s="1"/>
  <c r="G14" i="176"/>
  <c r="G15" i="176" s="1"/>
  <c r="R48" i="177"/>
  <c r="S38" i="177" s="1"/>
  <c r="R69" i="212"/>
  <c r="S59" i="212" s="1"/>
  <c r="I14" i="211"/>
  <c r="I15" i="187"/>
  <c r="J7" i="187"/>
  <c r="J8" i="187" s="1"/>
  <c r="E14" i="225"/>
  <c r="E15" i="225" s="1"/>
  <c r="Q26" i="226"/>
  <c r="R26" i="226"/>
  <c r="S16" i="226" s="1"/>
  <c r="R48" i="224"/>
  <c r="S38" i="224" s="1"/>
  <c r="G14" i="223"/>
  <c r="G15" i="223" s="1"/>
  <c r="R48" i="204"/>
  <c r="S38" i="204" s="1"/>
  <c r="G14" i="203"/>
  <c r="G15" i="203" s="1"/>
  <c r="F14" i="187"/>
  <c r="F15" i="187" s="1"/>
  <c r="R37" i="188"/>
  <c r="S27" i="188" s="1"/>
  <c r="J7" i="199"/>
  <c r="J8" i="199" s="1"/>
  <c r="I15" i="199"/>
  <c r="R69" i="216"/>
  <c r="S59" i="216" s="1"/>
  <c r="I14" i="215"/>
  <c r="H6" i="197"/>
  <c r="J14" i="187"/>
  <c r="R79" i="188"/>
  <c r="S70" i="188" s="1"/>
  <c r="J15" i="187" s="1"/>
  <c r="R48" i="198"/>
  <c r="S38" i="198" s="1"/>
  <c r="G14" i="197"/>
  <c r="G15" i="197" s="1"/>
  <c r="R79" i="210"/>
  <c r="S70" i="210" s="1"/>
  <c r="J15" i="209" s="1"/>
  <c r="J14" i="209"/>
  <c r="R37" i="200"/>
  <c r="S27" i="200" s="1"/>
  <c r="F14" i="199"/>
  <c r="F15" i="199" s="1"/>
  <c r="J14" i="191"/>
  <c r="R79" i="192"/>
  <c r="S70" i="192" s="1"/>
  <c r="J15" i="191" s="1"/>
  <c r="R79" i="220"/>
  <c r="S70" i="220" s="1"/>
  <c r="J15" i="219" s="1"/>
  <c r="J14" i="219"/>
  <c r="F6" i="174"/>
  <c r="D15" i="207"/>
  <c r="R37" i="220"/>
  <c r="S27" i="220" s="1"/>
  <c r="F14" i="219"/>
  <c r="F15" i="219" s="1"/>
  <c r="E14" i="221"/>
  <c r="E15" i="221" s="1"/>
  <c r="R26" i="222"/>
  <c r="S16" i="222" s="1"/>
  <c r="Q26" i="222"/>
  <c r="Q15" i="208"/>
  <c r="F6" i="215"/>
  <c r="H6" i="215"/>
  <c r="J14" i="2"/>
  <c r="R79" i="3"/>
  <c r="S70" i="3" s="1"/>
  <c r="I14" i="174"/>
  <c r="R69" i="175"/>
  <c r="S59" i="175" s="1"/>
  <c r="E2" i="194"/>
  <c r="D14" i="193"/>
  <c r="Q15" i="194"/>
  <c r="R15" i="194"/>
  <c r="S5" i="194" s="1"/>
  <c r="Q15" i="202"/>
  <c r="D14" i="201"/>
  <c r="R15" i="202"/>
  <c r="S5" i="202" s="1"/>
  <c r="E2" i="202"/>
  <c r="R58" i="181"/>
  <c r="S49" i="181" s="1"/>
  <c r="H14" i="180"/>
  <c r="H15" i="180" s="1"/>
  <c r="R48" i="181"/>
  <c r="S38" i="181" s="1"/>
  <c r="G14" i="180"/>
  <c r="G15" i="180" s="1"/>
  <c r="R48" i="218"/>
  <c r="S38" i="218" s="1"/>
  <c r="G14" i="217"/>
  <c r="G15" i="217" s="1"/>
  <c r="R58" i="198"/>
  <c r="S49" i="198" s="1"/>
  <c r="H14" i="197"/>
  <c r="H15" i="197" s="1"/>
  <c r="E2" i="226"/>
  <c r="H6" i="195"/>
  <c r="H14" i="207"/>
  <c r="H15" i="207" s="1"/>
  <c r="R58" i="208"/>
  <c r="S49" i="208" s="1"/>
  <c r="D14" i="187"/>
  <c r="E2" i="188"/>
  <c r="Q15" i="188"/>
  <c r="R15" i="188"/>
  <c r="S5" i="188" s="1"/>
  <c r="Q26" i="3"/>
  <c r="E14" i="2"/>
  <c r="E15" i="2" s="1"/>
  <c r="R26" i="3"/>
  <c r="S16" i="3" s="1"/>
  <c r="E2" i="190"/>
  <c r="D14" i="189"/>
  <c r="Q15" i="190"/>
  <c r="R15" i="190"/>
  <c r="S5" i="190" s="1"/>
  <c r="G14" i="178"/>
  <c r="G15" i="178" s="1"/>
  <c r="R48" i="179"/>
  <c r="S38" i="179" s="1"/>
  <c r="R58" i="177"/>
  <c r="S49" i="177" s="1"/>
  <c r="H14" i="176"/>
  <c r="H15" i="176" s="1"/>
  <c r="R69" i="3"/>
  <c r="S59" i="3" s="1"/>
  <c r="R48" i="200"/>
  <c r="S38" i="200" s="1"/>
  <c r="G14" i="199"/>
  <c r="G15" i="199" s="1"/>
  <c r="R37" i="186"/>
  <c r="S27" i="186" s="1"/>
  <c r="F14" i="185"/>
  <c r="F15" i="185" s="1"/>
  <c r="F14" i="174"/>
  <c r="F15" i="174" s="1"/>
  <c r="R37" i="175"/>
  <c r="S27" i="175" s="1"/>
  <c r="H14" i="201"/>
  <c r="H15" i="201" s="1"/>
  <c r="R58" i="202"/>
  <c r="S49" i="202" s="1"/>
  <c r="E14" i="185"/>
  <c r="E15" i="185" s="1"/>
  <c r="Q26" i="186"/>
  <c r="R26" i="186"/>
  <c r="S16" i="186" s="1"/>
  <c r="H14" i="2"/>
  <c r="H15" i="2" s="1"/>
  <c r="R58" i="3"/>
  <c r="S49" i="3" s="1"/>
  <c r="G14" i="185"/>
  <c r="G15" i="185" s="1"/>
  <c r="R48" i="186"/>
  <c r="S38" i="186" s="1"/>
  <c r="H14" i="217"/>
  <c r="H15" i="217" s="1"/>
  <c r="R58" i="218"/>
  <c r="S49" i="218" s="1"/>
  <c r="R69" i="184"/>
  <c r="S59" i="184" s="1"/>
  <c r="I14" i="183"/>
  <c r="R58" i="220"/>
  <c r="S49" i="220" s="1"/>
  <c r="H14" i="219"/>
  <c r="H15" i="219" s="1"/>
  <c r="R79" i="179"/>
  <c r="S70" i="179" s="1"/>
  <c r="J15" i="178" s="1"/>
  <c r="J14" i="178"/>
  <c r="H6" i="219"/>
  <c r="R79" i="177"/>
  <c r="S70" i="177" s="1"/>
  <c r="J15" i="176" s="1"/>
  <c r="J14" i="176"/>
  <c r="R79" i="184"/>
  <c r="S70" i="184" s="1"/>
  <c r="J15" i="183" s="1"/>
  <c r="J14" i="183"/>
  <c r="R58" i="192"/>
  <c r="S49" i="192" s="1"/>
  <c r="H14" i="185"/>
  <c r="H15" i="185" s="1"/>
  <c r="R58" i="186"/>
  <c r="S49" i="186" s="1"/>
  <c r="H14" i="178"/>
  <c r="H15" i="178" s="1"/>
  <c r="R58" i="179"/>
  <c r="S49" i="179" s="1"/>
  <c r="R69" i="190"/>
  <c r="S59" i="190" s="1"/>
  <c r="I14" i="189"/>
  <c r="J14" i="195"/>
  <c r="R79" i="196"/>
  <c r="S70" i="196" s="1"/>
  <c r="J15" i="195" s="1"/>
  <c r="G14" i="189"/>
  <c r="G15" i="189" s="1"/>
  <c r="R48" i="190"/>
  <c r="S38" i="190" s="1"/>
  <c r="D15" i="225"/>
  <c r="I15" i="2"/>
  <c r="J8" i="2" s="1"/>
  <c r="J7" i="2"/>
  <c r="D14" i="178"/>
  <c r="R15" i="179"/>
  <c r="S5" i="179" s="1"/>
  <c r="E2" i="179"/>
  <c r="Q15" i="179"/>
  <c r="Q15" i="214"/>
  <c r="D14" i="213"/>
  <c r="R15" i="214"/>
  <c r="S5" i="214" s="1"/>
  <c r="E2" i="214"/>
  <c r="R48" i="194"/>
  <c r="S38" i="194" s="1"/>
  <c r="G14" i="193"/>
  <c r="G15" i="193" s="1"/>
  <c r="R79" i="222"/>
  <c r="S70" i="222" s="1"/>
  <c r="J15" i="221" s="1"/>
  <c r="J14" i="221"/>
  <c r="H6" i="178"/>
  <c r="G14" i="174"/>
  <c r="G15" i="174" s="1"/>
  <c r="R48" i="175"/>
  <c r="S38" i="175" s="1"/>
  <c r="F14" i="203"/>
  <c r="F15" i="203" s="1"/>
  <c r="R37" i="204"/>
  <c r="S27" i="204" s="1"/>
  <c r="Q26" i="204"/>
  <c r="R26" i="204"/>
  <c r="S16" i="204" s="1"/>
  <c r="E14" i="203"/>
  <c r="E15" i="203" s="1"/>
  <c r="R69" i="220"/>
  <c r="S59" i="220" s="1"/>
  <c r="I14" i="219"/>
  <c r="R37" i="194"/>
  <c r="S27" i="194" s="1"/>
  <c r="F14" i="193"/>
  <c r="F15" i="193" s="1"/>
  <c r="F14" i="215"/>
  <c r="F15" i="215" s="1"/>
  <c r="R37" i="216"/>
  <c r="S27" i="216" s="1"/>
  <c r="H15" i="191"/>
  <c r="J14" i="225"/>
  <c r="R79" i="226"/>
  <c r="S70" i="226" s="1"/>
  <c r="J15" i="225" s="1"/>
  <c r="F14" i="191"/>
  <c r="F15" i="191" s="1"/>
  <c r="R37" i="192"/>
  <c r="S27" i="192" s="1"/>
  <c r="H7" i="185"/>
  <c r="H8" i="185" s="1"/>
  <c r="D15" i="185"/>
  <c r="H6" i="217"/>
  <c r="F6" i="217"/>
  <c r="G14" i="187"/>
  <c r="G15" i="187" s="1"/>
  <c r="R48" i="188"/>
  <c r="S38" i="188" s="1"/>
  <c r="E14" i="176"/>
  <c r="E15" i="176" s="1"/>
  <c r="R26" i="177"/>
  <c r="S16" i="177" s="1"/>
  <c r="Q26" i="177"/>
  <c r="R58" i="212"/>
  <c r="S49" i="212" s="1"/>
  <c r="R15" i="184"/>
  <c r="S5" i="184" s="1"/>
  <c r="E2" i="184"/>
  <c r="Q15" i="184"/>
  <c r="D14" i="183"/>
  <c r="H6" i="201"/>
  <c r="F6" i="201"/>
  <c r="E14" i="201"/>
  <c r="E15" i="201" s="1"/>
  <c r="R26" i="202"/>
  <c r="S16" i="202" s="1"/>
  <c r="Q26" i="202"/>
  <c r="H14" i="174"/>
  <c r="H15" i="174" s="1"/>
  <c r="R58" i="175"/>
  <c r="S49" i="175" s="1"/>
  <c r="I15" i="176"/>
  <c r="J7" i="176"/>
  <c r="J8" i="176" s="1"/>
  <c r="D14" i="203"/>
  <c r="Q15" i="204"/>
  <c r="E2" i="204"/>
  <c r="R15" i="204"/>
  <c r="S5" i="204" s="1"/>
  <c r="Q26" i="175"/>
  <c r="R26" i="175"/>
  <c r="S16" i="175" s="1"/>
  <c r="E14" i="174"/>
  <c r="E15" i="174" s="1"/>
  <c r="R69" i="208"/>
  <c r="S59" i="208" s="1"/>
  <c r="I14" i="207"/>
  <c r="R79" i="208"/>
  <c r="S70" i="208" s="1"/>
  <c r="J15" i="207" s="1"/>
  <c r="J14" i="207"/>
  <c r="R26" i="188"/>
  <c r="S16" i="188" s="1"/>
  <c r="Q26" i="188"/>
  <c r="E14" i="187"/>
  <c r="E15" i="187" s="1"/>
  <c r="H13" i="2"/>
  <c r="H14" i="183"/>
  <c r="H15" i="183" s="1"/>
  <c r="R58" i="184"/>
  <c r="S49" i="184" s="1"/>
  <c r="D14" i="211"/>
  <c r="R15" i="212"/>
  <c r="S5" i="212" s="1"/>
  <c r="Q15" i="212"/>
  <c r="E2" i="212"/>
  <c r="F14" i="197"/>
  <c r="F15" i="197" s="1"/>
  <c r="R37" i="198"/>
  <c r="S27" i="198" s="1"/>
  <c r="R79" i="214"/>
  <c r="S70" i="214" s="1"/>
  <c r="J15" i="213" s="1"/>
  <c r="J14" i="213"/>
  <c r="Q15" i="224"/>
  <c r="D14" i="223"/>
  <c r="R15" i="224"/>
  <c r="S5" i="224" s="1"/>
  <c r="E2" i="224"/>
  <c r="H15" i="211"/>
  <c r="H7" i="231" l="1"/>
  <c r="H8" i="231" s="1"/>
  <c r="F7" i="231"/>
  <c r="F8" i="231" s="1"/>
  <c r="D15" i="231"/>
  <c r="I15" i="231"/>
  <c r="J7" i="231"/>
  <c r="J8" i="231" s="1"/>
  <c r="F7" i="229"/>
  <c r="F8" i="229" s="1"/>
  <c r="D15" i="229"/>
  <c r="H7" i="229"/>
  <c r="H8" i="229" s="1"/>
  <c r="I15" i="229"/>
  <c r="J7" i="229"/>
  <c r="J8" i="229" s="1"/>
  <c r="G14" i="227"/>
  <c r="G15" i="227" s="1"/>
  <c r="H7" i="227"/>
  <c r="H8" i="227" s="1"/>
  <c r="F7" i="227"/>
  <c r="F8" i="227" s="1"/>
  <c r="J7" i="227"/>
  <c r="J8" i="227" s="1"/>
  <c r="I15" i="227"/>
  <c r="H7" i="225"/>
  <c r="H8" i="225" s="1"/>
  <c r="H7" i="207"/>
  <c r="H8" i="207" s="1"/>
  <c r="I15" i="217"/>
  <c r="J7" i="217"/>
  <c r="J8" i="217" s="1"/>
  <c r="D15" i="193"/>
  <c r="H7" i="193"/>
  <c r="H8" i="193" s="1"/>
  <c r="F7" i="193"/>
  <c r="F8" i="193" s="1"/>
  <c r="I15" i="215"/>
  <c r="J7" i="215"/>
  <c r="J8" i="215" s="1"/>
  <c r="F7" i="178"/>
  <c r="F8" i="178" s="1"/>
  <c r="D15" i="178"/>
  <c r="H7" i="178"/>
  <c r="H8" i="178" s="1"/>
  <c r="F7" i="207"/>
  <c r="F8" i="207" s="1"/>
  <c r="I15" i="201"/>
  <c r="J7" i="201"/>
  <c r="J8" i="201" s="1"/>
  <c r="F7" i="219"/>
  <c r="F8" i="219" s="1"/>
  <c r="D15" i="219"/>
  <c r="H7" i="219"/>
  <c r="H8" i="219" s="1"/>
  <c r="H7" i="183"/>
  <c r="H8" i="183" s="1"/>
  <c r="D15" i="183"/>
  <c r="F7" i="183"/>
  <c r="F8" i="183" s="1"/>
  <c r="I15" i="183"/>
  <c r="J7" i="183"/>
  <c r="J8" i="183" s="1"/>
  <c r="I15" i="223"/>
  <c r="J7" i="223"/>
  <c r="J8" i="223" s="1"/>
  <c r="H7" i="203"/>
  <c r="H8" i="203" s="1"/>
  <c r="F7" i="203"/>
  <c r="F8" i="203" s="1"/>
  <c r="D15" i="203"/>
  <c r="I15" i="219"/>
  <c r="J7" i="219"/>
  <c r="J8" i="219" s="1"/>
  <c r="F7" i="225"/>
  <c r="F8" i="225" s="1"/>
  <c r="H7" i="201"/>
  <c r="H8" i="201" s="1"/>
  <c r="F7" i="201"/>
  <c r="F8" i="201" s="1"/>
  <c r="D15" i="201"/>
  <c r="J7" i="180"/>
  <c r="J8" i="180" s="1"/>
  <c r="I15" i="180"/>
  <c r="F7" i="221"/>
  <c r="F8" i="221" s="1"/>
  <c r="D15" i="221"/>
  <c r="H7" i="221"/>
  <c r="H8" i="221" s="1"/>
  <c r="D15" i="197"/>
  <c r="H7" i="197"/>
  <c r="H8" i="197" s="1"/>
  <c r="F7" i="197"/>
  <c r="F8" i="197" s="1"/>
  <c r="F7" i="191"/>
  <c r="F8" i="191" s="1"/>
  <c r="H7" i="191"/>
  <c r="H8" i="191" s="1"/>
  <c r="D15" i="191"/>
  <c r="H7" i="211"/>
  <c r="H8" i="211" s="1"/>
  <c r="F7" i="211"/>
  <c r="F8" i="211" s="1"/>
  <c r="D15" i="211"/>
  <c r="F7" i="213"/>
  <c r="F8" i="213" s="1"/>
  <c r="H7" i="213"/>
  <c r="H8" i="213" s="1"/>
  <c r="D15" i="213"/>
  <c r="F7" i="185"/>
  <c r="F8" i="185" s="1"/>
  <c r="H7" i="215"/>
  <c r="H8" i="215" s="1"/>
  <c r="F7" i="215"/>
  <c r="F8" i="215" s="1"/>
  <c r="D15" i="215"/>
  <c r="H7" i="199"/>
  <c r="H8" i="199" s="1"/>
  <c r="F7" i="199"/>
  <c r="F8" i="199" s="1"/>
  <c r="D15" i="199"/>
  <c r="I15" i="203"/>
  <c r="J7" i="203"/>
  <c r="J8" i="203" s="1"/>
  <c r="D15" i="187"/>
  <c r="F7" i="187"/>
  <c r="F8" i="187" s="1"/>
  <c r="H7" i="187"/>
  <c r="H8" i="187" s="1"/>
  <c r="H7" i="209"/>
  <c r="H8" i="209" s="1"/>
  <c r="D15" i="209"/>
  <c r="F7" i="209"/>
  <c r="F8" i="209" s="1"/>
  <c r="F7" i="176"/>
  <c r="F8" i="176" s="1"/>
  <c r="D15" i="176"/>
  <c r="H7" i="176"/>
  <c r="H8" i="176" s="1"/>
  <c r="F7" i="189"/>
  <c r="F8" i="189" s="1"/>
  <c r="D15" i="189"/>
  <c r="H7" i="189"/>
  <c r="H8" i="189" s="1"/>
  <c r="D15" i="174"/>
  <c r="H7" i="174"/>
  <c r="H8" i="174" s="1"/>
  <c r="F7" i="174"/>
  <c r="F8" i="174" s="1"/>
  <c r="J7" i="191"/>
  <c r="J8" i="191" s="1"/>
  <c r="I15" i="191"/>
  <c r="H7" i="217"/>
  <c r="H8" i="217" s="1"/>
  <c r="J7" i="209"/>
  <c r="J8" i="209" s="1"/>
  <c r="I15" i="209"/>
  <c r="I15" i="213"/>
  <c r="J7" i="213"/>
  <c r="J8" i="213" s="1"/>
  <c r="I15" i="178"/>
  <c r="J7" i="178"/>
  <c r="J8" i="178" s="1"/>
  <c r="J7" i="225"/>
  <c r="J8" i="225" s="1"/>
  <c r="I15" i="225"/>
  <c r="D15" i="2"/>
  <c r="H7" i="2"/>
  <c r="F7" i="2"/>
  <c r="J7" i="174"/>
  <c r="J8" i="174" s="1"/>
  <c r="I15" i="174"/>
  <c r="F7" i="217"/>
  <c r="F8" i="217" s="1"/>
  <c r="J7" i="221"/>
  <c r="J8" i="221" s="1"/>
  <c r="I15" i="221"/>
  <c r="J7" i="207"/>
  <c r="J8" i="207" s="1"/>
  <c r="I15" i="207"/>
  <c r="D15" i="180"/>
  <c r="H7" i="180"/>
  <c r="H8" i="180" s="1"/>
  <c r="F7" i="180"/>
  <c r="F8" i="180" s="1"/>
  <c r="D15" i="223"/>
  <c r="H7" i="223"/>
  <c r="H8" i="223" s="1"/>
  <c r="F7" i="223"/>
  <c r="F8" i="223" s="1"/>
  <c r="I15" i="189"/>
  <c r="J7" i="189"/>
  <c r="J8" i="189" s="1"/>
  <c r="J15" i="2"/>
  <c r="I15" i="211"/>
  <c r="J7" i="211"/>
  <c r="J8" i="211" s="1"/>
  <c r="H7" i="195"/>
  <c r="H8" i="195" s="1"/>
  <c r="F7" i="195"/>
  <c r="F8" i="195" s="1"/>
  <c r="D15" i="195"/>
  <c r="I15" i="185"/>
  <c r="J7" i="185"/>
  <c r="J8" i="185" s="1"/>
  <c r="H8" i="2" l="1"/>
  <c r="F8" i="2"/>
</calcChain>
</file>

<file path=xl/sharedStrings.xml><?xml version="1.0" encoding="utf-8"?>
<sst xmlns="http://schemas.openxmlformats.org/spreadsheetml/2006/main" count="5954" uniqueCount="237">
  <si>
    <t xml:space="preserve">長家廠4度C日報分析                              </t>
  </si>
  <si>
    <t>總生產量</t>
  </si>
  <si>
    <t>營業額</t>
  </si>
  <si>
    <t>出勤人數</t>
  </si>
  <si>
    <t>產線配置圖</t>
  </si>
  <si>
    <t>生產實績</t>
  </si>
  <si>
    <t>人時性差異分析</t>
  </si>
  <si>
    <t>日報登錄</t>
  </si>
  <si>
    <t>合計
次數</t>
  </si>
  <si>
    <t>合計
時間/分</t>
  </si>
  <si>
    <t>分析說明</t>
  </si>
  <si>
    <t>合計
設備次數</t>
  </si>
  <si>
    <t>產能差異分析</t>
  </si>
  <si>
    <t>12月24日  星期三</t>
  </si>
  <si>
    <t>人時性</t>
  </si>
  <si>
    <t>平均廠價</t>
  </si>
  <si>
    <t>多次生產數</t>
  </si>
  <si>
    <t>線別</t>
  </si>
  <si>
    <t>品類</t>
  </si>
  <si>
    <t>品名</t>
  </si>
  <si>
    <t>廠價</t>
  </si>
  <si>
    <t>生產量</t>
  </si>
  <si>
    <t>營收</t>
  </si>
  <si>
    <t>多次
生產</t>
  </si>
  <si>
    <t>人數</t>
  </si>
  <si>
    <t>產能/時</t>
  </si>
  <si>
    <t>達成率</t>
  </si>
  <si>
    <t>達成率平均</t>
  </si>
  <si>
    <t>生產時間</t>
  </si>
  <si>
    <t>前置、換線時間/分</t>
  </si>
  <si>
    <t>稼動時間/分</t>
  </si>
  <si>
    <t>休息時間</t>
  </si>
  <si>
    <t>產線異常統計
(5分鐘以上)</t>
  </si>
  <si>
    <t>短暫停線統計
(5分鐘以下)</t>
  </si>
  <si>
    <t>開始</t>
  </si>
  <si>
    <t>結束</t>
  </si>
  <si>
    <t>次數</t>
  </si>
  <si>
    <t>時間/分</t>
  </si>
  <si>
    <t>總次數</t>
  </si>
  <si>
    <t>設備因素(次數)</t>
  </si>
  <si>
    <t>自動一線
(ET-600)</t>
  </si>
  <si>
    <t>4度一組</t>
  </si>
  <si>
    <t>平均</t>
  </si>
  <si>
    <t>自動二線
(ET-600)</t>
  </si>
  <si>
    <t xml:space="preserve">4度二組A
</t>
  </si>
  <si>
    <t>手工三線
(ET-55)</t>
  </si>
  <si>
    <t xml:space="preserve"> </t>
  </si>
  <si>
    <t xml:space="preserve">
4度二組B
</t>
  </si>
  <si>
    <t>手工四線
(ET-55)</t>
  </si>
  <si>
    <t xml:space="preserve">
4度二組C1
</t>
  </si>
  <si>
    <t>手工五線
(ET-55)</t>
  </si>
  <si>
    <t xml:space="preserve">
4度二組C2
</t>
  </si>
  <si>
    <t>調理包一線
(八爪機)</t>
  </si>
  <si>
    <t xml:space="preserve">               </t>
  </si>
  <si>
    <t xml:space="preserve">
4度三組
</t>
  </si>
  <si>
    <t>調理包二線
(手工)</t>
  </si>
  <si>
    <t xml:space="preserve">
4度四組
</t>
  </si>
  <si>
    <t>1.當日出勤人數較多</t>
  </si>
  <si>
    <t>2.當日出勤人數較少</t>
  </si>
  <si>
    <t>3.當日出勤熟手較少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</si>
  <si>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</si>
  <si>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</si>
  <si>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</si>
  <si>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</si>
  <si>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</si>
  <si>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</si>
  <si>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</si>
  <si>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</si>
  <si>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</si>
  <si>
    <t>13.區域出貨，分段生產</t>
  </si>
  <si>
    <t>長家廠組合室生產人時性分析</t>
  </si>
  <si>
    <t>日期</t>
  </si>
  <si>
    <t>訂單量</t>
  </si>
  <si>
    <t>項目</t>
  </si>
  <si>
    <t>➀</t>
  </si>
  <si>
    <t>➁</t>
  </si>
  <si>
    <t>③</t>
  </si>
  <si>
    <t>異常停線</t>
  </si>
  <si>
    <t>短暫停線</t>
  </si>
  <si>
    <t>組合室</t>
  </si>
  <si>
    <t>全溫層</t>
  </si>
  <si>
    <t>義大利麵</t>
  </si>
  <si>
    <t>袋裝小吃、義麵</t>
  </si>
  <si>
    <t>合計次數</t>
  </si>
  <si>
    <t>時間</t>
  </si>
  <si>
    <t>設備次數</t>
  </si>
  <si>
    <t>排關平均</t>
  </si>
  <si>
    <t>實績平均</t>
  </si>
  <si>
    <t>※現行日本鮮食廠以達成率80%為基本(即為現行KPI)</t>
  </si>
  <si>
    <t>溫層</t>
  </si>
  <si>
    <t>4度C-各編組展開</t>
  </si>
  <si>
    <t>編組</t>
  </si>
  <si>
    <t>自動1線</t>
  </si>
  <si>
    <t>自動2線</t>
  </si>
  <si>
    <t>手工3線</t>
  </si>
  <si>
    <t>手工4線</t>
  </si>
  <si>
    <t>手工5線</t>
  </si>
  <si>
    <t>調理包1線</t>
  </si>
  <si>
    <t>調理包2線</t>
  </si>
  <si>
    <t>排關</t>
  </si>
  <si>
    <t>實績</t>
  </si>
  <si>
    <t>作業
時間</t>
  </si>
  <si>
    <t>產線異常
(5分鐘以上)</t>
  </si>
  <si>
    <t>短暫停線
(5分鐘以下)</t>
  </si>
  <si>
    <t>配置人數</t>
  </si>
  <si>
    <t>主要應用設備</t>
  </si>
  <si>
    <t>ET-600</t>
  </si>
  <si>
    <t>ET-55</t>
  </si>
  <si>
    <t>八爪機</t>
  </si>
  <si>
    <t>次要應用設備</t>
  </si>
  <si>
    <t>封口機</t>
  </si>
  <si>
    <t>備註</t>
  </si>
  <si>
    <t>02月01日  星期六</t>
  </si>
  <si>
    <t>韓式起司炸雞義大利麵</t>
  </si>
  <si>
    <t>辣味香菜雞肉義大利麵</t>
  </si>
  <si>
    <t>奶油培根義大利麵</t>
  </si>
  <si>
    <t>白酒蛤蜊義大利麵</t>
  </si>
  <si>
    <t>改手抓麵</t>
  </si>
  <si>
    <t>青醬蛤蜊義大利麵</t>
  </si>
  <si>
    <t>義式蕃茄起司義大利麵</t>
  </si>
  <si>
    <t>玉取機停麵</t>
  </si>
  <si>
    <t>惡魔乳酪生義大利麵</t>
  </si>
  <si>
    <t>奶油蒜香雞義大利麵</t>
  </si>
  <si>
    <t>熱乾麵</t>
  </si>
  <si>
    <t>沙茶豬肉炒麵</t>
  </si>
  <si>
    <t>濃拿坡里義大利麵</t>
  </si>
  <si>
    <t>生產數量少</t>
  </si>
  <si>
    <t>青花椒麻雞肉拌麵</t>
  </si>
  <si>
    <t>府城鹽水意麵</t>
  </si>
  <si>
    <t>剝皮辣椒雞奶油扁麵</t>
  </si>
  <si>
    <t>奶油起司蝦仁通心粉</t>
  </si>
  <si>
    <t>焗烤起司雙饗筆尖麵</t>
  </si>
  <si>
    <t>小吃、微波</t>
  </si>
  <si>
    <t>小滷青蔬</t>
  </si>
  <si>
    <t>起司馬鈴薯</t>
  </si>
  <si>
    <t>三杯菇菇米血</t>
  </si>
  <si>
    <t>焗烤起司肉醬筆尖麵</t>
  </si>
  <si>
    <t>02月02日  星期一</t>
  </si>
  <si>
    <t>手抓麵(06:59~07:20)</t>
  </si>
  <si>
    <t>手抓麵</t>
  </si>
  <si>
    <t>熱轉印異常</t>
  </si>
  <si>
    <t>封膜機異常、13:50-14:28試產</t>
  </si>
  <si>
    <t>熱轉印異常、全檢</t>
  </si>
  <si>
    <t>充填機異常</t>
  </si>
  <si>
    <t>封口機異常(收籃先推去冰箱)，實際製作份數為3318</t>
  </si>
  <si>
    <t>補封膜</t>
  </si>
  <si>
    <r>
      <t>02月03日  星期</t>
    </r>
    <r>
      <rPr>
        <sz val="14"/>
        <rFont val="Microsoft JhengHei UI"/>
        <family val="2"/>
        <charset val="136"/>
      </rPr>
      <t>二</t>
    </r>
  </si>
  <si>
    <t>熱轉印鬆脫</t>
  </si>
  <si>
    <t>09:10-09:20補封膜100盒</t>
  </si>
  <si>
    <r>
      <t>02月04日  星期</t>
    </r>
    <r>
      <rPr>
        <sz val="14"/>
        <rFont val="Microsoft JhengHei UI"/>
        <family val="2"/>
        <charset val="136"/>
      </rPr>
      <t>三</t>
    </r>
  </si>
  <si>
    <t>玉取機停麵20次</t>
  </si>
  <si>
    <t>玉取機停麵31次</t>
  </si>
  <si>
    <t>02月05日  星期四</t>
  </si>
  <si>
    <t>02月06日  星期五</t>
  </si>
  <si>
    <t>熱轉印機異常</t>
  </si>
  <si>
    <t>09:35~09:43停線核對標籤數量</t>
  </si>
  <si>
    <t>02月08日  星期六</t>
  </si>
  <si>
    <t>重選機異常</t>
  </si>
  <si>
    <t>注餡機堵塞(薑絲)</t>
  </si>
  <si>
    <t>09:30~09:46停線核對標籤數量</t>
  </si>
  <si>
    <t>02月08日  星期日</t>
  </si>
  <si>
    <t>玉取機異常</t>
  </si>
  <si>
    <t>02月09日  星期一</t>
  </si>
  <si>
    <t>玉取機共6分鐘</t>
  </si>
  <si>
    <t>8:18-8:22玉取機換麵、玉取機共5分鐘</t>
  </si>
  <si>
    <t>玉取機共7分鐘</t>
  </si>
  <si>
    <t>玉取機共4分鐘</t>
  </si>
  <si>
    <t>玉取機共3分鐘</t>
  </si>
  <si>
    <t>改為手抓麵作業</t>
  </si>
  <si>
    <t>玉取機共8分鐘</t>
  </si>
  <si>
    <t>玉取機共11分鐘</t>
  </si>
  <si>
    <t>改手抓麵作業</t>
  </si>
  <si>
    <t>02月10日  星期二</t>
  </si>
  <si>
    <t>收抓麵作業</t>
  </si>
  <si>
    <t>02月11日  星期三</t>
  </si>
  <si>
    <t>02月12日  星期四</t>
  </si>
  <si>
    <t>手抓麵作業</t>
  </si>
  <si>
    <t>封膜異常</t>
  </si>
  <si>
    <t>8:48~09:05拆管挖醬</t>
  </si>
  <si>
    <t>人員不足單排生產</t>
  </si>
  <si>
    <t>02月14日  星期六</t>
  </si>
  <si>
    <t>支援製作</t>
  </si>
  <si>
    <t>雙排生產</t>
  </si>
  <si>
    <t>02月15日  星期日</t>
  </si>
  <si>
    <t>07:26~07:51熱轉印、07:51~08:13封膜</t>
  </si>
  <si>
    <t>12;40</t>
  </si>
  <si>
    <t>封膜異常、熱轉印異常</t>
  </si>
  <si>
    <t>02月16日  星期一</t>
  </si>
  <si>
    <t>玉取機</t>
  </si>
  <si>
    <t>02月17日  星期二</t>
  </si>
  <si>
    <t>02月18日  星期三</t>
  </si>
  <si>
    <t>02月19日  星期四</t>
  </si>
  <si>
    <t>09:30後封口機異常</t>
  </si>
  <si>
    <t>設備異常改手工線、手抓麵作業</t>
  </si>
  <si>
    <t>12;30</t>
  </si>
  <si>
    <t>人數不足單排生產</t>
  </si>
  <si>
    <t>02月20日  星期五</t>
  </si>
  <si>
    <t>02月21日  星期六</t>
  </si>
  <si>
    <t>02月22日  星期日</t>
  </si>
  <si>
    <t>02月23日  星期一</t>
  </si>
  <si>
    <t>13:30-13:42試產</t>
  </si>
  <si>
    <r>
      <t>02月24日  星期</t>
    </r>
    <r>
      <rPr>
        <sz val="14"/>
        <rFont val="Microsoft JhengHei UI"/>
        <family val="2"/>
        <charset val="136"/>
      </rPr>
      <t>二</t>
    </r>
  </si>
  <si>
    <t>13:50-14:05試產</t>
  </si>
  <si>
    <t>冷凍調理麵</t>
  </si>
  <si>
    <t>奶油蘑菇培根義大利麵</t>
  </si>
  <si>
    <r>
      <t>02月25日  星期</t>
    </r>
    <r>
      <rPr>
        <sz val="14"/>
        <rFont val="Microsoft JhengHei UI"/>
        <family val="2"/>
        <charset val="136"/>
      </rPr>
      <t>三</t>
    </r>
  </si>
  <si>
    <t>韓式起司義大利麵</t>
  </si>
  <si>
    <t>check</t>
  </si>
  <si>
    <t>類別</t>
  </si>
  <si>
    <t>4度C</t>
  </si>
  <si>
    <t>南洋紅咖哩豬義大利麵</t>
  </si>
  <si>
    <t>焗烤明太子筆尖麵</t>
  </si>
  <si>
    <t>台式綜合甜不辣</t>
  </si>
  <si>
    <t>冷凍</t>
  </si>
  <si>
    <t>經典肉醬義大利麵</t>
  </si>
  <si>
    <t>清炒蛤蜊義大利麵</t>
  </si>
  <si>
    <t>青醬乳酪筆尖麵</t>
  </si>
  <si>
    <t>辣蕃茄義大利麵</t>
  </si>
  <si>
    <t>和風明太子細扁麵</t>
  </si>
  <si>
    <t/>
  </si>
  <si>
    <t>品項</t>
  </si>
  <si>
    <t>產能</t>
  </si>
  <si>
    <t>白酒蛤蜊義大利麵-手</t>
  </si>
  <si>
    <t>青花椒麻雞肉拌麵-降速生產</t>
  </si>
  <si>
    <t>日一二正常版</t>
  </si>
  <si>
    <t>奶油蒜香雞義大利麵-降速生產</t>
  </si>
  <si>
    <t>剝皮辣椒雞奶油扁麵-降速生產(3線)</t>
  </si>
  <si>
    <t>調理包</t>
  </si>
  <si>
    <t>更新日期02/01</t>
  </si>
  <si>
    <t>下貼標異常</t>
    <phoneticPr fontId="0" type="noConversion"/>
  </si>
  <si>
    <t>金檢機異常</t>
    <phoneticPr fontId="0" type="noConversion"/>
  </si>
  <si>
    <t>封膜異常</t>
    <phoneticPr fontId="6" type="noConversion"/>
  </si>
  <si>
    <t>熱轉印異常</t>
    <phoneticPr fontId="6" type="noConversion"/>
  </si>
  <si>
    <t>02月26日  星期四</t>
    <phoneticPr fontId="32" type="noConversion"/>
  </si>
  <si>
    <t>7:27-7:34熱轉印異常</t>
    <phoneticPr fontId="6" type="noConversion"/>
  </si>
  <si>
    <t>.</t>
    <phoneticPr fontId="32" type="noConversion"/>
  </si>
  <si>
    <t>02月28日  星期六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</si>
</sst>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[$-F800]dddd\,\ mmmm\ dd\,\ yyyy"/>
    <numFmt numFmtId="177" formatCode="#,##0_ "/>
    <numFmt numFmtId="178" formatCode="_-* #,##0_-;\-* #,##0_-;_-* &quot;-&quot;??_-;_-@_-"/>
    <numFmt numFmtId="179" formatCode="0.0"/>
    <numFmt numFmtId="180" formatCode="0.0%"/>
    <numFmt numFmtId="181" formatCode="h:mm;@"/>
    <numFmt numFmtId="182" formatCode="0_ "/>
    <numFmt numFmtId="183" formatCode="0.0_ "/>
    <numFmt numFmtId="184" formatCode="0_);[Red]\(0\)"/>
  </numFmts>
  <fonts count="33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2"/>
      <color theme="1"/>
      <name val="Microsoft JhengHei"/>
      <family val="2"/>
      <charset val="136"/>
    </font>
    <font>
      <sz val="14"/>
      <name val="Microsoft JhengHei UI"/>
      <family val="2"/>
      <charset val="136"/>
    </font>
    <font>
      <sz val="9"/>
      <name val="新細明體"/>
      <family val="3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4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499">
    <xf numFmtId="0" fontId="0" fillId="0" borderId="0" xfId="0"/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7" fillId="0" borderId="1" xfId="2" applyFont="1" applyBorder="1" applyAlignment="1">
      <alignment horizontal="center" vertical="center"/>
    </xf>
    <xf numFmtId="178" fontId="7" fillId="0" borderId="0" xfId="16" applyNumberFormat="1" applyFont="1" applyBorder="1" applyAlignment="1">
      <alignment vertical="center"/>
    </xf>
    <xf numFmtId="0" fontId="7" fillId="0" borderId="0" xfId="2" applyFont="1">
      <alignment vertical="center"/>
    </xf>
    <xf numFmtId="0" fontId="11" fillId="0" borderId="0" xfId="2" applyFont="1">
      <alignment vertical="center"/>
    </xf>
    <xf numFmtId="0" fontId="12" fillId="0" borderId="0" xfId="6" applyFont="1">
      <alignment vertical="center"/>
    </xf>
    <xf numFmtId="0" fontId="13" fillId="0" borderId="0" xfId="2" applyFont="1">
      <alignment vertical="center"/>
    </xf>
    <xf numFmtId="0" fontId="14" fillId="0" borderId="0" xfId="2" applyFont="1">
      <alignment vertical="center"/>
    </xf>
    <xf numFmtId="0" fontId="6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179" fontId="16" fillId="0" borderId="1" xfId="2" applyNumberFormat="1" applyFont="1" applyBorder="1" applyAlignment="1">
      <alignment horizontal="center" vertical="center"/>
    </xf>
    <xf numFmtId="180" fontId="16" fillId="0" borderId="9" xfId="17" applyNumberFormat="1" applyFont="1" applyBorder="1" applyAlignment="1">
      <alignment horizontal="center" vertical="center"/>
    </xf>
    <xf numFmtId="180" fontId="16" fillId="0" borderId="9" xfId="17" applyNumberFormat="1" applyFont="1" applyFill="1" applyBorder="1" applyAlignment="1">
      <alignment horizontal="center" vertical="center"/>
    </xf>
    <xf numFmtId="20" fontId="17" fillId="0" borderId="1" xfId="2" applyNumberFormat="1" applyFont="1" applyBorder="1" applyAlignment="1">
      <alignment horizontal="center" vertical="center"/>
    </xf>
    <xf numFmtId="181" fontId="17" fillId="0" borderId="12" xfId="12" applyNumberFormat="1" applyFont="1" applyBorder="1" applyAlignment="1">
      <alignment horizontal="center" vertical="center"/>
    </xf>
    <xf numFmtId="20" fontId="17" fillId="0" borderId="11" xfId="2" applyNumberFormat="1" applyFont="1" applyBorder="1" applyAlignment="1">
      <alignment horizontal="center" vertical="center"/>
    </xf>
    <xf numFmtId="20" fontId="17" fillId="0" borderId="1" xfId="12" applyNumberFormat="1" applyFont="1" applyBorder="1" applyAlignment="1">
      <alignment horizontal="center" vertical="center"/>
    </xf>
    <xf numFmtId="20" fontId="6" fillId="0" borderId="11" xfId="8" applyNumberFormat="1" applyFont="1" applyBorder="1" applyAlignment="1">
      <alignment horizontal="center" vertical="center"/>
    </xf>
    <xf numFmtId="20" fontId="6" fillId="6" borderId="11" xfId="8" applyNumberFormat="1" applyFont="1" applyFill="1" applyBorder="1" applyAlignment="1">
      <alignment horizontal="center" vertical="center"/>
    </xf>
    <xf numFmtId="20" fontId="17" fillId="0" borderId="13" xfId="12" applyNumberFormat="1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 vertical="center" wrapText="1"/>
    </xf>
    <xf numFmtId="0" fontId="18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9" fillId="0" borderId="13" xfId="12" applyFont="1" applyBorder="1">
      <alignment vertical="center"/>
    </xf>
    <xf numFmtId="0" fontId="19" fillId="0" borderId="13" xfId="12" applyFont="1" applyBorder="1" applyAlignment="1">
      <alignment horizontal="left" vertical="center"/>
    </xf>
    <xf numFmtId="178" fontId="20" fillId="7" borderId="13" xfId="14" applyNumberFormat="1" applyFont="1" applyFill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/>
    </xf>
    <xf numFmtId="43" fontId="19" fillId="0" borderId="13" xfId="14" applyFont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1" fontId="19" fillId="0" borderId="13" xfId="12" applyNumberFormat="1" applyFont="1" applyBorder="1" applyAlignment="1">
      <alignment horizontal="center" vertical="center"/>
    </xf>
    <xf numFmtId="0" fontId="17" fillId="0" borderId="0" xfId="12" applyFont="1">
      <alignment vertical="center"/>
    </xf>
    <xf numFmtId="179" fontId="19" fillId="0" borderId="13" xfId="12" applyNumberFormat="1" applyFont="1" applyBorder="1" applyAlignment="1">
      <alignment horizontal="center" vertical="center"/>
    </xf>
    <xf numFmtId="179" fontId="22" fillId="0" borderId="13" xfId="12" applyNumberFormat="1" applyFont="1" applyBorder="1" applyAlignment="1">
      <alignment horizontal="center" vertical="center" wrapText="1"/>
    </xf>
    <xf numFmtId="2" fontId="19" fillId="0" borderId="13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17" fillId="0" borderId="17" xfId="11" applyFont="1" applyBorder="1" applyAlignment="1">
      <alignment horizontal="center"/>
    </xf>
    <xf numFmtId="0" fontId="17" fillId="0" borderId="18" xfId="12" applyFont="1" applyBorder="1" applyAlignment="1">
      <alignment horizontal="center"/>
    </xf>
    <xf numFmtId="0" fontId="17" fillId="0" borderId="18" xfId="11" applyFont="1" applyBorder="1" applyAlignment="1"/>
    <xf numFmtId="1" fontId="17" fillId="0" borderId="19" xfId="12" applyNumberFormat="1" applyFont="1" applyBorder="1" applyAlignment="1">
      <alignment horizontal="center" vertical="center"/>
    </xf>
    <xf numFmtId="43" fontId="17" fillId="0" borderId="20" xfId="14" applyFont="1" applyBorder="1" applyAlignment="1">
      <alignment horizontal="center" vertical="center"/>
    </xf>
    <xf numFmtId="0" fontId="17" fillId="0" borderId="20" xfId="12" applyFont="1" applyBorder="1" applyAlignment="1">
      <alignment horizontal="center" vertical="center" wrapText="1"/>
    </xf>
    <xf numFmtId="1" fontId="17" fillId="3" borderId="20" xfId="12" applyNumberFormat="1" applyFont="1" applyFill="1" applyBorder="1" applyAlignment="1">
      <alignment horizontal="center" vertical="center"/>
    </xf>
    <xf numFmtId="1" fontId="17" fillId="0" borderId="20" xfId="12" applyNumberFormat="1" applyFont="1" applyBorder="1" applyAlignment="1">
      <alignment horizontal="center" vertical="center"/>
    </xf>
    <xf numFmtId="179" fontId="17" fillId="0" borderId="20" xfId="12" applyNumberFormat="1" applyFont="1" applyBorder="1" applyAlignment="1">
      <alignment horizontal="center" vertical="center"/>
    </xf>
    <xf numFmtId="0" fontId="17" fillId="3" borderId="20" xfId="12" applyFont="1" applyFill="1" applyBorder="1" applyAlignment="1">
      <alignment horizontal="center" vertical="center"/>
    </xf>
    <xf numFmtId="182" fontId="17" fillId="0" borderId="20" xfId="12" applyNumberFormat="1" applyFont="1" applyBorder="1" applyAlignment="1">
      <alignment horizontal="center" vertical="center"/>
    </xf>
    <xf numFmtId="183" fontId="17" fillId="0" borderId="20" xfId="12" applyNumberFormat="1" applyFont="1" applyBorder="1" applyAlignment="1">
      <alignment horizontal="center" vertical="center"/>
    </xf>
    <xf numFmtId="180" fontId="17" fillId="0" borderId="20" xfId="20" applyNumberFormat="1" applyFont="1" applyBorder="1" applyAlignment="1">
      <alignment horizontal="center" vertical="center"/>
    </xf>
    <xf numFmtId="180" fontId="17" fillId="0" borderId="21" xfId="20" applyNumberFormat="1" applyFont="1" applyBorder="1" applyAlignment="1">
      <alignment horizontal="center" vertical="center"/>
    </xf>
    <xf numFmtId="0" fontId="17" fillId="0" borderId="22" xfId="12" applyFont="1" applyBorder="1">
      <alignment vertical="center"/>
    </xf>
    <xf numFmtId="0" fontId="17" fillId="0" borderId="21" xfId="12" applyFont="1" applyBorder="1" applyAlignment="1">
      <alignment horizontal="center" vertical="center" wrapText="1"/>
    </xf>
    <xf numFmtId="0" fontId="17" fillId="0" borderId="21" xfId="12" applyFont="1" applyBorder="1" applyAlignment="1">
      <alignment horizontal="center" vertical="center"/>
    </xf>
    <xf numFmtId="182" fontId="17" fillId="0" borderId="21" xfId="12" applyNumberFormat="1" applyFont="1" applyBorder="1" applyAlignment="1">
      <alignment horizontal="center" vertical="center"/>
    </xf>
    <xf numFmtId="0" fontId="17" fillId="0" borderId="25" xfId="11" applyFont="1" applyBorder="1" applyAlignment="1">
      <alignment horizontal="center"/>
    </xf>
    <xf numFmtId="0" fontId="17" fillId="0" borderId="26" xfId="12" applyFont="1" applyBorder="1" applyAlignment="1">
      <alignment horizontal="center"/>
    </xf>
    <xf numFmtId="0" fontId="17" fillId="0" borderId="27" xfId="11" applyFont="1" applyBorder="1" applyAlignment="1"/>
    <xf numFmtId="0" fontId="17" fillId="0" borderId="28" xfId="11" applyFont="1" applyBorder="1" applyAlignment="1"/>
    <xf numFmtId="0" fontId="17" fillId="0" borderId="29" xfId="11" applyFont="1" applyBorder="1" applyAlignment="1">
      <alignment horizontal="center"/>
    </xf>
    <xf numFmtId="1" fontId="17" fillId="0" borderId="30" xfId="12" applyNumberFormat="1" applyFont="1" applyBorder="1" applyAlignment="1">
      <alignment horizontal="center" vertical="center"/>
    </xf>
    <xf numFmtId="43" fontId="17" fillId="0" borderId="31" xfId="14" applyFont="1" applyBorder="1" applyAlignment="1">
      <alignment horizontal="center" vertical="center"/>
    </xf>
    <xf numFmtId="0" fontId="17" fillId="0" borderId="31" xfId="12" applyFont="1" applyBorder="1" applyAlignment="1">
      <alignment horizontal="center" vertical="center" wrapText="1"/>
    </xf>
    <xf numFmtId="1" fontId="17" fillId="3" borderId="31" xfId="12" applyNumberFormat="1" applyFont="1" applyFill="1" applyBorder="1" applyAlignment="1">
      <alignment horizontal="center" vertical="center"/>
    </xf>
    <xf numFmtId="1" fontId="17" fillId="0" borderId="31" xfId="12" applyNumberFormat="1" applyFont="1" applyBorder="1" applyAlignment="1">
      <alignment horizontal="center" vertical="center"/>
    </xf>
    <xf numFmtId="179" fontId="17" fillId="0" borderId="31" xfId="12" applyNumberFormat="1" applyFont="1" applyBorder="1" applyAlignment="1">
      <alignment horizontal="center" vertical="center"/>
    </xf>
    <xf numFmtId="0" fontId="17" fillId="3" borderId="31" xfId="12" applyFont="1" applyFill="1" applyBorder="1" applyAlignment="1">
      <alignment horizontal="center" vertical="center"/>
    </xf>
    <xf numFmtId="182" fontId="17" fillId="0" borderId="31" xfId="12" applyNumberFormat="1" applyFont="1" applyBorder="1" applyAlignment="1">
      <alignment horizontal="center" vertical="center"/>
    </xf>
    <xf numFmtId="183" fontId="17" fillId="0" borderId="31" xfId="12" applyNumberFormat="1" applyFont="1" applyBorder="1" applyAlignment="1">
      <alignment horizontal="center" vertical="center"/>
    </xf>
    <xf numFmtId="180" fontId="17" fillId="0" borderId="3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0" fontId="17" fillId="0" borderId="13" xfId="12" applyFont="1" applyBorder="1" applyAlignment="1">
      <alignment horizontal="center" vertical="center" wrapText="1"/>
    </xf>
    <xf numFmtId="182" fontId="17" fillId="0" borderId="13" xfId="12" applyNumberFormat="1" applyFont="1" applyBorder="1" applyAlignment="1">
      <alignment horizontal="center" vertical="center"/>
    </xf>
    <xf numFmtId="0" fontId="17" fillId="0" borderId="1" xfId="11" applyFont="1" applyBorder="1" applyAlignment="1">
      <alignment horizontal="center"/>
    </xf>
    <xf numFmtId="0" fontId="17" fillId="0" borderId="33" xfId="12" applyFont="1" applyBorder="1" applyAlignment="1">
      <alignment horizontal="center"/>
    </xf>
    <xf numFmtId="0" fontId="17" fillId="0" borderId="33" xfId="11" applyFont="1" applyBorder="1" applyAlignment="1"/>
    <xf numFmtId="43" fontId="17" fillId="0" borderId="13" xfId="14" applyFont="1" applyBorder="1" applyAlignment="1">
      <alignment horizontal="center" vertical="center"/>
    </xf>
    <xf numFmtId="1" fontId="17" fillId="3" borderId="13" xfId="12" applyNumberFormat="1" applyFont="1" applyFill="1" applyBorder="1" applyAlignment="1">
      <alignment horizontal="center" vertical="center"/>
    </xf>
    <xf numFmtId="1" fontId="17" fillId="0" borderId="13" xfId="12" applyNumberFormat="1" applyFont="1" applyBorder="1" applyAlignment="1">
      <alignment horizontal="center" vertical="center"/>
    </xf>
    <xf numFmtId="179" fontId="17" fillId="0" borderId="13" xfId="12" applyNumberFormat="1" applyFont="1" applyBorder="1" applyAlignment="1">
      <alignment horizontal="center" vertical="center"/>
    </xf>
    <xf numFmtId="0" fontId="17" fillId="3" borderId="13" xfId="12" applyFont="1" applyFill="1" applyBorder="1" applyAlignment="1">
      <alignment horizontal="center" vertical="center"/>
    </xf>
    <xf numFmtId="183" fontId="17" fillId="0" borderId="13" xfId="12" applyNumberFormat="1" applyFont="1" applyBorder="1" applyAlignment="1">
      <alignment horizontal="center" vertical="center"/>
    </xf>
    <xf numFmtId="20" fontId="17" fillId="0" borderId="27" xfId="12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/>
    </xf>
    <xf numFmtId="0" fontId="17" fillId="0" borderId="30" xfId="11" applyFont="1" applyBorder="1" applyAlignment="1"/>
    <xf numFmtId="0" fontId="17" fillId="0" borderId="37" xfId="12" applyFont="1" applyBorder="1" applyAlignment="1">
      <alignment horizontal="center"/>
    </xf>
    <xf numFmtId="0" fontId="17" fillId="0" borderId="38" xfId="11" applyFont="1" applyBorder="1" applyAlignment="1"/>
    <xf numFmtId="184" fontId="17" fillId="0" borderId="1" xfId="12" applyNumberFormat="1" applyFont="1" applyBorder="1" applyAlignment="1">
      <alignment horizontal="center" vertical="center"/>
    </xf>
    <xf numFmtId="43" fontId="17" fillId="0" borderId="1" xfId="14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/>
    </xf>
    <xf numFmtId="179" fontId="17" fillId="0" borderId="30" xfId="12" applyNumberFormat="1" applyFont="1" applyBorder="1" applyAlignment="1">
      <alignment horizontal="center" vertical="center"/>
    </xf>
    <xf numFmtId="0" fontId="17" fillId="3" borderId="1" xfId="12" applyFont="1" applyFill="1" applyBorder="1" applyAlignment="1">
      <alignment horizontal="center" vertical="center"/>
    </xf>
    <xf numFmtId="1" fontId="17" fillId="0" borderId="1" xfId="12" applyNumberFormat="1" applyFont="1" applyBorder="1" applyAlignment="1">
      <alignment horizontal="center" vertical="center"/>
    </xf>
    <xf numFmtId="179" fontId="17" fillId="0" borderId="1" xfId="12" applyNumberFormat="1" applyFont="1" applyBorder="1" applyAlignment="1">
      <alignment horizontal="center" vertical="center"/>
    </xf>
    <xf numFmtId="182" fontId="17" fillId="0" borderId="1" xfId="12" applyNumberFormat="1" applyFont="1" applyBorder="1" applyAlignment="1">
      <alignment horizontal="center" vertical="center"/>
    </xf>
    <xf numFmtId="183" fontId="17" fillId="0" borderId="1" xfId="12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0" fontId="17" fillId="0" borderId="30" xfId="12" applyFont="1" applyBorder="1" applyAlignment="1">
      <alignment horizontal="center" vertical="center" wrapText="1"/>
    </xf>
    <xf numFmtId="0" fontId="17" fillId="0" borderId="39" xfId="12" applyFont="1" applyBorder="1" applyAlignment="1">
      <alignment horizontal="center" vertical="center"/>
    </xf>
    <xf numFmtId="0" fontId="17" fillId="0" borderId="40" xfId="12" applyFont="1" applyBorder="1" applyAlignment="1">
      <alignment horizontal="center" vertical="center"/>
    </xf>
    <xf numFmtId="0" fontId="17" fillId="0" borderId="41" xfId="11" applyFont="1" applyBorder="1" applyAlignment="1"/>
    <xf numFmtId="0" fontId="17" fillId="0" borderId="39" xfId="11" applyFont="1" applyBorder="1" applyAlignment="1"/>
    <xf numFmtId="0" fontId="17" fillId="0" borderId="30" xfId="11" applyFont="1" applyBorder="1" applyAlignment="1">
      <alignment horizontal="center"/>
    </xf>
    <xf numFmtId="1" fontId="17" fillId="3" borderId="14" xfId="12" applyNumberFormat="1" applyFont="1" applyFill="1" applyBorder="1" applyAlignment="1">
      <alignment horizontal="center" vertical="center"/>
    </xf>
    <xf numFmtId="1" fontId="17" fillId="0" borderId="14" xfId="12" applyNumberFormat="1" applyFont="1" applyBorder="1" applyAlignment="1">
      <alignment horizontal="center" vertical="center"/>
    </xf>
    <xf numFmtId="0" fontId="17" fillId="3" borderId="14" xfId="12" applyFont="1" applyFill="1" applyBorder="1" applyAlignment="1">
      <alignment horizontal="center" vertical="center"/>
    </xf>
    <xf numFmtId="181" fontId="17" fillId="0" borderId="14" xfId="12" applyNumberFormat="1" applyFont="1" applyBorder="1" applyAlignment="1">
      <alignment horizontal="center" vertical="center"/>
    </xf>
    <xf numFmtId="20" fontId="17" fillId="0" borderId="14" xfId="12" applyNumberFormat="1" applyFont="1" applyBorder="1" applyAlignment="1">
      <alignment horizontal="center" vertical="center"/>
    </xf>
    <xf numFmtId="182" fontId="17" fillId="0" borderId="14" xfId="12" applyNumberFormat="1" applyFont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181" fontId="6" fillId="6" borderId="1" xfId="8" applyNumberFormat="1" applyFont="1" applyFill="1" applyBorder="1" applyAlignment="1">
      <alignment horizontal="center" vertical="center"/>
    </xf>
    <xf numFmtId="181" fontId="6" fillId="6" borderId="11" xfId="8" applyNumberFormat="1" applyFont="1" applyFill="1" applyBorder="1" applyAlignment="1">
      <alignment horizontal="center" vertical="center"/>
    </xf>
    <xf numFmtId="0" fontId="17" fillId="0" borderId="43" xfId="12" applyFont="1" applyBorder="1" applyAlignment="1">
      <alignment horizontal="center"/>
    </xf>
    <xf numFmtId="0" fontId="17" fillId="11" borderId="44" xfId="12" applyFont="1" applyFill="1" applyBorder="1" applyAlignment="1">
      <alignment horizontal="center"/>
    </xf>
    <xf numFmtId="179" fontId="17" fillId="11" borderId="44" xfId="12" applyNumberFormat="1" applyFont="1" applyFill="1" applyBorder="1" applyAlignment="1">
      <alignment horizontal="center" vertical="center"/>
    </xf>
    <xf numFmtId="43" fontId="17" fillId="11" borderId="44" xfId="14" applyFont="1" applyFill="1" applyBorder="1" applyAlignment="1">
      <alignment horizontal="center" vertical="center"/>
    </xf>
    <xf numFmtId="0" fontId="17" fillId="11" borderId="44" xfId="12" applyFont="1" applyFill="1" applyBorder="1" applyAlignment="1">
      <alignment horizontal="center" vertical="center"/>
    </xf>
    <xf numFmtId="1" fontId="17" fillId="11" borderId="44" xfId="12" applyNumberFormat="1" applyFont="1" applyFill="1" applyBorder="1" applyAlignment="1">
      <alignment horizontal="center" vertical="center"/>
    </xf>
    <xf numFmtId="182" fontId="17" fillId="0" borderId="44" xfId="12" applyNumberFormat="1" applyFont="1" applyBorder="1" applyAlignment="1">
      <alignment horizontal="center" vertical="center"/>
    </xf>
    <xf numFmtId="183" fontId="17" fillId="0" borderId="44" xfId="12" applyNumberFormat="1" applyFont="1" applyBorder="1" applyAlignment="1">
      <alignment horizontal="center" vertical="center"/>
    </xf>
    <xf numFmtId="180" fontId="17" fillId="0" borderId="44" xfId="20" applyNumberFormat="1" applyFont="1" applyFill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181" fontId="17" fillId="0" borderId="4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 vertical="center"/>
    </xf>
    <xf numFmtId="0" fontId="17" fillId="0" borderId="43" xfId="12" applyFont="1" applyBorder="1" applyAlignment="1">
      <alignment horizontal="center" vertical="center" wrapText="1"/>
    </xf>
    <xf numFmtId="179" fontId="17" fillId="0" borderId="44" xfId="12" applyNumberFormat="1" applyFont="1" applyBorder="1" applyAlignment="1">
      <alignment horizontal="center" vertical="center"/>
    </xf>
    <xf numFmtId="0" fontId="17" fillId="0" borderId="46" xfId="11" applyFont="1" applyBorder="1" applyAlignment="1">
      <alignment horizontal="center"/>
    </xf>
    <xf numFmtId="0" fontId="17" fillId="0" borderId="47" xfId="12" applyFont="1" applyBorder="1" applyAlignment="1">
      <alignment horizontal="center"/>
    </xf>
    <xf numFmtId="0" fontId="17" fillId="0" borderId="48" xfId="11" applyFont="1" applyBorder="1" applyAlignment="1"/>
    <xf numFmtId="0" fontId="17" fillId="0" borderId="49" xfId="11" applyFont="1" applyBorder="1" applyAlignment="1"/>
    <xf numFmtId="184" fontId="17" fillId="0" borderId="17" xfId="2" applyNumberFormat="1" applyFont="1" applyBorder="1" applyAlignment="1">
      <alignment horizontal="center" vertical="center"/>
    </xf>
    <xf numFmtId="43" fontId="17" fillId="0" borderId="17" xfId="14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/>
    </xf>
    <xf numFmtId="1" fontId="17" fillId="3" borderId="21" xfId="12" applyNumberFormat="1" applyFont="1" applyFill="1" applyBorder="1" applyAlignment="1">
      <alignment horizontal="center" vertical="center"/>
    </xf>
    <xf numFmtId="1" fontId="17" fillId="0" borderId="21" xfId="12" applyNumberFormat="1" applyFont="1" applyBorder="1" applyAlignment="1">
      <alignment horizontal="center" vertical="center"/>
    </xf>
    <xf numFmtId="179" fontId="17" fillId="0" borderId="21" xfId="12" applyNumberFormat="1" applyFont="1" applyBorder="1" applyAlignment="1">
      <alignment horizontal="center" vertical="center"/>
    </xf>
    <xf numFmtId="1" fontId="17" fillId="3" borderId="17" xfId="12" applyNumberFormat="1" applyFont="1" applyFill="1" applyBorder="1" applyAlignment="1">
      <alignment horizontal="center" vertical="center"/>
    </xf>
    <xf numFmtId="1" fontId="17" fillId="0" borderId="17" xfId="12" applyNumberFormat="1" applyFont="1" applyBorder="1" applyAlignment="1">
      <alignment horizontal="center" vertical="center"/>
    </xf>
    <xf numFmtId="179" fontId="17" fillId="0" borderId="17" xfId="12" applyNumberFormat="1" applyFont="1" applyBorder="1" applyAlignment="1">
      <alignment horizontal="center" vertical="center"/>
    </xf>
    <xf numFmtId="182" fontId="17" fillId="0" borderId="17" xfId="12" applyNumberFormat="1" applyFont="1" applyBorder="1" applyAlignment="1">
      <alignment horizontal="center" vertical="center"/>
    </xf>
    <xf numFmtId="183" fontId="17" fillId="0" borderId="17" xfId="12" applyNumberFormat="1" applyFont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20" fontId="17" fillId="0" borderId="17" xfId="12" applyNumberFormat="1" applyFont="1" applyBorder="1" applyAlignment="1">
      <alignment horizontal="center" vertical="center"/>
    </xf>
    <xf numFmtId="0" fontId="17" fillId="0" borderId="17" xfId="12" applyFont="1" applyBorder="1" applyAlignment="1">
      <alignment horizontal="center" vertical="center" wrapText="1"/>
    </xf>
    <xf numFmtId="184" fontId="17" fillId="0" borderId="1" xfId="2" applyNumberFormat="1" applyFont="1" applyBorder="1" applyAlignment="1">
      <alignment horizontal="center" vertical="center"/>
    </xf>
    <xf numFmtId="1" fontId="17" fillId="3" borderId="1" xfId="12" applyNumberFormat="1" applyFont="1" applyFill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181" fontId="17" fillId="0" borderId="1" xfId="12" applyNumberFormat="1" applyFont="1" applyBorder="1" applyAlignment="1">
      <alignment horizontal="center" vertical="center"/>
    </xf>
    <xf numFmtId="0" fontId="17" fillId="0" borderId="27" xfId="12" applyFont="1" applyBorder="1" applyAlignment="1">
      <alignment horizontal="center" vertical="center"/>
    </xf>
    <xf numFmtId="0" fontId="17" fillId="0" borderId="50" xfId="12" applyFont="1" applyBorder="1" applyAlignment="1">
      <alignment horizontal="center"/>
    </xf>
    <xf numFmtId="0" fontId="15" fillId="0" borderId="50" xfId="2" applyFont="1" applyBorder="1" applyAlignment="1">
      <alignment horizontal="center" vertical="center"/>
    </xf>
    <xf numFmtId="0" fontId="17" fillId="11" borderId="50" xfId="12" applyFont="1" applyFill="1" applyBorder="1" applyAlignment="1">
      <alignment horizontal="center"/>
    </xf>
    <xf numFmtId="1" fontId="17" fillId="11" borderId="50" xfId="12" applyNumberFormat="1" applyFont="1" applyFill="1" applyBorder="1" applyAlignment="1">
      <alignment horizontal="center" vertical="center"/>
    </xf>
    <xf numFmtId="43" fontId="17" fillId="11" borderId="50" xfId="14" applyFont="1" applyFill="1" applyBorder="1" applyAlignment="1">
      <alignment horizontal="center" vertical="center"/>
    </xf>
    <xf numFmtId="0" fontId="17" fillId="11" borderId="50" xfId="12" applyFont="1" applyFill="1" applyBorder="1" applyAlignment="1">
      <alignment horizontal="center" vertical="center"/>
    </xf>
    <xf numFmtId="179" fontId="17" fillId="11" borderId="50" xfId="12" applyNumberFormat="1" applyFont="1" applyFill="1" applyBorder="1" applyAlignment="1">
      <alignment horizontal="center" vertical="center"/>
    </xf>
    <xf numFmtId="182" fontId="17" fillId="0" borderId="50" xfId="12" applyNumberFormat="1" applyFont="1" applyBorder="1" applyAlignment="1">
      <alignment horizontal="center" vertical="center"/>
    </xf>
    <xf numFmtId="183" fontId="17" fillId="0" borderId="50" xfId="12" applyNumberFormat="1" applyFont="1" applyBorder="1" applyAlignment="1">
      <alignment horizontal="center" vertical="center"/>
    </xf>
    <xf numFmtId="180" fontId="17" fillId="0" borderId="50" xfId="20" applyNumberFormat="1" applyFont="1" applyFill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181" fontId="17" fillId="0" borderId="50" xfId="12" applyNumberFormat="1" applyFont="1" applyBorder="1" applyAlignment="1">
      <alignment horizontal="center" vertical="center"/>
    </xf>
    <xf numFmtId="0" fontId="17" fillId="0" borderId="50" xfId="12" applyFont="1" applyBorder="1" applyAlignment="1">
      <alignment horizontal="center" vertical="center"/>
    </xf>
    <xf numFmtId="1" fontId="17" fillId="0" borderId="50" xfId="12" applyNumberFormat="1" applyFont="1" applyBorder="1" applyAlignment="1">
      <alignment horizontal="center" vertical="center"/>
    </xf>
    <xf numFmtId="179" fontId="17" fillId="0" borderId="50" xfId="12" applyNumberFormat="1" applyFont="1" applyBorder="1" applyAlignment="1">
      <alignment horizontal="center" vertical="center"/>
    </xf>
    <xf numFmtId="0" fontId="17" fillId="0" borderId="52" xfId="11" applyFont="1" applyBorder="1" applyAlignment="1">
      <alignment horizontal="center"/>
    </xf>
    <xf numFmtId="0" fontId="17" fillId="0" borderId="53" xfId="11" applyFont="1" applyBorder="1" applyAlignment="1"/>
    <xf numFmtId="184" fontId="17" fillId="0" borderId="17" xfId="12" applyNumberFormat="1" applyFont="1" applyBorder="1" applyAlignment="1">
      <alignment horizontal="center" vertical="center"/>
    </xf>
    <xf numFmtId="0" fontId="17" fillId="3" borderId="17" xfId="12" applyFont="1" applyFill="1" applyBorder="1" applyAlignment="1">
      <alignment horizontal="center" vertical="center"/>
    </xf>
    <xf numFmtId="20" fontId="17" fillId="0" borderId="17" xfId="2" applyNumberFormat="1" applyFont="1" applyBorder="1" applyAlignment="1">
      <alignment horizontal="center" vertical="center"/>
    </xf>
    <xf numFmtId="180" fontId="17" fillId="0" borderId="55" xfId="20" applyNumberFormat="1" applyFont="1" applyBorder="1" applyAlignment="1">
      <alignment horizontal="center" vertical="center"/>
    </xf>
    <xf numFmtId="0" fontId="17" fillId="0" borderId="41" xfId="12" applyFont="1" applyBorder="1" applyAlignment="1">
      <alignment horizontal="center"/>
    </xf>
    <xf numFmtId="20" fontId="17" fillId="0" borderId="1" xfId="11" applyNumberFormat="1" applyFont="1" applyBorder="1" applyAlignment="1">
      <alignment horizontal="center" vertical="center"/>
    </xf>
    <xf numFmtId="0" fontId="17" fillId="0" borderId="58" xfId="11" applyFont="1" applyBorder="1" applyAlignment="1"/>
    <xf numFmtId="0" fontId="17" fillId="0" borderId="3" xfId="11" applyFont="1" applyBorder="1" applyAlignment="1"/>
    <xf numFmtId="0" fontId="17" fillId="0" borderId="58" xfId="12" applyFont="1" applyBorder="1" applyAlignment="1">
      <alignment horizontal="center" vertical="center"/>
    </xf>
    <xf numFmtId="0" fontId="17" fillId="0" borderId="60" xfId="11" applyFont="1" applyBorder="1" applyAlignment="1"/>
    <xf numFmtId="0" fontId="17" fillId="0" borderId="61" xfId="12" applyFont="1" applyBorder="1" applyAlignment="1">
      <alignment horizontal="center" vertical="center"/>
    </xf>
    <xf numFmtId="182" fontId="17" fillId="0" borderId="9" xfId="12" applyNumberFormat="1" applyFont="1" applyBorder="1" applyAlignment="1">
      <alignment horizontal="center" vertical="center"/>
    </xf>
    <xf numFmtId="183" fontId="17" fillId="0" borderId="9" xfId="12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20" fontId="17" fillId="0" borderId="9" xfId="12" applyNumberFormat="1" applyFont="1" applyBorder="1" applyAlignment="1">
      <alignment horizontal="center" vertical="center"/>
    </xf>
    <xf numFmtId="0" fontId="17" fillId="0" borderId="55" xfId="11" applyFont="1" applyBorder="1" applyAlignment="1"/>
    <xf numFmtId="0" fontId="17" fillId="0" borderId="22" xfId="11" applyFont="1" applyBorder="1" applyAlignment="1"/>
    <xf numFmtId="184" fontId="6" fillId="0" borderId="17" xfId="2" applyNumberFormat="1" applyFont="1" applyBorder="1" applyAlignment="1">
      <alignment horizontal="center" vertical="center"/>
    </xf>
    <xf numFmtId="1" fontId="17" fillId="3" borderId="64" xfId="12" applyNumberFormat="1" applyFont="1" applyFill="1" applyBorder="1" applyAlignment="1">
      <alignment horizontal="center" vertical="center"/>
    </xf>
    <xf numFmtId="1" fontId="17" fillId="0" borderId="54" xfId="12" applyNumberFormat="1" applyFont="1" applyBorder="1" applyAlignment="1">
      <alignment horizontal="center" vertical="center"/>
    </xf>
    <xf numFmtId="179" fontId="17" fillId="0" borderId="65" xfId="12" applyNumberFormat="1" applyFont="1" applyBorder="1" applyAlignment="1">
      <alignment horizontal="center" vertical="center"/>
    </xf>
    <xf numFmtId="0" fontId="17" fillId="3" borderId="66" xfId="12" applyFont="1" applyFill="1" applyBorder="1" applyAlignment="1">
      <alignment horizontal="center" vertical="center"/>
    </xf>
    <xf numFmtId="20" fontId="6" fillId="0" borderId="17" xfId="8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0" fontId="6" fillId="0" borderId="17" xfId="12" applyFont="1" applyBorder="1" applyAlignment="1">
      <alignment horizontal="center" vertical="center" wrapText="1"/>
    </xf>
    <xf numFmtId="179" fontId="6" fillId="0" borderId="17" xfId="8" applyNumberFormat="1" applyFont="1" applyBorder="1" applyAlignment="1">
      <alignment horizontal="center" vertical="center"/>
    </xf>
    <xf numFmtId="180" fontId="6" fillId="0" borderId="17" xfId="19" applyNumberFormat="1" applyFont="1" applyBorder="1" applyAlignment="1">
      <alignment horizontal="center" vertical="center"/>
    </xf>
    <xf numFmtId="0" fontId="6" fillId="0" borderId="0" xfId="8" applyFont="1">
      <alignment vertical="center"/>
    </xf>
    <xf numFmtId="0" fontId="17" fillId="0" borderId="2" xfId="12" applyFont="1" applyBorder="1" applyAlignment="1">
      <alignment horizontal="center"/>
    </xf>
    <xf numFmtId="0" fontId="17" fillId="0" borderId="2" xfId="11" applyFont="1" applyBorder="1" applyAlignment="1"/>
    <xf numFmtId="184" fontId="6" fillId="0" borderId="1" xfId="2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1" fontId="6" fillId="3" borderId="1" xfId="8" applyNumberFormat="1" applyFont="1" applyFill="1" applyBorder="1" applyAlignment="1">
      <alignment horizontal="center" vertical="center"/>
    </xf>
    <xf numFmtId="1" fontId="6" fillId="0" borderId="1" xfId="8" applyNumberFormat="1" applyFont="1" applyBorder="1" applyAlignment="1">
      <alignment horizontal="center" vertical="center"/>
    </xf>
    <xf numFmtId="179" fontId="6" fillId="0" borderId="1" xfId="8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" xfId="12" applyFont="1" applyBorder="1" applyAlignment="1">
      <alignment horizontal="center" vertical="center" wrapText="1"/>
    </xf>
    <xf numFmtId="180" fontId="6" fillId="0" borderId="1" xfId="19" applyNumberFormat="1" applyFont="1" applyBorder="1" applyAlignment="1">
      <alignment horizontal="center" vertical="center"/>
    </xf>
    <xf numFmtId="0" fontId="17" fillId="0" borderId="72" xfId="11" applyFont="1" applyBorder="1" applyAlignment="1">
      <alignment horizontal="center"/>
    </xf>
    <xf numFmtId="20" fontId="6" fillId="0" borderId="1" xfId="4" applyNumberFormat="1" applyFont="1" applyBorder="1" applyAlignment="1">
      <alignment horizontal="center" vertical="center"/>
    </xf>
    <xf numFmtId="20" fontId="6" fillId="0" borderId="2" xfId="4" applyNumberFormat="1" applyFont="1" applyBorder="1" applyAlignment="1">
      <alignment horizontal="center" vertical="center"/>
    </xf>
    <xf numFmtId="20" fontId="6" fillId="0" borderId="1" xfId="8" applyNumberFormat="1" applyFont="1" applyBorder="1" applyAlignment="1">
      <alignment horizontal="center" vertical="center"/>
    </xf>
    <xf numFmtId="179" fontId="6" fillId="0" borderId="7" xfId="8" applyNumberFormat="1" applyFont="1" applyBorder="1" applyAlignment="1">
      <alignment horizontal="center" vertical="center"/>
    </xf>
    <xf numFmtId="179" fontId="6" fillId="0" borderId="2" xfId="8" applyNumberFormat="1" applyFont="1" applyBorder="1" applyAlignment="1">
      <alignment horizontal="center" vertical="center"/>
    </xf>
    <xf numFmtId="182" fontId="6" fillId="0" borderId="4" xfId="8" applyNumberFormat="1" applyFont="1" applyBorder="1" applyAlignment="1">
      <alignment horizontal="center" vertical="center"/>
    </xf>
    <xf numFmtId="0" fontId="17" fillId="0" borderId="74" xfId="12" applyFont="1" applyBorder="1" applyAlignment="1">
      <alignment horizontal="center" vertical="center"/>
    </xf>
    <xf numFmtId="43" fontId="6" fillId="0" borderId="1" xfId="14" applyFont="1" applyBorder="1" applyAlignment="1">
      <alignment horizontal="center" vertical="center"/>
    </xf>
    <xf numFmtId="181" fontId="6" fillId="0" borderId="11" xfId="8" applyNumberFormat="1" applyFont="1" applyBorder="1" applyAlignment="1">
      <alignment horizontal="center" vertical="center"/>
    </xf>
    <xf numFmtId="0" fontId="17" fillId="0" borderId="62" xfId="12" applyFont="1" applyBorder="1" applyAlignment="1">
      <alignment horizontal="center" vertical="center"/>
    </xf>
    <xf numFmtId="181" fontId="6" fillId="0" borderId="1" xfId="8" applyNumberFormat="1" applyFont="1" applyBorder="1" applyAlignment="1">
      <alignment horizontal="center" vertical="center"/>
    </xf>
    <xf numFmtId="0" fontId="17" fillId="0" borderId="76" xfId="12" applyFont="1" applyBorder="1" applyAlignment="1">
      <alignment horizontal="center"/>
    </xf>
    <xf numFmtId="184" fontId="17" fillId="11" borderId="50" xfId="12" applyNumberFormat="1" applyFont="1" applyFill="1" applyBorder="1" applyAlignment="1">
      <alignment horizontal="center" vertical="center"/>
    </xf>
    <xf numFmtId="182" fontId="17" fillId="0" borderId="77" xfId="12" applyNumberFormat="1" applyFont="1" applyBorder="1" applyAlignment="1">
      <alignment horizontal="center" vertical="center"/>
    </xf>
    <xf numFmtId="183" fontId="17" fillId="0" borderId="78" xfId="12" applyNumberFormat="1" applyFont="1" applyBorder="1" applyAlignment="1">
      <alignment horizontal="center" vertical="center"/>
    </xf>
    <xf numFmtId="180" fontId="17" fillId="0" borderId="78" xfId="20" applyNumberFormat="1" applyFont="1" applyFill="1" applyBorder="1" applyAlignment="1">
      <alignment horizontal="center" vertical="center"/>
    </xf>
    <xf numFmtId="181" fontId="17" fillId="0" borderId="78" xfId="12" applyNumberFormat="1" applyFont="1" applyBorder="1" applyAlignment="1">
      <alignment horizontal="center" vertical="center"/>
    </xf>
    <xf numFmtId="0" fontId="17" fillId="0" borderId="78" xfId="12" applyFont="1" applyBorder="1" applyAlignment="1">
      <alignment horizontal="center" vertical="center"/>
    </xf>
    <xf numFmtId="0" fontId="6" fillId="0" borderId="50" xfId="12" applyFont="1" applyBorder="1" applyAlignment="1">
      <alignment horizontal="center" vertical="center" wrapText="1"/>
    </xf>
    <xf numFmtId="20" fontId="17" fillId="0" borderId="78" xfId="12" applyNumberFormat="1" applyFont="1" applyBorder="1" applyAlignment="1">
      <alignment horizontal="center" vertical="center"/>
    </xf>
    <xf numFmtId="1" fontId="6" fillId="0" borderId="17" xfId="8" applyNumberFormat="1" applyFont="1" applyBorder="1" applyAlignment="1">
      <alignment horizontal="center" vertical="center"/>
    </xf>
    <xf numFmtId="182" fontId="17" fillId="0" borderId="49" xfId="12" applyNumberFormat="1" applyFont="1" applyBorder="1" applyAlignment="1">
      <alignment horizontal="center" vertical="center"/>
    </xf>
    <xf numFmtId="183" fontId="17" fillId="0" borderId="21" xfId="12" applyNumberFormat="1" applyFont="1" applyBorder="1" applyAlignment="1">
      <alignment horizontal="center" vertical="center"/>
    </xf>
    <xf numFmtId="43" fontId="17" fillId="0" borderId="34" xfId="14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/>
    </xf>
    <xf numFmtId="0" fontId="17" fillId="3" borderId="60" xfId="12" applyFont="1" applyFill="1" applyBorder="1" applyAlignment="1">
      <alignment horizontal="center" vertical="center"/>
    </xf>
    <xf numFmtId="1" fontId="17" fillId="0" borderId="34" xfId="12" applyNumberFormat="1" applyFont="1" applyBorder="1" applyAlignment="1">
      <alignment horizontal="center" vertical="center"/>
    </xf>
    <xf numFmtId="179" fontId="17" fillId="0" borderId="34" xfId="12" applyNumberFormat="1" applyFont="1" applyBorder="1" applyAlignment="1">
      <alignment horizontal="center" vertical="center"/>
    </xf>
    <xf numFmtId="0" fontId="17" fillId="6" borderId="13" xfId="12" applyFont="1" applyFill="1" applyBorder="1" applyAlignment="1">
      <alignment horizontal="center" vertical="center" wrapText="1"/>
    </xf>
    <xf numFmtId="0" fontId="17" fillId="6" borderId="13" xfId="12" applyFont="1" applyFill="1" applyBorder="1" applyAlignment="1">
      <alignment horizontal="center" vertical="center"/>
    </xf>
    <xf numFmtId="179" fontId="17" fillId="0" borderId="14" xfId="12" applyNumberFormat="1" applyFont="1" applyBorder="1" applyAlignment="1">
      <alignment horizontal="center" vertical="center"/>
    </xf>
    <xf numFmtId="0" fontId="17" fillId="0" borderId="44" xfId="12" applyFont="1" applyBorder="1" applyAlignment="1">
      <alignment horizontal="center"/>
    </xf>
    <xf numFmtId="1" fontId="17" fillId="11" borderId="78" xfId="12" applyNumberFormat="1" applyFont="1" applyFill="1" applyBorder="1" applyAlignment="1">
      <alignment horizontal="center" vertical="center"/>
    </xf>
    <xf numFmtId="181" fontId="6" fillId="0" borderId="83" xfId="8" applyNumberFormat="1" applyFont="1" applyBorder="1" applyAlignment="1">
      <alignment horizontal="center" vertical="center"/>
    </xf>
    <xf numFmtId="1" fontId="17" fillId="0" borderId="44" xfId="12" applyNumberFormat="1" applyFont="1" applyBorder="1" applyAlignment="1">
      <alignment horizontal="center" vertical="center"/>
    </xf>
    <xf numFmtId="43" fontId="17" fillId="0" borderId="21" xfId="14" applyFont="1" applyBorder="1" applyAlignment="1">
      <alignment horizontal="center" vertical="center"/>
    </xf>
    <xf numFmtId="0" fontId="17" fillId="3" borderId="21" xfId="12" applyFont="1" applyFill="1" applyBorder="1" applyAlignment="1">
      <alignment horizontal="center" vertical="center"/>
    </xf>
    <xf numFmtId="20" fontId="17" fillId="0" borderId="21" xfId="12" applyNumberFormat="1" applyFont="1" applyBorder="1" applyAlignment="1">
      <alignment horizontal="center" vertical="center"/>
    </xf>
    <xf numFmtId="180" fontId="17" fillId="0" borderId="54" xfId="20" applyNumberFormat="1" applyFont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0" fontId="17" fillId="0" borderId="34" xfId="12" applyFont="1" applyBorder="1" applyAlignment="1">
      <alignment horizontal="center" vertical="center" wrapText="1"/>
    </xf>
    <xf numFmtId="180" fontId="17" fillId="0" borderId="12" xfId="20" applyNumberFormat="1" applyFont="1" applyBorder="1" applyAlignment="1">
      <alignment horizontal="center" vertical="center"/>
    </xf>
    <xf numFmtId="0" fontId="17" fillId="0" borderId="9" xfId="11" applyFont="1" applyBorder="1" applyAlignment="1">
      <alignment horizontal="center"/>
    </xf>
    <xf numFmtId="0" fontId="17" fillId="0" borderId="40" xfId="12" applyFont="1" applyBorder="1" applyAlignment="1">
      <alignment horizontal="center"/>
    </xf>
    <xf numFmtId="0" fontId="17" fillId="0" borderId="37" xfId="11" applyFont="1" applyBorder="1" applyAlignment="1"/>
    <xf numFmtId="0" fontId="17" fillId="0" borderId="40" xfId="11" applyFont="1" applyBorder="1" applyAlignment="1"/>
    <xf numFmtId="43" fontId="17" fillId="0" borderId="14" xfId="14" applyFont="1" applyBorder="1" applyAlignment="1">
      <alignment horizontal="center" vertical="center"/>
    </xf>
    <xf numFmtId="183" fontId="17" fillId="0" borderId="14" xfId="12" applyNumberFormat="1" applyFont="1" applyBorder="1" applyAlignment="1">
      <alignment horizontal="center" vertical="center"/>
    </xf>
    <xf numFmtId="0" fontId="17" fillId="0" borderId="87" xfId="12" applyFont="1" applyBorder="1" applyAlignment="1">
      <alignment horizontal="center" vertical="center" wrapText="1"/>
    </xf>
    <xf numFmtId="0" fontId="17" fillId="0" borderId="88" xfId="11" applyFont="1" applyBorder="1" applyAlignment="1"/>
    <xf numFmtId="0" fontId="17" fillId="0" borderId="89" xfId="11" applyFont="1" applyBorder="1" applyAlignment="1">
      <alignment horizontal="center"/>
    </xf>
    <xf numFmtId="0" fontId="17" fillId="0" borderId="73" xfId="11" applyFont="1" applyBorder="1" applyAlignment="1"/>
    <xf numFmtId="0" fontId="17" fillId="0" borderId="31" xfId="12" applyFont="1" applyBorder="1" applyAlignment="1">
      <alignment horizontal="center" vertical="center"/>
    </xf>
    <xf numFmtId="20" fontId="17" fillId="0" borderId="13" xfId="11" applyNumberFormat="1" applyFont="1" applyBorder="1" applyAlignment="1">
      <alignment horizontal="center" vertical="center"/>
    </xf>
    <xf numFmtId="180" fontId="17" fillId="0" borderId="27" xfId="20" applyNumberFormat="1" applyFont="1" applyBorder="1" applyAlignment="1">
      <alignment horizontal="center" vertical="center"/>
    </xf>
    <xf numFmtId="181" fontId="17" fillId="0" borderId="13" xfId="12" applyNumberFormat="1" applyFont="1" applyBorder="1" applyAlignment="1">
      <alignment horizontal="center" vertical="center"/>
    </xf>
    <xf numFmtId="0" fontId="17" fillId="0" borderId="3" xfId="12" applyFont="1" applyBorder="1" applyAlignment="1">
      <alignment horizontal="center" vertical="center"/>
    </xf>
    <xf numFmtId="1" fontId="17" fillId="0" borderId="90" xfId="12" applyNumberFormat="1" applyFont="1" applyBorder="1" applyAlignment="1">
      <alignment horizontal="center" vertical="center"/>
    </xf>
    <xf numFmtId="179" fontId="17" fillId="0" borderId="91" xfId="12" applyNumberFormat="1" applyFont="1" applyBorder="1" applyAlignment="1">
      <alignment horizontal="center" vertical="center"/>
    </xf>
    <xf numFmtId="0" fontId="17" fillId="11" borderId="78" xfId="12" applyFont="1" applyFill="1" applyBorder="1" applyAlignment="1">
      <alignment horizontal="center" vertical="center"/>
    </xf>
    <xf numFmtId="179" fontId="17" fillId="11" borderId="78" xfId="12" applyNumberFormat="1" applyFont="1" applyFill="1" applyBorder="1" applyAlignment="1">
      <alignment horizontal="center" vertical="center"/>
    </xf>
    <xf numFmtId="182" fontId="17" fillId="0" borderId="78" xfId="12" applyNumberFormat="1" applyFont="1" applyBorder="1" applyAlignment="1">
      <alignment horizontal="center" vertical="center"/>
    </xf>
    <xf numFmtId="20" fontId="17" fillId="0" borderId="54" xfId="12" applyNumberFormat="1" applyFont="1" applyBorder="1" applyAlignment="1">
      <alignment horizontal="center" vertical="center"/>
    </xf>
    <xf numFmtId="20" fontId="17" fillId="0" borderId="85" xfId="12" applyNumberFormat="1" applyFont="1" applyBorder="1" applyAlignment="1">
      <alignment horizontal="center" vertical="center"/>
    </xf>
    <xf numFmtId="20" fontId="17" fillId="0" borderId="34" xfId="12" applyNumberFormat="1" applyFont="1" applyBorder="1" applyAlignment="1">
      <alignment horizontal="center" vertical="center"/>
    </xf>
    <xf numFmtId="184" fontId="17" fillId="0" borderId="9" xfId="12" applyNumberFormat="1" applyFont="1" applyBorder="1" applyAlignment="1">
      <alignment horizontal="center" vertical="center"/>
    </xf>
    <xf numFmtId="1" fontId="17" fillId="3" borderId="27" xfId="12" applyNumberFormat="1" applyFont="1" applyFill="1" applyBorder="1" applyAlignment="1">
      <alignment horizontal="center" vertical="center"/>
    </xf>
    <xf numFmtId="1" fontId="17" fillId="3" borderId="9" xfId="12" applyNumberFormat="1" applyFont="1" applyFill="1" applyBorder="1" applyAlignment="1">
      <alignment horizontal="center" vertical="center"/>
    </xf>
    <xf numFmtId="1" fontId="17" fillId="0" borderId="9" xfId="12" applyNumberFormat="1" applyFont="1" applyBorder="1" applyAlignment="1">
      <alignment horizontal="center" vertical="center"/>
    </xf>
    <xf numFmtId="179" fontId="17" fillId="0" borderId="9" xfId="12" applyNumberFormat="1" applyFont="1" applyBorder="1" applyAlignment="1">
      <alignment horizontal="center" vertical="center"/>
    </xf>
    <xf numFmtId="180" fontId="17" fillId="0" borderId="39" xfId="20" applyNumberFormat="1" applyFont="1" applyBorder="1" applyAlignment="1">
      <alignment horizontal="center" vertical="center"/>
    </xf>
    <xf numFmtId="20" fontId="17" fillId="0" borderId="87" xfId="12" applyNumberFormat="1" applyFont="1" applyBorder="1" applyAlignment="1">
      <alignment horizontal="center" vertical="center"/>
    </xf>
    <xf numFmtId="180" fontId="17" fillId="0" borderId="94" xfId="20" applyNumberFormat="1" applyFont="1" applyBorder="1" applyAlignment="1">
      <alignment horizontal="center" vertical="center"/>
    </xf>
    <xf numFmtId="20" fontId="17" fillId="0" borderId="14" xfId="11" applyNumberFormat="1" applyFont="1" applyBorder="1" applyAlignment="1">
      <alignment horizontal="center" vertical="center"/>
    </xf>
    <xf numFmtId="43" fontId="17" fillId="11" borderId="78" xfId="14" applyFont="1" applyFill="1" applyBorder="1" applyAlignment="1">
      <alignment horizontal="center" vertical="center"/>
    </xf>
    <xf numFmtId="0" fontId="17" fillId="0" borderId="0" xfId="12" applyFont="1" applyAlignment="1">
      <alignment vertical="center" wrapText="1"/>
    </xf>
    <xf numFmtId="0" fontId="17" fillId="0" borderId="1" xfId="12" applyFont="1" applyBorder="1">
      <alignment vertical="center"/>
    </xf>
    <xf numFmtId="0" fontId="17" fillId="0" borderId="0" xfId="11" applyFont="1" applyAlignment="1">
      <alignment horizontal="center"/>
    </xf>
    <xf numFmtId="0" fontId="17" fillId="0" borderId="0" xfId="2" applyFont="1" applyAlignment="1">
      <alignment horizontal="center" vertical="center"/>
    </xf>
    <xf numFmtId="0" fontId="6" fillId="0" borderId="0" xfId="8" applyFont="1" applyAlignment="1">
      <alignment horizontal="center"/>
    </xf>
    <xf numFmtId="20" fontId="17" fillId="0" borderId="58" xfId="12" applyNumberFormat="1" applyFont="1" applyBorder="1" applyAlignment="1">
      <alignment horizontal="center" vertical="center"/>
    </xf>
    <xf numFmtId="20" fontId="17" fillId="0" borderId="41" xfId="12" applyNumberFormat="1" applyFont="1" applyBorder="1" applyAlignment="1">
      <alignment horizontal="center" vertical="center"/>
    </xf>
    <xf numFmtId="0" fontId="17" fillId="0" borderId="48" xfId="12" applyFont="1" applyBorder="1" applyAlignment="1">
      <alignment horizontal="center" vertical="center"/>
    </xf>
    <xf numFmtId="20" fontId="17" fillId="0" borderId="27" xfId="11" applyNumberFormat="1" applyFont="1" applyBorder="1" applyAlignment="1">
      <alignment horizontal="center" vertical="center"/>
    </xf>
    <xf numFmtId="20" fontId="17" fillId="0" borderId="55" xfId="12" applyNumberFormat="1" applyFont="1" applyBorder="1" applyAlignment="1">
      <alignment horizontal="center" vertical="center"/>
    </xf>
    <xf numFmtId="20" fontId="17" fillId="0" borderId="70" xfId="12" applyNumberFormat="1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 wrapText="1"/>
    </xf>
    <xf numFmtId="179" fontId="17" fillId="0" borderId="76" xfId="12" applyNumberFormat="1" applyFont="1" applyBorder="1" applyAlignment="1">
      <alignment horizontal="center" vertical="center"/>
    </xf>
    <xf numFmtId="179" fontId="17" fillId="0" borderId="67" xfId="12" applyNumberFormat="1" applyFont="1" applyBorder="1" applyAlignment="1">
      <alignment horizontal="center" vertical="center"/>
    </xf>
    <xf numFmtId="20" fontId="17" fillId="0" borderId="2" xfId="12" applyNumberFormat="1" applyFont="1" applyBorder="1" applyAlignment="1">
      <alignment horizontal="center" vertical="center"/>
    </xf>
    <xf numFmtId="0" fontId="17" fillId="0" borderId="2" xfId="12" applyFont="1" applyBorder="1" applyAlignment="1">
      <alignment horizontal="center" vertical="center"/>
    </xf>
    <xf numFmtId="179" fontId="17" fillId="0" borderId="99" xfId="12" applyNumberFormat="1" applyFont="1" applyBorder="1" applyAlignment="1">
      <alignment horizontal="center" vertical="center"/>
    </xf>
    <xf numFmtId="0" fontId="17" fillId="0" borderId="67" xfId="12" applyFont="1" applyBorder="1" applyAlignment="1">
      <alignment horizontal="center" vertical="center"/>
    </xf>
    <xf numFmtId="20" fontId="17" fillId="0" borderId="2" xfId="11" applyNumberFormat="1" applyFont="1" applyBorder="1" applyAlignment="1">
      <alignment horizontal="center" vertical="center"/>
    </xf>
    <xf numFmtId="179" fontId="6" fillId="0" borderId="100" xfId="8" applyNumberFormat="1" applyFont="1" applyBorder="1" applyAlignment="1">
      <alignment horizontal="center" vertical="center"/>
    </xf>
    <xf numFmtId="20" fontId="17" fillId="0" borderId="101" xfId="12" applyNumberFormat="1" applyFont="1" applyBorder="1" applyAlignment="1">
      <alignment horizontal="center" vertical="center"/>
    </xf>
    <xf numFmtId="20" fontId="17" fillId="0" borderId="37" xfId="12" applyNumberFormat="1" applyFont="1" applyBorder="1" applyAlignment="1">
      <alignment horizontal="center" vertical="center"/>
    </xf>
    <xf numFmtId="179" fontId="17" fillId="0" borderId="58" xfId="12" applyNumberFormat="1" applyFont="1" applyBorder="1" applyAlignment="1">
      <alignment horizontal="center" vertical="center"/>
    </xf>
    <xf numFmtId="20" fontId="17" fillId="0" borderId="41" xfId="11" applyNumberFormat="1" applyFont="1" applyBorder="1" applyAlignment="1">
      <alignment horizontal="center" vertical="center"/>
    </xf>
    <xf numFmtId="182" fontId="17" fillId="0" borderId="30" xfId="12" applyNumberFormat="1" applyFont="1" applyBorder="1" applyAlignment="1">
      <alignment horizontal="center" vertical="center"/>
    </xf>
    <xf numFmtId="182" fontId="17" fillId="0" borderId="39" xfId="12" applyNumberFormat="1" applyFont="1" applyBorder="1" applyAlignment="1">
      <alignment horizontal="center" vertical="center"/>
    </xf>
    <xf numFmtId="182" fontId="17" fillId="0" borderId="43" xfId="12" applyNumberFormat="1" applyFont="1" applyBorder="1" applyAlignment="1">
      <alignment horizontal="center" vertical="center"/>
    </xf>
    <xf numFmtId="182" fontId="17" fillId="0" borderId="46" xfId="12" applyNumberFormat="1" applyFont="1" applyBorder="1" applyAlignment="1">
      <alignment horizontal="center" vertical="center"/>
    </xf>
    <xf numFmtId="182" fontId="17" fillId="0" borderId="3" xfId="12" applyNumberFormat="1" applyFont="1" applyBorder="1" applyAlignment="1">
      <alignment horizontal="center" vertical="center"/>
    </xf>
    <xf numFmtId="182" fontId="17" fillId="0" borderId="96" xfId="12" applyNumberFormat="1" applyFont="1" applyBorder="1" applyAlignment="1">
      <alignment horizontal="center" vertical="center"/>
    </xf>
    <xf numFmtId="182" fontId="6" fillId="0" borderId="102" xfId="8" applyNumberFormat="1" applyFont="1" applyBorder="1" applyAlignment="1">
      <alignment horizontal="center" vertical="center"/>
    </xf>
    <xf numFmtId="182" fontId="6" fillId="0" borderId="3" xfId="8" applyNumberFormat="1" applyFont="1" applyBorder="1" applyAlignment="1">
      <alignment horizontal="center" vertical="center"/>
    </xf>
    <xf numFmtId="182" fontId="17" fillId="0" borderId="103" xfId="12" applyNumberFormat="1" applyFont="1" applyBorder="1" applyAlignment="1">
      <alignment horizontal="center" vertical="center"/>
    </xf>
    <xf numFmtId="182" fontId="17" fillId="0" borderId="97" xfId="12" applyNumberFormat="1" applyFont="1" applyBorder="1" applyAlignment="1">
      <alignment horizontal="center" vertical="center"/>
    </xf>
    <xf numFmtId="182" fontId="17" fillId="0" borderId="60" xfId="12" applyNumberFormat="1" applyFont="1" applyBorder="1" applyAlignment="1">
      <alignment horizontal="center" vertical="center"/>
    </xf>
    <xf numFmtId="182" fontId="17" fillId="0" borderId="104" xfId="12" applyNumberFormat="1" applyFont="1" applyBorder="1" applyAlignment="1">
      <alignment horizontal="center" vertical="center"/>
    </xf>
    <xf numFmtId="20" fontId="6" fillId="6" borderId="105" xfId="8" applyNumberFormat="1" applyFont="1" applyFill="1" applyBorder="1" applyAlignment="1">
      <alignment horizontal="center" vertical="center"/>
    </xf>
    <xf numFmtId="20" fontId="6" fillId="6" borderId="98" xfId="8" applyNumberFormat="1" applyFont="1" applyFill="1" applyBorder="1" applyAlignment="1">
      <alignment horizontal="center" vertical="center"/>
    </xf>
    <xf numFmtId="20" fontId="17" fillId="0" borderId="50" xfId="12" applyNumberFormat="1" applyFont="1" applyBorder="1" applyAlignment="1">
      <alignment horizontal="center" vertical="center"/>
    </xf>
    <xf numFmtId="20" fontId="17" fillId="0" borderId="99" xfId="12" applyNumberFormat="1" applyFont="1" applyBorder="1" applyAlignment="1">
      <alignment horizontal="center" vertical="center"/>
    </xf>
    <xf numFmtId="0" fontId="17" fillId="8" borderId="50" xfId="12" applyFont="1" applyFill="1" applyBorder="1" applyAlignment="1">
      <alignment horizontal="center" vertical="center"/>
    </xf>
    <xf numFmtId="9" fontId="17" fillId="8" borderId="50" xfId="17" applyFont="1" applyFill="1" applyBorder="1" applyAlignment="1">
      <alignment horizontal="center" vertical="center"/>
    </xf>
    <xf numFmtId="0" fontId="20" fillId="0" borderId="72" xfId="12" applyFont="1" applyBorder="1" applyAlignment="1">
      <alignment horizontal="center" vertical="center" wrapText="1"/>
    </xf>
    <xf numFmtId="0" fontId="20" fillId="0" borderId="15" xfId="12" applyFont="1" applyBorder="1" applyAlignment="1">
      <alignment horizontal="center" vertical="center"/>
    </xf>
    <xf numFmtId="20" fontId="17" fillId="0" borderId="10" xfId="2" applyNumberFormat="1" applyFont="1" applyBorder="1" applyAlignment="1">
      <alignment horizontal="center" vertical="center"/>
    </xf>
    <xf numFmtId="20" fontId="6" fillId="0" borderId="10" xfId="8" applyNumberFormat="1" applyFont="1" applyBorder="1" applyAlignment="1">
      <alignment horizontal="center" vertical="center"/>
    </xf>
    <xf numFmtId="20" fontId="6" fillId="6" borderId="10" xfId="8" applyNumberFormat="1" applyFont="1" applyFill="1" applyBorder="1" applyAlignment="1">
      <alignment horizontal="center" vertical="center"/>
    </xf>
    <xf numFmtId="0" fontId="15" fillId="14" borderId="1" xfId="6" applyFont="1" applyFill="1" applyBorder="1" applyAlignment="1">
      <alignment horizontal="center" vertical="center"/>
    </xf>
    <xf numFmtId="20" fontId="17" fillId="14" borderId="1" xfId="2" applyNumberFormat="1" applyFont="1" applyFill="1" applyBorder="1" applyAlignment="1">
      <alignment horizontal="center" vertical="center"/>
    </xf>
    <xf numFmtId="20" fontId="17" fillId="14" borderId="1" xfId="12" applyNumberFormat="1" applyFont="1" applyFill="1" applyBorder="1" applyAlignment="1">
      <alignment horizontal="center" vertical="center"/>
    </xf>
    <xf numFmtId="20" fontId="6" fillId="14" borderId="1" xfId="8" applyNumberFormat="1" applyFont="1" applyFill="1" applyBorder="1" applyAlignment="1">
      <alignment horizontal="center" vertical="center"/>
    </xf>
    <xf numFmtId="184" fontId="17" fillId="8" borderId="50" xfId="12" applyNumberFormat="1" applyFont="1" applyFill="1" applyBorder="1" applyAlignment="1">
      <alignment horizontal="center" vertical="center"/>
    </xf>
    <xf numFmtId="184" fontId="17" fillId="0" borderId="1" xfId="11" applyNumberFormat="1" applyFont="1" applyBorder="1" applyAlignment="1">
      <alignment horizontal="center" vertical="center"/>
    </xf>
    <xf numFmtId="184" fontId="6" fillId="0" borderId="17" xfId="8" applyNumberFormat="1" applyFont="1" applyBorder="1" applyAlignment="1">
      <alignment horizontal="center" vertical="center"/>
    </xf>
    <xf numFmtId="184" fontId="6" fillId="0" borderId="1" xfId="4" applyNumberFormat="1" applyFont="1" applyBorder="1" applyAlignment="1">
      <alignment horizontal="center" vertical="center"/>
    </xf>
    <xf numFmtId="184" fontId="6" fillId="0" borderId="1" xfId="8" applyNumberFormat="1" applyFont="1" applyBorder="1" applyAlignment="1">
      <alignment horizontal="center" vertical="center"/>
    </xf>
    <xf numFmtId="184" fontId="21" fillId="0" borderId="14" xfId="12" applyNumberFormat="1" applyFont="1" applyBorder="1" applyAlignment="1">
      <alignment horizontal="center" vertical="center"/>
    </xf>
    <xf numFmtId="182" fontId="21" fillId="0" borderId="14" xfId="12" applyNumberFormat="1" applyFont="1" applyBorder="1" applyAlignment="1">
      <alignment horizontal="center" vertical="center"/>
    </xf>
    <xf numFmtId="0" fontId="6" fillId="0" borderId="14" xfId="12" applyFont="1" applyBorder="1" applyAlignment="1">
      <alignment horizontal="center" vertical="center"/>
    </xf>
    <xf numFmtId="0" fontId="6" fillId="8" borderId="14" xfId="12" applyFont="1" applyFill="1" applyBorder="1" applyAlignment="1">
      <alignment horizontal="center" vertical="center"/>
    </xf>
    <xf numFmtId="0" fontId="6" fillId="0" borderId="41" xfId="12" applyFont="1" applyBorder="1" applyAlignment="1">
      <alignment horizontal="center" vertical="center"/>
    </xf>
    <xf numFmtId="0" fontId="28" fillId="8" borderId="9" xfId="6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29" fillId="0" borderId="0" xfId="1" applyFont="1" applyAlignment="1">
      <alignment horizontal="center" vertical="center"/>
    </xf>
    <xf numFmtId="0" fontId="30" fillId="0" borderId="0" xfId="1" applyFont="1">
      <alignment vertical="center"/>
    </xf>
    <xf numFmtId="0" fontId="6" fillId="0" borderId="1" xfId="9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84" fontId="17" fillId="14" borderId="1" xfId="2" applyNumberFormat="1" applyFont="1" applyFill="1" applyBorder="1" applyAlignment="1">
      <alignment horizontal="center" vertical="center"/>
    </xf>
    <xf numFmtId="184" fontId="17" fillId="14" borderId="1" xfId="12" applyNumberFormat="1" applyFont="1" applyFill="1" applyBorder="1" applyAlignment="1">
      <alignment horizontal="center" vertical="center"/>
    </xf>
    <xf numFmtId="184" fontId="6" fillId="14" borderId="1" xfId="8" applyNumberFormat="1" applyFont="1" applyFill="1" applyBorder="1" applyAlignment="1">
      <alignment horizontal="center" vertical="center"/>
    </xf>
    <xf numFmtId="43" fontId="17" fillId="0" borderId="61" xfId="14" applyFont="1" applyBorder="1" applyAlignment="1">
      <alignment horizontal="center" vertical="center"/>
    </xf>
    <xf numFmtId="1" fontId="17" fillId="3" borderId="34" xfId="12" applyNumberFormat="1" applyFont="1" applyFill="1" applyBorder="1" applyAlignment="1">
      <alignment horizontal="center" vertical="center"/>
    </xf>
    <xf numFmtId="0" fontId="17" fillId="3" borderId="34" xfId="12" applyFont="1" applyFill="1" applyBorder="1" applyAlignment="1">
      <alignment horizontal="center" vertical="center"/>
    </xf>
    <xf numFmtId="182" fontId="17" fillId="0" borderId="34" xfId="12" applyNumberFormat="1" applyFont="1" applyBorder="1" applyAlignment="1">
      <alignment horizontal="center" vertical="center"/>
    </xf>
    <xf numFmtId="183" fontId="17" fillId="0" borderId="34" xfId="12" applyNumberFormat="1" applyFont="1" applyBorder="1" applyAlignment="1">
      <alignment horizontal="center" vertical="center"/>
    </xf>
    <xf numFmtId="0" fontId="17" fillId="0" borderId="20" xfId="11" applyFont="1" applyBorder="1" applyAlignment="1">
      <alignment horizontal="center"/>
    </xf>
    <xf numFmtId="0" fontId="17" fillId="0" borderId="20" xfId="12" applyFont="1" applyBorder="1" applyAlignment="1">
      <alignment horizontal="center" vertical="center"/>
    </xf>
    <xf numFmtId="20" fontId="17" fillId="0" borderId="0" xfId="12" applyNumberFormat="1" applyFont="1">
      <alignment vertical="center"/>
    </xf>
    <xf numFmtId="0" fontId="21" fillId="0" borderId="13" xfId="12" applyFont="1" applyBorder="1" applyAlignment="1">
      <alignment horizontal="center" vertical="center"/>
    </xf>
    <xf numFmtId="0" fontId="21" fillId="0" borderId="14" xfId="12" applyFont="1" applyBorder="1" applyAlignment="1">
      <alignment horizontal="center" vertical="center"/>
    </xf>
    <xf numFmtId="0" fontId="19" fillId="0" borderId="13" xfId="12" applyFont="1" applyBorder="1" applyAlignment="1">
      <alignment horizontal="center" vertical="center"/>
    </xf>
    <xf numFmtId="0" fontId="6" fillId="8" borderId="13" xfId="12" applyFont="1" applyFill="1" applyBorder="1" applyAlignment="1">
      <alignment horizontal="center" vertical="center"/>
    </xf>
    <xf numFmtId="0" fontId="6" fillId="8" borderId="14" xfId="12" applyFont="1" applyFill="1" applyBorder="1" applyAlignment="1">
      <alignment horizontal="center" vertical="center"/>
    </xf>
    <xf numFmtId="14" fontId="19" fillId="0" borderId="13" xfId="12" applyNumberFormat="1" applyFont="1" applyBorder="1" applyAlignment="1">
      <alignment horizontal="left" vertical="center"/>
    </xf>
    <xf numFmtId="0" fontId="17" fillId="0" borderId="13" xfId="12" applyFont="1" applyBorder="1" applyAlignment="1">
      <alignment horizontal="center" vertical="center"/>
    </xf>
    <xf numFmtId="0" fontId="17" fillId="0" borderId="14" xfId="12" applyFont="1" applyBorder="1" applyAlignment="1">
      <alignment horizontal="center" vertical="center"/>
    </xf>
    <xf numFmtId="0" fontId="6" fillId="0" borderId="14" xfId="12" applyFont="1" applyBorder="1" applyAlignment="1">
      <alignment horizontal="center" vertical="center"/>
    </xf>
    <xf numFmtId="0" fontId="6" fillId="0" borderId="15" xfId="12" applyFont="1" applyBorder="1" applyAlignment="1">
      <alignment horizontal="center" vertical="center"/>
    </xf>
    <xf numFmtId="0" fontId="6" fillId="10" borderId="13" xfId="12" applyFont="1" applyFill="1" applyBorder="1" applyAlignment="1">
      <alignment horizontal="center" vertical="center" wrapText="1"/>
    </xf>
    <xf numFmtId="0" fontId="6" fillId="10" borderId="14" xfId="12" applyFont="1" applyFill="1" applyBorder="1" applyAlignment="1">
      <alignment horizontal="center" vertical="center" wrapText="1"/>
    </xf>
    <xf numFmtId="0" fontId="6" fillId="0" borderId="13" xfId="12" applyFont="1" applyBorder="1" applyAlignment="1">
      <alignment horizontal="center" vertical="center" wrapText="1"/>
    </xf>
    <xf numFmtId="0" fontId="6" fillId="0" borderId="14" xfId="12" applyFont="1" applyBorder="1" applyAlignment="1">
      <alignment horizontal="center" vertical="center" wrapText="1"/>
    </xf>
    <xf numFmtId="0" fontId="6" fillId="3" borderId="13" xfId="12" applyFont="1" applyFill="1" applyBorder="1" applyAlignment="1">
      <alignment horizontal="center" vertical="center"/>
    </xf>
    <xf numFmtId="0" fontId="6" fillId="3" borderId="14" xfId="12" applyFont="1" applyFill="1" applyBorder="1" applyAlignment="1">
      <alignment horizontal="center" vertical="center"/>
    </xf>
    <xf numFmtId="0" fontId="6" fillId="9" borderId="13" xfId="12" applyFont="1" applyFill="1" applyBorder="1" applyAlignment="1">
      <alignment horizontal="center" vertical="center"/>
    </xf>
    <xf numFmtId="0" fontId="6" fillId="9" borderId="14" xfId="12" applyFont="1" applyFill="1" applyBorder="1" applyAlignment="1">
      <alignment horizontal="center" vertical="center"/>
    </xf>
    <xf numFmtId="0" fontId="6" fillId="4" borderId="13" xfId="12" applyFont="1" applyFill="1" applyBorder="1" applyAlignment="1">
      <alignment horizontal="center" vertical="center"/>
    </xf>
    <xf numFmtId="0" fontId="6" fillId="4" borderId="14" xfId="12" applyFont="1" applyFill="1" applyBorder="1" applyAlignment="1">
      <alignment horizontal="center" vertical="center"/>
    </xf>
    <xf numFmtId="0" fontId="6" fillId="5" borderId="13" xfId="12" applyFont="1" applyFill="1" applyBorder="1" applyAlignment="1">
      <alignment horizontal="center" vertical="center"/>
    </xf>
    <xf numFmtId="0" fontId="6" fillId="5" borderId="14" xfId="12" applyFont="1" applyFill="1" applyBorder="1" applyAlignment="1">
      <alignment horizontal="center" vertical="center"/>
    </xf>
    <xf numFmtId="0" fontId="6" fillId="8" borderId="13" xfId="12" applyFont="1" applyFill="1" applyBorder="1" applyAlignment="1">
      <alignment horizontal="center" vertical="center" wrapText="1"/>
    </xf>
    <xf numFmtId="0" fontId="6" fillId="8" borderId="27" xfId="12" applyFont="1" applyFill="1" applyBorder="1" applyAlignment="1">
      <alignment horizontal="center" vertical="center"/>
    </xf>
    <xf numFmtId="0" fontId="28" fillId="8" borderId="1" xfId="6" applyFont="1" applyFill="1" applyBorder="1" applyAlignment="1">
      <alignment horizontal="center" vertical="center" wrapText="1"/>
    </xf>
    <xf numFmtId="0" fontId="23" fillId="8" borderId="1" xfId="6" applyFont="1" applyFill="1" applyBorder="1" applyAlignment="1">
      <alignment horizontal="center" vertical="center"/>
    </xf>
    <xf numFmtId="0" fontId="17" fillId="0" borderId="1" xfId="12" applyFont="1" applyBorder="1" applyAlignment="1">
      <alignment horizontal="center" vertical="center"/>
    </xf>
    <xf numFmtId="0" fontId="17" fillId="9" borderId="30" xfId="12" applyFont="1" applyFill="1" applyBorder="1" applyAlignment="1">
      <alignment horizontal="center" vertical="center"/>
    </xf>
    <xf numFmtId="0" fontId="17" fillId="9" borderId="39" xfId="12" applyFont="1" applyFill="1" applyBorder="1" applyAlignment="1">
      <alignment horizontal="center" vertical="center"/>
    </xf>
    <xf numFmtId="0" fontId="17" fillId="5" borderId="13" xfId="12" applyFont="1" applyFill="1" applyBorder="1" applyAlignment="1">
      <alignment horizontal="center" vertical="center"/>
    </xf>
    <xf numFmtId="0" fontId="17" fillId="5" borderId="14" xfId="12" applyFont="1" applyFill="1" applyBorder="1" applyAlignment="1">
      <alignment horizontal="center" vertical="center"/>
    </xf>
    <xf numFmtId="0" fontId="17" fillId="10" borderId="13" xfId="12" applyFont="1" applyFill="1" applyBorder="1" applyAlignment="1">
      <alignment horizontal="center" vertical="center" wrapText="1"/>
    </xf>
    <xf numFmtId="0" fontId="17" fillId="10" borderId="14" xfId="12" applyFont="1" applyFill="1" applyBorder="1" applyAlignment="1">
      <alignment horizontal="center" vertical="center" wrapText="1"/>
    </xf>
    <xf numFmtId="0" fontId="17" fillId="0" borderId="17" xfId="12" applyFont="1" applyBorder="1" applyAlignment="1">
      <alignment horizontal="center" vertical="center"/>
    </xf>
    <xf numFmtId="180" fontId="17" fillId="0" borderId="23" xfId="20" applyNumberFormat="1" applyFont="1" applyBorder="1" applyAlignment="1">
      <alignment horizontal="center" vertical="center"/>
    </xf>
    <xf numFmtId="180" fontId="17" fillId="0" borderId="32" xfId="20" applyNumberFormat="1" applyFont="1" applyBorder="1" applyAlignment="1">
      <alignment horizontal="center" vertical="center"/>
    </xf>
    <xf numFmtId="180" fontId="17" fillId="0" borderId="36" xfId="20" applyNumberFormat="1" applyFont="1" applyBorder="1" applyAlignment="1">
      <alignment horizontal="center" vertical="center"/>
    </xf>
    <xf numFmtId="180" fontId="17" fillId="0" borderId="45" xfId="20" applyNumberFormat="1" applyFont="1" applyBorder="1" applyAlignment="1">
      <alignment horizontal="center" vertical="center"/>
    </xf>
    <xf numFmtId="0" fontId="17" fillId="0" borderId="1" xfId="12" applyFont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 wrapText="1"/>
    </xf>
    <xf numFmtId="0" fontId="20" fillId="0" borderId="1" xfId="12" applyFont="1" applyBorder="1" applyAlignment="1">
      <alignment horizontal="center" vertical="center"/>
    </xf>
    <xf numFmtId="0" fontId="20" fillId="0" borderId="9" xfId="12" applyFont="1" applyBorder="1" applyAlignment="1">
      <alignment horizontal="center" vertical="center"/>
    </xf>
    <xf numFmtId="0" fontId="17" fillId="11" borderId="44" xfId="12" applyFont="1" applyFill="1" applyBorder="1" applyAlignment="1"/>
    <xf numFmtId="0" fontId="17" fillId="0" borderId="50" xfId="12" applyFont="1" applyBorder="1" applyAlignment="1">
      <alignment horizontal="center" vertical="center"/>
    </xf>
    <xf numFmtId="0" fontId="17" fillId="10" borderId="16" xfId="12" applyFont="1" applyFill="1" applyBorder="1" applyAlignment="1">
      <alignment horizontal="center" vertical="center" wrapText="1"/>
    </xf>
    <xf numFmtId="0" fontId="17" fillId="10" borderId="24" xfId="12" applyFont="1" applyFill="1" applyBorder="1" applyAlignment="1">
      <alignment horizontal="center" vertical="center"/>
    </xf>
    <xf numFmtId="0" fontId="17" fillId="10" borderId="35" xfId="12" applyFont="1" applyFill="1" applyBorder="1" applyAlignment="1">
      <alignment horizontal="center" vertical="center"/>
    </xf>
    <xf numFmtId="0" fontId="17" fillId="10" borderId="42" xfId="12" applyFont="1" applyFill="1" applyBorder="1" applyAlignment="1">
      <alignment horizontal="center" vertical="center"/>
    </xf>
    <xf numFmtId="180" fontId="17" fillId="0" borderId="17" xfId="20" applyNumberFormat="1" applyFont="1" applyBorder="1" applyAlignment="1">
      <alignment horizontal="center" vertical="center"/>
    </xf>
    <xf numFmtId="180" fontId="17" fillId="0" borderId="1" xfId="20" applyNumberFormat="1" applyFont="1" applyBorder="1" applyAlignment="1">
      <alignment horizontal="center" vertical="center"/>
    </xf>
    <xf numFmtId="180" fontId="17" fillId="0" borderId="50" xfId="20" applyNumberFormat="1" applyFont="1" applyBorder="1" applyAlignment="1">
      <alignment horizontal="center" vertical="center"/>
    </xf>
    <xf numFmtId="0" fontId="17" fillId="3" borderId="16" xfId="12" applyFont="1" applyFill="1" applyBorder="1" applyAlignment="1">
      <alignment horizontal="center" vertical="center" wrapText="1"/>
    </xf>
    <xf numFmtId="0" fontId="17" fillId="3" borderId="24" xfId="12" applyFont="1" applyFill="1" applyBorder="1" applyAlignment="1">
      <alignment horizontal="center" vertical="center"/>
    </xf>
    <xf numFmtId="0" fontId="17" fillId="3" borderId="35" xfId="12" applyFont="1" applyFill="1" applyBorder="1" applyAlignment="1">
      <alignment horizontal="center" vertical="center"/>
    </xf>
    <xf numFmtId="0" fontId="17" fillId="3" borderId="42" xfId="12" applyFont="1" applyFill="1" applyBorder="1" applyAlignment="1">
      <alignment horizontal="center" vertical="center"/>
    </xf>
    <xf numFmtId="180" fontId="17" fillId="0" borderId="21" xfId="20" applyNumberFormat="1" applyFont="1" applyBorder="1" applyAlignment="1">
      <alignment horizontal="center" vertical="center"/>
    </xf>
    <xf numFmtId="180" fontId="17" fillId="0" borderId="13" xfId="20" applyNumberFormat="1" applyFont="1" applyBorder="1" applyAlignment="1">
      <alignment horizontal="center" vertical="center"/>
    </xf>
    <xf numFmtId="180" fontId="17" fillId="0" borderId="14" xfId="20" applyNumberFormat="1" applyFont="1" applyBorder="1" applyAlignment="1">
      <alignment horizontal="center" vertical="center"/>
    </xf>
    <xf numFmtId="180" fontId="17" fillId="0" borderId="41" xfId="20" applyNumberFormat="1" applyFont="1" applyBorder="1" applyAlignment="1">
      <alignment horizontal="center" vertical="center"/>
    </xf>
    <xf numFmtId="180" fontId="17" fillId="0" borderId="44" xfId="20" applyNumberFormat="1" applyFont="1" applyBorder="1" applyAlignment="1">
      <alignment horizontal="center" vertical="center"/>
    </xf>
    <xf numFmtId="0" fontId="17" fillId="4" borderId="51" xfId="12" applyFont="1" applyFill="1" applyBorder="1" applyAlignment="1">
      <alignment horizontal="center" vertical="center" wrapText="1"/>
    </xf>
    <xf numFmtId="0" fontId="17" fillId="4" borderId="56" xfId="12" applyFont="1" applyFill="1" applyBorder="1" applyAlignment="1">
      <alignment horizontal="center" vertical="center"/>
    </xf>
    <xf numFmtId="0" fontId="17" fillId="4" borderId="106" xfId="12" applyFont="1" applyFill="1" applyBorder="1" applyAlignment="1">
      <alignment horizontal="center" vertical="center"/>
    </xf>
    <xf numFmtId="180" fontId="17" fillId="0" borderId="57" xfId="20" applyNumberFormat="1" applyFont="1" applyBorder="1" applyAlignment="1">
      <alignment horizontal="center" vertical="center"/>
    </xf>
    <xf numFmtId="180" fontId="17" fillId="0" borderId="59" xfId="20" applyNumberFormat="1" applyFont="1" applyBorder="1" applyAlignment="1">
      <alignment horizontal="center" vertical="center"/>
    </xf>
    <xf numFmtId="0" fontId="25" fillId="12" borderId="63" xfId="8" applyFont="1" applyFill="1" applyBorder="1" applyAlignment="1">
      <alignment horizontal="center" vertical="center" wrapText="1"/>
    </xf>
    <xf numFmtId="0" fontId="25" fillId="12" borderId="69" xfId="8" applyFont="1" applyFill="1" applyBorder="1" applyAlignment="1">
      <alignment horizontal="center" vertical="center" wrapText="1"/>
    </xf>
    <xf numFmtId="0" fontId="25" fillId="12" borderId="75" xfId="8" applyFont="1" applyFill="1" applyBorder="1" applyAlignment="1">
      <alignment horizontal="center" vertical="center" wrapText="1"/>
    </xf>
    <xf numFmtId="180" fontId="17" fillId="0" borderId="49" xfId="20" applyNumberFormat="1" applyFont="1" applyBorder="1" applyAlignment="1">
      <alignment horizontal="center" vertical="center"/>
    </xf>
    <xf numFmtId="180" fontId="17" fillId="0" borderId="30" xfId="20" applyNumberFormat="1" applyFont="1" applyBorder="1" applyAlignment="1">
      <alignment horizontal="center" vertical="center"/>
    </xf>
    <xf numFmtId="0" fontId="6" fillId="0" borderId="17" xfId="8" applyFont="1" applyBorder="1" applyAlignment="1">
      <alignment horizontal="center" vertical="center"/>
    </xf>
    <xf numFmtId="0" fontId="17" fillId="11" borderId="107" xfId="12" applyFont="1" applyFill="1" applyBorder="1" applyAlignment="1"/>
    <xf numFmtId="0" fontId="17" fillId="11" borderId="108" xfId="12" applyFont="1" applyFill="1" applyBorder="1" applyAlignment="1"/>
    <xf numFmtId="9" fontId="17" fillId="0" borderId="50" xfId="17" applyFont="1" applyBorder="1" applyAlignment="1">
      <alignment horizontal="center" vertical="center"/>
    </xf>
    <xf numFmtId="180" fontId="6" fillId="0" borderId="68" xfId="19" applyNumberFormat="1" applyFont="1" applyBorder="1" applyAlignment="1">
      <alignment horizontal="center" vertical="center"/>
    </xf>
    <xf numFmtId="180" fontId="6" fillId="0" borderId="71" xfId="19" applyNumberFormat="1" applyFont="1" applyBorder="1" applyAlignment="1">
      <alignment horizontal="center" vertical="center"/>
    </xf>
    <xf numFmtId="180" fontId="6" fillId="0" borderId="79" xfId="19" applyNumberFormat="1" applyFont="1" applyBorder="1" applyAlignment="1">
      <alignment horizontal="center" vertical="center"/>
    </xf>
    <xf numFmtId="0" fontId="6" fillId="0" borderId="1" xfId="8" applyFont="1" applyBorder="1" applyAlignment="1">
      <alignment horizontal="center" vertical="center"/>
    </xf>
    <xf numFmtId="0" fontId="17" fillId="10" borderId="80" xfId="12" applyFont="1" applyFill="1" applyBorder="1" applyAlignment="1">
      <alignment horizontal="center" vertical="center" wrapText="1"/>
    </xf>
    <xf numFmtId="0" fontId="17" fillId="10" borderId="84" xfId="12" applyFont="1" applyFill="1" applyBorder="1" applyAlignment="1">
      <alignment horizontal="center" vertical="center" wrapText="1"/>
    </xf>
    <xf numFmtId="0" fontId="17" fillId="10" borderId="81" xfId="12" applyFont="1" applyFill="1" applyBorder="1" applyAlignment="1">
      <alignment horizontal="center" vertical="center" wrapText="1"/>
    </xf>
    <xf numFmtId="0" fontId="17" fillId="10" borderId="82" xfId="12" applyFont="1" applyFill="1" applyBorder="1" applyAlignment="1">
      <alignment horizontal="center" vertical="center"/>
    </xf>
    <xf numFmtId="180" fontId="17" fillId="0" borderId="34" xfId="20" applyNumberFormat="1" applyFont="1" applyBorder="1" applyAlignment="1">
      <alignment horizontal="center" vertical="center"/>
    </xf>
    <xf numFmtId="0" fontId="17" fillId="4" borderId="80" xfId="12" applyFont="1" applyFill="1" applyBorder="1" applyAlignment="1">
      <alignment horizontal="center" vertical="center" wrapText="1"/>
    </xf>
    <xf numFmtId="0" fontId="17" fillId="4" borderId="81" xfId="12" applyFont="1" applyFill="1" applyBorder="1" applyAlignment="1">
      <alignment horizontal="center" vertical="center"/>
    </xf>
    <xf numFmtId="0" fontId="17" fillId="4" borderId="82" xfId="12" applyFont="1" applyFill="1" applyBorder="1" applyAlignment="1">
      <alignment horizontal="center" vertical="center"/>
    </xf>
    <xf numFmtId="180" fontId="17" fillId="0" borderId="86" xfId="20" applyNumberFormat="1" applyFont="1" applyBorder="1" applyAlignment="1">
      <alignment horizontal="center" vertical="center"/>
    </xf>
    <xf numFmtId="0" fontId="17" fillId="13" borderId="92" xfId="12" applyFont="1" applyFill="1" applyBorder="1" applyAlignment="1">
      <alignment horizontal="center" vertical="center" wrapText="1"/>
    </xf>
    <xf numFmtId="0" fontId="17" fillId="13" borderId="93" xfId="12" applyFont="1" applyFill="1" applyBorder="1" applyAlignment="1">
      <alignment horizontal="center" vertical="center" wrapText="1"/>
    </xf>
    <xf numFmtId="0" fontId="17" fillId="13" borderId="95" xfId="12" applyFont="1" applyFill="1" applyBorder="1" applyAlignment="1">
      <alignment horizontal="center" vertical="center" wrapText="1"/>
    </xf>
    <xf numFmtId="180" fontId="17" fillId="0" borderId="39" xfId="20" applyNumberFormat="1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26" fillId="8" borderId="3" xfId="12" applyFont="1" applyFill="1" applyBorder="1" applyAlignment="1">
      <alignment horizontal="center" vertical="center"/>
    </xf>
    <xf numFmtId="0" fontId="26" fillId="8" borderId="1" xfId="1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6" fillId="0" borderId="5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 textRotation="255"/>
    </xf>
    <xf numFmtId="0" fontId="6" fillId="0" borderId="10" xfId="2" applyFont="1" applyBorder="1" applyAlignment="1">
      <alignment horizontal="center" vertical="center" textRotation="255"/>
    </xf>
    <xf numFmtId="0" fontId="6" fillId="0" borderId="11" xfId="2" applyFont="1" applyBorder="1" applyAlignment="1">
      <alignment horizontal="center" vertical="center" textRotation="255"/>
    </xf>
    <xf numFmtId="0" fontId="6" fillId="0" borderId="9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15" fillId="14" borderId="1" xfId="6" applyFont="1" applyFill="1" applyBorder="1" applyAlignment="1">
      <alignment horizontal="center" vertical="center" wrapText="1"/>
    </xf>
    <xf numFmtId="0" fontId="6" fillId="14" borderId="1" xfId="6" applyFont="1" applyFill="1" applyBorder="1" applyAlignment="1">
      <alignment horizontal="center" vertical="center"/>
    </xf>
    <xf numFmtId="179" fontId="10" fillId="5" borderId="1" xfId="2" applyNumberFormat="1" applyFont="1" applyFill="1" applyBorder="1" applyAlignment="1">
      <alignment horizontal="center" vertical="center"/>
    </xf>
    <xf numFmtId="179" fontId="10" fillId="5" borderId="1" xfId="16" applyNumberFormat="1" applyFont="1" applyFill="1" applyBorder="1" applyAlignment="1">
      <alignment horizontal="center" vertical="center"/>
    </xf>
    <xf numFmtId="0" fontId="27" fillId="0" borderId="3" xfId="2" applyFont="1" applyBorder="1" applyAlignment="1">
      <alignment horizontal="center" vertical="center"/>
    </xf>
    <xf numFmtId="1" fontId="27" fillId="0" borderId="1" xfId="2" applyNumberFormat="1" applyFont="1" applyBorder="1" applyAlignment="1">
      <alignment horizontal="center" vertical="center"/>
    </xf>
    <xf numFmtId="0" fontId="27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80" fontId="10" fillId="0" borderId="1" xfId="19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178" fontId="7" fillId="3" borderId="1" xfId="16" applyNumberFormat="1" applyFont="1" applyFill="1" applyBorder="1" applyAlignment="1">
      <alignment horizontal="center" vertical="center"/>
    </xf>
    <xf numFmtId="178" fontId="7" fillId="4" borderId="1" xfId="16" applyNumberFormat="1" applyFont="1" applyFill="1" applyBorder="1" applyAlignment="1">
      <alignment horizontal="center" vertical="center"/>
    </xf>
    <xf numFmtId="179" fontId="7" fillId="0" borderId="1" xfId="2" applyNumberFormat="1" applyFont="1" applyBorder="1" applyAlignment="1">
      <alignment horizontal="center" vertical="center"/>
    </xf>
    <xf numFmtId="179" fontId="7" fillId="0" borderId="1" xfId="16" applyNumberFormat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8" fillId="2" borderId="1" xfId="6" applyNumberFormat="1" applyFont="1" applyFill="1" applyBorder="1" applyAlignment="1">
      <alignment horizontal="center" vertical="center"/>
    </xf>
    <xf numFmtId="177" fontId="7" fillId="0" borderId="1" xfId="16" applyNumberFormat="1" applyFont="1" applyBorder="1" applyAlignment="1">
      <alignment horizontal="center" vertical="center"/>
    </xf>
    <xf numFmtId="177" fontId="7" fillId="0" borderId="1" xfId="2" applyNumberFormat="1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184" fontId="27" fillId="0" borderId="3" xfId="2" applyNumberFormat="1" applyFont="1" applyBorder="1" applyAlignment="1">
      <alignment horizontal="center" vertical="center"/>
    </xf>
    <xf numFmtId="184" fontId="27" fillId="0" borderId="1" xfId="2" applyNumberFormat="1" applyFont="1" applyBorder="1" applyAlignment="1">
      <alignment horizontal="center" vertical="center"/>
    </xf>
  </cellXfs>
  <cellStyles count="21">
    <cellStyle name="一般" xfId="0" builtinId="0"/>
    <cellStyle name="一般 2" xfId="1" xr:uid="{F94DDA6A-D542-493C-90FE-7FA14B40041B}"/>
    <cellStyle name="一般 2 17 2" xfId="2" xr:uid="{00000000-0005-0000-0000-000001000000}"/>
    <cellStyle name="一般 2 17 2 2" xfId="3" xr:uid="{E01C5B43-548A-48D1-B333-4387A262A509}"/>
    <cellStyle name="一般 2 18" xfId="4" xr:uid="{00000000-0005-0000-0000-000002000000}"/>
    <cellStyle name="一般 2 18 2" xfId="5" xr:uid="{03161FD6-4425-4262-BB2E-6D1063ACF793}"/>
    <cellStyle name="一般 2 2 2 2" xfId="6" xr:uid="{00000000-0005-0000-0000-000003000000}"/>
    <cellStyle name="一般 2 2 2 2 2" xfId="7" xr:uid="{DA50E455-3E19-4382-87FF-86AEE4927DF6}"/>
    <cellStyle name="一般 2 2 4" xfId="8" xr:uid="{00000000-0005-0000-0000-000004000000}"/>
    <cellStyle name="一般 2 2 4 2" xfId="9" xr:uid="{01302544-1802-4AFB-AC12-3C2E43DC83D6}"/>
    <cellStyle name="一般 2 2 4 3" xfId="10" xr:uid="{5CF42824-9C19-40E7-B382-3C290E62F3B6}"/>
    <cellStyle name="一般 2 4 2" xfId="11" xr:uid="{00000000-0005-0000-0000-000005000000}"/>
    <cellStyle name="一般 2 8" xfId="12" xr:uid="{00000000-0005-0000-0000-000006000000}"/>
    <cellStyle name="一般 2 8 2" xfId="13" xr:uid="{334CB01B-E727-4275-8081-33B90D63854F}"/>
    <cellStyle name="千分位 2 8" xfId="14" xr:uid="{00000000-0005-0000-0000-000007000000}"/>
    <cellStyle name="千分位 2 8 2" xfId="15" xr:uid="{BB0D4EC8-904D-4466-883D-5E832DE73CA2}"/>
    <cellStyle name="千分位 9 5" xfId="16" xr:uid="{00000000-0005-0000-0000-000008000000}"/>
    <cellStyle name="百分比 2 2 2 2" xfId="17" xr:uid="{00000000-0005-0000-0000-000009000000}"/>
    <cellStyle name="百分比 2 2 2 2 2" xfId="18" xr:uid="{5BC30C65-EF5D-4641-9B4F-74412295E429}"/>
    <cellStyle name="百分比 2 5" xfId="19" xr:uid="{00000000-0005-0000-0000-00000A000000}"/>
    <cellStyle name="百分比 7" xfId="20" xr:uid="{00000000-0005-0000-0000-00000B000000}"/>
  </cellStyles>
  <dxfs count="32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68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Desktop\&#29983;&#29986;&#26085;&#22577;(&#24037;&#24288;&#23492;)\&#38263;&#23478;\114.12\&#20154;&#26178;&#24615;\&#38263;&#23478;&#29983;&#29986;&#26085;&#22577;1201-12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廠價表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F599-2E13-43BF-8E2B-E361608A8619}" name="表格1" displayName="表格1" ref="A1:E53" totalsRowShown="0">
  <autoFilter ref="A1:E53" xr:uid="{A3D7F599-2E13-43BF-8E2B-E361608A8619}"/>
  <tableColumns count="5">
    <tableColumn id="1" xr3:uid="{26251F6B-0C35-451C-8612-21B2F3237164}" name="check" dataDxfId="320"/>
    <tableColumn id="2" xr3:uid="{0EF7F6B4-9C0C-43CE-A51A-B1FB93D7A59A}" name="溫層"/>
    <tableColumn id="4" xr3:uid="{DA95F27F-5DFE-4BF9-8388-9DBA4A1DA9CF}" name="品名"/>
    <tableColumn id="3" xr3:uid="{ACECD0F5-20A8-4FF2-BD6D-4A5318DD557B}" name="類別"/>
    <tableColumn id="5" xr3:uid="{4B389BDA-C253-4F22-9D33-981427ED4D0C}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99-46E2-4819-9E19-4AC10DA14623}">
  <sheetPr codeName="工作表1"/>
  <dimension ref="A1:G53"/>
  <sheetViews>
    <sheetView workbookViewId="0">
      <selection activeCell="K15" sqref="K15"/>
    </sheetView>
  </sheetViews>
  <sheetFormatPr defaultColWidth="10.28515625" defaultRowHeight="15.75"/>
  <cols>
    <col min="1" max="1" width="7.5703125" style="347" customWidth="1"/>
    <col min="2" max="2" width="10.28515625" style="347" customWidth="1"/>
    <col min="3" max="3" width="37.140625" style="347" customWidth="1"/>
    <col min="4" max="6" width="10.28515625" style="347" customWidth="1"/>
    <col min="7" max="7" width="26" style="347" bestFit="1" customWidth="1"/>
    <col min="8" max="48" width="10.28515625" style="347" customWidth="1"/>
    <col min="49" max="16384" width="10.28515625" style="347"/>
  </cols>
  <sheetData>
    <row r="1" spans="1:7">
      <c r="A1" s="351" t="s">
        <v>207</v>
      </c>
      <c r="B1" s="352" t="s">
        <v>89</v>
      </c>
      <c r="C1" s="352" t="s">
        <v>19</v>
      </c>
      <c r="D1" s="352" t="s">
        <v>208</v>
      </c>
      <c r="E1" s="352" t="s">
        <v>20</v>
      </c>
    </row>
    <row r="2" spans="1:7">
      <c r="A2" s="353"/>
      <c r="B2" s="354" t="s">
        <v>209</v>
      </c>
      <c r="C2" s="75" t="s">
        <v>116</v>
      </c>
      <c r="D2" s="354" t="s">
        <v>81</v>
      </c>
      <c r="E2" s="75">
        <v>57.21</v>
      </c>
    </row>
    <row r="3" spans="1:7">
      <c r="A3" s="353"/>
      <c r="B3" s="354" t="s">
        <v>209</v>
      </c>
      <c r="C3" s="75" t="s">
        <v>210</v>
      </c>
      <c r="D3" s="354" t="s">
        <v>81</v>
      </c>
      <c r="E3" s="75">
        <v>56.43</v>
      </c>
    </row>
    <row r="4" spans="1:7">
      <c r="A4" s="353"/>
      <c r="B4" s="354" t="s">
        <v>209</v>
      </c>
      <c r="C4" s="75" t="s">
        <v>119</v>
      </c>
      <c r="D4" s="354" t="s">
        <v>81</v>
      </c>
      <c r="E4" s="75">
        <v>50.39</v>
      </c>
    </row>
    <row r="5" spans="1:7">
      <c r="A5" s="353"/>
      <c r="B5" s="354" t="s">
        <v>209</v>
      </c>
      <c r="C5" s="75" t="s">
        <v>131</v>
      </c>
      <c r="D5" s="354" t="s">
        <v>81</v>
      </c>
      <c r="E5" s="75">
        <v>49.97</v>
      </c>
    </row>
    <row r="6" spans="1:7">
      <c r="A6" s="353"/>
      <c r="B6" s="354" t="s">
        <v>209</v>
      </c>
      <c r="C6" s="75" t="s">
        <v>115</v>
      </c>
      <c r="D6" s="354" t="s">
        <v>81</v>
      </c>
      <c r="E6" s="75">
        <v>49.14</v>
      </c>
    </row>
    <row r="7" spans="1:7">
      <c r="A7" s="353"/>
      <c r="B7" s="354" t="s">
        <v>209</v>
      </c>
      <c r="C7" s="355" t="s">
        <v>113</v>
      </c>
      <c r="D7" s="354" t="s">
        <v>81</v>
      </c>
      <c r="E7" s="75">
        <v>57.21</v>
      </c>
    </row>
    <row r="8" spans="1:7">
      <c r="A8" s="353"/>
      <c r="B8" s="354" t="s">
        <v>209</v>
      </c>
      <c r="C8" s="355" t="s">
        <v>121</v>
      </c>
      <c r="D8" s="354" t="s">
        <v>81</v>
      </c>
      <c r="E8" s="75">
        <v>57.3</v>
      </c>
    </row>
    <row r="9" spans="1:7">
      <c r="A9" s="353"/>
      <c r="B9" s="354" t="s">
        <v>209</v>
      </c>
      <c r="C9" s="350" t="s">
        <v>136</v>
      </c>
      <c r="D9" s="354" t="s">
        <v>81</v>
      </c>
      <c r="E9" s="75">
        <v>50.67</v>
      </c>
    </row>
    <row r="10" spans="1:7">
      <c r="A10" s="353"/>
      <c r="B10" s="354" t="s">
        <v>209</v>
      </c>
      <c r="C10" s="350" t="s">
        <v>114</v>
      </c>
      <c r="D10" s="354" t="s">
        <v>81</v>
      </c>
      <c r="E10" s="75">
        <v>56.28</v>
      </c>
    </row>
    <row r="11" spans="1:7">
      <c r="A11" s="353"/>
      <c r="B11" s="354" t="s">
        <v>209</v>
      </c>
      <c r="C11" s="75"/>
      <c r="D11" s="354" t="s">
        <v>81</v>
      </c>
      <c r="E11" s="75"/>
    </row>
    <row r="12" spans="1:7">
      <c r="A12" s="353"/>
      <c r="B12" s="354" t="s">
        <v>209</v>
      </c>
      <c r="C12" s="75" t="s">
        <v>129</v>
      </c>
      <c r="D12" s="354" t="s">
        <v>81</v>
      </c>
      <c r="E12" s="75">
        <v>56.87</v>
      </c>
    </row>
    <row r="13" spans="1:7">
      <c r="A13" s="353"/>
      <c r="B13" s="354" t="s">
        <v>209</v>
      </c>
      <c r="C13" s="75" t="s">
        <v>122</v>
      </c>
      <c r="D13" s="354" t="s">
        <v>81</v>
      </c>
      <c r="E13" s="75">
        <v>55.13</v>
      </c>
      <c r="G13" s="349"/>
    </row>
    <row r="14" spans="1:7">
      <c r="A14" s="353"/>
      <c r="B14" s="354" t="s">
        <v>209</v>
      </c>
      <c r="C14" s="75" t="s">
        <v>118</v>
      </c>
      <c r="D14" s="354" t="s">
        <v>81</v>
      </c>
      <c r="E14" s="75">
        <v>50.67</v>
      </c>
    </row>
    <row r="15" spans="1:7">
      <c r="A15" s="353"/>
      <c r="B15" s="354" t="s">
        <v>209</v>
      </c>
      <c r="C15" s="75" t="s">
        <v>211</v>
      </c>
      <c r="D15" s="354" t="s">
        <v>81</v>
      </c>
      <c r="E15" s="75">
        <v>57.3</v>
      </c>
    </row>
    <row r="16" spans="1:7">
      <c r="A16" s="353"/>
      <c r="B16" s="354" t="s">
        <v>209</v>
      </c>
      <c r="C16" s="75" t="s">
        <v>125</v>
      </c>
      <c r="D16" s="354" t="s">
        <v>81</v>
      </c>
      <c r="E16" s="75">
        <v>56.43</v>
      </c>
    </row>
    <row r="17" spans="1:5">
      <c r="A17" s="353"/>
      <c r="B17" s="354" t="s">
        <v>209</v>
      </c>
      <c r="C17" s="75" t="s">
        <v>130</v>
      </c>
      <c r="D17" s="354" t="s">
        <v>81</v>
      </c>
      <c r="E17" s="75">
        <v>47.71</v>
      </c>
    </row>
    <row r="18" spans="1:5">
      <c r="A18" s="353"/>
      <c r="B18" s="354" t="s">
        <v>209</v>
      </c>
      <c r="C18" s="75" t="s">
        <v>127</v>
      </c>
      <c r="D18" s="354" t="s">
        <v>123</v>
      </c>
      <c r="E18" s="75">
        <v>49.91</v>
      </c>
    </row>
    <row r="19" spans="1:5">
      <c r="A19" s="353"/>
      <c r="B19" s="354" t="s">
        <v>209</v>
      </c>
      <c r="C19" s="75" t="s">
        <v>128</v>
      </c>
      <c r="D19" s="354" t="s">
        <v>123</v>
      </c>
      <c r="E19" s="75">
        <v>44.3</v>
      </c>
    </row>
    <row r="20" spans="1:5">
      <c r="A20" s="353"/>
      <c r="B20" s="354" t="s">
        <v>209</v>
      </c>
      <c r="C20" s="75" t="s">
        <v>124</v>
      </c>
      <c r="D20" s="354" t="s">
        <v>123</v>
      </c>
      <c r="E20" s="75">
        <v>49.52</v>
      </c>
    </row>
    <row r="21" spans="1:5">
      <c r="A21" s="353"/>
      <c r="B21" s="354" t="s">
        <v>209</v>
      </c>
      <c r="C21" s="75" t="s">
        <v>135</v>
      </c>
      <c r="D21" s="354" t="s">
        <v>132</v>
      </c>
      <c r="E21" s="75">
        <v>28.26</v>
      </c>
    </row>
    <row r="22" spans="1:5">
      <c r="A22" s="353"/>
      <c r="B22" s="354" t="s">
        <v>209</v>
      </c>
      <c r="C22" s="75" t="s">
        <v>133</v>
      </c>
      <c r="D22" s="354" t="s">
        <v>132</v>
      </c>
      <c r="E22" s="75">
        <v>26.99</v>
      </c>
    </row>
    <row r="23" spans="1:5">
      <c r="A23" s="353"/>
      <c r="B23" s="354" t="s">
        <v>209</v>
      </c>
      <c r="C23" s="75" t="s">
        <v>134</v>
      </c>
      <c r="D23" s="354" t="s">
        <v>132</v>
      </c>
      <c r="E23" s="75">
        <v>28.26</v>
      </c>
    </row>
    <row r="24" spans="1:5">
      <c r="A24" s="353"/>
      <c r="B24" s="354" t="s">
        <v>209</v>
      </c>
      <c r="C24" s="75" t="s">
        <v>212</v>
      </c>
      <c r="D24" s="354" t="s">
        <v>132</v>
      </c>
      <c r="E24" s="75">
        <v>28.47</v>
      </c>
    </row>
    <row r="25" spans="1:5">
      <c r="A25" s="353"/>
      <c r="B25" s="354"/>
      <c r="C25" s="75"/>
      <c r="D25" s="354"/>
      <c r="E25" s="75"/>
    </row>
    <row r="26" spans="1:5">
      <c r="A26" s="353"/>
      <c r="B26" s="354"/>
      <c r="C26" s="75"/>
      <c r="D26" s="354"/>
      <c r="E26" s="75"/>
    </row>
    <row r="27" spans="1:5">
      <c r="A27" s="353"/>
      <c r="B27" s="354"/>
      <c r="C27" s="75"/>
      <c r="D27" s="354"/>
      <c r="E27" s="75"/>
    </row>
    <row r="28" spans="1:5">
      <c r="A28" s="353"/>
      <c r="B28" s="354"/>
      <c r="C28" s="75"/>
      <c r="D28" s="354"/>
      <c r="E28" s="75"/>
    </row>
    <row r="29" spans="1:5">
      <c r="A29" s="353"/>
      <c r="B29" s="354"/>
      <c r="C29" s="75"/>
      <c r="D29" s="354"/>
      <c r="E29" s="75"/>
    </row>
    <row r="30" spans="1:5">
      <c r="A30" s="353"/>
      <c r="B30" s="354"/>
      <c r="C30" s="75"/>
      <c r="D30" s="354"/>
      <c r="E30" s="75"/>
    </row>
    <row r="31" spans="1:5">
      <c r="A31" s="351"/>
      <c r="B31" s="354"/>
      <c r="C31" s="75"/>
      <c r="D31" s="354"/>
      <c r="E31" s="75"/>
    </row>
    <row r="32" spans="1:5">
      <c r="A32" s="351"/>
      <c r="B32" s="354"/>
      <c r="C32" s="354"/>
      <c r="D32" s="354"/>
      <c r="E32" s="75"/>
    </row>
    <row r="33" spans="1:5">
      <c r="A33" s="351"/>
      <c r="B33" s="354"/>
      <c r="C33" s="354"/>
      <c r="D33" s="354"/>
      <c r="E33" s="354"/>
    </row>
    <row r="34" spans="1:5">
      <c r="A34" s="351"/>
      <c r="B34" s="354"/>
      <c r="C34" s="354"/>
      <c r="D34" s="354"/>
      <c r="E34" s="354"/>
    </row>
    <row r="35" spans="1:5">
      <c r="A35" s="351"/>
      <c r="B35" s="356"/>
      <c r="C35" s="354"/>
      <c r="D35" s="356"/>
      <c r="E35" s="354"/>
    </row>
    <row r="36" spans="1:5">
      <c r="A36" s="351"/>
      <c r="B36" s="356"/>
      <c r="C36" s="354"/>
      <c r="D36" s="356"/>
      <c r="E36" s="354"/>
    </row>
    <row r="37" spans="1:5">
      <c r="A37" s="351"/>
      <c r="B37" s="356"/>
      <c r="C37" s="75"/>
      <c r="D37" s="356"/>
      <c r="E37" s="75"/>
    </row>
    <row r="38" spans="1:5">
      <c r="A38" s="351"/>
      <c r="B38" s="356"/>
      <c r="C38" s="350"/>
      <c r="D38" s="356"/>
      <c r="E38" s="75"/>
    </row>
    <row r="39" spans="1:5">
      <c r="A39" s="351"/>
      <c r="B39" s="356"/>
      <c r="C39" s="354"/>
      <c r="D39" s="356"/>
      <c r="E39" s="354"/>
    </row>
    <row r="40" spans="1:5">
      <c r="A40" s="351"/>
      <c r="B40" s="357"/>
      <c r="C40" s="357"/>
      <c r="D40" s="357"/>
      <c r="E40" s="357"/>
    </row>
    <row r="41" spans="1:5">
      <c r="A41" s="351"/>
      <c r="B41" s="357"/>
      <c r="C41" s="357"/>
      <c r="D41" s="357"/>
      <c r="E41" s="357"/>
    </row>
    <row r="42" spans="1:5">
      <c r="A42" s="351"/>
      <c r="B42" s="357"/>
      <c r="C42" s="357"/>
      <c r="D42" s="357"/>
      <c r="E42" s="357"/>
    </row>
    <row r="43" spans="1:5">
      <c r="A43" s="351"/>
      <c r="B43" s="357"/>
      <c r="C43" s="357"/>
      <c r="D43" s="357"/>
      <c r="E43" s="357"/>
    </row>
    <row r="44" spans="1:5">
      <c r="A44" s="351"/>
      <c r="B44" s="354" t="s">
        <v>213</v>
      </c>
      <c r="C44" s="75" t="s">
        <v>118</v>
      </c>
      <c r="D44" s="354" t="s">
        <v>203</v>
      </c>
      <c r="E44" s="75">
        <v>29.38</v>
      </c>
    </row>
    <row r="45" spans="1:5">
      <c r="A45" s="351"/>
      <c r="B45" s="354" t="s">
        <v>213</v>
      </c>
      <c r="C45" s="75" t="s">
        <v>214</v>
      </c>
      <c r="D45" s="354" t="s">
        <v>203</v>
      </c>
      <c r="E45" s="75">
        <v>29.38</v>
      </c>
    </row>
    <row r="46" spans="1:5">
      <c r="A46" s="351"/>
      <c r="B46" s="354" t="s">
        <v>213</v>
      </c>
      <c r="C46" s="75" t="s">
        <v>204</v>
      </c>
      <c r="D46" s="354" t="s">
        <v>203</v>
      </c>
      <c r="E46" s="75">
        <v>29.38</v>
      </c>
    </row>
    <row r="47" spans="1:5">
      <c r="A47" s="351"/>
      <c r="B47" s="354" t="s">
        <v>213</v>
      </c>
      <c r="C47" s="75" t="s">
        <v>215</v>
      </c>
      <c r="D47" s="354" t="s">
        <v>203</v>
      </c>
      <c r="E47" s="75">
        <v>29.38</v>
      </c>
    </row>
    <row r="48" spans="1:5">
      <c r="A48" s="351"/>
      <c r="B48" s="354" t="s">
        <v>213</v>
      </c>
      <c r="C48" s="75" t="s">
        <v>216</v>
      </c>
      <c r="D48" s="354" t="s">
        <v>203</v>
      </c>
      <c r="E48" s="75">
        <v>29.38</v>
      </c>
    </row>
    <row r="49" spans="1:5">
      <c r="A49" s="351"/>
      <c r="B49" s="354" t="s">
        <v>213</v>
      </c>
      <c r="C49" s="75" t="s">
        <v>217</v>
      </c>
      <c r="D49" s="354" t="s">
        <v>203</v>
      </c>
      <c r="E49" s="75">
        <v>29.38</v>
      </c>
    </row>
    <row r="50" spans="1:5">
      <c r="A50" s="351"/>
      <c r="B50" s="354" t="s">
        <v>213</v>
      </c>
      <c r="C50" s="75"/>
      <c r="D50" s="354" t="s">
        <v>203</v>
      </c>
      <c r="E50" s="75"/>
    </row>
    <row r="51" spans="1:5">
      <c r="A51" s="351"/>
      <c r="B51" s="354" t="s">
        <v>213</v>
      </c>
      <c r="C51" s="354" t="s">
        <v>206</v>
      </c>
      <c r="D51" s="354" t="s">
        <v>203</v>
      </c>
      <c r="E51" s="75">
        <v>29.38</v>
      </c>
    </row>
    <row r="52" spans="1:5">
      <c r="A52" s="351"/>
      <c r="B52" s="354" t="s">
        <v>213</v>
      </c>
      <c r="C52" s="354"/>
      <c r="D52" s="354" t="s">
        <v>203</v>
      </c>
      <c r="E52" s="354"/>
    </row>
    <row r="53" spans="1:5">
      <c r="A53" s="351"/>
      <c r="B53" s="354" t="s">
        <v>213</v>
      </c>
      <c r="C53" s="354" t="s">
        <v>218</v>
      </c>
      <c r="D53" s="354" t="s">
        <v>203</v>
      </c>
      <c r="E53" s="354">
        <v>29.38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6A3F-805F-4122-980C-9A7A13A335F6}">
  <sheetPr codeName="工作表2"/>
  <dimension ref="A1:G33"/>
  <sheetViews>
    <sheetView workbookViewId="0">
      <selection activeCell="C32" sqref="C32"/>
    </sheetView>
  </sheetViews>
  <sheetFormatPr defaultColWidth="10.28515625" defaultRowHeight="15.75"/>
  <cols>
    <col min="1" max="1" width="40.5703125" style="347" customWidth="1"/>
    <col min="2" max="6" width="10.28515625" style="347" customWidth="1"/>
    <col min="7" max="7" width="26" style="347" bestFit="1" customWidth="1"/>
    <col min="8" max="48" width="10.28515625" style="347" customWidth="1"/>
    <col min="49" max="16384" width="10.28515625" style="347"/>
  </cols>
  <sheetData>
    <row r="1" spans="1:7">
      <c r="A1" s="345" t="s">
        <v>220</v>
      </c>
      <c r="B1" s="345" t="s">
        <v>24</v>
      </c>
      <c r="C1" s="345" t="s">
        <v>221</v>
      </c>
      <c r="D1" s="346"/>
    </row>
    <row r="2" spans="1:7">
      <c r="A2" s="345" t="s">
        <v>81</v>
      </c>
      <c r="B2" s="345"/>
      <c r="C2" s="345"/>
      <c r="D2" s="346"/>
    </row>
    <row r="3" spans="1:7">
      <c r="A3" s="345" t="s">
        <v>116</v>
      </c>
      <c r="B3" s="345">
        <v>12</v>
      </c>
      <c r="C3" s="345">
        <v>2105</v>
      </c>
      <c r="D3" s="348" t="s">
        <v>106</v>
      </c>
    </row>
    <row r="4" spans="1:7">
      <c r="A4" s="345" t="s">
        <v>222</v>
      </c>
      <c r="B4" s="345">
        <v>15</v>
      </c>
      <c r="C4" s="345">
        <v>1565</v>
      </c>
      <c r="D4" s="348" t="s">
        <v>107</v>
      </c>
    </row>
    <row r="5" spans="1:7">
      <c r="A5" s="345" t="s">
        <v>118</v>
      </c>
      <c r="B5" s="345">
        <v>12</v>
      </c>
      <c r="C5" s="345">
        <v>2000</v>
      </c>
      <c r="D5" s="346"/>
    </row>
    <row r="6" spans="1:7">
      <c r="A6" s="345" t="s">
        <v>119</v>
      </c>
      <c r="B6" s="345">
        <v>11</v>
      </c>
      <c r="C6" s="345">
        <v>2000</v>
      </c>
      <c r="D6" s="346"/>
    </row>
    <row r="7" spans="1:7">
      <c r="A7" s="345" t="s">
        <v>131</v>
      </c>
      <c r="B7" s="345">
        <v>18</v>
      </c>
      <c r="C7" s="345">
        <v>1600</v>
      </c>
      <c r="D7" s="346"/>
    </row>
    <row r="8" spans="1:7">
      <c r="A8" s="345" t="s">
        <v>115</v>
      </c>
      <c r="B8" s="345">
        <v>13</v>
      </c>
      <c r="C8" s="345">
        <v>2000</v>
      </c>
      <c r="D8" s="346"/>
    </row>
    <row r="9" spans="1:7">
      <c r="A9" s="345" t="s">
        <v>113</v>
      </c>
      <c r="B9" s="345">
        <v>17</v>
      </c>
      <c r="C9" s="345">
        <v>2000</v>
      </c>
      <c r="D9" s="346"/>
    </row>
    <row r="10" spans="1:7">
      <c r="A10" s="345" t="s">
        <v>129</v>
      </c>
      <c r="B10" s="345">
        <v>18</v>
      </c>
      <c r="C10" s="345">
        <v>1565</v>
      </c>
      <c r="D10" s="346"/>
    </row>
    <row r="11" spans="1:7">
      <c r="A11" s="345" t="s">
        <v>127</v>
      </c>
      <c r="B11" s="345">
        <v>17</v>
      </c>
      <c r="C11" s="345">
        <v>1565</v>
      </c>
      <c r="D11" s="346"/>
    </row>
    <row r="12" spans="1:7">
      <c r="A12" s="345" t="s">
        <v>223</v>
      </c>
      <c r="B12" s="345">
        <v>14</v>
      </c>
      <c r="C12" s="345">
        <v>1385</v>
      </c>
      <c r="D12" s="346"/>
    </row>
    <row r="13" spans="1:7">
      <c r="A13" s="345" t="s">
        <v>122</v>
      </c>
      <c r="B13" s="345">
        <v>17</v>
      </c>
      <c r="C13" s="345">
        <v>1385</v>
      </c>
      <c r="D13" s="346"/>
      <c r="G13" s="349" t="s">
        <v>224</v>
      </c>
    </row>
    <row r="14" spans="1:7">
      <c r="A14" s="345" t="s">
        <v>225</v>
      </c>
      <c r="B14" s="345">
        <v>17</v>
      </c>
      <c r="C14" s="345">
        <v>1385</v>
      </c>
      <c r="D14" s="346"/>
    </row>
    <row r="15" spans="1:7">
      <c r="A15" s="345" t="s">
        <v>211</v>
      </c>
      <c r="B15" s="345">
        <v>16</v>
      </c>
      <c r="C15" s="345">
        <v>1385</v>
      </c>
      <c r="D15" s="346"/>
    </row>
    <row r="16" spans="1:7">
      <c r="A16" s="345" t="s">
        <v>125</v>
      </c>
      <c r="B16" s="345">
        <v>16</v>
      </c>
      <c r="C16" s="345">
        <v>1406</v>
      </c>
      <c r="D16" s="346"/>
    </row>
    <row r="17" spans="1:4">
      <c r="A17" s="345" t="s">
        <v>130</v>
      </c>
      <c r="B17" s="345">
        <v>16</v>
      </c>
      <c r="C17" s="345">
        <v>1440</v>
      </c>
      <c r="D17" s="346"/>
    </row>
    <row r="18" spans="1:4">
      <c r="A18" s="345" t="s">
        <v>226</v>
      </c>
      <c r="B18" s="345">
        <v>16</v>
      </c>
      <c r="C18" s="345">
        <v>1440</v>
      </c>
      <c r="D18" s="346"/>
    </row>
    <row r="19" spans="1:4">
      <c r="A19" s="345" t="s">
        <v>114</v>
      </c>
      <c r="B19" s="345">
        <v>15</v>
      </c>
      <c r="C19" s="345">
        <v>1800</v>
      </c>
      <c r="D19" s="346"/>
    </row>
    <row r="20" spans="1:4">
      <c r="A20" s="345"/>
      <c r="B20" s="345"/>
      <c r="C20" s="345"/>
      <c r="D20" s="346"/>
    </row>
    <row r="21" spans="1:4">
      <c r="A21" s="345" t="s">
        <v>121</v>
      </c>
      <c r="B21" s="345">
        <v>17</v>
      </c>
      <c r="C21" s="345">
        <v>1500</v>
      </c>
      <c r="D21" s="346"/>
    </row>
    <row r="22" spans="1:4">
      <c r="A22" s="345" t="s">
        <v>124</v>
      </c>
      <c r="B22" s="345">
        <v>15</v>
      </c>
      <c r="C22" s="345">
        <v>1440</v>
      </c>
      <c r="D22" s="346"/>
    </row>
    <row r="23" spans="1:4">
      <c r="A23" s="345" t="s">
        <v>128</v>
      </c>
      <c r="B23" s="345">
        <v>17</v>
      </c>
      <c r="C23" s="345">
        <v>1440</v>
      </c>
      <c r="D23" s="346"/>
    </row>
    <row r="24" spans="1:4">
      <c r="A24" s="350" t="s">
        <v>136</v>
      </c>
      <c r="B24" s="345">
        <v>10</v>
      </c>
      <c r="C24" s="345">
        <v>1125</v>
      </c>
      <c r="D24" s="346"/>
    </row>
    <row r="25" spans="1:4">
      <c r="A25" s="345" t="s">
        <v>227</v>
      </c>
      <c r="B25" s="345"/>
      <c r="C25" s="345"/>
      <c r="D25" s="346"/>
    </row>
    <row r="26" spans="1:4">
      <c r="A26" s="345" t="s">
        <v>133</v>
      </c>
      <c r="B26" s="345">
        <v>13</v>
      </c>
      <c r="C26" s="345">
        <v>1565</v>
      </c>
      <c r="D26" s="346"/>
    </row>
    <row r="27" spans="1:4">
      <c r="A27" s="345" t="s">
        <v>134</v>
      </c>
      <c r="B27" s="345">
        <v>12</v>
      </c>
      <c r="C27" s="345">
        <v>1565</v>
      </c>
      <c r="D27" s="346"/>
    </row>
    <row r="28" spans="1:4">
      <c r="A28" s="345" t="s">
        <v>212</v>
      </c>
      <c r="B28" s="345">
        <v>12</v>
      </c>
      <c r="C28" s="345">
        <v>1565</v>
      </c>
    </row>
    <row r="29" spans="1:4">
      <c r="A29" s="345" t="s">
        <v>135</v>
      </c>
      <c r="B29" s="345">
        <v>12</v>
      </c>
      <c r="C29" s="345">
        <v>1565</v>
      </c>
    </row>
    <row r="30" spans="1:4">
      <c r="A30" s="345"/>
      <c r="B30" s="345"/>
      <c r="C30" s="345"/>
    </row>
    <row r="31" spans="1:4">
      <c r="A31" s="345"/>
      <c r="B31" s="345"/>
      <c r="C31" s="345"/>
    </row>
    <row r="32" spans="1:4">
      <c r="A32" s="345"/>
      <c r="B32" s="345"/>
      <c r="C32" s="345"/>
    </row>
    <row r="33" spans="5:5">
      <c r="E33" s="347" t="s">
        <v>228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3">
    <pageSetUpPr fitToPage="1"/>
  </sheetPr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46015</v>
      </c>
      <c r="E3" s="493"/>
      <c r="F3" s="3" t="s">
        <v>72</v>
      </c>
      <c r="G3" s="494">
        <f>範本!E1</f>
        <v>43309</v>
      </c>
      <c r="H3" s="494"/>
      <c r="I3" s="3" t="s">
        <v>2</v>
      </c>
      <c r="J3" s="495" t="e">
        <f>範本!G1</f>
        <v>#N/A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 t="e">
        <f>AVERAGE(D13:J13)</f>
        <v>#N/A</v>
      </c>
      <c r="G6" s="490"/>
      <c r="H6" s="491" t="e">
        <f>AVERAGE(D13:H13)</f>
        <v>#N/A</v>
      </c>
      <c r="I6" s="491"/>
      <c r="J6" s="491" t="e">
        <f>AVERAGE(I13:J13)</f>
        <v>#N/A</v>
      </c>
      <c r="K6" s="491"/>
      <c r="L6" s="481">
        <f>範本!Z2</f>
        <v>0</v>
      </c>
      <c r="M6" s="482">
        <f>範本!AA2</f>
        <v>0</v>
      </c>
      <c r="N6" s="483">
        <f>範本!AD2</f>
        <v>0</v>
      </c>
      <c r="O6" s="482">
        <f>範本!AE2</f>
        <v>0</v>
      </c>
    </row>
    <row r="7" spans="2:15" s="6" customFormat="1" ht="39.6" customHeight="1">
      <c r="B7" s="486"/>
      <c r="C7" s="486"/>
      <c r="D7" s="484" t="s">
        <v>87</v>
      </c>
      <c r="E7" s="484"/>
      <c r="F7" s="479">
        <f>AVERAGE(D14:J14)</f>
        <v>116.11474837607263</v>
      </c>
      <c r="G7" s="479"/>
      <c r="H7" s="480">
        <f>AVERAGE(D14:H14)</f>
        <v>117.36074805627914</v>
      </c>
      <c r="I7" s="480"/>
      <c r="J7" s="480">
        <f>AVERAGE(I14:J14)</f>
        <v>112.99974917555633</v>
      </c>
      <c r="K7" s="480"/>
      <c r="L7" s="481"/>
      <c r="M7" s="482"/>
      <c r="N7" s="483"/>
      <c r="O7" s="482"/>
    </row>
    <row r="8" spans="2:15" s="6" customFormat="1" ht="39.6" customHeight="1">
      <c r="B8" s="486"/>
      <c r="C8" s="486"/>
      <c r="D8" s="484" t="s">
        <v>27</v>
      </c>
      <c r="E8" s="484"/>
      <c r="F8" s="485" t="e">
        <f>AVERAGE(D15:J15)</f>
        <v>#N/A</v>
      </c>
      <c r="G8" s="485"/>
      <c r="H8" s="485" t="e">
        <f>AVERAGE(D15:H15)</f>
        <v>#N/A</v>
      </c>
      <c r="I8" s="485"/>
      <c r="J8" s="485" t="e">
        <f>AVERAGE(I15:J15)</f>
        <v>#N/A</v>
      </c>
      <c r="K8" s="485"/>
      <c r="L8" s="481"/>
      <c r="M8" s="482"/>
      <c r="N8" s="483"/>
      <c r="O8" s="482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473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474"/>
      <c r="C15" s="10" t="s">
        <v>26</v>
      </c>
      <c r="D15" s="14" t="e">
        <f>D14/D13</f>
        <v>#N/A</v>
      </c>
      <c r="E15" s="14" t="e">
        <f t="shared" ref="E15:I15" si="0">E14/E13</f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475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476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477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478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477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478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460" t="s">
        <v>104</v>
      </c>
      <c r="C22" s="461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4:C4"/>
    <mergeCell ref="D4:E4"/>
    <mergeCell ref="F4:G4"/>
    <mergeCell ref="H4:I4"/>
    <mergeCell ref="J4:K4"/>
    <mergeCell ref="B1:K2"/>
    <mergeCell ref="B3:C3"/>
    <mergeCell ref="D3:E3"/>
    <mergeCell ref="G3:H3"/>
    <mergeCell ref="J3:K3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N4:O4"/>
    <mergeCell ref="L6:L8"/>
    <mergeCell ref="M6:M8"/>
    <mergeCell ref="N6:N8"/>
    <mergeCell ref="O6:O8"/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</mergeCells>
  <phoneticPr fontId="6" type="noConversion"/>
  <conditionalFormatting sqref="D15:J15">
    <cfRule type="cellIs" dxfId="3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>
    <tabColor theme="9" tint="0.79998168889431442"/>
    <pageSetUpPr fitToPage="1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13</v>
      </c>
      <c r="B2" s="374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0</v>
      </c>
      <c r="AA2" s="339">
        <f>AA15+AA26+AA37+AA48+AA58+AA69+AA79</f>
        <v>0</v>
      </c>
      <c r="AB2" s="370"/>
      <c r="AC2" s="370"/>
      <c r="AD2" s="340">
        <f>AD15+AD26+AD37+AD48+AD58+AD69+AD79</f>
        <v>0</v>
      </c>
      <c r="AE2" s="340">
        <f>AE15+AE26+AE37+AE48+AE58+AE69+AE79</f>
        <v>0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e">
        <f>VLOOKUP(D5,廠價表!$C$1:$E$41,2,0)</f>
        <v>#N/A</v>
      </c>
      <c r="C5" s="40"/>
      <c r="D5" s="168"/>
      <c r="E5" s="41"/>
      <c r="F5" s="39" t="e">
        <f>VLOOKUP(D5,廠價表!$C$1:$E$41,3,0)</f>
        <v>#N/A</v>
      </c>
      <c r="G5" s="42">
        <v>2263</v>
      </c>
      <c r="H5" s="43" t="e">
        <f>F5*G5</f>
        <v>#N/A</v>
      </c>
      <c r="I5" s="44"/>
      <c r="J5" s="45" t="e">
        <f>VLOOKUP(D5,產線配置圖!$A$3:$C$39,2,0)</f>
        <v>#N/A</v>
      </c>
      <c r="K5" s="46" t="e">
        <f>VLOOKUP(D5,產線配置圖!$A$3:$C$39,3,0)</f>
        <v>#N/A</v>
      </c>
      <c r="L5" s="47" t="e">
        <f t="shared" ref="L5:L7" si="0">K5/J5</f>
        <v>#N/A</v>
      </c>
      <c r="M5" s="48">
        <v>15</v>
      </c>
      <c r="N5" s="46">
        <f t="shared" ref="N5:N7" si="1">G5/W5*60</f>
        <v>1444.4680851063781</v>
      </c>
      <c r="O5" s="47">
        <f t="shared" ref="O5:O7" si="2">N5/M5</f>
        <v>96.297872340425201</v>
      </c>
      <c r="P5" s="49" t="e">
        <f t="shared" ref="P5:P7" si="3">M5-J5</f>
        <v>#N/A</v>
      </c>
      <c r="Q5" s="50" t="e">
        <f t="shared" ref="Q5:Q7" si="4">O5-L5</f>
        <v>#N/A</v>
      </c>
      <c r="R5" s="51" t="e">
        <f t="shared" ref="R5:R7" si="5">O5/L5</f>
        <v>#N/A</v>
      </c>
      <c r="S5" s="424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6">(U5-T5)*24*60</f>
        <v>94.000000000000313</v>
      </c>
      <c r="X5" s="55"/>
      <c r="Y5" s="290"/>
      <c r="Z5" s="169"/>
      <c r="AA5" s="169"/>
      <c r="AB5" s="402"/>
      <c r="AC5" s="402"/>
      <c r="AD5" s="135"/>
      <c r="AE5" s="135"/>
      <c r="AF5" s="229" t="e">
        <f t="shared" ref="AF5:AF11" si="7">N5-K5</f>
        <v>#N/A</v>
      </c>
      <c r="AG5" s="52" t="e">
        <f t="shared" ref="AG5:AG11" si="8">N5/K5</f>
        <v>#N/A</v>
      </c>
      <c r="AH5" s="403" t="e">
        <f>AG15</f>
        <v>#N/A</v>
      </c>
    </row>
    <row r="6" spans="1:34" ht="15" customHeight="1">
      <c r="A6" s="421"/>
      <c r="B6" s="57" t="e">
        <f>VLOOKUP(D6,廠價表!$C$1:$E$41,2,0)</f>
        <v>#N/A</v>
      </c>
      <c r="C6" s="58"/>
      <c r="D6" s="59"/>
      <c r="E6" s="60"/>
      <c r="F6" s="61" t="e">
        <f>VLOOKUP(D6,廠價表!$C$1:$E$41,3,0)</f>
        <v>#N/A</v>
      </c>
      <c r="G6" s="62">
        <v>1180</v>
      </c>
      <c r="H6" s="63" t="e">
        <f>F6*G6</f>
        <v>#N/A</v>
      </c>
      <c r="I6" s="64"/>
      <c r="J6" s="65" t="e">
        <f>VLOOKUP(D6,產線配置圖!$A$3:$C$39,2,0)</f>
        <v>#N/A</v>
      </c>
      <c r="K6" s="66" t="e">
        <f>VLOOKUP(D6,產線配置圖!$A$3:$C$39,3,0)</f>
        <v>#N/A</v>
      </c>
      <c r="L6" s="67" t="e">
        <f t="shared" si="0"/>
        <v>#N/A</v>
      </c>
      <c r="M6" s="68">
        <v>17</v>
      </c>
      <c r="N6" s="66">
        <f t="shared" si="1"/>
        <v>1609.0909090908858</v>
      </c>
      <c r="O6" s="67">
        <f t="shared" si="2"/>
        <v>94.652406417110925</v>
      </c>
      <c r="P6" s="69" t="e">
        <f t="shared" si="3"/>
        <v>#N/A</v>
      </c>
      <c r="Q6" s="70" t="e">
        <f t="shared" si="4"/>
        <v>#N/A</v>
      </c>
      <c r="R6" s="71" t="e">
        <f t="shared" si="5"/>
        <v>#N/A</v>
      </c>
      <c r="S6" s="425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6"/>
        <v>44.000000000000639</v>
      </c>
      <c r="X6" s="22"/>
      <c r="Y6" s="84"/>
      <c r="Z6" s="90"/>
      <c r="AA6" s="90"/>
      <c r="AB6" s="407"/>
      <c r="AC6" s="407"/>
      <c r="AD6" s="149"/>
      <c r="AE6" s="149"/>
      <c r="AF6" s="307" t="e">
        <f t="shared" si="7"/>
        <v>#N/A</v>
      </c>
      <c r="AG6" s="72" t="e">
        <f t="shared" si="8"/>
        <v>#N/A</v>
      </c>
      <c r="AH6" s="404"/>
    </row>
    <row r="7" spans="1:34" ht="15" customHeight="1">
      <c r="A7" s="421"/>
      <c r="B7" s="75" t="e">
        <f>VLOOKUP(D7,廠價表!$C$1:$E$41,2,0)</f>
        <v>#N/A</v>
      </c>
      <c r="C7" s="76"/>
      <c r="D7" s="59"/>
      <c r="E7" s="77"/>
      <c r="F7" s="75" t="e">
        <f>VLOOKUP(D7,廠價表!$C$1:$E$41,3,0)</f>
        <v>#N/A</v>
      </c>
      <c r="G7" s="66">
        <v>3398</v>
      </c>
      <c r="H7" s="78" t="e">
        <f>F7*G7</f>
        <v>#N/A</v>
      </c>
      <c r="I7" s="73"/>
      <c r="J7" s="79" t="e">
        <f>VLOOKUP(D7,產線配置圖!$A$3:$C$39,2,0)</f>
        <v>#N/A</v>
      </c>
      <c r="K7" s="80" t="e">
        <f>VLOOKUP(D7,產線配置圖!$A$3:$C$39,3,0)</f>
        <v>#N/A</v>
      </c>
      <c r="L7" s="81" t="e">
        <f t="shared" si="0"/>
        <v>#N/A</v>
      </c>
      <c r="M7" s="82">
        <v>13</v>
      </c>
      <c r="N7" s="80">
        <f t="shared" si="1"/>
        <v>1960.3846153846225</v>
      </c>
      <c r="O7" s="81">
        <f t="shared" si="2"/>
        <v>150.7988165680479</v>
      </c>
      <c r="P7" s="74" t="e">
        <f t="shared" si="3"/>
        <v>#N/A</v>
      </c>
      <c r="Q7" s="83" t="e">
        <f t="shared" si="4"/>
        <v>#N/A</v>
      </c>
      <c r="R7" s="72" t="e">
        <f t="shared" si="5"/>
        <v>#N/A</v>
      </c>
      <c r="S7" s="425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6"/>
        <v>103.99999999999963</v>
      </c>
      <c r="X7" s="22"/>
      <c r="Y7" s="84"/>
      <c r="Z7" s="90"/>
      <c r="AA7" s="90"/>
      <c r="AB7" s="395"/>
      <c r="AC7" s="395"/>
      <c r="AD7" s="92"/>
      <c r="AE7" s="92"/>
      <c r="AF7" s="307" t="e">
        <f t="shared" si="7"/>
        <v>#N/A</v>
      </c>
      <c r="AG7" s="72" t="e">
        <f t="shared" si="8"/>
        <v>#N/A</v>
      </c>
      <c r="AH7" s="404"/>
    </row>
    <row r="8" spans="1:34" ht="15" customHeight="1">
      <c r="A8" s="42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5"/>
      <c r="T8" s="16"/>
      <c r="U8" s="16"/>
      <c r="V8" s="30"/>
      <c r="W8" s="73">
        <f t="shared" si="6"/>
        <v>0</v>
      </c>
      <c r="X8" s="22">
        <v>0.48611111111111099</v>
      </c>
      <c r="Y8" s="84">
        <v>0.52777777777777801</v>
      </c>
      <c r="Z8" s="90"/>
      <c r="AA8" s="90"/>
      <c r="AB8" s="407"/>
      <c r="AC8" s="407"/>
      <c r="AD8" s="149"/>
      <c r="AE8" s="149"/>
      <c r="AF8" s="307">
        <f t="shared" si="7"/>
        <v>0</v>
      </c>
      <c r="AG8" s="72" t="e">
        <f t="shared" si="8"/>
        <v>#DIV/0!</v>
      </c>
      <c r="AH8" s="404"/>
    </row>
    <row r="9" spans="1:34" ht="15" customHeight="1">
      <c r="A9" s="42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6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0</v>
      </c>
      <c r="AG9" s="72" t="e">
        <f t="shared" si="8"/>
        <v>#DIV/0!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 t="e">
        <f t="shared" ref="J15:O15" si="9">AVERAGE(J5:J14)</f>
        <v>#N/A</v>
      </c>
      <c r="K15" s="120" t="e">
        <f t="shared" si="9"/>
        <v>#N/A</v>
      </c>
      <c r="L15" s="117" t="e">
        <f t="shared" si="9"/>
        <v>#N/A</v>
      </c>
      <c r="M15" s="120">
        <f t="shared" si="9"/>
        <v>15</v>
      </c>
      <c r="N15" s="120">
        <f t="shared" si="9"/>
        <v>1671.3145365272956</v>
      </c>
      <c r="O15" s="117">
        <f t="shared" si="9"/>
        <v>113.916365108528</v>
      </c>
      <c r="P15" s="121" t="e">
        <f t="shared" ref="P15:P18" si="10">M15-J15</f>
        <v>#N/A</v>
      </c>
      <c r="Q15" s="122" t="e">
        <f t="shared" ref="Q15:Q18" si="11">O15-L15</f>
        <v>#N/A</v>
      </c>
      <c r="R15" s="123" t="e">
        <f t="shared" ref="R15:R18" si="12">O15/L15</f>
        <v>#N/A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0</v>
      </c>
      <c r="AE15" s="323">
        <f>SUM(AE5:AE14)</f>
        <v>0</v>
      </c>
      <c r="AF15" s="309" t="e">
        <f t="shared" ref="AF15:AF19" si="13">N15-K15</f>
        <v>#N/A</v>
      </c>
      <c r="AG15" s="124" t="e">
        <f t="shared" ref="AG15:AG19" si="14">N15/K15</f>
        <v>#N/A</v>
      </c>
      <c r="AH15" s="406"/>
    </row>
    <row r="16" spans="1:34" ht="15" customHeight="1">
      <c r="A16" s="413" t="s">
        <v>43</v>
      </c>
      <c r="B16" s="129" t="e">
        <f>VLOOKUP(D16,廠價表!$C$1:$E$41,2,0)</f>
        <v>#N/A</v>
      </c>
      <c r="C16" s="130"/>
      <c r="D16" s="131"/>
      <c r="E16" s="132"/>
      <c r="F16" s="129" t="e">
        <f>VLOOKUP(D16,廠價表!$C$1:$E$41,3,0)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VLOOKUP(D16,產線配置圖!$A$3:$C$39,2,0)</f>
        <v>#N/A</v>
      </c>
      <c r="K16" s="137" t="e">
        <f>VLOOKUP(D16,產線配置圖!$A$3:$C$39,3,0)</f>
        <v>#N/A</v>
      </c>
      <c r="L16" s="138" t="e">
        <f t="shared" ref="L16:L18" si="15">K16/J16</f>
        <v>#N/A</v>
      </c>
      <c r="M16" s="139">
        <v>13</v>
      </c>
      <c r="N16" s="140">
        <f t="shared" ref="N16:N18" si="16"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 t="shared" si="11"/>
        <v>#N/A</v>
      </c>
      <c r="R16" s="144" t="e">
        <f>O16/L16</f>
        <v>#N/A</v>
      </c>
      <c r="S16" s="417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17">(U16-T16)*24*60</f>
        <v>60.999999999999787</v>
      </c>
      <c r="X16" s="141"/>
      <c r="Y16" s="296"/>
      <c r="Z16" s="169"/>
      <c r="AA16" s="169"/>
      <c r="AB16" s="402"/>
      <c r="AC16" s="402"/>
      <c r="AD16" s="135"/>
      <c r="AE16" s="135"/>
      <c r="AF16" s="229" t="e">
        <f t="shared" si="13"/>
        <v>#N/A</v>
      </c>
      <c r="AG16" s="52" t="e">
        <f t="shared" si="14"/>
        <v>#N/A</v>
      </c>
      <c r="AH16" s="403" t="e">
        <f>AG26</f>
        <v>#N/A</v>
      </c>
    </row>
    <row r="17" spans="1:34" ht="15" customHeight="1">
      <c r="A17" s="414"/>
      <c r="B17" s="75" t="e">
        <f>VLOOKUP(D17,廠價表!$C$1:$E$41,2,0)</f>
        <v>#N/A</v>
      </c>
      <c r="C17" s="76"/>
      <c r="D17" s="59"/>
      <c r="E17" s="77"/>
      <c r="F17" s="75" t="e">
        <f>VLOOKUP(D17,廠價表!$C$1:$E$41,3,0)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VLOOKUP(D17,產線配置圖!$A$3:$C$39,2,0)</f>
        <v>#N/A</v>
      </c>
      <c r="K17" s="80" t="e">
        <f>VLOOKUP(D17,產線配置圖!$A$3:$C$39,3,0)</f>
        <v>#N/A</v>
      </c>
      <c r="L17" s="81" t="e">
        <f t="shared" si="15"/>
        <v>#N/A</v>
      </c>
      <c r="M17" s="148">
        <v>13</v>
      </c>
      <c r="N17" s="95">
        <f>G17/W17*60</f>
        <v>823.25581395349127</v>
      </c>
      <c r="O17" s="96">
        <f t="shared" ref="O17:O18" si="18">N17/M17</f>
        <v>63.327370304114716</v>
      </c>
      <c r="P17" s="97" t="e">
        <f t="shared" si="10"/>
        <v>#N/A</v>
      </c>
      <c r="Q17" s="98" t="e">
        <f t="shared" si="11"/>
        <v>#N/A</v>
      </c>
      <c r="R17" s="99" t="e">
        <f t="shared" si="12"/>
        <v>#N/A</v>
      </c>
      <c r="S17" s="418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17"/>
        <v>85.999999999999687</v>
      </c>
      <c r="X17" s="19"/>
      <c r="Y17" s="297"/>
      <c r="Z17" s="90"/>
      <c r="AA17" s="90"/>
      <c r="AB17" s="395"/>
      <c r="AC17" s="395"/>
      <c r="AD17" s="92"/>
      <c r="AE17" s="92"/>
      <c r="AF17" s="307" t="e">
        <f t="shared" si="13"/>
        <v>#N/A</v>
      </c>
      <c r="AG17" s="72" t="e">
        <f t="shared" si="14"/>
        <v>#N/A</v>
      </c>
      <c r="AH17" s="404"/>
    </row>
    <row r="18" spans="1:34" ht="15" customHeight="1">
      <c r="A18" s="414"/>
      <c r="B18" s="75" t="e">
        <f>VLOOKUP(D18,廠價表!$C$1:$E$41,2,0)</f>
        <v>#N/A</v>
      </c>
      <c r="C18" s="76"/>
      <c r="D18" s="59"/>
      <c r="E18" s="77"/>
      <c r="F18" s="75" t="e">
        <f>VLOOKUP(D18,廠價表!$C$1:$E$41,3,0)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VLOOKUP(D18,產線配置圖!$A$3:$C$39,2,0)</f>
        <v>#N/A</v>
      </c>
      <c r="K18" s="80" t="e">
        <f>VLOOKUP(D18,產線配置圖!$A$3:$C$39,3,0)</f>
        <v>#N/A</v>
      </c>
      <c r="L18" s="81" t="e">
        <f t="shared" si="15"/>
        <v>#N/A</v>
      </c>
      <c r="M18" s="148">
        <v>12</v>
      </c>
      <c r="N18" s="95">
        <f t="shared" si="16"/>
        <v>1941.7142857142762</v>
      </c>
      <c r="O18" s="96">
        <f t="shared" si="18"/>
        <v>161.80952380952303</v>
      </c>
      <c r="P18" s="97" t="e">
        <f t="shared" si="10"/>
        <v>#N/A</v>
      </c>
      <c r="Q18" s="98" t="e">
        <f t="shared" si="11"/>
        <v>#N/A</v>
      </c>
      <c r="R18" s="99" t="e">
        <f t="shared" si="12"/>
        <v>#N/A</v>
      </c>
      <c r="S18" s="418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17"/>
        <v>105.00000000000051</v>
      </c>
      <c r="X18" s="22">
        <v>0.48611111111111099</v>
      </c>
      <c r="Y18" s="84">
        <v>0.52777777777777801</v>
      </c>
      <c r="Z18" s="90"/>
      <c r="AA18" s="90"/>
      <c r="AB18" s="395"/>
      <c r="AC18" s="395"/>
      <c r="AD18" s="92"/>
      <c r="AE18" s="92"/>
      <c r="AF18" s="307" t="e">
        <f t="shared" si="13"/>
        <v>#N/A</v>
      </c>
      <c r="AG18" s="72" t="e">
        <f t="shared" si="14"/>
        <v>#N/A</v>
      </c>
      <c r="AH18" s="404"/>
    </row>
    <row r="19" spans="1:34" ht="15" customHeight="1">
      <c r="A19" s="414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418"/>
      <c r="T19" s="19"/>
      <c r="U19" s="19"/>
      <c r="V19" s="30">
        <f>(T19-U18)*24*60</f>
        <v>-695.00000000000011</v>
      </c>
      <c r="W19" s="149">
        <f t="shared" si="17"/>
        <v>0</v>
      </c>
      <c r="X19" s="22"/>
      <c r="Y19" s="84"/>
      <c r="Z19" s="90"/>
      <c r="AA19" s="90"/>
      <c r="AB19" s="407"/>
      <c r="AC19" s="407"/>
      <c r="AD19" s="149"/>
      <c r="AE19" s="149"/>
      <c r="AF19" s="307">
        <f t="shared" si="13"/>
        <v>0</v>
      </c>
      <c r="AG19" s="72" t="e">
        <f t="shared" si="14"/>
        <v>#DIV/0!</v>
      </c>
      <c r="AH19" s="405"/>
    </row>
    <row r="20" spans="1:34" ht="15" customHeight="1">
      <c r="A20" s="414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8"/>
      <c r="T20" s="19"/>
      <c r="U20" s="19"/>
      <c r="V20" s="30">
        <f>(T20-U19)*24*60</f>
        <v>0</v>
      </c>
      <c r="W20" s="149">
        <f t="shared" si="17"/>
        <v>0</v>
      </c>
      <c r="X20" s="19"/>
      <c r="Y20" s="297"/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7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 t="e">
        <f t="shared" ref="J26:O26" si="20">AVERAGE(J16:J25)</f>
        <v>#N/A</v>
      </c>
      <c r="K26" s="155" t="e">
        <f t="shared" si="20"/>
        <v>#N/A</v>
      </c>
      <c r="L26" s="158" t="e">
        <f t="shared" si="20"/>
        <v>#N/A</v>
      </c>
      <c r="M26" s="155">
        <f t="shared" si="20"/>
        <v>12.666666666666666</v>
      </c>
      <c r="N26" s="155">
        <f t="shared" si="20"/>
        <v>1663.6239130040128</v>
      </c>
      <c r="O26" s="158">
        <f t="shared" si="20"/>
        <v>132.12003238004002</v>
      </c>
      <c r="P26" s="159" t="e">
        <f t="shared" ref="P26:P29" si="21">M26-J26</f>
        <v>#N/A</v>
      </c>
      <c r="Q26" s="160" t="e">
        <f t="shared" ref="Q26:Q29" si="22">O26-L26</f>
        <v>#N/A</v>
      </c>
      <c r="R26" s="161" t="e">
        <f>O26/L26</f>
        <v>#N/A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0</v>
      </c>
      <c r="AE26" s="323">
        <f>SUM(AE16:AE25)</f>
        <v>0</v>
      </c>
      <c r="AF26" s="309" t="e">
        <f t="shared" ref="AF26:AF31" si="23">N26-K26</f>
        <v>#N/A</v>
      </c>
      <c r="AG26" s="124" t="e">
        <f t="shared" ref="AG26:AG31" si="24">N26/K26</f>
        <v>#N/A</v>
      </c>
      <c r="AH26" s="406"/>
    </row>
    <row r="27" spans="1:34" ht="15" customHeight="1">
      <c r="A27" s="429" t="s">
        <v>45</v>
      </c>
      <c r="B27" s="167" t="e">
        <f>VLOOKUP(D27,廠價表!$C$1:$E$41,2,0)</f>
        <v>#N/A</v>
      </c>
      <c r="C27" s="130"/>
      <c r="D27" s="168"/>
      <c r="E27" s="132"/>
      <c r="F27" s="129" t="e">
        <f>VLOOKUP(D27,廠價表!$C$1:$E$41,3,0)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VLOOKUP(D27,產線配置圖!$A$3:$C$39,2,0)</f>
        <v>#N/A</v>
      </c>
      <c r="K27" s="137" t="e">
        <f>VLOOKUP(D27,產線配置圖!$A$3:$C$39,3,0)</f>
        <v>#N/A</v>
      </c>
      <c r="L27" s="138" t="e">
        <f t="shared" ref="L27:L29" si="25"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 t="shared" si="21"/>
        <v>#N/A</v>
      </c>
      <c r="Q27" s="143" t="e">
        <f t="shared" si="22"/>
        <v>#N/A</v>
      </c>
      <c r="R27" s="144" t="e">
        <f>O27/L27</f>
        <v>#N/A</v>
      </c>
      <c r="S27" s="417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17"/>
        <v>111.99999999999888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 t="e">
        <f t="shared" si="23"/>
        <v>#N/A</v>
      </c>
      <c r="AG27" s="172" t="e">
        <f t="shared" si="24"/>
        <v>#N/A</v>
      </c>
      <c r="AH27" s="403" t="e">
        <f>AG37</f>
        <v>#N/A</v>
      </c>
    </row>
    <row r="28" spans="1:34" ht="15" customHeight="1">
      <c r="A28" s="430"/>
      <c r="B28" s="75" t="e">
        <f>VLOOKUP(D28,廠價表!$C$1:$E$41,2,0)</f>
        <v>#N/A</v>
      </c>
      <c r="C28" s="173"/>
      <c r="D28" s="59"/>
      <c r="E28" s="104"/>
      <c r="F28" s="75" t="e">
        <f>VLOOKUP(D28,廠價表!$C$1:$E$41,3,0)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VLOOKUP(D28,產線配置圖!$A$3:$C$39,2,0)</f>
        <v>#N/A</v>
      </c>
      <c r="K28" s="80" t="e">
        <f>VLOOKUP(D28,產線配置圖!$A$3:$C$39,3,0)</f>
        <v>#N/A</v>
      </c>
      <c r="L28" s="93" t="e">
        <f t="shared" si="25"/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 t="shared" si="21"/>
        <v>#N/A</v>
      </c>
      <c r="Q28" s="98" t="e">
        <f t="shared" si="22"/>
        <v>#N/A</v>
      </c>
      <c r="R28" s="99" t="e">
        <f t="shared" ref="R28:R29" si="26">O28/L28</f>
        <v>#N/A</v>
      </c>
      <c r="S28" s="418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17"/>
        <v>65.000000000000171</v>
      </c>
      <c r="X28" s="174"/>
      <c r="Y28" s="301"/>
      <c r="Z28" s="335"/>
      <c r="AA28" s="335"/>
      <c r="AB28" s="395"/>
      <c r="AC28" s="395"/>
      <c r="AD28" s="92"/>
      <c r="AE28" s="92"/>
      <c r="AF28" s="311" t="e">
        <f t="shared" si="23"/>
        <v>#N/A</v>
      </c>
      <c r="AG28" s="99" t="e">
        <f t="shared" si="24"/>
        <v>#N/A</v>
      </c>
      <c r="AH28" s="432"/>
    </row>
    <row r="29" spans="1:34" ht="15" customHeight="1">
      <c r="A29" s="430"/>
      <c r="B29" s="75" t="e">
        <f>VLOOKUP(D29,廠價表!$C$1:$E$41,2,0)</f>
        <v>#N/A</v>
      </c>
      <c r="C29" s="173"/>
      <c r="D29" s="59"/>
      <c r="E29" s="104"/>
      <c r="F29" s="75" t="e">
        <f>VLOOKUP(D29,廠價表!$C$1:$E$41,3,0)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VLOOKUP(D29,產線配置圖!$A$3:$C$39,2,0)</f>
        <v>#N/A</v>
      </c>
      <c r="K29" s="80" t="e">
        <f>VLOOKUP(D29,產線配置圖!$A$3:$C$39,3,0)</f>
        <v>#N/A</v>
      </c>
      <c r="L29" s="93" t="e">
        <f t="shared" si="25"/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 t="shared" si="21"/>
        <v>#N/A</v>
      </c>
      <c r="Q29" s="98" t="e">
        <f t="shared" si="22"/>
        <v>#N/A</v>
      </c>
      <c r="R29" s="99" t="e">
        <f t="shared" si="26"/>
        <v>#N/A</v>
      </c>
      <c r="S29" s="418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17"/>
        <v>64.99999999999865</v>
      </c>
      <c r="X29" s="22"/>
      <c r="Y29" s="84"/>
      <c r="Z29" s="90"/>
      <c r="AA29" s="90"/>
      <c r="AB29" s="395"/>
      <c r="AC29" s="395"/>
      <c r="AD29" s="92"/>
      <c r="AE29" s="92"/>
      <c r="AF29" s="312" t="e">
        <f t="shared" si="23"/>
        <v>#N/A</v>
      </c>
      <c r="AG29" s="99" t="e">
        <f t="shared" si="24"/>
        <v>#N/A</v>
      </c>
      <c r="AH29" s="432"/>
    </row>
    <row r="30" spans="1:34" ht="15" customHeight="1">
      <c r="A30" s="43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8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17"/>
        <v>42.999999999999844</v>
      </c>
      <c r="X30" s="174">
        <v>0.49652777777777801</v>
      </c>
      <c r="Y30" s="301">
        <v>0.53819444444444398</v>
      </c>
      <c r="Z30" s="335"/>
      <c r="AA30" s="335"/>
      <c r="AB30" s="395"/>
      <c r="AC30" s="395"/>
      <c r="AD30" s="92"/>
      <c r="AE30" s="92"/>
      <c r="AF30" s="312">
        <f t="shared" si="23"/>
        <v>0</v>
      </c>
      <c r="AG30" s="99" t="e">
        <f t="shared" si="24"/>
        <v>#DIV/0!</v>
      </c>
      <c r="AH30" s="433"/>
    </row>
    <row r="31" spans="1:34" ht="15" customHeight="1">
      <c r="A31" s="43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8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3"/>
        <v>0</v>
      </c>
      <c r="AG31" s="99" t="e">
        <f t="shared" si="24"/>
        <v>#DIV/0!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 t="e">
        <f t="shared" ref="J37:O37" si="28">AVERAGE(J27:J36)</f>
        <v>#N/A</v>
      </c>
      <c r="K37" s="155" t="e">
        <f t="shared" si="28"/>
        <v>#N/A</v>
      </c>
      <c r="L37" s="158" t="e">
        <f t="shared" si="28"/>
        <v>#N/A</v>
      </c>
      <c r="M37" s="155">
        <f t="shared" si="28"/>
        <v>14.666666666666666</v>
      </c>
      <c r="N37" s="155">
        <f t="shared" si="28"/>
        <v>1812.7225274725522</v>
      </c>
      <c r="O37" s="158">
        <f t="shared" si="28"/>
        <v>126.23842229199551</v>
      </c>
      <c r="P37" s="159" t="e">
        <f>M37-J37</f>
        <v>#N/A</v>
      </c>
      <c r="Q37" s="160" t="e">
        <f>N37-K37</f>
        <v>#N/A</v>
      </c>
      <c r="R37" s="161" t="e">
        <f t="shared" ref="R37:R40" si="29">O37/L37</f>
        <v>#N/A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 t="e">
        <f t="shared" ref="AF37:AF41" si="30">N37-K37</f>
        <v>#N/A</v>
      </c>
      <c r="AG37" s="124" t="e">
        <f t="shared" ref="AG37:AG41" si="31">N37/K37</f>
        <v>#N/A</v>
      </c>
      <c r="AH37" s="406"/>
    </row>
    <row r="38" spans="1:34" s="196" customFormat="1" ht="15" customHeight="1">
      <c r="A38" s="434" t="s">
        <v>48</v>
      </c>
      <c r="B38" s="167" t="e">
        <f>VLOOKUP(D38,廠價表!$C$1:$E$41,2,0)</f>
        <v>#N/A</v>
      </c>
      <c r="C38" s="129"/>
      <c r="D38" s="184"/>
      <c r="E38" s="185"/>
      <c r="F38" s="39" t="e">
        <f>VLOOKUP(D38,廠價表!$C$1:$E$41,3,0)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VLOOKUP(D38,產線配置圖!$A$3:$C$39,2,0)</f>
        <v>#N/A</v>
      </c>
      <c r="K38" s="188" t="e">
        <f>VLOOKUP(D38,產線配置圖!$A$3:$C$39,3,0)</f>
        <v>#N/A</v>
      </c>
      <c r="L38" s="189" t="e">
        <f t="shared" ref="L38:L40" si="32"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 t="shared" ref="P38:P40" si="33">M38-J38</f>
        <v>#N/A</v>
      </c>
      <c r="Q38" s="143" t="e">
        <f t="shared" ref="Q38:Q40" si="34">O38-L38</f>
        <v>#N/A</v>
      </c>
      <c r="R38" s="144" t="e">
        <f>O38/L38</f>
        <v>#N/A</v>
      </c>
      <c r="S38" s="437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17"/>
        <v>69.000000000000469</v>
      </c>
      <c r="X38" s="194"/>
      <c r="Y38" s="302"/>
      <c r="Z38" s="336"/>
      <c r="AA38" s="336"/>
      <c r="AB38" s="439"/>
      <c r="AC38" s="439"/>
      <c r="AD38" s="192"/>
      <c r="AE38" s="192"/>
      <c r="AF38" s="313" t="e">
        <f t="shared" si="30"/>
        <v>#N/A</v>
      </c>
      <c r="AG38" s="195" t="e">
        <f t="shared" si="31"/>
        <v>#N/A</v>
      </c>
      <c r="AH38" s="443" t="e">
        <f>AG48</f>
        <v>#N/A</v>
      </c>
    </row>
    <row r="39" spans="1:34" s="196" customFormat="1" ht="15" customHeight="1">
      <c r="A39" s="435"/>
      <c r="B39" s="75" t="e">
        <f>VLOOKUP(D39,廠價表!$C$1:$E$41,2,0)</f>
        <v>#N/A</v>
      </c>
      <c r="C39" s="197"/>
      <c r="D39" s="198"/>
      <c r="E39" s="176"/>
      <c r="F39" s="75" t="e">
        <f>VLOOKUP(D39,廠價表!$C$1:$E$41,3,0)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VLOOKUP(D39,產線配置圖!$A$3:$C$39,2,0)</f>
        <v>#N/A</v>
      </c>
      <c r="K39" s="95" t="e">
        <f>VLOOKUP(D39,產線配置圖!$A$3:$C$39,3,0)</f>
        <v>#N/A</v>
      </c>
      <c r="L39" s="96" t="e">
        <f t="shared" si="32"/>
        <v>#N/A</v>
      </c>
      <c r="M39" s="201">
        <v>14</v>
      </c>
      <c r="N39" s="202">
        <f>G39/W39*60</f>
        <v>885.00000000000932</v>
      </c>
      <c r="O39" s="203">
        <f t="shared" ref="O39:O40" si="35">N39/M39</f>
        <v>63.214285714286383</v>
      </c>
      <c r="P39" s="97" t="e">
        <f t="shared" si="33"/>
        <v>#N/A</v>
      </c>
      <c r="Q39" s="98" t="e">
        <f t="shared" si="34"/>
        <v>#N/A</v>
      </c>
      <c r="R39" s="99" t="e">
        <f t="shared" si="29"/>
        <v>#N/A</v>
      </c>
      <c r="S39" s="438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17"/>
        <v>79.999999999999162</v>
      </c>
      <c r="X39" s="22"/>
      <c r="Y39" s="84"/>
      <c r="Z39" s="90"/>
      <c r="AA39" s="90"/>
      <c r="AB39" s="446"/>
      <c r="AC39" s="446"/>
      <c r="AD39" s="200"/>
      <c r="AE39" s="200"/>
      <c r="AF39" s="314" t="e">
        <f t="shared" si="30"/>
        <v>#N/A</v>
      </c>
      <c r="AG39" s="206" t="e">
        <f t="shared" si="31"/>
        <v>#N/A</v>
      </c>
      <c r="AH39" s="444"/>
    </row>
    <row r="40" spans="1:34" s="196" customFormat="1" ht="15" customHeight="1">
      <c r="A40" s="435"/>
      <c r="B40" s="75" t="e">
        <f>VLOOKUP(D40,廠價表!$C$1:$E$41,2,0)</f>
        <v>#N/A</v>
      </c>
      <c r="C40" s="207"/>
      <c r="D40" s="198"/>
      <c r="E40" s="178"/>
      <c r="F40" s="75" t="e">
        <f>VLOOKUP(D40,廠價表!$C$1:$E$41,3,0)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VLOOKUP(D40,產線配置圖!$A$3:$C$39,2,0)</f>
        <v>#N/A</v>
      </c>
      <c r="K40" s="95" t="e">
        <f>VLOOKUP(D40,產線配置圖!$A$3:$C$39,3,0)</f>
        <v>#N/A</v>
      </c>
      <c r="L40" s="96" t="e">
        <f t="shared" si="32"/>
        <v>#N/A</v>
      </c>
      <c r="M40" s="201">
        <v>14</v>
      </c>
      <c r="N40" s="202">
        <f>G40/W40*60</f>
        <v>1853.4545454545439</v>
      </c>
      <c r="O40" s="203">
        <f t="shared" si="35"/>
        <v>132.38961038961028</v>
      </c>
      <c r="P40" s="97" t="e">
        <f t="shared" si="33"/>
        <v>#N/A</v>
      </c>
      <c r="Q40" s="98" t="e">
        <f t="shared" si="34"/>
        <v>#N/A</v>
      </c>
      <c r="R40" s="99" t="e">
        <f t="shared" si="29"/>
        <v>#N/A</v>
      </c>
      <c r="S40" s="425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17"/>
        <v>110.00000000000009</v>
      </c>
      <c r="X40" s="208"/>
      <c r="Y40" s="209"/>
      <c r="Z40" s="337"/>
      <c r="AA40" s="337"/>
      <c r="AB40" s="395"/>
      <c r="AC40" s="395"/>
      <c r="AD40" s="92"/>
      <c r="AE40" s="92"/>
      <c r="AF40" s="314" t="e">
        <f t="shared" si="30"/>
        <v>#N/A</v>
      </c>
      <c r="AG40" s="206" t="e">
        <f t="shared" si="31"/>
        <v>#N/A</v>
      </c>
      <c r="AH40" s="444"/>
    </row>
    <row r="41" spans="1:34" s="196" customFormat="1" ht="15" customHeight="1">
      <c r="A41" s="43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5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95"/>
      <c r="AC41" s="395"/>
      <c r="AD41" s="92"/>
      <c r="AE41" s="92"/>
      <c r="AF41" s="314">
        <f t="shared" si="30"/>
        <v>0</v>
      </c>
      <c r="AG41" s="206" t="e">
        <f t="shared" si="31"/>
        <v>#DIV/0!</v>
      </c>
      <c r="AH41" s="444"/>
    </row>
    <row r="42" spans="1:34" s="196" customFormat="1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s="196" customFormat="1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s="196" customFormat="1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s="196" customFormat="1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s="196" customFormat="1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s="196" customFormat="1" ht="15" customHeight="1">
      <c r="A47" s="435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 t="e">
        <f t="shared" ref="J48:O48" si="37">AVERAGE(J38:J47)</f>
        <v>#N/A</v>
      </c>
      <c r="K48" s="155" t="e">
        <f t="shared" si="37"/>
        <v>#N/A</v>
      </c>
      <c r="L48" s="158" t="e">
        <f t="shared" si="37"/>
        <v>#N/A</v>
      </c>
      <c r="M48" s="155">
        <f t="shared" si="37"/>
        <v>14</v>
      </c>
      <c r="N48" s="155">
        <f t="shared" si="37"/>
        <v>1568.7602108036872</v>
      </c>
      <c r="O48" s="158">
        <f t="shared" si="37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428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 t="e">
        <f t="shared" ref="AF48:AF53" si="38">N48-K48</f>
        <v>#N/A</v>
      </c>
      <c r="AG48" s="162" t="e">
        <f t="shared" ref="AG48:AG53" si="39">N48/K48</f>
        <v>#N/A</v>
      </c>
      <c r="AH48" s="445"/>
    </row>
    <row r="49" spans="1:34" ht="15" customHeight="1">
      <c r="A49" s="452" t="s">
        <v>50</v>
      </c>
      <c r="B49" s="129" t="e">
        <f>VLOOKUP(D49,廠價表!$C$1:$E$41,2,0)</f>
        <v>#N/A</v>
      </c>
      <c r="C49" s="130"/>
      <c r="D49" s="131"/>
      <c r="E49" s="132"/>
      <c r="F49" s="129" t="e">
        <f>VLOOKUP(D49,廠價表!$C$1:$E$41,3,0)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VLOOKUP(D49,產線配置圖!$A$3:$C$39,2,0)</f>
        <v>#N/A</v>
      </c>
      <c r="K49" s="137" t="e">
        <f>VLOOKUP(D49,產線配置圖!$A$3:$C$39,3,0)</f>
        <v>#N/A</v>
      </c>
      <c r="L49" s="138" t="e">
        <f t="shared" ref="L49:L51" si="40"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424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17"/>
        <v>67.999999999999673</v>
      </c>
      <c r="X49" s="55"/>
      <c r="Y49" s="290"/>
      <c r="Z49" s="169"/>
      <c r="AA49" s="169"/>
      <c r="AB49" s="402"/>
      <c r="AC49" s="402"/>
      <c r="AD49" s="135"/>
      <c r="AE49" s="135"/>
      <c r="AF49" s="229" t="e">
        <f t="shared" si="38"/>
        <v>#N/A</v>
      </c>
      <c r="AG49" s="52" t="e">
        <f t="shared" si="39"/>
        <v>#N/A</v>
      </c>
      <c r="AH49" s="403" t="e">
        <f>AG58</f>
        <v>#N/A</v>
      </c>
    </row>
    <row r="50" spans="1:34" ht="15" customHeight="1">
      <c r="A50" s="453"/>
      <c r="B50" s="75" t="e">
        <f>VLOOKUP(D50,廠價表!$C$1:$E$41,2,0)</f>
        <v>#N/A</v>
      </c>
      <c r="C50" s="76"/>
      <c r="D50" s="59"/>
      <c r="E50" s="77"/>
      <c r="F50" s="75" t="e">
        <f>VLOOKUP(D50,廠價表!$C$1:$E$41,3,0)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VLOOKUP(D50,產線配置圖!$A$3:$C$39,2,0)</f>
        <v>#N/A</v>
      </c>
      <c r="K50" s="80" t="e">
        <f>VLOOKUP(D50,產線配置圖!$A$3:$C$39,3,0)</f>
        <v>#N/A</v>
      </c>
      <c r="L50" s="81" t="e">
        <f t="shared" si="40"/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425"/>
      <c r="T50" s="21">
        <v>0.34513888888888899</v>
      </c>
      <c r="U50" s="21">
        <v>0.39444444444444399</v>
      </c>
      <c r="V50" s="30">
        <f t="shared" ref="V50:V52" si="41">(T50-U49)*24*60</f>
        <v>8.999999999999968</v>
      </c>
      <c r="W50" s="236">
        <f t="shared" si="17"/>
        <v>70.99999999999919</v>
      </c>
      <c r="X50" s="22"/>
      <c r="Y50" s="84"/>
      <c r="Z50" s="90"/>
      <c r="AA50" s="90"/>
      <c r="AB50" s="395"/>
      <c r="AC50" s="395"/>
      <c r="AD50" s="92"/>
      <c r="AE50" s="92"/>
      <c r="AF50" s="307" t="e">
        <f t="shared" si="38"/>
        <v>#N/A</v>
      </c>
      <c r="AG50" s="72" t="e">
        <f t="shared" si="39"/>
        <v>#N/A</v>
      </c>
      <c r="AH50" s="404"/>
    </row>
    <row r="51" spans="1:34" ht="15" customHeight="1">
      <c r="A51" s="453"/>
      <c r="B51" s="75" t="e">
        <f>VLOOKUP(D51,廠價表!$C$1:$E$41,2,0)</f>
        <v>#N/A</v>
      </c>
      <c r="C51" s="76"/>
      <c r="D51" s="59"/>
      <c r="E51" s="77"/>
      <c r="F51" s="75" t="e">
        <f>VLOOKUP(D51,廠價表!$C$1:$E$41,3,0)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VLOOKUP(D51,產線配置圖!$A$3:$C$39,2,0)</f>
        <v>#N/A</v>
      </c>
      <c r="K51" s="80" t="e">
        <f>VLOOKUP(D51,產線配置圖!$A$3:$C$39,3,0)</f>
        <v>#N/A</v>
      </c>
      <c r="L51" s="81" t="e">
        <f t="shared" si="40"/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425"/>
      <c r="T51" s="21">
        <v>0.40138888888888902</v>
      </c>
      <c r="U51" s="19">
        <v>0.46041666666666697</v>
      </c>
      <c r="V51" s="30">
        <f t="shared" si="41"/>
        <v>10.000000000000844</v>
      </c>
      <c r="W51" s="236">
        <f t="shared" si="17"/>
        <v>85.000000000000256</v>
      </c>
      <c r="X51" s="22"/>
      <c r="Y51" s="84"/>
      <c r="Z51" s="90"/>
      <c r="AA51" s="90"/>
      <c r="AB51" s="395"/>
      <c r="AC51" s="395"/>
      <c r="AD51" s="92"/>
      <c r="AE51" s="92"/>
      <c r="AF51" s="307" t="e">
        <f t="shared" si="38"/>
        <v>#N/A</v>
      </c>
      <c r="AG51" s="72" t="e">
        <f t="shared" si="39"/>
        <v>#N/A</v>
      </c>
      <c r="AH51" s="404"/>
    </row>
    <row r="52" spans="1:34" ht="15" customHeight="1">
      <c r="A52" s="45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5"/>
      <c r="T52" s="21">
        <v>0.52986111111111101</v>
      </c>
      <c r="U52" s="21">
        <v>0.58333333333333304</v>
      </c>
      <c r="V52" s="30">
        <f t="shared" si="41"/>
        <v>99.999999999999403</v>
      </c>
      <c r="W52" s="236">
        <f t="shared" si="17"/>
        <v>76.99999999999973</v>
      </c>
      <c r="X52" s="22">
        <v>0.47916666666666702</v>
      </c>
      <c r="Y52" s="84">
        <v>0.52083333333333304</v>
      </c>
      <c r="Z52" s="90"/>
      <c r="AA52" s="90"/>
      <c r="AB52" s="395"/>
      <c r="AC52" s="395"/>
      <c r="AD52" s="92"/>
      <c r="AE52" s="92"/>
      <c r="AF52" s="307">
        <f t="shared" si="38"/>
        <v>0</v>
      </c>
      <c r="AG52" s="72" t="e">
        <f t="shared" si="39"/>
        <v>#DIV/0!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38"/>
        <v>0</v>
      </c>
      <c r="AG53" s="72" t="e">
        <f t="shared" si="39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 t="e">
        <f t="shared" ref="J58:O58" si="42">AVERAGE(J49:J57)</f>
        <v>#N/A</v>
      </c>
      <c r="K58" s="120" t="e">
        <f t="shared" si="42"/>
        <v>#N/A</v>
      </c>
      <c r="L58" s="117" t="e">
        <f t="shared" si="42"/>
        <v>#N/A</v>
      </c>
      <c r="M58" s="120">
        <f t="shared" si="42"/>
        <v>17.666666666666668</v>
      </c>
      <c r="N58" s="120">
        <f t="shared" si="42"/>
        <v>1797.5120132560112</v>
      </c>
      <c r="O58" s="117">
        <f t="shared" si="42"/>
        <v>102.47461972914017</v>
      </c>
      <c r="P58" s="121" t="e">
        <f>M58-J58</f>
        <v>#N/A</v>
      </c>
      <c r="Q58" s="122" t="e">
        <f>N58-K58</f>
        <v>#N/A</v>
      </c>
      <c r="R58" s="123" t="e">
        <f t="shared" ref="R58:R60" si="43">O58/L58</f>
        <v>#N/A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 t="e">
        <f t="shared" ref="AF58:AF61" si="44">N58-K58</f>
        <v>#N/A</v>
      </c>
      <c r="AG58" s="124" t="e">
        <f t="shared" ref="AG58:AG61" si="45">N58/K58</f>
        <v>#N/A</v>
      </c>
      <c r="AH58" s="406"/>
    </row>
    <row r="59" spans="1:34" ht="15" customHeight="1">
      <c r="A59" s="447" t="s">
        <v>52</v>
      </c>
      <c r="B59" s="129" t="e">
        <f>VLOOKUP(D59,廠價表!$C$1:$E$41,2,0)</f>
        <v>#N/A</v>
      </c>
      <c r="C59" s="130"/>
      <c r="D59" s="131"/>
      <c r="E59" s="132"/>
      <c r="F59" s="129" t="e">
        <f>VLOOKUP(D59,廠價表!$C$1:$E$41,3,0)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VLOOKUP(D59,產線配置圖!$A$3:$C$39,2,0)</f>
        <v>#N/A</v>
      </c>
      <c r="K59" s="137" t="e">
        <f>VLOOKUP(D59,產線配置圖!$A$3:$C$39,3,0)</f>
        <v>#N/A</v>
      </c>
      <c r="L59" s="138" t="e">
        <f t="shared" ref="L59:L61" si="46">K59/J59</f>
        <v>#N/A</v>
      </c>
      <c r="M59" s="244">
        <v>13</v>
      </c>
      <c r="N59" s="137">
        <f t="shared" ref="N59:N61" si="47">G59/W59*60</f>
        <v>1131.5000000000048</v>
      </c>
      <c r="O59" s="138">
        <f t="shared" ref="O59:O61" si="48">N59/M59</f>
        <v>87.038461538461902</v>
      </c>
      <c r="P59" s="56" t="e">
        <f t="shared" ref="P59:P61" si="49">M59-J59</f>
        <v>#N/A</v>
      </c>
      <c r="Q59" s="230" t="e">
        <f t="shared" ref="Q59:Q61" si="50">O59-L59</f>
        <v>#N/A</v>
      </c>
      <c r="R59" s="52" t="e">
        <f t="shared" si="43"/>
        <v>#N/A</v>
      </c>
      <c r="S59" s="424" t="e">
        <f>R69</f>
        <v>#N/A</v>
      </c>
      <c r="T59" s="245">
        <v>0.29166666666666702</v>
      </c>
      <c r="U59" s="245">
        <v>0.375</v>
      </c>
      <c r="V59" s="55"/>
      <c r="W59" s="54">
        <f t="shared" si="17"/>
        <v>119.99999999999949</v>
      </c>
      <c r="X59" s="55"/>
      <c r="Y59" s="290"/>
      <c r="Z59" s="169"/>
      <c r="AA59" s="169"/>
      <c r="AB59" s="402"/>
      <c r="AC59" s="402"/>
      <c r="AD59" s="135"/>
      <c r="AE59" s="135"/>
      <c r="AF59" s="310" t="e">
        <f t="shared" si="44"/>
        <v>#N/A</v>
      </c>
      <c r="AG59" s="246" t="e">
        <f t="shared" si="45"/>
        <v>#N/A</v>
      </c>
      <c r="AH59" s="403" t="e">
        <f>AG69</f>
        <v>#N/A</v>
      </c>
    </row>
    <row r="60" spans="1:34" ht="15" customHeight="1">
      <c r="A60" s="448"/>
      <c r="B60" s="75" t="e">
        <f>VLOOKUP(D60,廠價表!$C$1:$E$41,2,0)</f>
        <v>#N/A</v>
      </c>
      <c r="C60" s="86"/>
      <c r="D60" s="175"/>
      <c r="E60" s="87"/>
      <c r="F60" s="75" t="e">
        <f>VLOOKUP(D60,廠價表!$C$1:$E$41,3,0)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VLOOKUP(D60,產線配置圖!$A$3:$C$39,2,0)</f>
        <v>#N/A</v>
      </c>
      <c r="K60" s="80" t="e">
        <f>VLOOKUP(D60,產線配置圖!$A$3:$C$39,3,0)</f>
        <v>#N/A</v>
      </c>
      <c r="L60" s="81" t="e">
        <f t="shared" si="46"/>
        <v>#N/A</v>
      </c>
      <c r="M60" s="82">
        <v>12</v>
      </c>
      <c r="N60" s="80">
        <f t="shared" si="47"/>
        <v>2360.00000000004</v>
      </c>
      <c r="O60" s="81">
        <f t="shared" si="48"/>
        <v>196.66666666667001</v>
      </c>
      <c r="P60" s="74" t="e">
        <f t="shared" si="49"/>
        <v>#N/A</v>
      </c>
      <c r="Q60" s="83" t="e">
        <f t="shared" si="50"/>
        <v>#N/A</v>
      </c>
      <c r="R60" s="72" t="e">
        <f t="shared" si="43"/>
        <v>#N/A</v>
      </c>
      <c r="S60" s="451"/>
      <c r="T60" s="22">
        <v>0.38541666666666702</v>
      </c>
      <c r="U60" s="22">
        <v>0.40625</v>
      </c>
      <c r="V60" s="30">
        <f t="shared" ref="V60:V61" si="51">(T60-U59)*24*60</f>
        <v>15.000000000000506</v>
      </c>
      <c r="W60" s="248">
        <f t="shared" si="17"/>
        <v>29.999999999999496</v>
      </c>
      <c r="X60" s="232"/>
      <c r="Y60" s="177"/>
      <c r="Z60" s="90"/>
      <c r="AA60" s="90"/>
      <c r="AB60" s="395"/>
      <c r="AC60" s="395"/>
      <c r="AD60" s="92"/>
      <c r="AE60" s="92"/>
      <c r="AF60" s="316" t="e">
        <f t="shared" si="44"/>
        <v>#N/A</v>
      </c>
      <c r="AG60" s="249" t="e">
        <f t="shared" si="45"/>
        <v>#N/A</v>
      </c>
      <c r="AH60" s="455"/>
    </row>
    <row r="61" spans="1:34" ht="15" customHeight="1">
      <c r="A61" s="449"/>
      <c r="B61" s="250" t="e">
        <f>VLOOKUP(D61,廠價表!$C$1:$E$41,2,0)</f>
        <v>#N/A</v>
      </c>
      <c r="C61" s="251"/>
      <c r="D61" s="252"/>
      <c r="E61" s="253"/>
      <c r="F61" s="250" t="e">
        <f>VLOOKUP(D61,廠價表!$C$1:$E$41,3,0)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VLOOKUP(D61,產線配置圖!$A$3:$C$39,2,0)</f>
        <v>#N/A</v>
      </c>
      <c r="K61" s="107" t="e">
        <f>VLOOKUP(D61,產線配置圖!$A$3:$C$39,3,0)</f>
        <v>#N/A</v>
      </c>
      <c r="L61" s="238" t="e">
        <f t="shared" si="46"/>
        <v>#N/A</v>
      </c>
      <c r="M61" s="108">
        <v>12</v>
      </c>
      <c r="N61" s="107">
        <f t="shared" si="47"/>
        <v>2192.2580645161406</v>
      </c>
      <c r="O61" s="238">
        <f t="shared" si="48"/>
        <v>182.68817204301172</v>
      </c>
      <c r="P61" s="111" t="e">
        <f t="shared" si="49"/>
        <v>#N/A</v>
      </c>
      <c r="Q61" s="255" t="e">
        <f t="shared" si="50"/>
        <v>#N/A</v>
      </c>
      <c r="R61" s="85" t="e">
        <f>O61/L61</f>
        <v>#N/A</v>
      </c>
      <c r="S61" s="425"/>
      <c r="T61" s="22">
        <v>0.42361111111111099</v>
      </c>
      <c r="U61" s="22">
        <v>0.48819444444444399</v>
      </c>
      <c r="V61" s="30">
        <f t="shared" si="51"/>
        <v>24.999999999999829</v>
      </c>
      <c r="W61" s="256">
        <f t="shared" si="17"/>
        <v>92.999999999999517</v>
      </c>
      <c r="X61" s="22"/>
      <c r="Y61" s="84"/>
      <c r="Z61" s="90"/>
      <c r="AA61" s="90"/>
      <c r="AB61" s="395"/>
      <c r="AC61" s="395"/>
      <c r="AD61" s="92"/>
      <c r="AE61" s="92"/>
      <c r="AF61" s="317" t="e">
        <f t="shared" si="44"/>
        <v>#N/A</v>
      </c>
      <c r="AG61" s="247" t="e">
        <f t="shared" si="45"/>
        <v>#N/A</v>
      </c>
      <c r="AH61" s="404"/>
    </row>
    <row r="62" spans="1:34" ht="15" customHeight="1">
      <c r="A62" s="44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5"/>
      <c r="T62" s="22"/>
      <c r="U62" s="22"/>
      <c r="V62" s="30"/>
      <c r="W62" s="248">
        <f t="shared" si="17"/>
        <v>0</v>
      </c>
      <c r="X62" s="22">
        <v>0.50347222222222199</v>
      </c>
      <c r="Y62" s="84">
        <v>0.54513888888888895</v>
      </c>
      <c r="Z62" s="90"/>
      <c r="AA62" s="90"/>
      <c r="AB62" s="395"/>
      <c r="AC62" s="395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 t="e">
        <f t="shared" ref="J69:O69" si="52">AVERAGE(J59:J68)</f>
        <v>#N/A</v>
      </c>
      <c r="K69" s="240" t="e">
        <f t="shared" si="52"/>
        <v>#N/A</v>
      </c>
      <c r="L69" s="268" t="e">
        <f t="shared" si="52"/>
        <v>#N/A</v>
      </c>
      <c r="M69" s="240">
        <f t="shared" si="52"/>
        <v>12.333333333333334</v>
      </c>
      <c r="N69" s="240">
        <f t="shared" si="52"/>
        <v>1894.5860215053951</v>
      </c>
      <c r="O69" s="268">
        <f t="shared" si="52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406"/>
    </row>
    <row r="70" spans="1:36" ht="15" customHeight="1">
      <c r="A70" s="456" t="s">
        <v>55</v>
      </c>
      <c r="B70" s="129" t="e">
        <f>VLOOKUP(D70,廠價表!$C$1:$E$41,2,0)</f>
        <v>#N/A</v>
      </c>
      <c r="C70" s="129"/>
      <c r="D70" s="131"/>
      <c r="E70" s="132"/>
      <c r="F70" s="129" t="e">
        <f>VLOOKUP(D70,廠價表!$C$1:$E$41,3,0)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VLOOKUP(D70,產線配置圖!$A$3:$C$39,2,0)</f>
        <v>#N/A</v>
      </c>
      <c r="K70" s="137" t="e">
        <f>VLOOKUP(D70,產線配置圖!$A$3:$C$39,3,0)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424" t="e">
        <f>R79</f>
        <v>#N/A</v>
      </c>
      <c r="T70" s="245">
        <v>0.34722222222222199</v>
      </c>
      <c r="U70" s="245">
        <v>0.46875</v>
      </c>
      <c r="V70" s="55"/>
      <c r="W70" s="54">
        <f t="shared" si="17"/>
        <v>175.00000000000034</v>
      </c>
      <c r="X70" s="270"/>
      <c r="Y70" s="292"/>
      <c r="Z70" s="169"/>
      <c r="AA70" s="169"/>
      <c r="AB70" s="402"/>
      <c r="AC70" s="402"/>
      <c r="AD70" s="135"/>
      <c r="AE70" s="135"/>
      <c r="AF70" s="310" t="e">
        <f>N70-K70</f>
        <v>#N/A</v>
      </c>
      <c r="AG70" s="246" t="e">
        <f>N70/K70</f>
        <v>#N/A</v>
      </c>
      <c r="AH70" s="403" t="e">
        <f>AG79</f>
        <v>#N/A</v>
      </c>
    </row>
    <row r="71" spans="1:36" ht="15" customHeight="1">
      <c r="A71" s="45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5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53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53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53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53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 t="e">
        <f t="shared" ref="J79:O79" si="54">AVERAGE(J70:J78)</f>
        <v>#N/A</v>
      </c>
      <c r="K79" s="240" t="e">
        <f t="shared" si="54"/>
        <v>#N/A</v>
      </c>
      <c r="L79" s="268" t="e">
        <f t="shared" si="54"/>
        <v>#N/A</v>
      </c>
      <c r="M79" s="240">
        <f t="shared" si="54"/>
        <v>11</v>
      </c>
      <c r="N79" s="240">
        <f t="shared" si="54"/>
        <v>775.88571428571277</v>
      </c>
      <c r="O79" s="268">
        <f t="shared" si="54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P1:S2"/>
    <mergeCell ref="AB1:AC2"/>
    <mergeCell ref="A2:B2"/>
    <mergeCell ref="A3:A4"/>
    <mergeCell ref="B3:B4"/>
    <mergeCell ref="D3:E4"/>
    <mergeCell ref="F3:F4"/>
    <mergeCell ref="Q3:Q4"/>
    <mergeCell ref="J1:L2"/>
    <mergeCell ref="M1:O2"/>
    <mergeCell ref="A5:A15"/>
    <mergeCell ref="S5:S15"/>
    <mergeCell ref="AB5:AC5"/>
    <mergeCell ref="D15:E15"/>
    <mergeCell ref="G3:G4"/>
    <mergeCell ref="H3:H4"/>
    <mergeCell ref="I3:I4"/>
    <mergeCell ref="J3:J4"/>
    <mergeCell ref="K3:K4"/>
    <mergeCell ref="O3:O4"/>
    <mergeCell ref="L3:L4"/>
    <mergeCell ref="M3:M4"/>
    <mergeCell ref="N3:N4"/>
    <mergeCell ref="X3:Y3"/>
    <mergeCell ref="T3:U3"/>
    <mergeCell ref="P3:P4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</mergeCells>
  <phoneticPr fontId="6" type="noConversion"/>
  <conditionalFormatting sqref="P5:P79">
    <cfRule type="cellIs" dxfId="318" priority="1" operator="greaterThan">
      <formula>0</formula>
    </cfRule>
  </conditionalFormatting>
  <conditionalFormatting sqref="Q5:Q79 AF5:AF79">
    <cfRule type="cellIs" dxfId="317" priority="4" operator="lessThan">
      <formula>0</formula>
    </cfRule>
  </conditionalFormatting>
  <conditionalFormatting sqref="R5:R79 AG5:AG79">
    <cfRule type="cellIs" dxfId="316" priority="2" operator="greaterThan">
      <formula>1</formula>
    </cfRule>
    <cfRule type="cellIs" dxfId="315" priority="3" operator="lessThan">
      <formula>0.8</formula>
    </cfRule>
  </conditionalFormatting>
  <conditionalFormatting sqref="S5:S10 S37:S62 AH59:AH62 S69:S76 AH69:AH76">
    <cfRule type="cellIs" dxfId="314" priority="7" operator="lessThan">
      <formula>0.8</formula>
    </cfRule>
  </conditionalFormatting>
  <conditionalFormatting sqref="S19:S25 AH19:AH25">
    <cfRule type="cellIs" dxfId="313" priority="6" operator="lessThan">
      <formula>0.8</formula>
    </cfRule>
  </conditionalFormatting>
  <conditionalFormatting sqref="S79">
    <cfRule type="cellIs" dxfId="312" priority="5" operator="lessThan">
      <formula>0.8</formula>
    </cfRule>
  </conditionalFormatting>
  <conditionalFormatting sqref="AH5:AH8 S15:S16 AH15:AH16 AH49 AH79">
    <cfRule type="cellIs" dxfId="311" priority="9" operator="lessThan">
      <formula>0.8</formula>
    </cfRule>
  </conditionalFormatting>
  <conditionalFormatting sqref="AH27 S27:S28">
    <cfRule type="cellIs" dxfId="3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0B57F-01C6-4CC4-8A3F-6ED300E8E2D0}">
  <sheetPr codeName="工作表5"/>
  <dimension ref="B1:O26"/>
  <sheetViews>
    <sheetView topLeftCell="B2" zoomScale="70" zoomScaleNormal="70" workbookViewId="0">
      <selection activeCell="J20" sqref="J2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46054</v>
      </c>
      <c r="E3" s="493"/>
      <c r="F3" s="3" t="s">
        <v>72</v>
      </c>
      <c r="G3" s="494">
        <f>'0201'!E1</f>
        <v>63199</v>
      </c>
      <c r="H3" s="494"/>
      <c r="I3" s="3" t="s">
        <v>2</v>
      </c>
      <c r="J3" s="495">
        <f>'0201'!G1</f>
        <v>3059903.2099999995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114.25156421542977</v>
      </c>
      <c r="G6" s="490"/>
      <c r="H6" s="491">
        <f>AVERAGE(D13:H13,J13)</f>
        <v>111.9753826103091</v>
      </c>
      <c r="I6" s="491"/>
      <c r="J6" s="491">
        <f>AVERAGE(I13)</f>
        <v>127.90865384615384</v>
      </c>
      <c r="K6" s="491"/>
      <c r="L6" s="497">
        <f>SUM(D18:J18)</f>
        <v>0</v>
      </c>
      <c r="M6" s="482">
        <f>SUM(D19:J19)</f>
        <v>0</v>
      </c>
      <c r="N6" s="498">
        <f>SUM(D20:J20)</f>
        <v>2</v>
      </c>
      <c r="O6" s="482">
        <f>SUM(D20:J20)</f>
        <v>2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106.92283116956496</v>
      </c>
      <c r="G7" s="479"/>
      <c r="H7" s="480">
        <f>AVERAGE(D14:H14,J14)</f>
        <v>104.9591576231811</v>
      </c>
      <c r="I7" s="480"/>
      <c r="J7" s="480">
        <f>AVERAGE(I14)</f>
        <v>118.7048724478682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0.93585441830760463</v>
      </c>
      <c r="G8" s="485"/>
      <c r="H8" s="485">
        <f>H7/H6</f>
        <v>0.93734136179247984</v>
      </c>
      <c r="I8" s="485"/>
      <c r="J8" s="485">
        <f>J7/J6</f>
        <v>0.92804410709101992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VALUE('0201'!L15)</f>
        <v>130.84033613445379</v>
      </c>
      <c r="E13" s="13">
        <f>VALUE('0201'!L26)</f>
        <v>162.15811965811966</v>
      </c>
      <c r="F13" s="13">
        <f>VALUE('0201'!L37)</f>
        <v>89.988235294117644</v>
      </c>
      <c r="G13" s="13">
        <f>VALUE('0201'!L48)</f>
        <v>87.685049019607845</v>
      </c>
      <c r="H13" s="13">
        <f>VALUE('0201'!L58)</f>
        <v>88.680555555555571</v>
      </c>
      <c r="I13" s="13">
        <f>VALUE('0201'!L69)</f>
        <v>127.90865384615384</v>
      </c>
      <c r="J13" s="13">
        <f>'0201'!L79</f>
        <v>112.5</v>
      </c>
    </row>
    <row r="14" spans="2:15" ht="39.950000000000003" customHeight="1">
      <c r="B14" s="473"/>
      <c r="C14" s="12" t="s">
        <v>100</v>
      </c>
      <c r="D14" s="13">
        <f>VALUE('0201'!O15)</f>
        <v>121.37442716349905</v>
      </c>
      <c r="E14" s="13">
        <f>VALUE('0201'!O26)</f>
        <v>147.28542082917008</v>
      </c>
      <c r="F14" s="13">
        <f>VALUE('0201'!O37)</f>
        <v>82.326961691618635</v>
      </c>
      <c r="G14" s="13">
        <f>VALUE('0201'!O48)</f>
        <v>80.444351073762263</v>
      </c>
      <c r="H14" s="13">
        <f>VALUE('0201'!O58)</f>
        <v>87.232875890128099</v>
      </c>
      <c r="I14" s="13">
        <f>VALUE('0201'!O69)</f>
        <v>118.7048724478682</v>
      </c>
      <c r="J14" s="13">
        <f>'0201'!O79</f>
        <v>111.09090909090841</v>
      </c>
    </row>
    <row r="15" spans="2:15" ht="39.950000000000003" customHeight="1">
      <c r="B15" s="474"/>
      <c r="C15" s="10" t="s">
        <v>26</v>
      </c>
      <c r="D15" s="14">
        <f>D14/D13</f>
        <v>0.92765297575185524</v>
      </c>
      <c r="E15" s="14">
        <f t="shared" ref="E15:I15" si="1">E14/E13</f>
        <v>0.90828273748915</v>
      </c>
      <c r="F15" s="14">
        <f t="shared" si="1"/>
        <v>0.91486360880998618</v>
      </c>
      <c r="G15" s="14">
        <f t="shared" si="1"/>
        <v>0.91742380226956999</v>
      </c>
      <c r="H15" s="14">
        <f t="shared" si="1"/>
        <v>0.9836753428487427</v>
      </c>
      <c r="I15" s="14">
        <f t="shared" si="1"/>
        <v>0.92804410709101992</v>
      </c>
      <c r="J15" s="15">
        <f>'0201'!S70</f>
        <v>0.9874747474747414</v>
      </c>
    </row>
    <row r="16" spans="2:15" ht="17.25" customHeight="1">
      <c r="B16" s="475" t="s">
        <v>101</v>
      </c>
      <c r="C16" s="10" t="s">
        <v>34</v>
      </c>
      <c r="D16" s="16">
        <f>'0201'!T5</f>
        <v>0.3125</v>
      </c>
      <c r="E16" s="16">
        <f>'0201'!T16</f>
        <v>0.28958333333333303</v>
      </c>
      <c r="F16" s="16">
        <f>'0201'!T27</f>
        <v>0.29166666666666702</v>
      </c>
      <c r="G16" s="16">
        <f>'0201'!T38</f>
        <v>0.33333333333333298</v>
      </c>
      <c r="H16" s="16">
        <f>'0201'!T49</f>
        <v>0.29513888888888901</v>
      </c>
      <c r="I16" s="16">
        <f>'0201'!T59</f>
        <v>0.29166666666666702</v>
      </c>
      <c r="J16" s="16">
        <f>'0201'!T70</f>
        <v>0.33333333333333298</v>
      </c>
    </row>
    <row r="17" spans="2:10" ht="17.25" customHeight="1">
      <c r="B17" s="476"/>
      <c r="C17" s="10" t="s">
        <v>35</v>
      </c>
      <c r="D17" s="16">
        <v>0.63888888888888895</v>
      </c>
      <c r="E17" s="19">
        <v>0.68402777777777801</v>
      </c>
      <c r="F17" s="19">
        <v>0.64930555555555602</v>
      </c>
      <c r="G17" s="210">
        <v>0.71527777777777801</v>
      </c>
      <c r="H17" s="21">
        <v>0.65138888888888902</v>
      </c>
      <c r="I17" s="22">
        <v>0.59375</v>
      </c>
      <c r="J17" s="22">
        <v>0.44791666666666702</v>
      </c>
    </row>
    <row r="18" spans="2:10" ht="17.25" customHeight="1">
      <c r="B18" s="477" t="s">
        <v>102</v>
      </c>
      <c r="C18" s="330" t="s">
        <v>36</v>
      </c>
      <c r="D18" s="358">
        <f>'0201'!Z15</f>
        <v>0</v>
      </c>
      <c r="E18" s="359">
        <f>'0201'!Z26</f>
        <v>0</v>
      </c>
      <c r="F18" s="359">
        <f>'0201'!Z37</f>
        <v>0</v>
      </c>
      <c r="G18" s="360">
        <f>'0201'!Z48</f>
        <v>0</v>
      </c>
      <c r="H18" s="360">
        <f>'0201'!Z58</f>
        <v>0</v>
      </c>
      <c r="I18" s="359">
        <f>'0201'!Z69</f>
        <v>0</v>
      </c>
      <c r="J18" s="359">
        <f>'0201'!AA79</f>
        <v>0</v>
      </c>
    </row>
    <row r="19" spans="2:10" ht="17.25" customHeight="1">
      <c r="B19" s="478"/>
      <c r="C19" s="330" t="s">
        <v>37</v>
      </c>
      <c r="D19" s="358">
        <f>'0201'!AA15</f>
        <v>0</v>
      </c>
      <c r="E19" s="359">
        <f>'0201'!AA26</f>
        <v>0</v>
      </c>
      <c r="F19" s="359">
        <f>'0201'!AA37</f>
        <v>0</v>
      </c>
      <c r="G19" s="360">
        <f>'0201'!AA48</f>
        <v>0</v>
      </c>
      <c r="H19" s="360">
        <f>'0201'!AA58</f>
        <v>0</v>
      </c>
      <c r="I19" s="359">
        <f>'0201'!AA69</f>
        <v>0</v>
      </c>
      <c r="J19" s="359">
        <f>'0201'!AB79</f>
        <v>0</v>
      </c>
    </row>
    <row r="20" spans="2:10" ht="17.25" customHeight="1">
      <c r="B20" s="477" t="s">
        <v>103</v>
      </c>
      <c r="C20" s="330" t="s">
        <v>36</v>
      </c>
      <c r="D20" s="358">
        <f>'0201'!AD15</f>
        <v>0</v>
      </c>
      <c r="E20" s="359">
        <f>'0201'!AD26</f>
        <v>2</v>
      </c>
      <c r="F20" s="359">
        <f>'0201'!AD37</f>
        <v>0</v>
      </c>
      <c r="G20" s="360">
        <f>'0201'!AD48</f>
        <v>0</v>
      </c>
      <c r="H20" s="360">
        <f>'0201'!AD58</f>
        <v>0</v>
      </c>
      <c r="I20" s="359">
        <f>'0201'!AD69</f>
        <v>0</v>
      </c>
      <c r="J20" s="359">
        <f>'0201'!AD79</f>
        <v>0</v>
      </c>
    </row>
    <row r="21" spans="2:10" ht="17.25" customHeight="1">
      <c r="B21" s="478"/>
      <c r="C21" s="330" t="s">
        <v>85</v>
      </c>
      <c r="D21" s="358">
        <f>'0201'!AE15</f>
        <v>0</v>
      </c>
      <c r="E21" s="359">
        <f>'0201'!AE26</f>
        <v>2</v>
      </c>
      <c r="F21" s="359">
        <f>'0201'!AE37</f>
        <v>0</v>
      </c>
      <c r="G21" s="360">
        <f>'0201'!AE48</f>
        <v>0</v>
      </c>
      <c r="H21" s="360">
        <f>'0201'!AE58</f>
        <v>0</v>
      </c>
      <c r="I21" s="359">
        <f>'0201'!AE69</f>
        <v>0</v>
      </c>
      <c r="J21" s="359">
        <f>'0201'!AE79</f>
        <v>0</v>
      </c>
    </row>
    <row r="22" spans="2:10" ht="17.25" customHeight="1">
      <c r="B22" s="460" t="s">
        <v>104</v>
      </c>
      <c r="C22" s="461"/>
      <c r="D22" s="23">
        <f>VALUE('0201'!M15)</f>
        <v>15</v>
      </c>
      <c r="E22" s="23">
        <f>VALUE('0201'!M26)</f>
        <v>13.333333333333334</v>
      </c>
      <c r="F22" s="23">
        <f>VALUE('0201'!M37)</f>
        <v>15.6</v>
      </c>
      <c r="G22" s="23">
        <f>VALUE('0201'!M48)</f>
        <v>16</v>
      </c>
      <c r="H22" s="23">
        <f>VALUE('0201'!M58)</f>
        <v>17</v>
      </c>
      <c r="I22" s="23">
        <f>VALUE('0201'!M69)</f>
        <v>12.25</v>
      </c>
      <c r="J22" s="23">
        <f>'0201'!M79</f>
        <v>10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3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B1F2-219E-419A-A008-AD40FC46A3DC}">
  <sheetPr codeName="工作表6">
    <tabColor theme="9" tint="0.79998168889431442"/>
  </sheetPr>
  <dimension ref="A1:AJ92"/>
  <sheetViews>
    <sheetView zoomScale="69" zoomScaleNormal="69" workbookViewId="0">
      <pane xSplit="5" ySplit="4" topLeftCell="F44" activePane="bottomRight" state="frozen"/>
      <selection activeCell="K15" sqref="K15"/>
      <selection pane="topRight" activeCell="K15" sqref="K15"/>
      <selection pane="bottomLeft" activeCell="K15" sqref="K15"/>
      <selection pane="bottomRight" activeCell="X52" sqref="X5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63199</v>
      </c>
      <c r="F1" s="30" t="s">
        <v>2</v>
      </c>
      <c r="G1" s="31">
        <f>SUM(H5:H79)</f>
        <v>3059903.2099999995</v>
      </c>
      <c r="H1" s="32" t="s">
        <v>3</v>
      </c>
      <c r="I1" s="33">
        <f>M15+M26+M48+M58+M69+M79+M37</f>
        <v>99.183333333333337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112</v>
      </c>
      <c r="B2" s="374"/>
      <c r="C2" s="28"/>
      <c r="D2" s="28" t="s">
        <v>14</v>
      </c>
      <c r="E2" s="35">
        <f>AVERAGE(O15,O26,O37,O48,O58,O69,O79)</f>
        <v>106.92283116956496</v>
      </c>
      <c r="F2" s="36" t="s">
        <v>15</v>
      </c>
      <c r="G2" s="37">
        <f>G1/E1</f>
        <v>48.416956122723455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0</v>
      </c>
      <c r="AA2" s="339">
        <f>AA15+AA26+AA37+AA48+AA58+AA69+AA79</f>
        <v>0</v>
      </c>
      <c r="AB2" s="370"/>
      <c r="AC2" s="370"/>
      <c r="AD2" s="340">
        <f>AD15+AD26+AD37+AD48+AD58+AD69+AD79</f>
        <v>2</v>
      </c>
      <c r="AE2" s="340">
        <f>AE15+AE26+AE37+AE48+AE58+AE69+AE79</f>
        <v>2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57.21</v>
      </c>
      <c r="G5" s="42">
        <v>1343</v>
      </c>
      <c r="H5" s="43">
        <f>F5*G5</f>
        <v>76833.03</v>
      </c>
      <c r="I5" s="44"/>
      <c r="J5" s="45">
        <f>VLOOKUP(D5,產線配置圖!$A$3:$C$39,2,0)</f>
        <v>17</v>
      </c>
      <c r="K5" s="46">
        <f>VLOOKUP(D5,產線配置圖!$A$3:$C$39,3,0)</f>
        <v>2000</v>
      </c>
      <c r="L5" s="47">
        <f t="shared" ref="L5:L8" si="0">K5/J5</f>
        <v>117.64705882352941</v>
      </c>
      <c r="M5" s="48">
        <v>17</v>
      </c>
      <c r="N5" s="46">
        <f t="shared" ref="N5:N8" si="1">G5/W5*60</f>
        <v>1611.6000000000111</v>
      </c>
      <c r="O5" s="47">
        <f t="shared" ref="O5:O8" si="2">N5/M5</f>
        <v>94.800000000000651</v>
      </c>
      <c r="P5" s="49">
        <f t="shared" ref="P5:P8" si="3">M5-J5</f>
        <v>0</v>
      </c>
      <c r="Q5" s="50">
        <f t="shared" ref="Q5:Q8" si="4">O5-L5</f>
        <v>-22.847058823528755</v>
      </c>
      <c r="R5" s="51">
        <f t="shared" ref="R5:R8" si="5">O5/L5</f>
        <v>0.80580000000000562</v>
      </c>
      <c r="S5" s="424">
        <f>R15</f>
        <v>0.92765297575185524</v>
      </c>
      <c r="T5" s="319">
        <v>0.3125</v>
      </c>
      <c r="U5" s="320">
        <v>0.34722222222222199</v>
      </c>
      <c r="V5" s="53"/>
      <c r="W5" s="54">
        <f t="shared" ref="W5:W14" si="6">(U5-T5)*24*60</f>
        <v>49.999999999999659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11" si="7">N5-K5</f>
        <v>-388.39999999998895</v>
      </c>
      <c r="AG5" s="52">
        <f t="shared" ref="AG5:AG11" si="8">N5/K5</f>
        <v>0.80580000000000551</v>
      </c>
      <c r="AH5" s="403">
        <f>AG15</f>
        <v>0.92309725882440619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2554</v>
      </c>
      <c r="H6" s="63">
        <f>F6*G6</f>
        <v>143739.12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1781.8604651162855</v>
      </c>
      <c r="O6" s="67">
        <f t="shared" si="2"/>
        <v>118.79069767441904</v>
      </c>
      <c r="P6" s="69">
        <f t="shared" si="3"/>
        <v>0</v>
      </c>
      <c r="Q6" s="70">
        <f t="shared" si="4"/>
        <v>-1.2093023255809641</v>
      </c>
      <c r="R6" s="71">
        <f t="shared" si="5"/>
        <v>0.98992248062015864</v>
      </c>
      <c r="S6" s="425"/>
      <c r="T6" s="16">
        <v>0.35555555555555601</v>
      </c>
      <c r="U6" s="16">
        <v>0.41527777777777802</v>
      </c>
      <c r="V6" s="30">
        <f>(T6-U5)*24*60</f>
        <v>12.000000000000997</v>
      </c>
      <c r="W6" s="73">
        <f t="shared" si="6"/>
        <v>85.999999999999687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-18.139534883714532</v>
      </c>
      <c r="AG6" s="72">
        <f t="shared" si="8"/>
        <v>0.98992248062015864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1613</v>
      </c>
      <c r="H7" s="78">
        <f>F7*G7</f>
        <v>79262.820000000007</v>
      </c>
      <c r="I7" s="73"/>
      <c r="J7" s="79"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1897.6470588235629</v>
      </c>
      <c r="O7" s="81">
        <f t="shared" si="2"/>
        <v>135.54621848739734</v>
      </c>
      <c r="P7" s="74">
        <f t="shared" si="3"/>
        <v>0</v>
      </c>
      <c r="Q7" s="83">
        <f t="shared" si="4"/>
        <v>-7.3109243697455213</v>
      </c>
      <c r="R7" s="72">
        <f t="shared" si="5"/>
        <v>0.94882352941178139</v>
      </c>
      <c r="S7" s="425"/>
      <c r="T7" s="18">
        <v>0.44305555555555598</v>
      </c>
      <c r="U7" s="18">
        <v>0.47847222222222202</v>
      </c>
      <c r="V7" s="30">
        <f>(T7-U6)*24*60</f>
        <v>40.000000000000256</v>
      </c>
      <c r="W7" s="73">
        <f t="shared" si="6"/>
        <v>50.999999999999098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-102.35294117643707</v>
      </c>
      <c r="AG7" s="72">
        <f t="shared" si="8"/>
        <v>0.9488235294117815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4359</v>
      </c>
      <c r="H8" s="78">
        <f>F8*G8</f>
        <v>214201.26</v>
      </c>
      <c r="I8" s="73"/>
      <c r="J8" s="79">
        <v>14</v>
      </c>
      <c r="K8" s="80">
        <f>VLOOKUP(D8,產線配置圖!$A$3:$C$39,3,0)</f>
        <v>2000</v>
      </c>
      <c r="L8" s="81">
        <f t="shared" si="0"/>
        <v>142.85714285714286</v>
      </c>
      <c r="M8" s="82">
        <v>14</v>
      </c>
      <c r="N8" s="80">
        <f t="shared" si="1"/>
        <v>1909.0510948905089</v>
      </c>
      <c r="O8" s="81">
        <f t="shared" si="2"/>
        <v>136.3607924921792</v>
      </c>
      <c r="P8" s="74">
        <f t="shared" si="3"/>
        <v>0</v>
      </c>
      <c r="Q8" s="83">
        <f t="shared" si="4"/>
        <v>-6.4963503649636607</v>
      </c>
      <c r="R8" s="72">
        <f t="shared" si="5"/>
        <v>0.95452554744525442</v>
      </c>
      <c r="S8" s="425"/>
      <c r="T8" s="16">
        <v>0.54374999999999996</v>
      </c>
      <c r="U8" s="16">
        <v>0.63888888888888895</v>
      </c>
      <c r="V8" s="30">
        <f>(T8-U7)*24*60</f>
        <v>94.000000000000227</v>
      </c>
      <c r="W8" s="73">
        <f t="shared" si="6"/>
        <v>137.00000000000014</v>
      </c>
      <c r="X8" s="22">
        <v>0.48611111111111099</v>
      </c>
      <c r="Y8" s="84">
        <v>0.52777777777777801</v>
      </c>
      <c r="Z8" s="90"/>
      <c r="AA8" s="90"/>
      <c r="AB8" s="407"/>
      <c r="AC8" s="407"/>
      <c r="AD8" s="149"/>
      <c r="AE8" s="149"/>
      <c r="AF8" s="307">
        <f t="shared" si="7"/>
        <v>-90.948905109491079</v>
      </c>
      <c r="AG8" s="72">
        <f t="shared" si="8"/>
        <v>0.95452554744525442</v>
      </c>
      <c r="AH8" s="404"/>
    </row>
    <row r="9" spans="1:34" ht="15" customHeight="1">
      <c r="A9" s="42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6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0</v>
      </c>
      <c r="AG9" s="72" t="e">
        <f t="shared" si="8"/>
        <v>#DIV/0!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9">AVERAGE(J5:J14)</f>
        <v>15</v>
      </c>
      <c r="K15" s="120">
        <f t="shared" si="9"/>
        <v>1950</v>
      </c>
      <c r="L15" s="117">
        <f t="shared" si="9"/>
        <v>130.84033613445379</v>
      </c>
      <c r="M15" s="120">
        <f t="shared" si="9"/>
        <v>15</v>
      </c>
      <c r="N15" s="120">
        <f t="shared" si="9"/>
        <v>1800.039654707592</v>
      </c>
      <c r="O15" s="117">
        <f t="shared" si="9"/>
        <v>121.37442716349905</v>
      </c>
      <c r="P15" s="121">
        <f t="shared" ref="P15:P21" si="10">M15-J15</f>
        <v>0</v>
      </c>
      <c r="Q15" s="122">
        <f t="shared" ref="Q15:Q21" si="11">O15-L15</f>
        <v>-9.465908970954743</v>
      </c>
      <c r="R15" s="123">
        <f t="shared" ref="R15:R21" si="12">O15/L15</f>
        <v>0.92765297575185524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3">N15-K15</f>
        <v>-149.96034529240796</v>
      </c>
      <c r="AG15" s="124">
        <f t="shared" ref="AG15:AG19" si="14">N15/K15</f>
        <v>0.92309725882440619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1217</v>
      </c>
      <c r="H16" s="134">
        <f>F16*G16</f>
        <v>69624.570000000007</v>
      </c>
      <c r="I16" s="135"/>
      <c r="J16" s="136">
        <v>13</v>
      </c>
      <c r="K16" s="137">
        <f>VLOOKUP(D16,產線配置圖!$A$3:$C$39,3,0)</f>
        <v>2105</v>
      </c>
      <c r="L16" s="138">
        <f t="shared" ref="L16:L21" si="15">K16/J16</f>
        <v>161.92307692307693</v>
      </c>
      <c r="M16" s="139">
        <v>14</v>
      </c>
      <c r="N16" s="140">
        <f t="shared" ref="N16:N21" si="16">G16/W16*60</f>
        <v>2212.727272727243</v>
      </c>
      <c r="O16" s="141">
        <f>N16/M16</f>
        <v>158.05194805194591</v>
      </c>
      <c r="P16" s="142">
        <f>M16-J16</f>
        <v>1</v>
      </c>
      <c r="Q16" s="143">
        <f t="shared" si="11"/>
        <v>-3.8711288711310203</v>
      </c>
      <c r="R16" s="144">
        <f>O16/L16</f>
        <v>0.97609279081961842</v>
      </c>
      <c r="S16" s="417">
        <f>R26</f>
        <v>0.90828273748915</v>
      </c>
      <c r="T16" s="145">
        <v>0.28958333333333303</v>
      </c>
      <c r="U16" s="145">
        <v>0.3125</v>
      </c>
      <c r="V16" s="135"/>
      <c r="W16" s="146">
        <f t="shared" ref="W16:W78" si="17">(U16-T16)*24*60</f>
        <v>33.000000000000441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3"/>
        <v>107.72727272724296</v>
      </c>
      <c r="AG16" s="52">
        <f t="shared" si="14"/>
        <v>1.0511768516518969</v>
      </c>
      <c r="AH16" s="403">
        <f>AG26</f>
        <v>0.95271966360881843</v>
      </c>
    </row>
    <row r="17" spans="1:34" ht="15" customHeight="1">
      <c r="A17" s="414"/>
      <c r="B17" s="75" t="s">
        <v>81</v>
      </c>
      <c r="C17" s="76"/>
      <c r="D17" s="59" t="s">
        <v>116</v>
      </c>
      <c r="E17" s="77"/>
      <c r="F17" s="75">
        <f>VLOOKUP(D17,廠價表!$C$1:$E$41,3,0)</f>
        <v>57.21</v>
      </c>
      <c r="G17" s="147">
        <v>1829</v>
      </c>
      <c r="H17" s="78">
        <f>F17*G17</f>
        <v>104637.09</v>
      </c>
      <c r="I17" s="30"/>
      <c r="J17" s="79">
        <v>13</v>
      </c>
      <c r="K17" s="80">
        <f>VLOOKUP(D17,產線配置圖!$A$3:$C$39,3,0)</f>
        <v>2105</v>
      </c>
      <c r="L17" s="81">
        <f t="shared" si="15"/>
        <v>161.92307692307693</v>
      </c>
      <c r="M17" s="148">
        <v>16</v>
      </c>
      <c r="N17" s="95">
        <f>G17/W17*60</f>
        <v>2110.3846153846198</v>
      </c>
      <c r="O17" s="96">
        <f t="shared" ref="O17:O21" si="18">N17/M17</f>
        <v>131.89903846153874</v>
      </c>
      <c r="P17" s="97">
        <f t="shared" si="10"/>
        <v>3</v>
      </c>
      <c r="Q17" s="98">
        <f t="shared" si="11"/>
        <v>-30.024038461538197</v>
      </c>
      <c r="R17" s="99">
        <f t="shared" si="12"/>
        <v>0.81457838479810141</v>
      </c>
      <c r="S17" s="418"/>
      <c r="T17" s="19">
        <v>0.31805555555555598</v>
      </c>
      <c r="U17" s="19">
        <v>0.35416666666666702</v>
      </c>
      <c r="V17" s="30">
        <f>(T17-U16)*24*60</f>
        <v>8.0000000000006111</v>
      </c>
      <c r="W17" s="149">
        <f t="shared" si="17"/>
        <v>51.999999999999893</v>
      </c>
      <c r="X17" s="19"/>
      <c r="Y17" s="297"/>
      <c r="Z17" s="90"/>
      <c r="AA17" s="90"/>
      <c r="AB17" s="395" t="s">
        <v>117</v>
      </c>
      <c r="AC17" s="395"/>
      <c r="AD17" s="92"/>
      <c r="AE17" s="92"/>
      <c r="AF17" s="307">
        <f t="shared" si="13"/>
        <v>5.3846153846197922</v>
      </c>
      <c r="AG17" s="72">
        <f t="shared" si="14"/>
        <v>1.0025580120592017</v>
      </c>
      <c r="AH17" s="404"/>
    </row>
    <row r="18" spans="1:34" ht="15" customHeight="1">
      <c r="A18" s="414"/>
      <c r="B18" s="75" t="s">
        <v>81</v>
      </c>
      <c r="C18" s="76"/>
      <c r="D18" s="59" t="s">
        <v>118</v>
      </c>
      <c r="E18" s="77"/>
      <c r="F18" s="75">
        <f>VLOOKUP(D18,廠價表!$C$1:$E$41,3,0)</f>
        <v>50.67</v>
      </c>
      <c r="G18" s="147">
        <v>3984</v>
      </c>
      <c r="H18" s="78">
        <f>F18*G18</f>
        <v>201869.28</v>
      </c>
      <c r="I18" s="30"/>
      <c r="J18" s="79">
        <v>13</v>
      </c>
      <c r="K18" s="80">
        <f>VLOOKUP(D18,產線配置圖!$A$3:$C$39,3,0)</f>
        <v>2000</v>
      </c>
      <c r="L18" s="81">
        <f t="shared" si="15"/>
        <v>153.84615384615384</v>
      </c>
      <c r="M18" s="148">
        <v>13</v>
      </c>
      <c r="N18" s="95">
        <f t="shared" si="16"/>
        <v>1992.0000000000086</v>
      </c>
      <c r="O18" s="96">
        <f t="shared" si="18"/>
        <v>153.23076923076991</v>
      </c>
      <c r="P18" s="97">
        <f t="shared" si="10"/>
        <v>0</v>
      </c>
      <c r="Q18" s="98">
        <f t="shared" si="11"/>
        <v>-0.61538461538393108</v>
      </c>
      <c r="R18" s="99">
        <f t="shared" si="12"/>
        <v>0.99600000000000444</v>
      </c>
      <c r="S18" s="418"/>
      <c r="T18" s="19">
        <v>0.36111111111111099</v>
      </c>
      <c r="U18" s="19">
        <v>0.44444444444444398</v>
      </c>
      <c r="V18" s="30">
        <f>(T18-U17)*24*60</f>
        <v>9.999999999999325</v>
      </c>
      <c r="W18" s="149">
        <f t="shared" si="17"/>
        <v>119.99999999999949</v>
      </c>
      <c r="X18" s="22"/>
      <c r="Y18" s="84"/>
      <c r="Z18" s="90"/>
      <c r="AA18" s="90"/>
      <c r="AB18" s="395"/>
      <c r="AC18" s="395"/>
      <c r="AD18" s="92"/>
      <c r="AE18" s="92"/>
      <c r="AF18" s="307">
        <f t="shared" si="13"/>
        <v>-7.9999999999913598</v>
      </c>
      <c r="AG18" s="72">
        <f t="shared" si="14"/>
        <v>0.99600000000000433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1156</v>
      </c>
      <c r="H19" s="78">
        <f t="shared" ref="H19:H21" si="19">F19*G19</f>
        <v>58250.840000000004</v>
      </c>
      <c r="I19" s="30"/>
      <c r="J19" s="79">
        <v>12</v>
      </c>
      <c r="K19" s="80">
        <f>VLOOKUP(D19,產線配置圖!$A$3:$C$39,3,0)</f>
        <v>2000</v>
      </c>
      <c r="L19" s="81">
        <f t="shared" si="15"/>
        <v>166.66666666666666</v>
      </c>
      <c r="M19" s="148">
        <v>12</v>
      </c>
      <c r="N19" s="95">
        <f t="shared" si="16"/>
        <v>1733.9999999999852</v>
      </c>
      <c r="O19" s="96">
        <f t="shared" si="18"/>
        <v>144.49999999999878</v>
      </c>
      <c r="P19" s="97">
        <f t="shared" si="10"/>
        <v>0</v>
      </c>
      <c r="Q19" s="98">
        <f t="shared" si="11"/>
        <v>-22.166666666667879</v>
      </c>
      <c r="R19" s="99">
        <f t="shared" si="12"/>
        <v>0.86699999999999267</v>
      </c>
      <c r="S19" s="418"/>
      <c r="T19" s="19">
        <v>0.45138888888888901</v>
      </c>
      <c r="U19" s="19">
        <v>0.47916666666666702</v>
      </c>
      <c r="V19" s="30">
        <f>(T19-U18)*24*60</f>
        <v>10.000000000000844</v>
      </c>
      <c r="W19" s="149">
        <f t="shared" si="17"/>
        <v>40.000000000000341</v>
      </c>
      <c r="X19" s="22"/>
      <c r="Y19" s="84"/>
      <c r="Z19" s="90"/>
      <c r="AA19" s="90"/>
      <c r="AB19" s="407"/>
      <c r="AC19" s="407"/>
      <c r="AD19" s="149"/>
      <c r="AE19" s="149"/>
      <c r="AF19" s="307">
        <f t="shared" si="13"/>
        <v>-266.00000000001478</v>
      </c>
      <c r="AG19" s="72">
        <f t="shared" si="14"/>
        <v>0.86699999999999267</v>
      </c>
      <c r="AH19" s="405"/>
    </row>
    <row r="20" spans="1:34" ht="15" customHeight="1">
      <c r="A20" s="414"/>
      <c r="B20" s="75" t="s">
        <v>81</v>
      </c>
      <c r="C20" s="76"/>
      <c r="D20" s="59" t="s">
        <v>119</v>
      </c>
      <c r="E20" s="77"/>
      <c r="F20" s="75">
        <f>VLOOKUP(D20,廠價表!$C$1:$E$41,3,0)</f>
        <v>50.39</v>
      </c>
      <c r="G20" s="147">
        <v>4284</v>
      </c>
      <c r="H20" s="78">
        <f t="shared" si="19"/>
        <v>215870.76</v>
      </c>
      <c r="I20" s="30"/>
      <c r="J20" s="79">
        <v>12</v>
      </c>
      <c r="K20" s="80">
        <f>VLOOKUP(D20,產線配置圖!$A$3:$C$39,3,0)</f>
        <v>2000</v>
      </c>
      <c r="L20" s="81">
        <f t="shared" si="15"/>
        <v>166.66666666666666</v>
      </c>
      <c r="M20" s="148">
        <v>12</v>
      </c>
      <c r="N20" s="95">
        <f t="shared" si="16"/>
        <v>1977.2307692307638</v>
      </c>
      <c r="O20" s="96">
        <f t="shared" si="18"/>
        <v>164.76923076923032</v>
      </c>
      <c r="P20" s="97">
        <f t="shared" si="10"/>
        <v>0</v>
      </c>
      <c r="Q20" s="98">
        <f t="shared" si="11"/>
        <v>-1.8974358974363383</v>
      </c>
      <c r="R20" s="99">
        <f t="shared" si="12"/>
        <v>0.98861538461538201</v>
      </c>
      <c r="S20" s="418"/>
      <c r="T20" s="19">
        <v>0.53472222222222199</v>
      </c>
      <c r="U20" s="19">
        <v>0.625</v>
      </c>
      <c r="V20" s="30">
        <f>(T20-U19)*24*60</f>
        <v>79.999999999999162</v>
      </c>
      <c r="W20" s="149">
        <f t="shared" si="17"/>
        <v>130.00000000000034</v>
      </c>
      <c r="X20" s="22">
        <v>0.48611111111111099</v>
      </c>
      <c r="Y20" s="84">
        <v>0.52777777777777801</v>
      </c>
      <c r="Z20" s="90"/>
      <c r="AA20" s="90"/>
      <c r="AB20" s="395" t="s">
        <v>120</v>
      </c>
      <c r="AC20" s="395"/>
      <c r="AD20" s="92">
        <v>1</v>
      </c>
      <c r="AE20" s="92">
        <v>1</v>
      </c>
      <c r="AF20" s="307"/>
      <c r="AG20" s="72"/>
      <c r="AH20" s="405"/>
    </row>
    <row r="21" spans="1:34" ht="15" customHeight="1">
      <c r="A21" s="415"/>
      <c r="B21" s="75" t="s">
        <v>81</v>
      </c>
      <c r="C21" s="76"/>
      <c r="D21" s="59" t="s">
        <v>116</v>
      </c>
      <c r="E21" s="77"/>
      <c r="F21" s="75">
        <f>VLOOKUP(D21,廠價表!$C$1:$E$41,3,0)</f>
        <v>57.21</v>
      </c>
      <c r="G21" s="147">
        <v>2133</v>
      </c>
      <c r="H21" s="78">
        <f t="shared" si="19"/>
        <v>122028.93000000001</v>
      </c>
      <c r="I21" s="30"/>
      <c r="J21" s="79">
        <v>13</v>
      </c>
      <c r="K21" s="80">
        <f>VLOOKUP(D21,產線配置圖!$A$3:$C$39,3,0)</f>
        <v>2105</v>
      </c>
      <c r="L21" s="81">
        <f t="shared" si="15"/>
        <v>161.92307692307693</v>
      </c>
      <c r="M21" s="148">
        <v>13</v>
      </c>
      <c r="N21" s="95">
        <f t="shared" si="16"/>
        <v>1706.3999999999771</v>
      </c>
      <c r="O21" s="96">
        <f t="shared" si="18"/>
        <v>131.2615384615367</v>
      </c>
      <c r="P21" s="97">
        <f t="shared" si="10"/>
        <v>0</v>
      </c>
      <c r="Q21" s="98">
        <f t="shared" si="11"/>
        <v>-30.661538461540232</v>
      </c>
      <c r="R21" s="99">
        <f t="shared" si="12"/>
        <v>0.81064133016625983</v>
      </c>
      <c r="S21" s="418"/>
      <c r="T21" s="19">
        <v>0.63194444444444398</v>
      </c>
      <c r="U21" s="19">
        <v>0.68402777777777801</v>
      </c>
      <c r="V21" s="30">
        <f>(T21-U20)*24*60</f>
        <v>9.999999999999325</v>
      </c>
      <c r="W21" s="149">
        <f t="shared" si="17"/>
        <v>75.000000000001009</v>
      </c>
      <c r="X21" s="92"/>
      <c r="Y21" s="298"/>
      <c r="Z21" s="90"/>
      <c r="AA21" s="90"/>
      <c r="AB21" s="395" t="s">
        <v>120</v>
      </c>
      <c r="AC21" s="395"/>
      <c r="AD21" s="92">
        <v>1</v>
      </c>
      <c r="AE21" s="92">
        <v>1</v>
      </c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7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9"/>
      <c r="U22" s="19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7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20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20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1">AVERAGE(J16:J25)</f>
        <v>12.666666666666666</v>
      </c>
      <c r="K26" s="155">
        <f t="shared" si="21"/>
        <v>2052.5</v>
      </c>
      <c r="L26" s="158">
        <f t="shared" si="21"/>
        <v>162.15811965811966</v>
      </c>
      <c r="M26" s="155">
        <f t="shared" si="21"/>
        <v>13.333333333333334</v>
      </c>
      <c r="N26" s="155">
        <f t="shared" si="21"/>
        <v>1955.4571095570998</v>
      </c>
      <c r="O26" s="158">
        <f t="shared" si="21"/>
        <v>147.28542082917008</v>
      </c>
      <c r="P26" s="159">
        <f t="shared" ref="P26:P31" si="22">M26-J26</f>
        <v>0.66666666666666785</v>
      </c>
      <c r="Q26" s="160">
        <f t="shared" ref="Q26:Q31" si="23">O26-L26</f>
        <v>-14.872698828949581</v>
      </c>
      <c r="R26" s="161">
        <f>O26/L26</f>
        <v>0.90828273748915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2</v>
      </c>
      <c r="AE26" s="323">
        <f>SUM(AE16:AE25)</f>
        <v>2</v>
      </c>
      <c r="AF26" s="309">
        <f t="shared" ref="AF26:AF31" si="24">N26-K26</f>
        <v>-97.042890442900216</v>
      </c>
      <c r="AG26" s="124">
        <f t="shared" ref="AG26:AG31" si="25">N26/K26</f>
        <v>0.95271966360881843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2000</v>
      </c>
      <c r="H27" s="134">
        <f>F27*G27</f>
        <v>114600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31" si="26">K27/J27</f>
        <v>88.235294117647058</v>
      </c>
      <c r="M27" s="170">
        <v>16</v>
      </c>
      <c r="N27" s="140">
        <f>G27/W27*60</f>
        <v>1395.3488372093086</v>
      </c>
      <c r="O27" s="141">
        <f>N27/M27</f>
        <v>87.209302325581788</v>
      </c>
      <c r="P27" s="142">
        <f t="shared" si="22"/>
        <v>-1</v>
      </c>
      <c r="Q27" s="143">
        <f t="shared" si="23"/>
        <v>-1.0259917920652697</v>
      </c>
      <c r="R27" s="144">
        <f>O27/L27</f>
        <v>0.98837209302326023</v>
      </c>
      <c r="S27" s="417">
        <f>R37</f>
        <v>0.91486360880998618</v>
      </c>
      <c r="T27" s="171">
        <v>0.29166666666666702</v>
      </c>
      <c r="U27" s="171">
        <v>0.35138888888888897</v>
      </c>
      <c r="V27" s="135"/>
      <c r="W27" s="146">
        <f t="shared" si="17"/>
        <v>85.999999999999616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4"/>
        <v>-104.65116279069139</v>
      </c>
      <c r="AG27" s="172">
        <f t="shared" si="25"/>
        <v>0.93023255813953909</v>
      </c>
      <c r="AH27" s="403">
        <f>AG37</f>
        <v>0.8851445861429621</v>
      </c>
    </row>
    <row r="28" spans="1:34" ht="15" customHeight="1">
      <c r="A28" s="430"/>
      <c r="B28" s="75" t="s">
        <v>81</v>
      </c>
      <c r="C28" s="173"/>
      <c r="D28" s="59" t="s">
        <v>122</v>
      </c>
      <c r="E28" s="104"/>
      <c r="F28" s="75">
        <f>VLOOKUP(D28,廠價表!$C$1:$E$41,3,0)</f>
        <v>55.13</v>
      </c>
      <c r="G28" s="90">
        <v>1528</v>
      </c>
      <c r="H28" s="91">
        <f>F28*G28</f>
        <v>84238.64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6"/>
        <v>81.470588235294116</v>
      </c>
      <c r="M28" s="94">
        <v>16</v>
      </c>
      <c r="N28" s="95">
        <f>G28/W28*60</f>
        <v>1291.2676056338175</v>
      </c>
      <c r="O28" s="96">
        <f>N28/M28</f>
        <v>80.704225352113596</v>
      </c>
      <c r="P28" s="97">
        <f t="shared" si="22"/>
        <v>-1</v>
      </c>
      <c r="Q28" s="98">
        <f t="shared" si="23"/>
        <v>-0.76636288318051982</v>
      </c>
      <c r="R28" s="99">
        <f t="shared" ref="R28:R31" si="27">O28/L28</f>
        <v>0.99059337977323547</v>
      </c>
      <c r="S28" s="418"/>
      <c r="T28" s="19">
        <v>0.35763888888888901</v>
      </c>
      <c r="U28" s="19">
        <v>0.406944444444444</v>
      </c>
      <c r="V28" s="92">
        <f>(T28-U27)*24*60</f>
        <v>9.000000000000048</v>
      </c>
      <c r="W28" s="149">
        <f t="shared" si="17"/>
        <v>70.99999999999919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4"/>
        <v>-93.732394366182461</v>
      </c>
      <c r="AG28" s="99">
        <f t="shared" si="25"/>
        <v>0.93232318096304512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1446</v>
      </c>
      <c r="H29" s="91">
        <f>F29*G29</f>
        <v>71605.919999999998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6"/>
        <v>96</v>
      </c>
      <c r="M29" s="94">
        <v>15</v>
      </c>
      <c r="N29" s="95">
        <f>G29/W29*60</f>
        <v>1172.43243243243</v>
      </c>
      <c r="O29" s="96">
        <f>N29/M29</f>
        <v>78.162162162162005</v>
      </c>
      <c r="P29" s="97">
        <f t="shared" si="22"/>
        <v>0</v>
      </c>
      <c r="Q29" s="98">
        <f t="shared" si="23"/>
        <v>-17.837837837837995</v>
      </c>
      <c r="R29" s="99">
        <f t="shared" si="27"/>
        <v>0.81418918918918759</v>
      </c>
      <c r="S29" s="418"/>
      <c r="T29" s="19">
        <v>0.41527777777777802</v>
      </c>
      <c r="U29" s="19">
        <v>0.46666666666666701</v>
      </c>
      <c r="V29" s="92">
        <f>(T29-U28)*24*60</f>
        <v>12.000000000000997</v>
      </c>
      <c r="W29" s="149">
        <f t="shared" si="17"/>
        <v>74.000000000000142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4"/>
        <v>-267.56756756756999</v>
      </c>
      <c r="AG29" s="99">
        <f t="shared" si="25"/>
        <v>0.81418918918918748</v>
      </c>
      <c r="AH29" s="432"/>
    </row>
    <row r="30" spans="1:34" ht="15" customHeight="1">
      <c r="A30" s="430"/>
      <c r="B30" s="75" t="s">
        <v>123</v>
      </c>
      <c r="C30" s="88"/>
      <c r="D30" s="59" t="s">
        <v>124</v>
      </c>
      <c r="E30" s="89"/>
      <c r="F30" s="75">
        <f>VLOOKUP(D30,廠價表!$C$1:$E$41,3,0)</f>
        <v>49.52</v>
      </c>
      <c r="G30" s="90">
        <v>600</v>
      </c>
      <c r="H30" s="91">
        <f t="shared" ref="H30:H31" si="28">F30*G30</f>
        <v>29712.000000000004</v>
      </c>
      <c r="I30" s="92"/>
      <c r="J30" s="79">
        <f>VLOOKUP(D30,產線配置圖!$A$3:$C$39,2,0)</f>
        <v>15</v>
      </c>
      <c r="K30" s="80">
        <f>VLOOKUP(D30,產線配置圖!$A$3:$C$39,3,0)</f>
        <v>1440</v>
      </c>
      <c r="L30" s="93">
        <f t="shared" si="26"/>
        <v>96</v>
      </c>
      <c r="M30" s="94">
        <v>15</v>
      </c>
      <c r="N30" s="95">
        <f t="shared" ref="N30:N31" si="29">G30/W30*60</f>
        <v>1161.2903225806313</v>
      </c>
      <c r="O30" s="96">
        <f t="shared" ref="O30:O31" si="30">N30/M30</f>
        <v>77.419354838708756</v>
      </c>
      <c r="P30" s="97">
        <f t="shared" si="22"/>
        <v>0</v>
      </c>
      <c r="Q30" s="98">
        <f t="shared" si="23"/>
        <v>-18.580645161291244</v>
      </c>
      <c r="R30" s="99">
        <f t="shared" si="27"/>
        <v>0.80645161290321621</v>
      </c>
      <c r="S30" s="418"/>
      <c r="T30" s="19">
        <v>0.531944444444444</v>
      </c>
      <c r="U30" s="19">
        <v>0.55347222222222203</v>
      </c>
      <c r="V30" s="92">
        <f>(T30-U29)*24*60</f>
        <v>93.999999999998863</v>
      </c>
      <c r="W30" s="149">
        <f t="shared" si="17"/>
        <v>31.000000000000369</v>
      </c>
      <c r="X30" s="174">
        <v>0.47916666666666702</v>
      </c>
      <c r="Y30" s="301">
        <v>0.52083333333333304</v>
      </c>
      <c r="Z30" s="335"/>
      <c r="AA30" s="335"/>
      <c r="AB30" s="395"/>
      <c r="AC30" s="395"/>
      <c r="AD30" s="92"/>
      <c r="AE30" s="92"/>
      <c r="AF30" s="312">
        <f t="shared" si="24"/>
        <v>-278.70967741936875</v>
      </c>
      <c r="AG30" s="99">
        <f t="shared" si="25"/>
        <v>0.8064516129032161</v>
      </c>
      <c r="AH30" s="433"/>
    </row>
    <row r="31" spans="1:34" ht="15" customHeight="1">
      <c r="A31" s="430"/>
      <c r="B31" s="75" t="s">
        <v>81</v>
      </c>
      <c r="C31" s="88"/>
      <c r="D31" s="59" t="s">
        <v>121</v>
      </c>
      <c r="E31" s="89"/>
      <c r="F31" s="75">
        <f>VLOOKUP(D31,廠價表!$C$1:$E$41,3,0)</f>
        <v>57.3</v>
      </c>
      <c r="G31" s="90">
        <v>2985</v>
      </c>
      <c r="H31" s="91">
        <f t="shared" si="28"/>
        <v>171040.5</v>
      </c>
      <c r="I31" s="92"/>
      <c r="J31" s="79">
        <f>VLOOKUP(D31,產線配置圖!$A$3:$C$39,2,0)</f>
        <v>17</v>
      </c>
      <c r="K31" s="80">
        <f>VLOOKUP(D31,產線配置圖!$A$3:$C$39,3,0)</f>
        <v>1500</v>
      </c>
      <c r="L31" s="93">
        <f t="shared" si="26"/>
        <v>88.235294117647058</v>
      </c>
      <c r="M31" s="94">
        <v>16</v>
      </c>
      <c r="N31" s="95">
        <f t="shared" si="29"/>
        <v>1410.2362204724318</v>
      </c>
      <c r="O31" s="96">
        <f t="shared" si="30"/>
        <v>88.139763779526987</v>
      </c>
      <c r="P31" s="97">
        <f t="shared" si="22"/>
        <v>-1</v>
      </c>
      <c r="Q31" s="98">
        <f t="shared" si="23"/>
        <v>-9.5530338120070724E-2</v>
      </c>
      <c r="R31" s="99">
        <f t="shared" si="27"/>
        <v>0.99891732283463919</v>
      </c>
      <c r="S31" s="418"/>
      <c r="T31" s="19">
        <v>0.56111111111111101</v>
      </c>
      <c r="U31" s="19">
        <v>0.64930555555555602</v>
      </c>
      <c r="V31" s="92">
        <f>(T31-U30)*24*60</f>
        <v>11.000000000000121</v>
      </c>
      <c r="W31" s="149">
        <f t="shared" si="17"/>
        <v>127.00000000000082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4"/>
        <v>-89.763779527568204</v>
      </c>
      <c r="AG31" s="99">
        <f t="shared" si="25"/>
        <v>0.9401574803149545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31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2">AVERAGE(J27:J36)</f>
        <v>16.2</v>
      </c>
      <c r="K37" s="155">
        <f t="shared" si="32"/>
        <v>1453</v>
      </c>
      <c r="L37" s="158">
        <f t="shared" si="32"/>
        <v>89.988235294117644</v>
      </c>
      <c r="M37" s="155">
        <f t="shared" si="32"/>
        <v>15.6</v>
      </c>
      <c r="N37" s="155">
        <f t="shared" si="32"/>
        <v>1286.1150836657239</v>
      </c>
      <c r="O37" s="158">
        <f t="shared" si="32"/>
        <v>82.326961691618635</v>
      </c>
      <c r="P37" s="159">
        <f>M37-J37</f>
        <v>-0.59999999999999964</v>
      </c>
      <c r="Q37" s="160">
        <f>N37-K37</f>
        <v>-166.88491633427611</v>
      </c>
      <c r="R37" s="161">
        <f t="shared" ref="R37:R43" si="33">O37/L37</f>
        <v>0.91486360880998618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4">N37-K37</f>
        <v>-166.88491633427611</v>
      </c>
      <c r="AG37" s="124">
        <f t="shared" ref="AG37:AG41" si="35">N37/K37</f>
        <v>0.8851445861429621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1019</v>
      </c>
      <c r="H38" s="134">
        <f>F38*G38</f>
        <v>57502.17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3" si="36">K38/J38</f>
        <v>87.875</v>
      </c>
      <c r="M38" s="190">
        <v>15</v>
      </c>
      <c r="N38" s="140">
        <f>G38/W38*60</f>
        <v>1018.9999999999916</v>
      </c>
      <c r="O38" s="141">
        <f>N38/M38</f>
        <v>67.933333333332769</v>
      </c>
      <c r="P38" s="142">
        <f t="shared" ref="P38:P43" si="37">M38-J38</f>
        <v>-1</v>
      </c>
      <c r="Q38" s="143">
        <f t="shared" ref="Q38:Q43" si="38">O38-L38</f>
        <v>-19.941666666667231</v>
      </c>
      <c r="R38" s="144">
        <f>O38/L38</f>
        <v>0.77306780464674563</v>
      </c>
      <c r="S38" s="437">
        <f>R48</f>
        <v>0.91742380226956999</v>
      </c>
      <c r="T38" s="191">
        <v>0.33333333333333298</v>
      </c>
      <c r="U38" s="191">
        <v>0.375</v>
      </c>
      <c r="V38" s="192"/>
      <c r="W38" s="193">
        <f t="shared" si="17"/>
        <v>60.000000000000504</v>
      </c>
      <c r="X38" s="194"/>
      <c r="Y38" s="302"/>
      <c r="Z38" s="336"/>
      <c r="AA38" s="336"/>
      <c r="AB38" s="439" t="s">
        <v>126</v>
      </c>
      <c r="AC38" s="439"/>
      <c r="AD38" s="192"/>
      <c r="AE38" s="192"/>
      <c r="AF38" s="313">
        <f t="shared" si="34"/>
        <v>-387.00000000000841</v>
      </c>
      <c r="AG38" s="195">
        <f t="shared" si="35"/>
        <v>0.72475106685632407</v>
      </c>
      <c r="AH38" s="443">
        <f>AG48</f>
        <v>0.87118983094592251</v>
      </c>
    </row>
    <row r="39" spans="1:34" ht="15" customHeight="1">
      <c r="A39" s="435"/>
      <c r="B39" s="75" t="s">
        <v>123</v>
      </c>
      <c r="C39" s="197"/>
      <c r="D39" s="198" t="s">
        <v>127</v>
      </c>
      <c r="E39" s="176"/>
      <c r="F39" s="75">
        <f>VLOOKUP(D39,廠價表!$C$1:$E$41,3,0)</f>
        <v>49.91</v>
      </c>
      <c r="G39" s="199">
        <v>1568</v>
      </c>
      <c r="H39" s="91">
        <f>F39*G39</f>
        <v>78258.87999999999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6"/>
        <v>92.058823529411768</v>
      </c>
      <c r="M39" s="201">
        <v>15</v>
      </c>
      <c r="N39" s="202">
        <f>G39/W39*60</f>
        <v>1343.9999999999741</v>
      </c>
      <c r="O39" s="203">
        <f t="shared" ref="O39:O43" si="39">N39/M39</f>
        <v>89.599999999998275</v>
      </c>
      <c r="P39" s="97">
        <f t="shared" si="37"/>
        <v>-2</v>
      </c>
      <c r="Q39" s="98">
        <f t="shared" si="38"/>
        <v>-2.4588235294134932</v>
      </c>
      <c r="R39" s="99">
        <f t="shared" si="33"/>
        <v>0.97329073482426243</v>
      </c>
      <c r="S39" s="438"/>
      <c r="T39" s="20">
        <v>0.38194444444444398</v>
      </c>
      <c r="U39" s="20">
        <v>0.43055555555555602</v>
      </c>
      <c r="V39" s="92">
        <f>(T39-U38)*24*60</f>
        <v>9.999999999999325</v>
      </c>
      <c r="W39" s="205">
        <f t="shared" si="17"/>
        <v>70.00000000000135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4"/>
        <v>-221.00000000002592</v>
      </c>
      <c r="AG39" s="206">
        <f t="shared" si="35"/>
        <v>0.85878594249199625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1646</v>
      </c>
      <c r="H40" s="91">
        <f>F40*G40</f>
        <v>72917.799999999988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6"/>
        <v>84.705882352941174</v>
      </c>
      <c r="M40" s="201">
        <v>17</v>
      </c>
      <c r="N40" s="202">
        <f>G40/W40*60</f>
        <v>1410.8571428571463</v>
      </c>
      <c r="O40" s="203">
        <f t="shared" si="39"/>
        <v>82.991596638655665</v>
      </c>
      <c r="P40" s="97">
        <f t="shared" si="37"/>
        <v>0</v>
      </c>
      <c r="Q40" s="98">
        <f t="shared" si="38"/>
        <v>-1.7142857142855092</v>
      </c>
      <c r="R40" s="99">
        <f t="shared" si="33"/>
        <v>0.97976190476190717</v>
      </c>
      <c r="S40" s="425"/>
      <c r="T40" s="20">
        <v>0.44791666666666702</v>
      </c>
      <c r="U40" s="20">
        <v>0.49652777777777801</v>
      </c>
      <c r="V40" s="92">
        <f>(T40-U39)*24*60</f>
        <v>24.999999999999829</v>
      </c>
      <c r="W40" s="205">
        <f t="shared" si="17"/>
        <v>69.999999999999829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4"/>
        <v>-29.1428571428537</v>
      </c>
      <c r="AG40" s="206">
        <f t="shared" si="35"/>
        <v>0.97976190476190717</v>
      </c>
      <c r="AH40" s="444"/>
    </row>
    <row r="41" spans="1:34" ht="15" customHeight="1">
      <c r="A41" s="435"/>
      <c r="B41" s="75" t="s">
        <v>123</v>
      </c>
      <c r="C41" s="207"/>
      <c r="D41" s="198" t="s">
        <v>128</v>
      </c>
      <c r="E41" s="178"/>
      <c r="F41" s="75">
        <f>VLOOKUP(D41,廠價表!$C$1:$E$41,3,0)</f>
        <v>44.3</v>
      </c>
      <c r="G41" s="199">
        <v>2930</v>
      </c>
      <c r="H41" s="91">
        <f t="shared" ref="H41:H43" si="40">F41*G41</f>
        <v>129798.99999999999</v>
      </c>
      <c r="I41" s="200"/>
      <c r="J41" s="148">
        <f>VLOOKUP(D41,產線配置圖!$A$3:$C$39,2,0)</f>
        <v>17</v>
      </c>
      <c r="K41" s="95">
        <f>VLOOKUP(D41,產線配置圖!$A$3:$C$39,3,0)</f>
        <v>1440</v>
      </c>
      <c r="L41" s="96">
        <f t="shared" si="36"/>
        <v>84.705882352941174</v>
      </c>
      <c r="M41" s="201">
        <v>17</v>
      </c>
      <c r="N41" s="202">
        <f t="shared" ref="N41:N43" si="41">G41/W41*60</f>
        <v>1406.3999999999944</v>
      </c>
      <c r="O41" s="203">
        <f t="shared" si="39"/>
        <v>82.72941176470556</v>
      </c>
      <c r="P41" s="97">
        <f t="shared" si="37"/>
        <v>0</v>
      </c>
      <c r="Q41" s="98">
        <f t="shared" si="38"/>
        <v>-1.9764705882356139</v>
      </c>
      <c r="R41" s="99">
        <f t="shared" si="33"/>
        <v>0.97666666666666291</v>
      </c>
      <c r="S41" s="425"/>
      <c r="T41" s="20">
        <v>0.55208333333333304</v>
      </c>
      <c r="U41" s="210">
        <v>0.63888888888888895</v>
      </c>
      <c r="V41" s="92">
        <f t="shared" ref="V41:V43" si="42">(T41-U40)*24*60</f>
        <v>79.999999999999233</v>
      </c>
      <c r="W41" s="205">
        <f t="shared" si="17"/>
        <v>125.00000000000051</v>
      </c>
      <c r="X41" s="208">
        <v>0.5</v>
      </c>
      <c r="Y41" s="209">
        <v>0.54166666666666696</v>
      </c>
      <c r="Z41" s="337"/>
      <c r="AA41" s="337"/>
      <c r="AB41" s="395"/>
      <c r="AC41" s="395"/>
      <c r="AD41" s="92"/>
      <c r="AE41" s="92"/>
      <c r="AF41" s="314">
        <f t="shared" si="34"/>
        <v>-33.600000000005593</v>
      </c>
      <c r="AG41" s="206">
        <f t="shared" si="35"/>
        <v>0.9766666666666628</v>
      </c>
      <c r="AH41" s="444"/>
    </row>
    <row r="42" spans="1:34" ht="15" customHeight="1">
      <c r="A42" s="435"/>
      <c r="B42" s="75" t="s">
        <v>123</v>
      </c>
      <c r="C42" s="86"/>
      <c r="D42" s="198" t="s">
        <v>127</v>
      </c>
      <c r="E42" s="87"/>
      <c r="F42" s="75">
        <f>VLOOKUP(D42,廠價表!$C$1:$E$41,3,0)</f>
        <v>49.91</v>
      </c>
      <c r="G42" s="199">
        <v>875</v>
      </c>
      <c r="H42" s="91">
        <f t="shared" si="40"/>
        <v>43671.25</v>
      </c>
      <c r="I42" s="200"/>
      <c r="J42" s="148">
        <f>VLOOKUP(D42,產線配置圖!$A$3:$C$39,2,0)</f>
        <v>17</v>
      </c>
      <c r="K42" s="95">
        <f>VLOOKUP(D42,產線配置圖!$A$3:$C$39,3,0)</f>
        <v>1565</v>
      </c>
      <c r="L42" s="96">
        <f t="shared" si="36"/>
        <v>92.058823529411768</v>
      </c>
      <c r="M42" s="201">
        <v>15</v>
      </c>
      <c r="N42" s="202">
        <f t="shared" si="41"/>
        <v>1312.4999999999943</v>
      </c>
      <c r="O42" s="203">
        <f t="shared" si="39"/>
        <v>87.499999999999616</v>
      </c>
      <c r="P42" s="97">
        <f t="shared" si="37"/>
        <v>-2</v>
      </c>
      <c r="Q42" s="98">
        <f t="shared" si="38"/>
        <v>-4.5588235294121517</v>
      </c>
      <c r="R42" s="99">
        <f t="shared" si="33"/>
        <v>0.95047923322683281</v>
      </c>
      <c r="S42" s="425"/>
      <c r="T42" s="210">
        <v>0.64375000000000004</v>
      </c>
      <c r="U42" s="210">
        <v>0.67152777777777795</v>
      </c>
      <c r="V42" s="92">
        <f t="shared" si="42"/>
        <v>6.9999999999999751</v>
      </c>
      <c r="W42" s="205">
        <f t="shared" si="17"/>
        <v>40.000000000000178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 t="s">
        <v>123</v>
      </c>
      <c r="C43" s="102"/>
      <c r="D43" s="198" t="s">
        <v>128</v>
      </c>
      <c r="E43" s="104"/>
      <c r="F43" s="75">
        <f>VLOOKUP(D43,廠價表!$C$1:$E$41,3,0)</f>
        <v>44.3</v>
      </c>
      <c r="G43" s="202">
        <v>815</v>
      </c>
      <c r="H43" s="91">
        <f t="shared" si="40"/>
        <v>36104.5</v>
      </c>
      <c r="I43" s="200"/>
      <c r="J43" s="148">
        <f>VLOOKUP(D43,產線配置圖!$A$3:$C$39,2,0)</f>
        <v>17</v>
      </c>
      <c r="K43" s="95">
        <f>VLOOKUP(D43,產線配置圖!$A$3:$C$39,3,0)</f>
        <v>1440</v>
      </c>
      <c r="L43" s="96">
        <f t="shared" si="36"/>
        <v>84.705882352941174</v>
      </c>
      <c r="M43" s="201">
        <v>17</v>
      </c>
      <c r="N43" s="202">
        <f t="shared" si="41"/>
        <v>1222.4999999999895</v>
      </c>
      <c r="O43" s="203">
        <f t="shared" si="39"/>
        <v>71.911764705881737</v>
      </c>
      <c r="P43" s="97">
        <f t="shared" si="37"/>
        <v>0</v>
      </c>
      <c r="Q43" s="98">
        <f t="shared" si="38"/>
        <v>-12.794117647059437</v>
      </c>
      <c r="R43" s="99">
        <f t="shared" si="33"/>
        <v>0.84895833333332604</v>
      </c>
      <c r="S43" s="425"/>
      <c r="T43" s="210">
        <v>0.6875</v>
      </c>
      <c r="U43" s="210">
        <v>0.71527777777777801</v>
      </c>
      <c r="V43" s="92">
        <f t="shared" si="42"/>
        <v>22.999999999999758</v>
      </c>
      <c r="W43" s="205">
        <f>(U43-T43)*24*60</f>
        <v>40.000000000000341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43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43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43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31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43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44">AVERAGE(J38:J47)</f>
        <v>16.833333333333332</v>
      </c>
      <c r="K48" s="155">
        <f t="shared" si="44"/>
        <v>1476</v>
      </c>
      <c r="L48" s="158">
        <f t="shared" si="44"/>
        <v>87.685049019607845</v>
      </c>
      <c r="M48" s="155">
        <f t="shared" si="44"/>
        <v>16</v>
      </c>
      <c r="N48" s="155">
        <f t="shared" si="44"/>
        <v>1285.8761904761816</v>
      </c>
      <c r="O48" s="158">
        <f t="shared" si="44"/>
        <v>80.444351073762263</v>
      </c>
      <c r="P48" s="221">
        <f>M48-J48</f>
        <v>-0.83333333333333215</v>
      </c>
      <c r="Q48" s="222">
        <f>N48-K48</f>
        <v>-190.12380952381841</v>
      </c>
      <c r="R48" s="223">
        <f>O48/L48</f>
        <v>0.91742380226956999</v>
      </c>
      <c r="S48" s="428"/>
      <c r="T48" s="224"/>
      <c r="U48" s="224"/>
      <c r="V48" s="225"/>
      <c r="W48" s="226">
        <f t="shared" si="43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45">N48-K48</f>
        <v>-190.12380952381841</v>
      </c>
      <c r="AG48" s="162">
        <f t="shared" ref="AG48:AG53" si="46">N48/K48</f>
        <v>0.87118983094592251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1184</v>
      </c>
      <c r="H49" s="134">
        <f>F49*G49</f>
        <v>67334.080000000002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7">K49/J49</f>
        <v>86.944444444444443</v>
      </c>
      <c r="M49" s="170">
        <v>16</v>
      </c>
      <c r="N49" s="140">
        <f>G49/W49*60</f>
        <v>1340.3773584905869</v>
      </c>
      <c r="O49" s="141">
        <f>N49/M49</f>
        <v>83.773584905661679</v>
      </c>
      <c r="P49" s="229">
        <f>M49-J49</f>
        <v>-2</v>
      </c>
      <c r="Q49" s="230">
        <f>O49-L49</f>
        <v>-3.1708595387827643</v>
      </c>
      <c r="R49" s="52">
        <f>O49/L49</f>
        <v>0.96353005003316949</v>
      </c>
      <c r="S49" s="424">
        <f>R58</f>
        <v>0.9836753428487427</v>
      </c>
      <c r="T49" s="191">
        <v>0.29513888888888901</v>
      </c>
      <c r="U49" s="191">
        <v>0.33194444444444399</v>
      </c>
      <c r="V49" s="55"/>
      <c r="W49" s="193">
        <f t="shared" si="17"/>
        <v>52.999999999999176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45"/>
        <v>-224.62264150941314</v>
      </c>
      <c r="AG49" s="52">
        <f t="shared" si="46"/>
        <v>0.8564711555850395</v>
      </c>
      <c r="AH49" s="403">
        <f>AG58</f>
        <v>0.95637888886204847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2576</v>
      </c>
      <c r="H50" s="231">
        <f>F50*G50</f>
        <v>122900.96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7"/>
        <v>90</v>
      </c>
      <c r="M50" s="233">
        <v>16</v>
      </c>
      <c r="N50" s="234">
        <f>G50/W50*60</f>
        <v>1431.1111111111109</v>
      </c>
      <c r="O50" s="235">
        <f>N50/M50</f>
        <v>89.444444444444429</v>
      </c>
      <c r="P50" s="74">
        <f>M50-J50</f>
        <v>0</v>
      </c>
      <c r="Q50" s="83">
        <f>O50-L50</f>
        <v>-0.55555555555557135</v>
      </c>
      <c r="R50" s="72">
        <f>O50/L50</f>
        <v>0.99382716049382702</v>
      </c>
      <c r="S50" s="425"/>
      <c r="T50" s="21">
        <v>0.34027777777777801</v>
      </c>
      <c r="U50" s="21">
        <v>0.41527777777777802</v>
      </c>
      <c r="V50" s="30">
        <f t="shared" ref="V50:V52" si="48">(T50-U49)*24*60</f>
        <v>12.000000000000997</v>
      </c>
      <c r="W50" s="236">
        <f t="shared" si="17"/>
        <v>108.00000000000001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5"/>
        <v>-8.8888888888891415</v>
      </c>
      <c r="AG50" s="72">
        <f t="shared" si="46"/>
        <v>0.99382716049382702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1900</v>
      </c>
      <c r="H51" s="231">
        <f>F51*G51</f>
        <v>94943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7"/>
        <v>88.888888888888886</v>
      </c>
      <c r="M51" s="233">
        <v>18</v>
      </c>
      <c r="N51" s="234">
        <f>G51/W51*60</f>
        <v>1583.3333333333335</v>
      </c>
      <c r="O51" s="235">
        <f>N51/M51</f>
        <v>87.962962962962976</v>
      </c>
      <c r="P51" s="74">
        <f>M51-J51</f>
        <v>0</v>
      </c>
      <c r="Q51" s="83">
        <f>O51-L51</f>
        <v>-0.92592592592590961</v>
      </c>
      <c r="R51" s="72">
        <f>O51/L51</f>
        <v>0.98958333333333348</v>
      </c>
      <c r="S51" s="425"/>
      <c r="T51" s="21">
        <v>0.42361111111111099</v>
      </c>
      <c r="U51" s="19">
        <v>0.47361111111111098</v>
      </c>
      <c r="V51" s="30">
        <f t="shared" si="48"/>
        <v>11.999999999999478</v>
      </c>
      <c r="W51" s="236">
        <f t="shared" si="17"/>
        <v>71.999999999999986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45"/>
        <v>-16.666666666666515</v>
      </c>
      <c r="AG51" s="72">
        <f t="shared" si="46"/>
        <v>0.98958333333333348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4291</v>
      </c>
      <c r="H52" s="231">
        <f>F52*G52</f>
        <v>214421.27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7"/>
        <v>88.888888888888886</v>
      </c>
      <c r="M52" s="233">
        <v>18</v>
      </c>
      <c r="N52" s="234">
        <f>G52/W52*60</f>
        <v>1579.5092024539795</v>
      </c>
      <c r="O52" s="235">
        <f>N52/M52</f>
        <v>87.750511247443299</v>
      </c>
      <c r="P52" s="74">
        <f>M52-J52</f>
        <v>0</v>
      </c>
      <c r="Q52" s="83">
        <f>O52-L52</f>
        <v>-1.1383776414455866</v>
      </c>
      <c r="R52" s="72">
        <f>O52/L52</f>
        <v>0.98719325153373716</v>
      </c>
      <c r="S52" s="425"/>
      <c r="T52" s="21">
        <v>0.53819444444444398</v>
      </c>
      <c r="U52" s="21">
        <v>0.65138888888888902</v>
      </c>
      <c r="V52" s="30">
        <f t="shared" si="48"/>
        <v>92.999999999999517</v>
      </c>
      <c r="W52" s="236">
        <f t="shared" si="17"/>
        <v>163.00000000000085</v>
      </c>
      <c r="X52" s="22">
        <v>0.47916666666666702</v>
      </c>
      <c r="Y52" s="84">
        <v>0.52083333333333304</v>
      </c>
      <c r="Z52" s="90"/>
      <c r="AA52" s="90"/>
      <c r="AB52" s="395"/>
      <c r="AC52" s="395"/>
      <c r="AD52" s="92"/>
      <c r="AE52" s="92"/>
      <c r="AF52" s="307">
        <f t="shared" si="45"/>
        <v>-20.490797546020531</v>
      </c>
      <c r="AG52" s="72">
        <f t="shared" si="46"/>
        <v>0.98719325153373716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45"/>
        <v>0</v>
      </c>
      <c r="AG53" s="72" t="e">
        <f t="shared" si="46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9">AVERAGE(J49:J57)</f>
        <v>17.5</v>
      </c>
      <c r="K58" s="120">
        <f t="shared" si="49"/>
        <v>1551.25</v>
      </c>
      <c r="L58" s="117">
        <f t="shared" si="49"/>
        <v>88.680555555555571</v>
      </c>
      <c r="M58" s="120">
        <f t="shared" si="49"/>
        <v>17</v>
      </c>
      <c r="N58" s="120">
        <f t="shared" si="49"/>
        <v>1483.5827513472527</v>
      </c>
      <c r="O58" s="117">
        <f t="shared" si="49"/>
        <v>87.232875890128099</v>
      </c>
      <c r="P58" s="121">
        <f>M58-J58</f>
        <v>-0.5</v>
      </c>
      <c r="Q58" s="122">
        <f>N58-K58</f>
        <v>-67.667248652747276</v>
      </c>
      <c r="R58" s="123">
        <f t="shared" ref="R58:R60" si="50">O58/L58</f>
        <v>0.9836753428487427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51">N58-K58</f>
        <v>-67.667248652747276</v>
      </c>
      <c r="AG58" s="124">
        <f t="shared" ref="AG58:AG61" si="52">N58/K58</f>
        <v>0.95637888886204847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3995</v>
      </c>
      <c r="H59" s="243">
        <f>F59*G59</f>
        <v>107825.04999999999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2" si="53">K59/J59</f>
        <v>120.38461538461539</v>
      </c>
      <c r="M59" s="244">
        <v>13</v>
      </c>
      <c r="N59" s="137">
        <f t="shared" ref="N59:N62" si="54">G59/W59*60</f>
        <v>1546.451612903224</v>
      </c>
      <c r="O59" s="138">
        <f t="shared" ref="O59:O62" si="55">N59/M59</f>
        <v>118.95781637717108</v>
      </c>
      <c r="P59" s="56">
        <f t="shared" ref="P59:P62" si="56">M59-J59</f>
        <v>0</v>
      </c>
      <c r="Q59" s="230">
        <f t="shared" ref="Q59:Q62" si="57">O59-L59</f>
        <v>-1.426799007444302</v>
      </c>
      <c r="R59" s="52">
        <f t="shared" si="50"/>
        <v>0.98814799546531895</v>
      </c>
      <c r="S59" s="424">
        <f>R69</f>
        <v>0.92804410709101992</v>
      </c>
      <c r="T59" s="245">
        <v>0.29166666666666702</v>
      </c>
      <c r="U59" s="245">
        <v>0.39930555555555602</v>
      </c>
      <c r="V59" s="55"/>
      <c r="W59" s="54">
        <f t="shared" si="17"/>
        <v>155.00000000000017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51"/>
        <v>-18.548387096775969</v>
      </c>
      <c r="AG59" s="246">
        <f t="shared" si="52"/>
        <v>0.98814799546531884</v>
      </c>
      <c r="AH59" s="403">
        <f>AG69</f>
        <v>0.92919995109821807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1466</v>
      </c>
      <c r="H60" s="78">
        <f>F60*G60</f>
        <v>41429.160000000003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3"/>
        <v>130.41666666666666</v>
      </c>
      <c r="M60" s="82">
        <v>12</v>
      </c>
      <c r="N60" s="80">
        <f t="shared" si="54"/>
        <v>1465.9999999999877</v>
      </c>
      <c r="O60" s="81">
        <f t="shared" si="55"/>
        <v>122.16666666666565</v>
      </c>
      <c r="P60" s="74">
        <f t="shared" si="56"/>
        <v>0</v>
      </c>
      <c r="Q60" s="83">
        <f t="shared" si="57"/>
        <v>-8.250000000001009</v>
      </c>
      <c r="R60" s="72">
        <f t="shared" si="50"/>
        <v>0.93674121405750022</v>
      </c>
      <c r="S60" s="451"/>
      <c r="T60" s="22">
        <v>0.40625</v>
      </c>
      <c r="U60" s="22">
        <v>0.44791666666666702</v>
      </c>
      <c r="V60" s="30">
        <f t="shared" ref="V60:V61" si="58">(T60-U59)*24*60</f>
        <v>9.999999999999325</v>
      </c>
      <c r="W60" s="248">
        <f t="shared" si="17"/>
        <v>60.000000000000504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51"/>
        <v>-99.000000000012278</v>
      </c>
      <c r="AG60" s="249">
        <f t="shared" si="52"/>
        <v>0.9367412140575001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1354</v>
      </c>
      <c r="H61" s="254">
        <f>F61*G61</f>
        <v>38264.04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3"/>
        <v>130.41666666666666</v>
      </c>
      <c r="M61" s="108">
        <v>12</v>
      </c>
      <c r="N61" s="107">
        <f t="shared" si="54"/>
        <v>1425.2631578947119</v>
      </c>
      <c r="O61" s="238">
        <f t="shared" si="55"/>
        <v>118.77192982455932</v>
      </c>
      <c r="P61" s="111">
        <f t="shared" si="56"/>
        <v>0</v>
      </c>
      <c r="Q61" s="255">
        <f t="shared" si="57"/>
        <v>-11.644736842107335</v>
      </c>
      <c r="R61" s="85">
        <f>O61/L61</f>
        <v>0.91071128299981596</v>
      </c>
      <c r="S61" s="425"/>
      <c r="T61" s="22">
        <v>0.45694444444444399</v>
      </c>
      <c r="U61" s="22">
        <v>0.49652777777777801</v>
      </c>
      <c r="V61" s="30">
        <f t="shared" si="58"/>
        <v>12.999999999998835</v>
      </c>
      <c r="W61" s="256">
        <f t="shared" si="17"/>
        <v>57.000000000000995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51"/>
        <v>-139.73684210528813</v>
      </c>
      <c r="AG61" s="247">
        <f t="shared" si="52"/>
        <v>0.91071128299981585</v>
      </c>
      <c r="AH61" s="404"/>
    </row>
    <row r="62" spans="1:34" ht="15" customHeight="1">
      <c r="A62" s="449"/>
      <c r="B62" s="258" t="s">
        <v>132</v>
      </c>
      <c r="C62" s="58"/>
      <c r="D62" s="259" t="s">
        <v>135</v>
      </c>
      <c r="E62" s="60"/>
      <c r="F62" s="250">
        <f>VLOOKUP(D62,廠價表!$C$1:$E$41,3,0)</f>
        <v>28.26</v>
      </c>
      <c r="G62" s="260">
        <v>1494</v>
      </c>
      <c r="H62" s="254">
        <f>F62*G62</f>
        <v>42220.44</v>
      </c>
      <c r="I62" s="260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si="53"/>
        <v>130.41666666666666</v>
      </c>
      <c r="M62" s="68">
        <v>12</v>
      </c>
      <c r="N62" s="107">
        <f t="shared" si="54"/>
        <v>1379.076923076921</v>
      </c>
      <c r="O62" s="238">
        <f t="shared" si="55"/>
        <v>114.92307692307675</v>
      </c>
      <c r="P62" s="111">
        <f t="shared" si="56"/>
        <v>0</v>
      </c>
      <c r="Q62" s="255">
        <f t="shared" si="57"/>
        <v>-15.493589743589908</v>
      </c>
      <c r="R62" s="85">
        <f>O62/L62</f>
        <v>0.88119931187023715</v>
      </c>
      <c r="S62" s="425"/>
      <c r="T62" s="22">
        <v>0.54861111111111105</v>
      </c>
      <c r="U62" s="22">
        <v>0.59375</v>
      </c>
      <c r="V62" s="30"/>
      <c r="W62" s="248">
        <f t="shared" si="17"/>
        <v>65.000000000000085</v>
      </c>
      <c r="X62" s="22">
        <v>0.50347222222222199</v>
      </c>
      <c r="Y62" s="84">
        <v>0.54513888888888895</v>
      </c>
      <c r="Z62" s="90"/>
      <c r="AA62" s="90"/>
      <c r="AB62" s="395"/>
      <c r="AC62" s="395"/>
      <c r="AD62" s="92"/>
      <c r="AE62" s="92"/>
      <c r="AF62" s="317">
        <f>N62-K62</f>
        <v>-185.92307692307895</v>
      </c>
      <c r="AG62" s="247">
        <f>N62/K62</f>
        <v>0.88119931187023715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9">AVERAGE(J59:J68)</f>
        <v>12.25</v>
      </c>
      <c r="K69" s="240">
        <f t="shared" si="59"/>
        <v>1565</v>
      </c>
      <c r="L69" s="268">
        <f t="shared" si="59"/>
        <v>127.90865384615384</v>
      </c>
      <c r="M69" s="240">
        <f t="shared" si="59"/>
        <v>12.25</v>
      </c>
      <c r="N69" s="240">
        <f t="shared" si="59"/>
        <v>1454.1979234687112</v>
      </c>
      <c r="O69" s="268">
        <f t="shared" si="59"/>
        <v>118.7048724478682</v>
      </c>
      <c r="P69" s="269">
        <f>M69-J69</f>
        <v>0</v>
      </c>
      <c r="Q69" s="222">
        <f>N69-K69</f>
        <v>-110.80207653128878</v>
      </c>
      <c r="R69" s="123">
        <f>O69/L69</f>
        <v>0.92804410709101992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-110.80207653128878</v>
      </c>
      <c r="AG69" s="124">
        <f>N69/K69</f>
        <v>0.92919995109821807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3055</v>
      </c>
      <c r="H70" s="243">
        <f>F70*G70</f>
        <v>154796.85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1110.9090909090842</v>
      </c>
      <c r="O70" s="138">
        <f>N70/M70</f>
        <v>111.09090909090841</v>
      </c>
      <c r="P70" s="56">
        <f>M70-J70</f>
        <v>0</v>
      </c>
      <c r="Q70" s="230">
        <f>O70-L70</f>
        <v>-1.4090909090915886</v>
      </c>
      <c r="R70" s="52">
        <f>O70/L70</f>
        <v>0.9874747474747414</v>
      </c>
      <c r="S70" s="424">
        <f>R79</f>
        <v>0.9874747474747414</v>
      </c>
      <c r="T70" s="245">
        <v>0.33333333333333298</v>
      </c>
      <c r="U70" s="245">
        <v>0.44791666666666702</v>
      </c>
      <c r="V70" s="55"/>
      <c r="W70" s="54">
        <f t="shared" si="17"/>
        <v>165.00000000000102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-14.090909090915829</v>
      </c>
      <c r="AG70" s="246">
        <f>N70/K70</f>
        <v>0.98747474747474151</v>
      </c>
      <c r="AH70" s="403">
        <f>AG79</f>
        <v>0.98747474747474151</v>
      </c>
    </row>
    <row r="71" spans="1:36" ht="15" customHeight="1">
      <c r="A71" s="45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5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ref="H77:H78" si="60"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60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61">AVERAGE(J70:J78)</f>
        <v>10</v>
      </c>
      <c r="K79" s="240">
        <f t="shared" si="61"/>
        <v>1125</v>
      </c>
      <c r="L79" s="268">
        <f t="shared" si="61"/>
        <v>112.5</v>
      </c>
      <c r="M79" s="240">
        <f t="shared" si="61"/>
        <v>10</v>
      </c>
      <c r="N79" s="240">
        <f t="shared" si="61"/>
        <v>1110.9090909090842</v>
      </c>
      <c r="O79" s="268">
        <f t="shared" si="61"/>
        <v>111.09090909090841</v>
      </c>
      <c r="P79" s="269">
        <f>M79-J79</f>
        <v>0</v>
      </c>
      <c r="Q79" s="222">
        <f>N79-K79</f>
        <v>-14.090909090915829</v>
      </c>
      <c r="R79" s="223">
        <f>O79/L79</f>
        <v>0.9874747474747414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-14.090909090915829</v>
      </c>
      <c r="AG79" s="124">
        <f>N79/K79</f>
        <v>0.98747474747474151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AD3:AE3"/>
    <mergeCell ref="AH5:AH15"/>
    <mergeCell ref="AB6:AC6"/>
    <mergeCell ref="AB7:AC7"/>
    <mergeCell ref="AB14:AC14"/>
    <mergeCell ref="AB13:AC13"/>
    <mergeCell ref="AB9:AC9"/>
    <mergeCell ref="AB10:AC10"/>
    <mergeCell ref="AB11:AC11"/>
    <mergeCell ref="AB12:AC12"/>
    <mergeCell ref="AG3:AG4"/>
    <mergeCell ref="AH3:AH4"/>
    <mergeCell ref="AF3:AF4"/>
    <mergeCell ref="T3:U3"/>
    <mergeCell ref="V3:V4"/>
    <mergeCell ref="W3:W4"/>
    <mergeCell ref="X3:Y3"/>
    <mergeCell ref="Z3:AA3"/>
    <mergeCell ref="AB3:AC4"/>
    <mergeCell ref="AB23:AC23"/>
    <mergeCell ref="AB24:AC24"/>
    <mergeCell ref="AB25:AC25"/>
    <mergeCell ref="P1:S2"/>
    <mergeCell ref="T1:Y2"/>
    <mergeCell ref="AB1:AC2"/>
    <mergeCell ref="R3:R4"/>
    <mergeCell ref="S3:S4"/>
    <mergeCell ref="P3:P4"/>
    <mergeCell ref="Q3:Q4"/>
    <mergeCell ref="F3:F4"/>
    <mergeCell ref="A2:B2"/>
    <mergeCell ref="O3:O4"/>
    <mergeCell ref="K3:K4"/>
    <mergeCell ref="L3:L4"/>
    <mergeCell ref="M3:M4"/>
    <mergeCell ref="D3:E4"/>
    <mergeCell ref="J3:J4"/>
    <mergeCell ref="J1:L2"/>
    <mergeCell ref="M1:O2"/>
    <mergeCell ref="A3:A4"/>
    <mergeCell ref="B3:B4"/>
    <mergeCell ref="G3:G4"/>
    <mergeCell ref="H3:H4"/>
    <mergeCell ref="I3:I4"/>
    <mergeCell ref="N3:N4"/>
    <mergeCell ref="A38:A48"/>
    <mergeCell ref="S38:S48"/>
    <mergeCell ref="D48:E48"/>
    <mergeCell ref="AB48:AC48"/>
    <mergeCell ref="AB45:AC45"/>
    <mergeCell ref="AB46:AC46"/>
    <mergeCell ref="AB47:AC47"/>
    <mergeCell ref="A27:A37"/>
    <mergeCell ref="A5:A15"/>
    <mergeCell ref="S5:S15"/>
    <mergeCell ref="AB5:AC5"/>
    <mergeCell ref="D15:E15"/>
    <mergeCell ref="AB8:AC8"/>
    <mergeCell ref="AB15:AC15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8:AC2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H16:AH26"/>
    <mergeCell ref="AB17:AC17"/>
    <mergeCell ref="AB18:AC18"/>
    <mergeCell ref="D37:E37"/>
    <mergeCell ref="AB37:AC37"/>
    <mergeCell ref="AB30:AC30"/>
    <mergeCell ref="AB31:AC31"/>
    <mergeCell ref="AB32:AC32"/>
    <mergeCell ref="AB33:AC33"/>
    <mergeCell ref="AB34:AC34"/>
    <mergeCell ref="AB35:AC35"/>
    <mergeCell ref="AB36:AC36"/>
    <mergeCell ref="S27:S37"/>
    <mergeCell ref="AB27:AC27"/>
    <mergeCell ref="AB29:AC29"/>
    <mergeCell ref="AH27:AH37"/>
    <mergeCell ref="D79:E79"/>
    <mergeCell ref="AB79:AC79"/>
    <mergeCell ref="A70:A79"/>
    <mergeCell ref="S70:S79"/>
    <mergeCell ref="AB70:AC70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308" priority="1" operator="greaterThan">
      <formula>0</formula>
    </cfRule>
  </conditionalFormatting>
  <conditionalFormatting sqref="Q5:Q79 AF5:AF79">
    <cfRule type="cellIs" dxfId="307" priority="4" operator="lessThan">
      <formula>0</formula>
    </cfRule>
  </conditionalFormatting>
  <conditionalFormatting sqref="R5:R79 AG5:AG79">
    <cfRule type="cellIs" dxfId="306" priority="2" operator="greaterThan">
      <formula>1</formula>
    </cfRule>
    <cfRule type="cellIs" dxfId="305" priority="3" operator="lessThan">
      <formula>0.8</formula>
    </cfRule>
  </conditionalFormatting>
  <conditionalFormatting sqref="S5:S10 S37:S62 AH59:AH62 S69:S76 AH69:AH76">
    <cfRule type="cellIs" dxfId="304" priority="7" operator="lessThan">
      <formula>0.8</formula>
    </cfRule>
  </conditionalFormatting>
  <conditionalFormatting sqref="S19:S25 AH19:AH25">
    <cfRule type="cellIs" dxfId="303" priority="6" operator="lessThan">
      <formula>0.8</formula>
    </cfRule>
  </conditionalFormatting>
  <conditionalFormatting sqref="S79">
    <cfRule type="cellIs" dxfId="302" priority="5" operator="lessThan">
      <formula>0.8</formula>
    </cfRule>
  </conditionalFormatting>
  <conditionalFormatting sqref="AH5:AH8 S15:S16 AH15:AH16 AH49 AH79">
    <cfRule type="cellIs" dxfId="301" priority="9" operator="lessThan">
      <formula>0.8</formula>
    </cfRule>
  </conditionalFormatting>
  <conditionalFormatting sqref="AH27 S27:S28">
    <cfRule type="cellIs" dxfId="3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86FD34F-1680-4A76-8FF2-C9B048569CA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641A9-813B-4A85-AAE5-D5126D5FF553}">
  <sheetPr codeName="工作表7"/>
  <dimension ref="B1:O26"/>
  <sheetViews>
    <sheetView topLeftCell="B2" zoomScale="70" zoomScaleNormal="70" workbookViewId="0">
      <selection activeCell="J20" sqref="J2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46055</v>
      </c>
      <c r="E3" s="493"/>
      <c r="F3" s="3" t="s">
        <v>72</v>
      </c>
      <c r="G3" s="494">
        <f>'0202'!E1</f>
        <v>61832</v>
      </c>
      <c r="H3" s="494"/>
      <c r="I3" s="3" t="s">
        <v>2</v>
      </c>
      <c r="J3" s="495">
        <f>'0202'!G1</f>
        <v>2986243.9200000004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114.20982752075189</v>
      </c>
      <c r="G6" s="490"/>
      <c r="H6" s="491">
        <f>AVERAGE(D13:H13,J13)</f>
        <v>111.92668979985156</v>
      </c>
      <c r="I6" s="491"/>
      <c r="J6" s="491">
        <f>AVERAGE(I13)</f>
        <v>127.90865384615384</v>
      </c>
      <c r="K6" s="491"/>
      <c r="L6" s="497">
        <f>SUM(D18:J18)</f>
        <v>5</v>
      </c>
      <c r="M6" s="482">
        <f>SUM(D19:J19)</f>
        <v>46</v>
      </c>
      <c r="N6" s="498">
        <f>SUM(D20:J20)</f>
        <v>0</v>
      </c>
      <c r="O6" s="482">
        <f>SUM(D20:J20)</f>
        <v>0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106.44299156898781</v>
      </c>
      <c r="G7" s="479"/>
      <c r="H7" s="480">
        <f>AVERAGE(D14:H14,J14)</f>
        <v>104.66462252192582</v>
      </c>
      <c r="I7" s="480"/>
      <c r="J7" s="480">
        <f>AVERAGE(I14)</f>
        <v>117.11320585135965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0.93199502949645163</v>
      </c>
      <c r="G8" s="485"/>
      <c r="H8" s="485">
        <f>H7/H6</f>
        <v>0.93511764449648394</v>
      </c>
      <c r="I8" s="485"/>
      <c r="J8" s="485">
        <f>J7/J6</f>
        <v>0.91560033140698394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VALUE('0202'!L15)</f>
        <v>130.84033613445379</v>
      </c>
      <c r="E13" s="13">
        <f>VALUE('0202'!L26)</f>
        <v>162.15811965811966</v>
      </c>
      <c r="F13" s="13">
        <f>VALUE('0202'!L37)</f>
        <v>89.696078431372541</v>
      </c>
      <c r="G13" s="13">
        <f>VALUE('0202'!L48)</f>
        <v>87.685049019607845</v>
      </c>
      <c r="H13" s="13">
        <f>VALUE('0202'!L58)</f>
        <v>88.680555555555571</v>
      </c>
      <c r="I13" s="13">
        <f>VALUE('0202'!L69)</f>
        <v>127.90865384615384</v>
      </c>
      <c r="J13" s="13">
        <f>'0202'!L79</f>
        <v>112.5</v>
      </c>
    </row>
    <row r="14" spans="2:15" ht="39.950000000000003" customHeight="1">
      <c r="B14" s="473"/>
      <c r="C14" s="12" t="s">
        <v>100</v>
      </c>
      <c r="D14" s="13">
        <f>VALUE('0202'!O15)</f>
        <v>120.28349578799973</v>
      </c>
      <c r="E14" s="13">
        <f>VALUE('0202'!O26)</f>
        <v>138.6143830695454</v>
      </c>
      <c r="F14" s="13">
        <f>VALUE('0202'!O37)</f>
        <v>73.948050031596424</v>
      </c>
      <c r="G14" s="13">
        <f>VALUE('0202'!O48)</f>
        <v>79.323756846021624</v>
      </c>
      <c r="H14" s="13">
        <f>VALUE('0202'!O58)</f>
        <v>84.145204916134347</v>
      </c>
      <c r="I14" s="13">
        <f>VALUE('0202'!O69)</f>
        <v>117.11320585135965</v>
      </c>
      <c r="J14" s="13">
        <f>'0202'!O79</f>
        <v>131.67284448025731</v>
      </c>
    </row>
    <row r="15" spans="2:15" ht="39.950000000000003" customHeight="1">
      <c r="B15" s="474"/>
      <c r="C15" s="10" t="s">
        <v>26</v>
      </c>
      <c r="D15" s="14">
        <f>D14/D13</f>
        <v>0.9193150930489381</v>
      </c>
      <c r="E15" s="14">
        <f t="shared" ref="E15:I15" si="1">E14/E13</f>
        <v>0.85481000496175052</v>
      </c>
      <c r="F15" s="14">
        <f t="shared" si="1"/>
        <v>0.82442901991724082</v>
      </c>
      <c r="G15" s="14">
        <f t="shared" si="1"/>
        <v>0.90464403832725804</v>
      </c>
      <c r="H15" s="14">
        <f t="shared" si="1"/>
        <v>0.9488574399313503</v>
      </c>
      <c r="I15" s="14">
        <f t="shared" si="1"/>
        <v>0.91560033140698394</v>
      </c>
      <c r="J15" s="15">
        <f>'0202'!S70</f>
        <v>1.170425284268954</v>
      </c>
    </row>
    <row r="16" spans="2:15" ht="17.25" customHeight="1">
      <c r="B16" s="475" t="s">
        <v>101</v>
      </c>
      <c r="C16" s="10" t="s">
        <v>34</v>
      </c>
      <c r="D16" s="16">
        <f>'0202'!T5</f>
        <v>0.3125</v>
      </c>
      <c r="E16" s="16">
        <f>'0202'!T16</f>
        <v>0.29097222222222202</v>
      </c>
      <c r="F16" s="16">
        <f>'0202'!T27</f>
        <v>0.29166666666666702</v>
      </c>
      <c r="G16" s="16">
        <f>'0202'!T38</f>
        <v>0.33333333333333298</v>
      </c>
      <c r="H16" s="16">
        <f>'0202'!T49</f>
        <v>0.29166666666666702</v>
      </c>
      <c r="I16" s="16">
        <f>'0202'!T59</f>
        <v>0.29166666666666702</v>
      </c>
      <c r="J16" s="16">
        <f>'0202'!T70</f>
        <v>0.36458333333333298</v>
      </c>
    </row>
    <row r="17" spans="2:10" ht="17.25" customHeight="1">
      <c r="B17" s="476"/>
      <c r="C17" s="10" t="s">
        <v>35</v>
      </c>
      <c r="D17" s="16">
        <v>0.64861111111111103</v>
      </c>
      <c r="E17" s="19">
        <v>0.70486111111111105</v>
      </c>
      <c r="F17" s="19">
        <v>0.69791666666666696</v>
      </c>
      <c r="G17" s="210">
        <v>0.71875</v>
      </c>
      <c r="H17" s="21">
        <v>0.63680555555555596</v>
      </c>
      <c r="I17" s="22">
        <v>0.61805555555555602</v>
      </c>
      <c r="J17" s="22">
        <v>0.71875</v>
      </c>
    </row>
    <row r="18" spans="2:10" ht="17.25" customHeight="1">
      <c r="B18" s="477" t="s">
        <v>102</v>
      </c>
      <c r="C18" s="330" t="s">
        <v>36</v>
      </c>
      <c r="D18" s="358">
        <f>'0202'!Z15</f>
        <v>0</v>
      </c>
      <c r="E18" s="359">
        <f>'0202'!Z26</f>
        <v>0</v>
      </c>
      <c r="F18" s="359">
        <f>'0202'!Z37</f>
        <v>3</v>
      </c>
      <c r="G18" s="360">
        <f>'0202'!Z48</f>
        <v>0</v>
      </c>
      <c r="H18" s="360">
        <f>'0202'!Z58</f>
        <v>1</v>
      </c>
      <c r="I18" s="359">
        <f>'0202'!Z69</f>
        <v>1</v>
      </c>
      <c r="J18" s="359">
        <f>'0202'!AA79</f>
        <v>0</v>
      </c>
    </row>
    <row r="19" spans="2:10" ht="17.25" customHeight="1">
      <c r="B19" s="478"/>
      <c r="C19" s="330" t="s">
        <v>37</v>
      </c>
      <c r="D19" s="358">
        <f>'0202'!AA15</f>
        <v>0</v>
      </c>
      <c r="E19" s="359">
        <f>'0202'!AA26</f>
        <v>0</v>
      </c>
      <c r="F19" s="359">
        <f>'0202'!AA37</f>
        <v>23</v>
      </c>
      <c r="G19" s="360">
        <f>'0202'!AA48</f>
        <v>0</v>
      </c>
      <c r="H19" s="360">
        <f>'0202'!AA58</f>
        <v>18</v>
      </c>
      <c r="I19" s="359">
        <f>'0202'!AA69</f>
        <v>5</v>
      </c>
      <c r="J19" s="359">
        <f>'0202'!AB79</f>
        <v>0</v>
      </c>
    </row>
    <row r="20" spans="2:10" ht="17.25" customHeight="1">
      <c r="B20" s="477" t="s">
        <v>103</v>
      </c>
      <c r="C20" s="330" t="s">
        <v>36</v>
      </c>
      <c r="D20" s="358">
        <f>'0202'!AD15</f>
        <v>0</v>
      </c>
      <c r="E20" s="359">
        <f>'0202'!AD26</f>
        <v>0</v>
      </c>
      <c r="F20" s="359">
        <f>'0202'!AD37</f>
        <v>0</v>
      </c>
      <c r="G20" s="360">
        <f>'0202'!AD48</f>
        <v>0</v>
      </c>
      <c r="H20" s="360">
        <f>'0202'!AD58</f>
        <v>0</v>
      </c>
      <c r="I20" s="359">
        <f>'0202'!AD69</f>
        <v>0</v>
      </c>
      <c r="J20" s="359">
        <f>'0202'!AD79</f>
        <v>0</v>
      </c>
    </row>
    <row r="21" spans="2:10" ht="17.25" customHeight="1">
      <c r="B21" s="478"/>
      <c r="C21" s="330" t="s">
        <v>85</v>
      </c>
      <c r="D21" s="358">
        <f>'0202'!AE15</f>
        <v>0</v>
      </c>
      <c r="E21" s="359">
        <f>'0202'!AE26</f>
        <v>0</v>
      </c>
      <c r="F21" s="359">
        <f>'0202'!AE37</f>
        <v>0</v>
      </c>
      <c r="G21" s="360">
        <f>'0202'!AE48</f>
        <v>0</v>
      </c>
      <c r="H21" s="360">
        <f>'0202'!AE58</f>
        <v>0</v>
      </c>
      <c r="I21" s="359">
        <f>'0202'!AE69</f>
        <v>0</v>
      </c>
      <c r="J21" s="359">
        <f>'0202'!AE79</f>
        <v>0</v>
      </c>
    </row>
    <row r="22" spans="2:10" ht="17.25" customHeight="1">
      <c r="B22" s="460" t="s">
        <v>104</v>
      </c>
      <c r="C22" s="461"/>
      <c r="D22" s="23">
        <f>VALUE('0202'!M15)</f>
        <v>15</v>
      </c>
      <c r="E22" s="23">
        <f>VALUE('0202'!M26)</f>
        <v>13</v>
      </c>
      <c r="F22" s="23">
        <f>VALUE('0202'!M37)</f>
        <v>15.666666666666666</v>
      </c>
      <c r="G22" s="23">
        <f>VALUE('0202'!M48)</f>
        <v>16.666666666666668</v>
      </c>
      <c r="H22" s="23">
        <f>VALUE('0202'!M58)</f>
        <v>17.5</v>
      </c>
      <c r="I22" s="23">
        <f>VALUE('0202'!M69)</f>
        <v>12.25</v>
      </c>
      <c r="J22" s="23">
        <f>'0202'!M79</f>
        <v>5.5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9D49A-83A9-4B6D-AAF5-63B35B8B68B6}">
  <sheetPr codeName="工作表8">
    <tabColor theme="9" tint="0.79998168889431442"/>
  </sheetPr>
  <dimension ref="A1:AJ92"/>
  <sheetViews>
    <sheetView zoomScale="69" zoomScaleNormal="69" workbookViewId="0">
      <pane xSplit="5" ySplit="4" topLeftCell="G35" activePane="bottomRight" state="frozen"/>
      <selection activeCell="K15" sqref="K15"/>
      <selection pane="topRight" activeCell="K15" sqref="K15"/>
      <selection pane="bottomLeft" activeCell="K15" sqref="K15"/>
      <selection pane="bottomRight" activeCell="V71" sqref="V7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45.14062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61832</v>
      </c>
      <c r="F1" s="30" t="s">
        <v>2</v>
      </c>
      <c r="G1" s="31">
        <f>SUM(H5:H79)</f>
        <v>2986243.9200000004</v>
      </c>
      <c r="H1" s="32" t="s">
        <v>3</v>
      </c>
      <c r="I1" s="33">
        <f>M15+M26+M48+M58+M69+M79+M37</f>
        <v>95.583333333333343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137</v>
      </c>
      <c r="B2" s="374"/>
      <c r="C2" s="28"/>
      <c r="D2" s="28" t="s">
        <v>14</v>
      </c>
      <c r="E2" s="35">
        <f>AVERAGE(O15,O26,O37,O48,O58,O69,O79)</f>
        <v>106.44299156898781</v>
      </c>
      <c r="F2" s="36" t="s">
        <v>15</v>
      </c>
      <c r="G2" s="37">
        <f>G1/E1</f>
        <v>48.296091344287753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5</v>
      </c>
      <c r="AA2" s="339">
        <f>AA15+AA26+AA37+AA48+AA58+AA69+AA79</f>
        <v>46</v>
      </c>
      <c r="AB2" s="370"/>
      <c r="AC2" s="370"/>
      <c r="AD2" s="340">
        <f>AD15+AD26+AD37+AD48+AD58+AD69+AD79</f>
        <v>0</v>
      </c>
      <c r="AE2" s="340">
        <f>AE15+AE26+AE37+AE48+AE58+AE69+AE79</f>
        <v>0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57.21</v>
      </c>
      <c r="G5" s="42">
        <v>1572</v>
      </c>
      <c r="H5" s="43">
        <f>F5*G5</f>
        <v>89934.12</v>
      </c>
      <c r="I5" s="44"/>
      <c r="J5" s="45">
        <f>VLOOKUP(D5,產線配置圖!$A$3:$C$39,2,0)</f>
        <v>17</v>
      </c>
      <c r="K5" s="46">
        <f>VLOOKUP(D5,產線配置圖!$A$3:$C$39,3,0)</f>
        <v>2000</v>
      </c>
      <c r="L5" s="47">
        <f t="shared" ref="L5:L7" si="0">K5/J5</f>
        <v>117.64705882352941</v>
      </c>
      <c r="M5" s="48">
        <v>17</v>
      </c>
      <c r="N5" s="46">
        <f t="shared" ref="N5:N7" si="1">G5/W5*60</f>
        <v>1626.2068965517142</v>
      </c>
      <c r="O5" s="47">
        <f t="shared" ref="O5:O7" si="2">N5/M5</f>
        <v>95.659229208924359</v>
      </c>
      <c r="P5" s="49">
        <f t="shared" ref="P5:P7" si="3">M5-J5</f>
        <v>0</v>
      </c>
      <c r="Q5" s="50">
        <f t="shared" ref="Q5:Q7" si="4">O5-L5</f>
        <v>-21.987829614605047</v>
      </c>
      <c r="R5" s="51">
        <f t="shared" ref="R5:R7" si="5">O5/L5</f>
        <v>0.81310344827585712</v>
      </c>
      <c r="S5" s="424">
        <f>R15</f>
        <v>0.9193150930489381</v>
      </c>
      <c r="T5" s="319">
        <v>0.3125</v>
      </c>
      <c r="U5" s="320">
        <v>0.35277777777777802</v>
      </c>
      <c r="V5" s="53"/>
      <c r="W5" s="54">
        <f t="shared" ref="W5:W14" si="6">(U5-T5)*24*60</f>
        <v>58.000000000000355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11" si="7">N5-K5</f>
        <v>-373.79310344828582</v>
      </c>
      <c r="AG5" s="52">
        <f t="shared" ref="AG5:AG11" si="8">N5/K5</f>
        <v>0.81310344827585712</v>
      </c>
      <c r="AH5" s="403">
        <f>AG15</f>
        <v>0.91520417720378711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2662</v>
      </c>
      <c r="H6" s="63">
        <f>F6*G6</f>
        <v>149817.36000000002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1736.0869565217361</v>
      </c>
      <c r="O6" s="67">
        <f t="shared" si="2"/>
        <v>115.73913043478241</v>
      </c>
      <c r="P6" s="69">
        <f t="shared" si="3"/>
        <v>0</v>
      </c>
      <c r="Q6" s="70">
        <f t="shared" si="4"/>
        <v>-4.2608695652175896</v>
      </c>
      <c r="R6" s="71">
        <f t="shared" si="5"/>
        <v>0.96449275362318676</v>
      </c>
      <c r="S6" s="425"/>
      <c r="T6" s="16">
        <v>0.36527777777777798</v>
      </c>
      <c r="U6" s="16">
        <v>0.42916666666666697</v>
      </c>
      <c r="V6" s="30">
        <f>(T6-U5)*24*60</f>
        <v>17.999999999999936</v>
      </c>
      <c r="W6" s="73">
        <f t="shared" si="6"/>
        <v>92.000000000000156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-63.913043478263944</v>
      </c>
      <c r="AG6" s="72">
        <f t="shared" si="8"/>
        <v>0.96449275362318665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1497</v>
      </c>
      <c r="H7" s="78">
        <f>F7*G7</f>
        <v>73562.58</v>
      </c>
      <c r="I7" s="73"/>
      <c r="J7" s="79">
        <v>14</v>
      </c>
      <c r="K7" s="80">
        <f>VLOOKUP(D7,產線配置圖!$A$3:$C$39,3,0)</f>
        <v>2000</v>
      </c>
      <c r="L7" s="81">
        <f t="shared" si="0"/>
        <v>142.85714285714286</v>
      </c>
      <c r="M7" s="82">
        <v>14</v>
      </c>
      <c r="N7" s="80">
        <f t="shared" si="1"/>
        <v>1911.0638297872279</v>
      </c>
      <c r="O7" s="81">
        <f t="shared" si="2"/>
        <v>136.50455927051627</v>
      </c>
      <c r="P7" s="74">
        <f t="shared" si="3"/>
        <v>0</v>
      </c>
      <c r="Q7" s="83">
        <f t="shared" si="4"/>
        <v>-6.3525835866265936</v>
      </c>
      <c r="R7" s="72">
        <f t="shared" si="5"/>
        <v>0.95553191489361389</v>
      </c>
      <c r="S7" s="425"/>
      <c r="T7" s="18">
        <v>0.44722222222222202</v>
      </c>
      <c r="U7" s="18">
        <v>0.47986111111111102</v>
      </c>
      <c r="V7" s="30">
        <f>(T7-U6)*24*60</f>
        <v>25.999999999999268</v>
      </c>
      <c r="W7" s="73">
        <f t="shared" si="6"/>
        <v>47.000000000000156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-88.93617021277214</v>
      </c>
      <c r="AG7" s="72">
        <f t="shared" si="8"/>
        <v>0.95553191489361389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4632</v>
      </c>
      <c r="H8" s="78">
        <f>F8*G8</f>
        <v>227616.48</v>
      </c>
      <c r="I8" s="73"/>
      <c r="J8" s="79">
        <v>14</v>
      </c>
      <c r="K8" s="80">
        <f>VLOOKUP(D8,產線配置圖!$A$3:$C$39,3,0)</f>
        <v>2000</v>
      </c>
      <c r="L8" s="81">
        <f>K8/J8</f>
        <v>142.85714285714286</v>
      </c>
      <c r="M8" s="82">
        <v>14</v>
      </c>
      <c r="N8" s="80">
        <f>G8/W8*60</f>
        <v>1865.2348993288617</v>
      </c>
      <c r="O8" s="81">
        <f>N8/M8</f>
        <v>133.23106423777583</v>
      </c>
      <c r="P8" s="74">
        <f>M8-J8</f>
        <v>0</v>
      </c>
      <c r="Q8" s="83">
        <f>O8-L8</f>
        <v>-9.6260786193670356</v>
      </c>
      <c r="R8" s="72">
        <f>O8/L8</f>
        <v>0.93261744966443072</v>
      </c>
      <c r="S8" s="425"/>
      <c r="T8" s="16">
        <v>0.54513888888888895</v>
      </c>
      <c r="U8" s="16">
        <v>0.64861111111111103</v>
      </c>
      <c r="V8" s="30">
        <f>(T8-U7)*24*60</f>
        <v>94.000000000000227</v>
      </c>
      <c r="W8" s="73">
        <f t="shared" si="6"/>
        <v>148.9999999999998</v>
      </c>
      <c r="X8" s="22">
        <v>0.48611111111111099</v>
      </c>
      <c r="Y8" s="84">
        <v>0.52777777777777801</v>
      </c>
      <c r="Z8" s="90"/>
      <c r="AA8" s="90"/>
      <c r="AB8" s="407"/>
      <c r="AC8" s="407"/>
      <c r="AD8" s="149"/>
      <c r="AE8" s="149"/>
      <c r="AF8" s="307">
        <f t="shared" si="7"/>
        <v>-134.76510067113827</v>
      </c>
      <c r="AG8" s="72">
        <f t="shared" si="8"/>
        <v>0.93261744966443083</v>
      </c>
      <c r="AH8" s="404"/>
    </row>
    <row r="9" spans="1:34" ht="15" customHeight="1">
      <c r="A9" s="42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6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0</v>
      </c>
      <c r="AG9" s="72" t="e">
        <f t="shared" si="8"/>
        <v>#DIV/0!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9">AVERAGE(J5:J14)</f>
        <v>15</v>
      </c>
      <c r="K15" s="120">
        <f t="shared" si="9"/>
        <v>1950</v>
      </c>
      <c r="L15" s="117">
        <f t="shared" si="9"/>
        <v>130.84033613445379</v>
      </c>
      <c r="M15" s="120">
        <f t="shared" si="9"/>
        <v>15</v>
      </c>
      <c r="N15" s="120">
        <f t="shared" si="9"/>
        <v>1784.648145547385</v>
      </c>
      <c r="O15" s="117">
        <f t="shared" si="9"/>
        <v>120.28349578799973</v>
      </c>
      <c r="P15" s="121">
        <f>M15-J15</f>
        <v>0</v>
      </c>
      <c r="Q15" s="122">
        <f t="shared" ref="Q15:Q16" si="10">O15-L15</f>
        <v>-10.556840346454067</v>
      </c>
      <c r="R15" s="123">
        <f>O15/L15</f>
        <v>0.9193150930489381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1">N15-K15</f>
        <v>-165.35185445261504</v>
      </c>
      <c r="AG15" s="124">
        <f t="shared" ref="AG15:AG19" si="12">N15/K15</f>
        <v>0.91520417720378711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1867</v>
      </c>
      <c r="H16" s="134">
        <f>F16*G16</f>
        <v>106811.07</v>
      </c>
      <c r="I16" s="135"/>
      <c r="J16" s="136">
        <v>13</v>
      </c>
      <c r="K16" s="137">
        <f>VLOOKUP(D16,產線配置圖!$A$3:$C$39,3,0)</f>
        <v>2105</v>
      </c>
      <c r="L16" s="138">
        <f>K16/J16</f>
        <v>161.92307692307693</v>
      </c>
      <c r="M16" s="139">
        <v>13</v>
      </c>
      <c r="N16" s="140">
        <f>G16/W16*60</f>
        <v>1898.644067796622</v>
      </c>
      <c r="O16" s="141">
        <f>N16/M16</f>
        <v>146.04954367666323</v>
      </c>
      <c r="P16" s="142">
        <f>M16-J16</f>
        <v>0</v>
      </c>
      <c r="Q16" s="143">
        <f t="shared" si="10"/>
        <v>-15.8735332464137</v>
      </c>
      <c r="R16" s="144">
        <f>O16/L16</f>
        <v>0.90196867828818139</v>
      </c>
      <c r="S16" s="417">
        <f>R26</f>
        <v>0.85481000496175052</v>
      </c>
      <c r="T16" s="145">
        <v>0.29097222222222202</v>
      </c>
      <c r="U16" s="145">
        <v>0.33194444444444399</v>
      </c>
      <c r="V16" s="135"/>
      <c r="W16" s="146">
        <f t="shared" ref="W16:W78" si="13">(U16-T16)*24*60</f>
        <v>58.999999999999631</v>
      </c>
      <c r="X16" s="141"/>
      <c r="Y16" s="296"/>
      <c r="Z16" s="169"/>
      <c r="AA16" s="169"/>
      <c r="AB16" s="402" t="s">
        <v>138</v>
      </c>
      <c r="AC16" s="402"/>
      <c r="AD16" s="135"/>
      <c r="AE16" s="135"/>
      <c r="AF16" s="229">
        <f t="shared" si="11"/>
        <v>-206.35593220337796</v>
      </c>
      <c r="AG16" s="52">
        <f t="shared" si="12"/>
        <v>0.9019686782881815</v>
      </c>
      <c r="AH16" s="403">
        <f>AG26</f>
        <v>0.87090425979911668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3872</v>
      </c>
      <c r="H17" s="78">
        <f>F17*G17</f>
        <v>196194.24000000002</v>
      </c>
      <c r="I17" s="30"/>
      <c r="J17" s="79">
        <v>13</v>
      </c>
      <c r="K17" s="80">
        <f>VLOOKUP(D17,產線配置圖!$A$3:$C$39,3,0)</f>
        <v>2000</v>
      </c>
      <c r="L17" s="81">
        <f t="shared" ref="L17:L21" si="14">K17/J17</f>
        <v>153.84615384615384</v>
      </c>
      <c r="M17" s="148">
        <v>13</v>
      </c>
      <c r="N17" s="95">
        <f t="shared" ref="N17:N21" si="15">G17/W17*60</f>
        <v>1787.0769230769183</v>
      </c>
      <c r="O17" s="96">
        <f t="shared" ref="O17:O21" si="16">N17/M17</f>
        <v>137.46745562130141</v>
      </c>
      <c r="P17" s="97">
        <f t="shared" ref="P17:P21" si="17">M17-J17</f>
        <v>0</v>
      </c>
      <c r="Q17" s="98">
        <f t="shared" ref="Q17:Q21" si="18">O17-L17</f>
        <v>-16.378698224852428</v>
      </c>
      <c r="R17" s="99">
        <f t="shared" ref="R17:R21" si="19">O17/L17</f>
        <v>0.89353846153845917</v>
      </c>
      <c r="S17" s="418"/>
      <c r="T17" s="19">
        <v>0.34027777777777801</v>
      </c>
      <c r="U17" s="19">
        <v>0.43055555555555602</v>
      </c>
      <c r="V17" s="30">
        <f>(T17-U16)*24*60</f>
        <v>12.000000000000997</v>
      </c>
      <c r="W17" s="149">
        <f t="shared" si="13"/>
        <v>130.00000000000034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1"/>
        <v>-212.92307692308168</v>
      </c>
      <c r="AG17" s="72">
        <f t="shared" si="12"/>
        <v>0.89353846153845917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1722</v>
      </c>
      <c r="H18" s="78">
        <f t="shared" ref="H18:H21" si="20">F18*G18</f>
        <v>86771.58</v>
      </c>
      <c r="I18" s="30"/>
      <c r="J18" s="79">
        <v>12</v>
      </c>
      <c r="K18" s="80">
        <f>VLOOKUP(D18,產線配置圖!$A$3:$C$39,3,0)</f>
        <v>2000</v>
      </c>
      <c r="L18" s="81">
        <f t="shared" si="14"/>
        <v>166.66666666666666</v>
      </c>
      <c r="M18" s="148">
        <v>12</v>
      </c>
      <c r="N18" s="95">
        <f t="shared" si="15"/>
        <v>1751.1864406779748</v>
      </c>
      <c r="O18" s="96">
        <f t="shared" si="16"/>
        <v>145.93220338983124</v>
      </c>
      <c r="P18" s="97">
        <f t="shared" si="17"/>
        <v>0</v>
      </c>
      <c r="Q18" s="98">
        <f t="shared" si="18"/>
        <v>-20.734463276835413</v>
      </c>
      <c r="R18" s="99">
        <f t="shared" si="19"/>
        <v>0.87559322033898757</v>
      </c>
      <c r="S18" s="418"/>
      <c r="T18" s="19">
        <v>0.43611111111111101</v>
      </c>
      <c r="U18" s="19">
        <v>0.47708333333333303</v>
      </c>
      <c r="V18" s="30">
        <f>(T18-U17)*24*60</f>
        <v>7.9999999999991722</v>
      </c>
      <c r="W18" s="149">
        <f t="shared" si="13"/>
        <v>58.999999999999709</v>
      </c>
      <c r="X18" s="22"/>
      <c r="Y18" s="84"/>
      <c r="Z18" s="90"/>
      <c r="AA18" s="90"/>
      <c r="AB18" s="395"/>
      <c r="AC18" s="395"/>
      <c r="AD18" s="92"/>
      <c r="AE18" s="92"/>
      <c r="AF18" s="307">
        <f t="shared" si="11"/>
        <v>-248.81355932202518</v>
      </c>
      <c r="AG18" s="72">
        <f t="shared" si="12"/>
        <v>0.87559322033898745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3520</v>
      </c>
      <c r="H19" s="78">
        <f t="shared" si="20"/>
        <v>177372.79999999999</v>
      </c>
      <c r="I19" s="30"/>
      <c r="J19" s="79">
        <v>12</v>
      </c>
      <c r="K19" s="80">
        <f>VLOOKUP(D19,產線配置圖!$A$3:$C$39,3,0)</f>
        <v>2000</v>
      </c>
      <c r="L19" s="81">
        <f t="shared" si="14"/>
        <v>166.66666666666666</v>
      </c>
      <c r="M19" s="148">
        <v>12</v>
      </c>
      <c r="N19" s="95">
        <f t="shared" si="15"/>
        <v>1717.0731707317</v>
      </c>
      <c r="O19" s="96">
        <f t="shared" si="16"/>
        <v>143.08943089430832</v>
      </c>
      <c r="P19" s="97">
        <f t="shared" si="17"/>
        <v>0</v>
      </c>
      <c r="Q19" s="98">
        <f t="shared" si="18"/>
        <v>-23.577235772358335</v>
      </c>
      <c r="R19" s="99">
        <f t="shared" si="19"/>
        <v>0.85853658536584998</v>
      </c>
      <c r="S19" s="418"/>
      <c r="T19" s="19">
        <v>0.54513888888888895</v>
      </c>
      <c r="U19" s="19">
        <v>0.63055555555555598</v>
      </c>
      <c r="V19" s="30">
        <f>(T19-U18)*24*60</f>
        <v>98.000000000000526</v>
      </c>
      <c r="W19" s="149">
        <f t="shared" si="13"/>
        <v>123.00000000000053</v>
      </c>
      <c r="X19" s="22">
        <v>0.48611111111111099</v>
      </c>
      <c r="Y19" s="84">
        <v>0.52777777777777801</v>
      </c>
      <c r="Z19" s="90"/>
      <c r="AA19" s="90"/>
      <c r="AB19" s="407"/>
      <c r="AC19" s="407"/>
      <c r="AD19" s="149"/>
      <c r="AE19" s="149"/>
      <c r="AF19" s="307">
        <f t="shared" si="11"/>
        <v>-282.92682926830003</v>
      </c>
      <c r="AG19" s="72">
        <f t="shared" si="12"/>
        <v>0.85853658536584998</v>
      </c>
      <c r="AH19" s="405"/>
    </row>
    <row r="20" spans="1:34" ht="15" customHeight="1">
      <c r="A20" s="414"/>
      <c r="B20" s="75" t="s">
        <v>81</v>
      </c>
      <c r="C20" s="76"/>
      <c r="D20" s="59" t="s">
        <v>116</v>
      </c>
      <c r="E20" s="77"/>
      <c r="F20" s="75">
        <f>VLOOKUP(D20,廠價表!$C$1:$E$41,3,0)</f>
        <v>57.21</v>
      </c>
      <c r="G20" s="147">
        <v>708</v>
      </c>
      <c r="H20" s="78">
        <f t="shared" si="20"/>
        <v>40504.68</v>
      </c>
      <c r="I20" s="30"/>
      <c r="J20" s="79">
        <v>13</v>
      </c>
      <c r="K20" s="80">
        <f>VLOOKUP(D20,產線配置圖!$A$3:$C$39,3,0)</f>
        <v>2105</v>
      </c>
      <c r="L20" s="81">
        <f t="shared" si="14"/>
        <v>161.92307692307693</v>
      </c>
      <c r="M20" s="148">
        <v>15</v>
      </c>
      <c r="N20" s="95">
        <f t="shared" si="15"/>
        <v>1517.1428571428885</v>
      </c>
      <c r="O20" s="96">
        <f t="shared" si="16"/>
        <v>101.14285714285923</v>
      </c>
      <c r="P20" s="97">
        <f t="shared" si="17"/>
        <v>2</v>
      </c>
      <c r="Q20" s="98">
        <f t="shared" si="18"/>
        <v>-60.780219780217706</v>
      </c>
      <c r="R20" s="99">
        <f t="shared" si="19"/>
        <v>0.62463522225993817</v>
      </c>
      <c r="S20" s="418"/>
      <c r="T20" s="19">
        <v>0.63888888888888895</v>
      </c>
      <c r="U20" s="19">
        <v>0.65833333333333299</v>
      </c>
      <c r="V20" s="30">
        <f>(T20-U19)*24*60</f>
        <v>11.999999999999478</v>
      </c>
      <c r="W20" s="149">
        <f t="shared" si="13"/>
        <v>27.999999999999421</v>
      </c>
      <c r="X20" s="19"/>
      <c r="Y20" s="297"/>
      <c r="Z20" s="90"/>
      <c r="AA20" s="90"/>
      <c r="AB20" s="395" t="s">
        <v>139</v>
      </c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30" t="s">
        <v>81</v>
      </c>
      <c r="C21" s="151"/>
      <c r="D21" s="59" t="s">
        <v>116</v>
      </c>
      <c r="E21" s="87"/>
      <c r="F21" s="75">
        <f>VLOOKUP(D21,廠價表!$C$1:$E$41,3,0)</f>
        <v>57.21</v>
      </c>
      <c r="G21" s="95">
        <v>2191</v>
      </c>
      <c r="H21" s="78">
        <f t="shared" si="20"/>
        <v>125347.11</v>
      </c>
      <c r="I21" s="30"/>
      <c r="J21" s="79">
        <v>13</v>
      </c>
      <c r="K21" s="80">
        <f>VLOOKUP(D21,產線配置圖!$A$3:$C$39,3,0)</f>
        <v>2105</v>
      </c>
      <c r="L21" s="81">
        <f t="shared" si="14"/>
        <v>161.92307692307693</v>
      </c>
      <c r="M21" s="148">
        <v>13</v>
      </c>
      <c r="N21" s="95">
        <f t="shared" si="15"/>
        <v>2054.0625000000173</v>
      </c>
      <c r="O21" s="96">
        <f t="shared" si="16"/>
        <v>158.00480769230902</v>
      </c>
      <c r="P21" s="97">
        <f t="shared" si="17"/>
        <v>0</v>
      </c>
      <c r="Q21" s="98">
        <f t="shared" si="18"/>
        <v>-3.918269230767919</v>
      </c>
      <c r="R21" s="99">
        <f t="shared" si="19"/>
        <v>0.97580166270784663</v>
      </c>
      <c r="S21" s="418"/>
      <c r="T21" s="19">
        <v>0.66041666666666698</v>
      </c>
      <c r="U21" s="19">
        <v>0.70486111111111105</v>
      </c>
      <c r="V21" s="30">
        <f>(T21-U20)*24*60</f>
        <v>3.0000000000009486</v>
      </c>
      <c r="W21" s="149">
        <f t="shared" si="13"/>
        <v>63.999999999999453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75"/>
      <c r="G22" s="95"/>
      <c r="H22" s="78"/>
      <c r="I22" s="30"/>
      <c r="J22" s="79"/>
      <c r="K22" s="80"/>
      <c r="L22" s="81"/>
      <c r="M22" s="148"/>
      <c r="N22" s="95"/>
      <c r="O22" s="96"/>
      <c r="P22" s="97"/>
      <c r="Q22" s="98"/>
      <c r="R22" s="99"/>
      <c r="S22" s="418"/>
      <c r="T22" s="19"/>
      <c r="U22" s="19"/>
      <c r="V22" s="92"/>
      <c r="W22" s="149">
        <f t="shared" si="13"/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9"/>
      <c r="U23" s="19"/>
      <c r="W23" s="149">
        <f t="shared" si="13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21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3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21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3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2">AVERAGE(J16:J25)</f>
        <v>12.666666666666666</v>
      </c>
      <c r="K26" s="155">
        <f t="shared" si="22"/>
        <v>2052.5</v>
      </c>
      <c r="L26" s="158">
        <f t="shared" si="22"/>
        <v>162.15811965811966</v>
      </c>
      <c r="M26" s="155">
        <f t="shared" si="22"/>
        <v>13</v>
      </c>
      <c r="N26" s="155">
        <f t="shared" si="22"/>
        <v>1787.530993237687</v>
      </c>
      <c r="O26" s="158">
        <f t="shared" si="22"/>
        <v>138.6143830695454</v>
      </c>
      <c r="P26" s="159">
        <f t="shared" ref="P26:P29" si="23">M26-J26</f>
        <v>0.33333333333333393</v>
      </c>
      <c r="Q26" s="160">
        <f t="shared" ref="Q26:Q29" si="24">O26-L26</f>
        <v>-23.543736588574262</v>
      </c>
      <c r="R26" s="161">
        <f>O26/L26</f>
        <v>0.85481000496175052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0</v>
      </c>
      <c r="AE26" s="323">
        <f>SUM(AE16:AE25)</f>
        <v>0</v>
      </c>
      <c r="AF26" s="309">
        <f t="shared" ref="AF26:AF31" si="25">N26-K26</f>
        <v>-264.96900676231303</v>
      </c>
      <c r="AG26" s="124">
        <f t="shared" ref="AG26:AG31" si="26">N26/K26</f>
        <v>0.87090425979911668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2180</v>
      </c>
      <c r="H27" s="134">
        <f>F27*G27</f>
        <v>124914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29" si="27">K27/J27</f>
        <v>88.235294117647058</v>
      </c>
      <c r="M27" s="170">
        <v>16</v>
      </c>
      <c r="N27" s="140">
        <f>G27/W27*60</f>
        <v>1348.4536082474253</v>
      </c>
      <c r="O27" s="141">
        <f>N27/M27</f>
        <v>84.278350515464084</v>
      </c>
      <c r="P27" s="142">
        <f t="shared" si="23"/>
        <v>-1</v>
      </c>
      <c r="Q27" s="143">
        <f t="shared" si="24"/>
        <v>-3.9569436021829745</v>
      </c>
      <c r="R27" s="144">
        <f>O27/L27</f>
        <v>0.95515463917525967</v>
      </c>
      <c r="S27" s="417">
        <f>R37</f>
        <v>0.82442901991724082</v>
      </c>
      <c r="T27" s="171">
        <v>0.29166666666666702</v>
      </c>
      <c r="U27" s="171">
        <v>0.359027777777778</v>
      </c>
      <c r="V27" s="135"/>
      <c r="W27" s="146">
        <f t="shared" si="13"/>
        <v>96.999999999999815</v>
      </c>
      <c r="X27" s="135"/>
      <c r="Y27" s="300" t="s">
        <v>46</v>
      </c>
      <c r="Z27" s="169">
        <v>1</v>
      </c>
      <c r="AA27" s="169">
        <v>7</v>
      </c>
      <c r="AB27" s="402" t="s">
        <v>140</v>
      </c>
      <c r="AC27" s="402"/>
      <c r="AD27" s="135"/>
      <c r="AE27" s="135"/>
      <c r="AF27" s="310">
        <f t="shared" si="25"/>
        <v>-151.54639175257466</v>
      </c>
      <c r="AG27" s="172">
        <f t="shared" si="26"/>
        <v>0.89896907216495026</v>
      </c>
      <c r="AH27" s="403">
        <f>AG37</f>
        <v>0.79374517808302414</v>
      </c>
    </row>
    <row r="28" spans="1:34" ht="15" customHeight="1">
      <c r="A28" s="430"/>
      <c r="B28" s="75" t="s">
        <v>81</v>
      </c>
      <c r="C28" s="173"/>
      <c r="D28" s="59" t="s">
        <v>122</v>
      </c>
      <c r="E28" s="104"/>
      <c r="F28" s="75">
        <f>VLOOKUP(D28,廠價表!$C$1:$E$41,3,0)</f>
        <v>55.13</v>
      </c>
      <c r="G28" s="90">
        <v>1785</v>
      </c>
      <c r="H28" s="91">
        <f>F28*G28</f>
        <v>98407.05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7"/>
        <v>81.470588235294116</v>
      </c>
      <c r="M28" s="94">
        <v>16</v>
      </c>
      <c r="N28" s="95">
        <f>G28/W28*60</f>
        <v>1151.6129032257938</v>
      </c>
      <c r="O28" s="96">
        <f>N28/M28</f>
        <v>71.975806451612115</v>
      </c>
      <c r="P28" s="97">
        <f t="shared" si="23"/>
        <v>-1</v>
      </c>
      <c r="Q28" s="98">
        <f t="shared" si="24"/>
        <v>-9.4947817836820008</v>
      </c>
      <c r="R28" s="99">
        <f t="shared" ref="R28:R29" si="28">O28/L28</f>
        <v>0.88345755211365051</v>
      </c>
      <c r="S28" s="418"/>
      <c r="T28" s="19">
        <v>0.36597222222222198</v>
      </c>
      <c r="U28" s="19">
        <v>0.43055555555555602</v>
      </c>
      <c r="V28" s="92">
        <f>(T28-U27)*24*60</f>
        <v>9.999999999999325</v>
      </c>
      <c r="W28" s="149">
        <f t="shared" si="13"/>
        <v>93.000000000001023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5"/>
        <v>-233.38709677420616</v>
      </c>
      <c r="AG28" s="99">
        <f t="shared" si="26"/>
        <v>0.83148946081284758</v>
      </c>
      <c r="AH28" s="432"/>
    </row>
    <row r="29" spans="1:34" ht="15" customHeight="1">
      <c r="A29" s="430"/>
      <c r="B29" s="75" t="s">
        <v>81</v>
      </c>
      <c r="C29" s="173"/>
      <c r="D29" s="59" t="s">
        <v>121</v>
      </c>
      <c r="E29" s="104"/>
      <c r="F29" s="75">
        <f>VLOOKUP(D29,廠價表!$C$1:$E$41,3,0)</f>
        <v>57.3</v>
      </c>
      <c r="G29" s="90">
        <v>912</v>
      </c>
      <c r="H29" s="91">
        <f>F29*G29</f>
        <v>52257.599999999999</v>
      </c>
      <c r="I29" s="92"/>
      <c r="J29" s="79">
        <f>VLOOKUP(D29,產線配置圖!$A$3:$C$39,2,0)</f>
        <v>17</v>
      </c>
      <c r="K29" s="80">
        <f>VLOOKUP(D29,產線配置圖!$A$3:$C$39,3,0)</f>
        <v>1500</v>
      </c>
      <c r="L29" s="93">
        <f t="shared" si="27"/>
        <v>88.235294117647058</v>
      </c>
      <c r="M29" s="94">
        <v>16</v>
      </c>
      <c r="N29" s="95">
        <f>G29/W29*60</f>
        <v>1189.5652173912838</v>
      </c>
      <c r="O29" s="96">
        <f>N29/M29</f>
        <v>74.347826086955237</v>
      </c>
      <c r="P29" s="97">
        <f t="shared" si="23"/>
        <v>-1</v>
      </c>
      <c r="Q29" s="98">
        <f t="shared" si="24"/>
        <v>-13.887468030691821</v>
      </c>
      <c r="R29" s="99">
        <f t="shared" si="28"/>
        <v>0.84260869565215935</v>
      </c>
      <c r="S29" s="418"/>
      <c r="T29" s="19">
        <v>0.44444444444444398</v>
      </c>
      <c r="U29" s="19">
        <v>0.47638888888888897</v>
      </c>
      <c r="V29" s="92">
        <f>(T29-U28)*24*60</f>
        <v>19.99999999999865</v>
      </c>
      <c r="W29" s="149">
        <f t="shared" si="13"/>
        <v>46.000000000000796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5"/>
        <v>-310.4347826087162</v>
      </c>
      <c r="AG29" s="99">
        <f t="shared" si="26"/>
        <v>0.79304347826085586</v>
      </c>
      <c r="AH29" s="432"/>
    </row>
    <row r="30" spans="1:34" ht="15" customHeight="1">
      <c r="A30" s="430"/>
      <c r="B30" s="75" t="s">
        <v>123</v>
      </c>
      <c r="C30" s="88"/>
      <c r="D30" s="59" t="s">
        <v>124</v>
      </c>
      <c r="E30" s="89"/>
      <c r="F30" s="75">
        <f>VLOOKUP(D30,廠價表!$C$1:$E$41,3,0)</f>
        <v>49.52</v>
      </c>
      <c r="G30" s="90">
        <v>933</v>
      </c>
      <c r="H30" s="91">
        <f t="shared" ref="H30:H32" si="29">F30*G30</f>
        <v>46202.16</v>
      </c>
      <c r="I30" s="92"/>
      <c r="J30" s="79">
        <f>VLOOKUP(D30,產線配置圖!$A$3:$C$39,2,0)</f>
        <v>15</v>
      </c>
      <c r="K30" s="80">
        <f>VLOOKUP(D30,產線配置圖!$A$3:$C$39,3,0)</f>
        <v>1440</v>
      </c>
      <c r="L30" s="93">
        <f t="shared" ref="L30:L32" si="30">K30/J30</f>
        <v>96</v>
      </c>
      <c r="M30" s="94">
        <v>15</v>
      </c>
      <c r="N30" s="95">
        <f t="shared" ref="N30:N32" si="31">G30/W30*60</f>
        <v>1216.9565217391114</v>
      </c>
      <c r="O30" s="96">
        <f t="shared" ref="O30:O32" si="32">N30/M30</f>
        <v>81.130434782607423</v>
      </c>
      <c r="P30" s="97">
        <f t="shared" ref="P30:P32" si="33">M30-J30</f>
        <v>0</v>
      </c>
      <c r="Q30" s="98">
        <f t="shared" ref="Q30:Q32" si="34">O30-L30</f>
        <v>-14.869565217392577</v>
      </c>
      <c r="R30" s="99">
        <f t="shared" ref="R30:R32" si="35">O30/L30</f>
        <v>0.84510869565216062</v>
      </c>
      <c r="S30" s="418"/>
      <c r="T30" s="19">
        <v>0.48194444444444401</v>
      </c>
      <c r="U30" s="19">
        <v>0.51388888888888895</v>
      </c>
      <c r="V30" s="92">
        <f>(T30-U29)*24*60</f>
        <v>7.9999999999992522</v>
      </c>
      <c r="W30" s="149">
        <f t="shared" si="13"/>
        <v>46.000000000000718</v>
      </c>
      <c r="X30" s="174"/>
      <c r="Y30" s="301"/>
      <c r="Z30" s="335"/>
      <c r="AA30" s="335"/>
      <c r="AB30" s="395"/>
      <c r="AC30" s="395"/>
      <c r="AD30" s="92"/>
      <c r="AE30" s="92"/>
      <c r="AF30" s="312">
        <f t="shared" si="25"/>
        <v>-223.04347826088861</v>
      </c>
      <c r="AG30" s="99">
        <f t="shared" si="26"/>
        <v>0.84510869565216074</v>
      </c>
      <c r="AH30" s="433"/>
    </row>
    <row r="31" spans="1:34" ht="15" customHeight="1">
      <c r="A31" s="430"/>
      <c r="B31" s="75" t="s">
        <v>123</v>
      </c>
      <c r="C31" s="88"/>
      <c r="D31" s="59" t="s">
        <v>124</v>
      </c>
      <c r="E31" s="89"/>
      <c r="F31" s="75">
        <f>VLOOKUP(D31,廠價表!$C$1:$E$41,3,0)</f>
        <v>49.52</v>
      </c>
      <c r="G31" s="90">
        <v>1290</v>
      </c>
      <c r="H31" s="91">
        <f t="shared" si="29"/>
        <v>63880.800000000003</v>
      </c>
      <c r="I31" s="92"/>
      <c r="J31" s="79">
        <f>VLOOKUP(D31,產線配置圖!$A$3:$C$39,2,0)</f>
        <v>15</v>
      </c>
      <c r="K31" s="80">
        <f>VLOOKUP(D31,產線配置圖!$A$3:$C$39,3,0)</f>
        <v>1440</v>
      </c>
      <c r="L31" s="93">
        <f t="shared" si="30"/>
        <v>96</v>
      </c>
      <c r="M31" s="94">
        <v>15</v>
      </c>
      <c r="N31" s="95">
        <f t="shared" si="31"/>
        <v>910.58823529411393</v>
      </c>
      <c r="O31" s="96">
        <f t="shared" si="32"/>
        <v>60.705882352940925</v>
      </c>
      <c r="P31" s="97">
        <f t="shared" si="33"/>
        <v>0</v>
      </c>
      <c r="Q31" s="98">
        <f t="shared" si="34"/>
        <v>-35.294117647059075</v>
      </c>
      <c r="R31" s="99">
        <f t="shared" si="35"/>
        <v>0.63235294117646801</v>
      </c>
      <c r="S31" s="418"/>
      <c r="T31" s="19">
        <v>0.60763888888888895</v>
      </c>
      <c r="U31" s="19">
        <v>0.66666666666666696</v>
      </c>
      <c r="V31" s="92">
        <f t="shared" ref="V31:V32" si="36">(T31-U30)*24*60</f>
        <v>135</v>
      </c>
      <c r="W31" s="149">
        <f t="shared" si="13"/>
        <v>85.000000000000341</v>
      </c>
      <c r="X31" s="174">
        <v>0.52083333333333304</v>
      </c>
      <c r="Y31" s="301">
        <v>0.5625</v>
      </c>
      <c r="Z31" s="335">
        <v>2</v>
      </c>
      <c r="AA31" s="335">
        <v>16</v>
      </c>
      <c r="AB31" s="395" t="s">
        <v>141</v>
      </c>
      <c r="AC31" s="395"/>
      <c r="AD31" s="92"/>
      <c r="AE31" s="92"/>
      <c r="AF31" s="312">
        <f t="shared" si="25"/>
        <v>-529.41176470588607</v>
      </c>
      <c r="AG31" s="99">
        <f t="shared" si="26"/>
        <v>0.63235294117646801</v>
      </c>
      <c r="AH31" s="405"/>
    </row>
    <row r="32" spans="1:34" ht="15" customHeight="1">
      <c r="A32" s="430"/>
      <c r="B32" s="75" t="s">
        <v>81</v>
      </c>
      <c r="C32" s="102"/>
      <c r="D32" s="175" t="s">
        <v>121</v>
      </c>
      <c r="E32" s="176"/>
      <c r="F32" s="75">
        <f>VLOOKUP(D32,廠價表!$C$1:$E$41,3,0)</f>
        <v>57.3</v>
      </c>
      <c r="G32" s="90">
        <v>703</v>
      </c>
      <c r="H32" s="91">
        <f t="shared" si="29"/>
        <v>40281.9</v>
      </c>
      <c r="I32" s="92"/>
      <c r="J32" s="79">
        <f>VLOOKUP(D32,產線配置圖!$A$3:$C$39,2,0)</f>
        <v>17</v>
      </c>
      <c r="K32" s="80">
        <f>VLOOKUP(D32,產線配置圖!$A$3:$C$39,3,0)</f>
        <v>1500</v>
      </c>
      <c r="L32" s="93">
        <f t="shared" si="30"/>
        <v>88.235294117647058</v>
      </c>
      <c r="M32" s="94">
        <v>16</v>
      </c>
      <c r="N32" s="95">
        <f t="shared" si="31"/>
        <v>1139.9999999999793</v>
      </c>
      <c r="O32" s="96">
        <f t="shared" si="32"/>
        <v>71.249999999998707</v>
      </c>
      <c r="P32" s="97">
        <f t="shared" si="33"/>
        <v>-1</v>
      </c>
      <c r="Q32" s="98">
        <f t="shared" si="34"/>
        <v>-16.985294117648351</v>
      </c>
      <c r="R32" s="99">
        <f t="shared" si="35"/>
        <v>0.80749999999998534</v>
      </c>
      <c r="S32" s="418"/>
      <c r="T32" s="19">
        <v>0.67222222222222205</v>
      </c>
      <c r="U32" s="19">
        <v>0.69791666666666696</v>
      </c>
      <c r="V32" s="92">
        <f t="shared" si="36"/>
        <v>7.9999999999993321</v>
      </c>
      <c r="W32" s="149">
        <f t="shared" si="13"/>
        <v>37.000000000000668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3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3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3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3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3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8">AVERAGE(J27:J36)</f>
        <v>16.333333333333332</v>
      </c>
      <c r="K37" s="155">
        <f t="shared" si="38"/>
        <v>1460.8333333333333</v>
      </c>
      <c r="L37" s="158">
        <f t="shared" si="38"/>
        <v>89.696078431372541</v>
      </c>
      <c r="M37" s="155">
        <f t="shared" si="38"/>
        <v>15.666666666666666</v>
      </c>
      <c r="N37" s="155">
        <f t="shared" si="38"/>
        <v>1159.5294143162844</v>
      </c>
      <c r="O37" s="158">
        <f t="shared" si="38"/>
        <v>73.948050031596424</v>
      </c>
      <c r="P37" s="159">
        <f>M37-J37</f>
        <v>-0.66666666666666607</v>
      </c>
      <c r="Q37" s="160">
        <f>N37-K37</f>
        <v>-301.30391901704888</v>
      </c>
      <c r="R37" s="161">
        <f t="shared" ref="R37:R40" si="39">O37/L37</f>
        <v>0.82442901991724082</v>
      </c>
      <c r="S37" s="419"/>
      <c r="T37" s="163"/>
      <c r="U37" s="163"/>
      <c r="V37" s="164"/>
      <c r="W37" s="164"/>
      <c r="X37" s="321"/>
      <c r="Y37" s="322"/>
      <c r="Z37" s="334">
        <f>SUM(Z27:Z36)</f>
        <v>3</v>
      </c>
      <c r="AA37" s="334">
        <f>SUM(AA27:AA36)</f>
        <v>23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40">N37-K37</f>
        <v>-301.30391901704888</v>
      </c>
      <c r="AG37" s="124">
        <f t="shared" ref="AG37:AG41" si="41">N37/K37</f>
        <v>0.79374517808302414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1259</v>
      </c>
      <c r="H38" s="134">
        <f>F38*G38</f>
        <v>71045.37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42">K38/J38</f>
        <v>87.875</v>
      </c>
      <c r="M38" s="190">
        <v>15</v>
      </c>
      <c r="N38" s="140">
        <f>G38/W38*60</f>
        <v>1110.8823529411582</v>
      </c>
      <c r="O38" s="141">
        <f>N38/M38</f>
        <v>74.058823529410546</v>
      </c>
      <c r="P38" s="142">
        <f t="shared" ref="P38:P40" si="43">M38-J38</f>
        <v>-1</v>
      </c>
      <c r="Q38" s="143">
        <f t="shared" ref="Q38:Q40" si="44">O38-L38</f>
        <v>-13.816176470589454</v>
      </c>
      <c r="R38" s="144">
        <f>O38/L38</f>
        <v>0.84277466320808592</v>
      </c>
      <c r="S38" s="437">
        <f>R48</f>
        <v>0.90464403832725804</v>
      </c>
      <c r="T38" s="191">
        <v>0.33333333333333298</v>
      </c>
      <c r="U38" s="191">
        <v>0.38055555555555598</v>
      </c>
      <c r="V38" s="192"/>
      <c r="W38" s="193">
        <f t="shared" si="13"/>
        <v>68.000000000001123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40"/>
        <v>-295.11764705884184</v>
      </c>
      <c r="AG38" s="195">
        <f t="shared" si="41"/>
        <v>0.79010124675758053</v>
      </c>
      <c r="AH38" s="443">
        <f>AG48</f>
        <v>0.89689538744753661</v>
      </c>
    </row>
    <row r="39" spans="1:34" ht="15" customHeight="1">
      <c r="A39" s="435"/>
      <c r="B39" s="75" t="s">
        <v>123</v>
      </c>
      <c r="C39" s="197"/>
      <c r="D39" s="198" t="s">
        <v>127</v>
      </c>
      <c r="E39" s="176"/>
      <c r="F39" s="75">
        <f>VLOOKUP(D39,廠價表!$C$1:$E$41,3,0)</f>
        <v>49.91</v>
      </c>
      <c r="G39" s="199">
        <v>1502</v>
      </c>
      <c r="H39" s="91">
        <f>F39*G39</f>
        <v>74964.819999999992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42"/>
        <v>92.058823529411768</v>
      </c>
      <c r="M39" s="201">
        <v>17</v>
      </c>
      <c r="N39" s="202">
        <f>G39/W39*60</f>
        <v>1345.0746268656651</v>
      </c>
      <c r="O39" s="203">
        <f t="shared" ref="O39:O40" si="45">N39/M39</f>
        <v>79.122036874450885</v>
      </c>
      <c r="P39" s="97">
        <f t="shared" si="43"/>
        <v>0</v>
      </c>
      <c r="Q39" s="98">
        <f t="shared" si="44"/>
        <v>-12.936786654960883</v>
      </c>
      <c r="R39" s="99">
        <f t="shared" si="39"/>
        <v>0.85947260502598399</v>
      </c>
      <c r="S39" s="438"/>
      <c r="T39" s="20">
        <v>0.38750000000000001</v>
      </c>
      <c r="U39" s="20">
        <v>0.43402777777777801</v>
      </c>
      <c r="V39" s="92">
        <f>(T39-U38)*24*60</f>
        <v>9.9999999999994049</v>
      </c>
      <c r="W39" s="205">
        <f t="shared" si="13"/>
        <v>67.000000000000327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40"/>
        <v>-219.9253731343349</v>
      </c>
      <c r="AG39" s="206">
        <f t="shared" si="41"/>
        <v>0.8594726050259841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1683</v>
      </c>
      <c r="H40" s="91">
        <f>F40*G40</f>
        <v>74556.899999999994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42"/>
        <v>84.705882352941174</v>
      </c>
      <c r="M40" s="201">
        <v>17</v>
      </c>
      <c r="N40" s="202">
        <f>G40/W40*60</f>
        <v>1311.4285714285775</v>
      </c>
      <c r="O40" s="203">
        <f t="shared" si="45"/>
        <v>77.142857142857494</v>
      </c>
      <c r="P40" s="97">
        <f t="shared" si="43"/>
        <v>0</v>
      </c>
      <c r="Q40" s="98">
        <f t="shared" si="44"/>
        <v>-7.5630252100836799</v>
      </c>
      <c r="R40" s="99">
        <f t="shared" si="39"/>
        <v>0.91071428571428992</v>
      </c>
      <c r="S40" s="425"/>
      <c r="T40" s="20">
        <v>0.44791666666666702</v>
      </c>
      <c r="U40" s="20">
        <v>0.50138888888888899</v>
      </c>
      <c r="V40" s="92">
        <f>(T40-U39)*24*60</f>
        <v>20.000000000000171</v>
      </c>
      <c r="W40" s="205">
        <f t="shared" si="13"/>
        <v>76.999999999999645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40"/>
        <v>-128.57142857142253</v>
      </c>
      <c r="AG40" s="206">
        <f t="shared" si="41"/>
        <v>0.91071428571428992</v>
      </c>
      <c r="AH40" s="444"/>
    </row>
    <row r="41" spans="1:34" ht="15" customHeight="1">
      <c r="A41" s="435"/>
      <c r="B41" s="75" t="s">
        <v>123</v>
      </c>
      <c r="C41" s="207"/>
      <c r="D41" s="198" t="s">
        <v>128</v>
      </c>
      <c r="E41" s="178"/>
      <c r="F41" s="75">
        <f>VLOOKUP(D41,廠價表!$C$1:$E$41,3,0)</f>
        <v>44.3</v>
      </c>
      <c r="G41" s="199">
        <v>2929</v>
      </c>
      <c r="H41" s="91">
        <f t="shared" ref="H41:H43" si="46">F41*G41</f>
        <v>129754.7</v>
      </c>
      <c r="I41" s="200"/>
      <c r="J41" s="148">
        <f>VLOOKUP(D41,產線配置圖!$A$3:$C$39,2,0)</f>
        <v>17</v>
      </c>
      <c r="K41" s="95">
        <f>VLOOKUP(D41,產線配置圖!$A$3:$C$39,3,0)</f>
        <v>1440</v>
      </c>
      <c r="L41" s="96">
        <f t="shared" ref="L41:L43" si="47">K41/J41</f>
        <v>84.705882352941174</v>
      </c>
      <c r="M41" s="201">
        <v>17</v>
      </c>
      <c r="N41" s="202">
        <f t="shared" ref="N41:N43" si="48">G41/W41*60</f>
        <v>1405.9199999999923</v>
      </c>
      <c r="O41" s="203">
        <f t="shared" ref="O41:O43" si="49">N41/M41</f>
        <v>82.701176470587782</v>
      </c>
      <c r="P41" s="97">
        <f t="shared" ref="P41:P43" si="50">M41-J41</f>
        <v>0</v>
      </c>
      <c r="Q41" s="98">
        <f t="shared" ref="Q41:Q43" si="51">O41-L41</f>
        <v>-2.0047058823533916</v>
      </c>
      <c r="R41" s="99">
        <f t="shared" ref="R41:R43" si="52">O41/L41</f>
        <v>0.97633333333332806</v>
      </c>
      <c r="S41" s="425"/>
      <c r="T41" s="20">
        <v>0.5625</v>
      </c>
      <c r="U41" s="210">
        <v>0.64930555555555602</v>
      </c>
      <c r="V41" s="92">
        <f t="shared" ref="V41:V43" si="53">(T41-U40)*24*60</f>
        <v>87.999999999999844</v>
      </c>
      <c r="W41" s="205">
        <f t="shared" si="13"/>
        <v>125.00000000000068</v>
      </c>
      <c r="X41" s="174">
        <v>0.52083333333333304</v>
      </c>
      <c r="Y41" s="301">
        <v>0.5625</v>
      </c>
      <c r="Z41" s="337"/>
      <c r="AA41" s="337"/>
      <c r="AB41" s="395"/>
      <c r="AC41" s="395"/>
      <c r="AD41" s="92"/>
      <c r="AE41" s="92"/>
      <c r="AF41" s="314">
        <f t="shared" si="40"/>
        <v>-34.080000000007658</v>
      </c>
      <c r="AG41" s="206">
        <f t="shared" si="41"/>
        <v>0.97633333333332806</v>
      </c>
      <c r="AH41" s="444"/>
    </row>
    <row r="42" spans="1:34" ht="15" customHeight="1">
      <c r="A42" s="435"/>
      <c r="B42" s="75" t="s">
        <v>123</v>
      </c>
      <c r="C42" s="86"/>
      <c r="D42" s="198" t="s">
        <v>127</v>
      </c>
      <c r="E42" s="87"/>
      <c r="F42" s="75">
        <f>VLOOKUP(D42,廠價表!$C$1:$E$41,3,0)</f>
        <v>49.91</v>
      </c>
      <c r="G42" s="199">
        <v>1000</v>
      </c>
      <c r="H42" s="91">
        <f t="shared" si="46"/>
        <v>49910</v>
      </c>
      <c r="I42" s="200"/>
      <c r="J42" s="148">
        <f>VLOOKUP(D42,產線配置圖!$A$3:$C$39,2,0)</f>
        <v>17</v>
      </c>
      <c r="K42" s="95">
        <f>VLOOKUP(D42,產線配置圖!$A$3:$C$39,3,0)</f>
        <v>1565</v>
      </c>
      <c r="L42" s="96">
        <f t="shared" si="47"/>
        <v>92.058823529411768</v>
      </c>
      <c r="M42" s="201">
        <v>17</v>
      </c>
      <c r="N42" s="202">
        <f t="shared" si="48"/>
        <v>1499.9999999999873</v>
      </c>
      <c r="O42" s="203">
        <f t="shared" si="49"/>
        <v>88.235294117646305</v>
      </c>
      <c r="P42" s="97">
        <f t="shared" si="50"/>
        <v>0</v>
      </c>
      <c r="Q42" s="98">
        <f t="shared" si="51"/>
        <v>-3.8235294117654632</v>
      </c>
      <c r="R42" s="99">
        <f t="shared" si="52"/>
        <v>0.95846645367411321</v>
      </c>
      <c r="S42" s="425"/>
      <c r="T42" s="210">
        <v>0.65972222222222199</v>
      </c>
      <c r="U42" s="210">
        <v>0.6875</v>
      </c>
      <c r="V42" s="92">
        <f t="shared" si="53"/>
        <v>14.999999999998987</v>
      </c>
      <c r="W42" s="205">
        <f t="shared" si="13"/>
        <v>40.000000000000341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 t="s">
        <v>123</v>
      </c>
      <c r="C43" s="102"/>
      <c r="D43" s="198" t="s">
        <v>128</v>
      </c>
      <c r="E43" s="104"/>
      <c r="F43" s="75">
        <f>VLOOKUP(D43,廠價表!$C$1:$E$41,3,0)</f>
        <v>44.3</v>
      </c>
      <c r="G43" s="202">
        <v>529</v>
      </c>
      <c r="H43" s="91">
        <f t="shared" si="46"/>
        <v>23434.699999999997</v>
      </c>
      <c r="I43" s="200"/>
      <c r="J43" s="148">
        <f>VLOOKUP(D43,產線配置圖!$A$3:$C$39,2,0)</f>
        <v>17</v>
      </c>
      <c r="K43" s="95">
        <f>VLOOKUP(D43,產線配置圖!$A$3:$C$39,3,0)</f>
        <v>1440</v>
      </c>
      <c r="L43" s="96">
        <f t="shared" si="47"/>
        <v>84.705882352941174</v>
      </c>
      <c r="M43" s="201">
        <v>17</v>
      </c>
      <c r="N43" s="202">
        <f t="shared" si="48"/>
        <v>1269.6000000000045</v>
      </c>
      <c r="O43" s="203">
        <f t="shared" si="49"/>
        <v>74.682352941176731</v>
      </c>
      <c r="P43" s="97">
        <f t="shared" si="50"/>
        <v>0</v>
      </c>
      <c r="Q43" s="98">
        <f t="shared" si="51"/>
        <v>-10.023529411764443</v>
      </c>
      <c r="R43" s="99">
        <f t="shared" si="52"/>
        <v>0.88166666666666982</v>
      </c>
      <c r="S43" s="425"/>
      <c r="T43" s="210">
        <v>0.70138888888888895</v>
      </c>
      <c r="U43" s="210">
        <v>0.71875</v>
      </c>
      <c r="V43" s="92">
        <f t="shared" si="53"/>
        <v>20.000000000000089</v>
      </c>
      <c r="W43" s="205">
        <f>(U43-T43)*24*60</f>
        <v>24.999999999999911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54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54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54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3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54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55">AVERAGE(J38:J47)</f>
        <v>16.833333333333332</v>
      </c>
      <c r="K48" s="155">
        <f t="shared" si="55"/>
        <v>1476</v>
      </c>
      <c r="L48" s="158">
        <f t="shared" si="55"/>
        <v>87.685049019607845</v>
      </c>
      <c r="M48" s="155">
        <f t="shared" si="55"/>
        <v>16.666666666666668</v>
      </c>
      <c r="N48" s="155">
        <f t="shared" si="55"/>
        <v>1323.817591872564</v>
      </c>
      <c r="O48" s="158">
        <f t="shared" si="55"/>
        <v>79.323756846021624</v>
      </c>
      <c r="P48" s="221">
        <f>M48-J48</f>
        <v>-0.1666666666666643</v>
      </c>
      <c r="Q48" s="222">
        <f>N48-K48</f>
        <v>-152.18240812743602</v>
      </c>
      <c r="R48" s="223">
        <f>O48/L48</f>
        <v>0.90464403832725804</v>
      </c>
      <c r="S48" s="428"/>
      <c r="T48" s="224"/>
      <c r="U48" s="224"/>
      <c r="V48" s="225"/>
      <c r="W48" s="226">
        <f t="shared" si="54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56">N48-K48</f>
        <v>-152.18240812743602</v>
      </c>
      <c r="AG48" s="162">
        <f t="shared" ref="AG48:AG53" si="57">N48/K48</f>
        <v>0.89689538744753661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1322</v>
      </c>
      <c r="H49" s="134">
        <f>F49*G49</f>
        <v>75182.14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1" si="58">K49/J49</f>
        <v>86.944444444444443</v>
      </c>
      <c r="M49" s="170">
        <v>18</v>
      </c>
      <c r="N49" s="140">
        <f>G49/W49*60</f>
        <v>1442.1818181818358</v>
      </c>
      <c r="O49" s="141">
        <f>N49/M49</f>
        <v>80.121212121213091</v>
      </c>
      <c r="P49" s="229">
        <f>M49-J49</f>
        <v>0</v>
      </c>
      <c r="Q49" s="230">
        <f>O49-L49</f>
        <v>-6.8232323232313519</v>
      </c>
      <c r="R49" s="52">
        <f>O49/L49</f>
        <v>0.9215219285506937</v>
      </c>
      <c r="S49" s="424">
        <f>R58</f>
        <v>0.9488574399313503</v>
      </c>
      <c r="T49" s="191">
        <v>0.29166666666666702</v>
      </c>
      <c r="U49" s="191">
        <v>0.32986111111111099</v>
      </c>
      <c r="V49" s="55"/>
      <c r="W49" s="193">
        <f t="shared" si="13"/>
        <v>54.999999999999325</v>
      </c>
      <c r="X49" s="55"/>
      <c r="Y49" s="290"/>
      <c r="Z49" s="169">
        <v>1</v>
      </c>
      <c r="AA49" s="169">
        <v>18</v>
      </c>
      <c r="AB49" s="402" t="s">
        <v>142</v>
      </c>
      <c r="AC49" s="402"/>
      <c r="AD49" s="135"/>
      <c r="AE49" s="135"/>
      <c r="AF49" s="229">
        <f t="shared" si="56"/>
        <v>-122.81818181816425</v>
      </c>
      <c r="AG49" s="52">
        <f t="shared" si="57"/>
        <v>0.92152192855069381</v>
      </c>
      <c r="AH49" s="403">
        <f>AG58</f>
        <v>0.94741820843182423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2612</v>
      </c>
      <c r="H50" s="231">
        <f>F50*G50</f>
        <v>124618.52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58"/>
        <v>90</v>
      </c>
      <c r="M50" s="233">
        <v>16</v>
      </c>
      <c r="N50" s="234">
        <f>G50/W50*60</f>
        <v>1437.7981651376228</v>
      </c>
      <c r="O50" s="235">
        <f>N50/M50</f>
        <v>89.862385321101428</v>
      </c>
      <c r="P50" s="74">
        <f>M50-J50</f>
        <v>0</v>
      </c>
      <c r="Q50" s="83">
        <f>O50-L50</f>
        <v>-0.13761467889857215</v>
      </c>
      <c r="R50" s="72">
        <f>O50/L50</f>
        <v>0.99847094801223812</v>
      </c>
      <c r="S50" s="425"/>
      <c r="T50" s="21">
        <v>0.33541666666666697</v>
      </c>
      <c r="U50" s="21">
        <v>0.41111111111111098</v>
      </c>
      <c r="V50" s="30">
        <f t="shared" ref="V50:V52" si="59">(T50-U49)*24*60</f>
        <v>8.0000000000006111</v>
      </c>
      <c r="W50" s="236">
        <f t="shared" si="13"/>
        <v>108.99999999999937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56"/>
        <v>-2.2018348623771544</v>
      </c>
      <c r="AG50" s="72">
        <f t="shared" si="57"/>
        <v>0.99847094801223812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2558</v>
      </c>
      <c r="H51" s="231">
        <f>F51*G51</f>
        <v>127823.26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58"/>
        <v>88.888888888888886</v>
      </c>
      <c r="M51" s="233">
        <v>18</v>
      </c>
      <c r="N51" s="234">
        <f>G51/W51*60</f>
        <v>1598.7500000000164</v>
      </c>
      <c r="O51" s="235">
        <f>N51/M51</f>
        <v>88.819444444445352</v>
      </c>
      <c r="P51" s="74">
        <f>M51-J51</f>
        <v>0</v>
      </c>
      <c r="Q51" s="83">
        <f>O51-L51</f>
        <v>-6.9444444443533371E-2</v>
      </c>
      <c r="R51" s="72">
        <f>O51/L51</f>
        <v>0.99921875000001026</v>
      </c>
      <c r="S51" s="425"/>
      <c r="T51" s="21">
        <v>0.41805555555555601</v>
      </c>
      <c r="U51" s="19">
        <v>0.484722222222222</v>
      </c>
      <c r="V51" s="30">
        <f t="shared" si="59"/>
        <v>10.000000000000844</v>
      </c>
      <c r="W51" s="236">
        <f t="shared" si="13"/>
        <v>95.999999999999019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56"/>
        <v>-1.2499999999836291</v>
      </c>
      <c r="AG51" s="72">
        <f t="shared" si="57"/>
        <v>0.99921875000001026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3080</v>
      </c>
      <c r="H52" s="231">
        <f>F52*G52</f>
        <v>153907.6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>K52/J52</f>
        <v>88.888888888888886</v>
      </c>
      <c r="M52" s="233">
        <v>18</v>
      </c>
      <c r="N52" s="234">
        <f>G52/W52*60</f>
        <v>1399.9999999999948</v>
      </c>
      <c r="O52" s="235">
        <f>N52/M52</f>
        <v>77.777777777777487</v>
      </c>
      <c r="P52" s="74">
        <f>M52-J52</f>
        <v>0</v>
      </c>
      <c r="Q52" s="83">
        <f>O52-L52</f>
        <v>-11.111111111111398</v>
      </c>
      <c r="R52" s="72">
        <f>O52/L52</f>
        <v>0.87499999999999678</v>
      </c>
      <c r="S52" s="425"/>
      <c r="T52" s="21">
        <v>0.54513888888888895</v>
      </c>
      <c r="U52" s="21">
        <v>0.63680555555555596</v>
      </c>
      <c r="V52" s="30">
        <f t="shared" si="59"/>
        <v>87.000000000000412</v>
      </c>
      <c r="W52" s="236">
        <f t="shared" si="13"/>
        <v>132.00000000000048</v>
      </c>
      <c r="X52" s="22">
        <v>0.48611111111111099</v>
      </c>
      <c r="Y52" s="84">
        <v>0.52777777777777801</v>
      </c>
      <c r="Z52" s="90"/>
      <c r="AA52" s="90"/>
      <c r="AB52" s="395"/>
      <c r="AC52" s="395"/>
      <c r="AD52" s="92"/>
      <c r="AE52" s="92"/>
      <c r="AF52" s="307">
        <f t="shared" si="56"/>
        <v>-200.00000000000523</v>
      </c>
      <c r="AG52" s="72">
        <f t="shared" si="57"/>
        <v>0.87499999999999678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3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56"/>
        <v>0</v>
      </c>
      <c r="AG53" s="72" t="e">
        <f t="shared" si="57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3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3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3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3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60">AVERAGE(J49:J57)</f>
        <v>17.5</v>
      </c>
      <c r="K58" s="120">
        <f t="shared" si="60"/>
        <v>1551.25</v>
      </c>
      <c r="L58" s="117">
        <f t="shared" si="60"/>
        <v>88.680555555555571</v>
      </c>
      <c r="M58" s="120">
        <f t="shared" si="60"/>
        <v>17.5</v>
      </c>
      <c r="N58" s="120">
        <f t="shared" si="60"/>
        <v>1469.6824958298673</v>
      </c>
      <c r="O58" s="117">
        <f t="shared" si="60"/>
        <v>84.145204916134347</v>
      </c>
      <c r="P58" s="121">
        <f>M58-J58</f>
        <v>0</v>
      </c>
      <c r="Q58" s="122">
        <f>N58-K58</f>
        <v>-81.567504170132679</v>
      </c>
      <c r="R58" s="123">
        <f t="shared" ref="R58:R60" si="61">O58/L58</f>
        <v>0.9488574399313503</v>
      </c>
      <c r="S58" s="428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18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62">N58-K58</f>
        <v>-81.567504170132679</v>
      </c>
      <c r="AG58" s="124">
        <f t="shared" ref="AG58:AG61" si="63">N58/K58</f>
        <v>0.94741820843182423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3776</v>
      </c>
      <c r="H59" s="243">
        <f>F59*G59</f>
        <v>101914.23999999999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64">K59/J59</f>
        <v>120.38461538461539</v>
      </c>
      <c r="M59" s="244">
        <v>13</v>
      </c>
      <c r="N59" s="137">
        <f t="shared" ref="N59:N61" si="65">G59/W59*60</f>
        <v>1551.7808219178069</v>
      </c>
      <c r="O59" s="138">
        <f t="shared" ref="O59:O61" si="66">N59/M59</f>
        <v>119.36775553213899</v>
      </c>
      <c r="P59" s="56">
        <f t="shared" ref="P59:P61" si="67">M59-J59</f>
        <v>0</v>
      </c>
      <c r="Q59" s="230">
        <f t="shared" ref="Q59:Q61" si="68">O59-L59</f>
        <v>-1.0168598524764008</v>
      </c>
      <c r="R59" s="52">
        <f t="shared" si="61"/>
        <v>0.9915532408420491</v>
      </c>
      <c r="S59" s="424">
        <f>R69</f>
        <v>0.91560033140698394</v>
      </c>
      <c r="T59" s="245">
        <v>0.29166666666666702</v>
      </c>
      <c r="U59" s="245">
        <v>0.39305555555555599</v>
      </c>
      <c r="V59" s="55"/>
      <c r="W59" s="54">
        <f t="shared" si="13"/>
        <v>146.00000000000011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62"/>
        <v>-13.219178082193139</v>
      </c>
      <c r="AG59" s="246">
        <f t="shared" si="63"/>
        <v>0.9915532408420491</v>
      </c>
      <c r="AH59" s="403">
        <f>AG69</f>
        <v>0.91706096428073514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1683</v>
      </c>
      <c r="H60" s="78">
        <f>F60*G60</f>
        <v>47561.58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64"/>
        <v>130.41666666666666</v>
      </c>
      <c r="M60" s="82">
        <v>12</v>
      </c>
      <c r="N60" s="80">
        <f t="shared" si="65"/>
        <v>1553.5384615384576</v>
      </c>
      <c r="O60" s="81">
        <f t="shared" si="66"/>
        <v>129.46153846153814</v>
      </c>
      <c r="P60" s="74">
        <f t="shared" si="67"/>
        <v>0</v>
      </c>
      <c r="Q60" s="83">
        <f t="shared" si="68"/>
        <v>-0.95512820512851704</v>
      </c>
      <c r="R60" s="72">
        <f t="shared" si="61"/>
        <v>0.99267633325141069</v>
      </c>
      <c r="S60" s="451"/>
      <c r="T60" s="22">
        <v>0.40277777777777801</v>
      </c>
      <c r="U60" s="22">
        <v>0.44791666666666702</v>
      </c>
      <c r="V60" s="30">
        <f t="shared" ref="V60:V62" si="69">(T60-U59)*24*60</f>
        <v>13.99999999999971</v>
      </c>
      <c r="W60" s="248">
        <f t="shared" si="13"/>
        <v>65.000000000000171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62"/>
        <v>-11.461538461542432</v>
      </c>
      <c r="AG60" s="249">
        <f t="shared" si="63"/>
        <v>0.99267633325141058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1198</v>
      </c>
      <c r="H61" s="254">
        <f>F61*G61</f>
        <v>33855.480000000003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64"/>
        <v>130.41666666666666</v>
      </c>
      <c r="M61" s="108">
        <v>12</v>
      </c>
      <c r="N61" s="107">
        <f t="shared" si="65"/>
        <v>1437.5999999999663</v>
      </c>
      <c r="O61" s="238">
        <f t="shared" si="66"/>
        <v>119.79999999999718</v>
      </c>
      <c r="P61" s="111">
        <f t="shared" si="67"/>
        <v>0</v>
      </c>
      <c r="Q61" s="255">
        <f t="shared" si="68"/>
        <v>-10.616666666669474</v>
      </c>
      <c r="R61" s="85">
        <f>O61/L61</f>
        <v>0.91859424920125643</v>
      </c>
      <c r="S61" s="425"/>
      <c r="T61" s="22">
        <v>0.45833333333333298</v>
      </c>
      <c r="U61" s="22">
        <v>0.49305555555555602</v>
      </c>
      <c r="V61" s="30">
        <f t="shared" si="69"/>
        <v>14.999999999998987</v>
      </c>
      <c r="W61" s="256">
        <f t="shared" si="13"/>
        <v>50.00000000000118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62"/>
        <v>-127.40000000003374</v>
      </c>
      <c r="AG61" s="247">
        <f t="shared" si="63"/>
        <v>0.91859424920125643</v>
      </c>
      <c r="AH61" s="404"/>
    </row>
    <row r="62" spans="1:34" ht="15" customHeight="1">
      <c r="A62" s="449"/>
      <c r="B62" s="250" t="s">
        <v>132</v>
      </c>
      <c r="C62" s="251"/>
      <c r="D62" s="257" t="s">
        <v>135</v>
      </c>
      <c r="E62" s="253"/>
      <c r="F62" s="250">
        <f>VLOOKUP(D62,廠價表!$C$1:$E$41,3,0)</f>
        <v>28.26</v>
      </c>
      <c r="G62" s="38">
        <v>1697</v>
      </c>
      <c r="H62" s="254">
        <f>F62*G62</f>
        <v>47957.22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>K62/J62</f>
        <v>130.41666666666666</v>
      </c>
      <c r="M62" s="108">
        <v>12</v>
      </c>
      <c r="N62" s="107">
        <f>G62/W62*60</f>
        <v>1197.8823529411716</v>
      </c>
      <c r="O62" s="238">
        <f>N62/M62</f>
        <v>99.823529411764298</v>
      </c>
      <c r="P62" s="111">
        <f>M62-J62</f>
        <v>0</v>
      </c>
      <c r="Q62" s="255">
        <f>O62-L62</f>
        <v>-30.593137254902359</v>
      </c>
      <c r="R62" s="85">
        <f>O62/L62</f>
        <v>0.76542003382822466</v>
      </c>
      <c r="S62" s="425"/>
      <c r="T62" s="22">
        <v>0.55902777777777801</v>
      </c>
      <c r="U62" s="22">
        <v>0.61805555555555602</v>
      </c>
      <c r="V62" s="30">
        <f t="shared" si="69"/>
        <v>94.999999999999659</v>
      </c>
      <c r="W62" s="248">
        <f t="shared" si="13"/>
        <v>85.000000000000341</v>
      </c>
      <c r="X62" s="22">
        <v>0.50347222222222199</v>
      </c>
      <c r="Y62" s="84">
        <v>0.54513888888888895</v>
      </c>
      <c r="Z62" s="90">
        <v>1</v>
      </c>
      <c r="AA62" s="90">
        <v>5</v>
      </c>
      <c r="AB62" s="395" t="s">
        <v>143</v>
      </c>
      <c r="AC62" s="395"/>
      <c r="AD62" s="92"/>
      <c r="AE62" s="92"/>
      <c r="AF62" s="317">
        <f>N62-K62</f>
        <v>-367.11764705882842</v>
      </c>
      <c r="AG62" s="247">
        <f>N62/K62</f>
        <v>0.76542003382822466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3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3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3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3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3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3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70">AVERAGE(J59:J68)</f>
        <v>12.25</v>
      </c>
      <c r="K69" s="240">
        <f t="shared" si="70"/>
        <v>1565</v>
      </c>
      <c r="L69" s="268">
        <f t="shared" si="70"/>
        <v>127.90865384615384</v>
      </c>
      <c r="M69" s="240">
        <f t="shared" si="70"/>
        <v>12.25</v>
      </c>
      <c r="N69" s="240">
        <f t="shared" si="70"/>
        <v>1435.2004090993505</v>
      </c>
      <c r="O69" s="268">
        <f t="shared" si="70"/>
        <v>117.11320585135965</v>
      </c>
      <c r="P69" s="269">
        <f>M69-J69</f>
        <v>0</v>
      </c>
      <c r="Q69" s="222">
        <f>N69-K69</f>
        <v>-129.79959090064949</v>
      </c>
      <c r="R69" s="123">
        <f>O69/L69</f>
        <v>0.91560033140698394</v>
      </c>
      <c r="S69" s="428"/>
      <c r="T69" s="125"/>
      <c r="U69" s="125"/>
      <c r="V69" s="126"/>
      <c r="W69" s="242"/>
      <c r="X69" s="128"/>
      <c r="Y69" s="295"/>
      <c r="Z69" s="334">
        <f>SUM(Z59:Z68)</f>
        <v>1</v>
      </c>
      <c r="AA69" s="334">
        <f>SUM(AA59:AA68)</f>
        <v>5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-129.79959090064949</v>
      </c>
      <c r="AG69" s="124">
        <f>N69/K69</f>
        <v>0.91706096428073514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2152</v>
      </c>
      <c r="H70" s="243">
        <f>F70*G70</f>
        <v>109041.84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8</v>
      </c>
      <c r="N70" s="137">
        <f>G70/W70*60</f>
        <v>589.58904109588752</v>
      </c>
      <c r="O70" s="138">
        <f>N70/M70</f>
        <v>73.69863013698594</v>
      </c>
      <c r="P70" s="56">
        <f>M70-J70</f>
        <v>-2</v>
      </c>
      <c r="Q70" s="230">
        <f>O70-L70</f>
        <v>-38.80136986301406</v>
      </c>
      <c r="R70" s="52">
        <f>O70/L70</f>
        <v>0.65509893455098611</v>
      </c>
      <c r="S70" s="424">
        <f>R79</f>
        <v>1.170425284268954</v>
      </c>
      <c r="T70" s="245">
        <v>0.36458333333333298</v>
      </c>
      <c r="U70" s="245">
        <v>0.51666666666666705</v>
      </c>
      <c r="V70" s="55"/>
      <c r="W70" s="54">
        <f t="shared" si="13"/>
        <v>219.00000000000105</v>
      </c>
      <c r="X70" s="270"/>
      <c r="Y70" s="292"/>
      <c r="Z70" s="169"/>
      <c r="AA70" s="169"/>
      <c r="AB70" s="402" t="s">
        <v>144</v>
      </c>
      <c r="AC70" s="402"/>
      <c r="AD70" s="135"/>
      <c r="AE70" s="135"/>
      <c r="AF70" s="310">
        <f>N70-K70</f>
        <v>-535.41095890411248</v>
      </c>
      <c r="AG70" s="246">
        <f>N70/K70</f>
        <v>0.52407914764078889</v>
      </c>
      <c r="AH70" s="403">
        <f>AG79</f>
        <v>0.51490231891843263</v>
      </c>
    </row>
    <row r="71" spans="1:36" ht="15" customHeight="1">
      <c r="A71" s="457"/>
      <c r="B71" s="75" t="s">
        <v>81</v>
      </c>
      <c r="C71" s="76"/>
      <c r="D71" s="59" t="s">
        <v>136</v>
      </c>
      <c r="E71" s="77"/>
      <c r="F71" s="250">
        <f>VLOOKUP(D71,廠價表!$C$1:$E$41,3,0)</f>
        <v>50.67</v>
      </c>
      <c r="G71" s="202">
        <v>806</v>
      </c>
      <c r="H71" s="254">
        <f>F71*G71</f>
        <v>40840.020000000004</v>
      </c>
      <c r="I71" s="232"/>
      <c r="J71" s="106">
        <f>VLOOKUP(D71,產線配置圖!$A$3:$C$39,2,0)</f>
        <v>10</v>
      </c>
      <c r="K71" s="107">
        <f>VLOOKUP(D71,產線配置圖!$A$3:$C$39,3,0)</f>
        <v>1125</v>
      </c>
      <c r="L71" s="238">
        <f>K71/J71</f>
        <v>112.5</v>
      </c>
      <c r="M71" s="82">
        <v>3</v>
      </c>
      <c r="N71" s="107">
        <f>G71/W71*60</f>
        <v>568.94117647058602</v>
      </c>
      <c r="O71" s="238">
        <f>N71/M71</f>
        <v>189.64705882352868</v>
      </c>
      <c r="P71" s="111">
        <f>M71-J71</f>
        <v>-7</v>
      </c>
      <c r="Q71" s="255">
        <f>O71-L71</f>
        <v>77.147058823528681</v>
      </c>
      <c r="R71" s="85">
        <f>O71/L71</f>
        <v>1.6857516339869216</v>
      </c>
      <c r="S71" s="425"/>
      <c r="T71" s="22">
        <v>0.65972222222222199</v>
      </c>
      <c r="U71" s="22">
        <v>0.71875</v>
      </c>
      <c r="V71" s="30"/>
      <c r="W71" s="73">
        <f t="shared" si="13"/>
        <v>85.000000000000341</v>
      </c>
      <c r="X71" s="271"/>
      <c r="Y71" s="293"/>
      <c r="Z71" s="90"/>
      <c r="AA71" s="90"/>
      <c r="AB71" s="446" t="s">
        <v>145</v>
      </c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3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3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3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71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3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71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3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71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3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71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3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72">AVERAGE(J70:J78)</f>
        <v>10</v>
      </c>
      <c r="K79" s="240">
        <f t="shared" si="72"/>
        <v>1125</v>
      </c>
      <c r="L79" s="268">
        <f t="shared" si="72"/>
        <v>112.5</v>
      </c>
      <c r="M79" s="240">
        <f t="shared" si="72"/>
        <v>5.5</v>
      </c>
      <c r="N79" s="240">
        <f t="shared" si="72"/>
        <v>579.26510878323677</v>
      </c>
      <c r="O79" s="268">
        <f t="shared" si="72"/>
        <v>131.67284448025731</v>
      </c>
      <c r="P79" s="269">
        <f>M79-J79</f>
        <v>-4.5</v>
      </c>
      <c r="Q79" s="222">
        <f>N79-K79</f>
        <v>-545.73489121676323</v>
      </c>
      <c r="R79" s="223">
        <f>O79/L79</f>
        <v>1.170425284268954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-545.73489121676323</v>
      </c>
      <c r="AG79" s="124">
        <f>N79/K79</f>
        <v>0.51490231891843263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AD3:AE3"/>
    <mergeCell ref="AH5:AH15"/>
    <mergeCell ref="AB6:AC6"/>
    <mergeCell ref="AB7:AC7"/>
    <mergeCell ref="AB14:AC14"/>
    <mergeCell ref="AB13:AC13"/>
    <mergeCell ref="AB9:AC9"/>
    <mergeCell ref="AB10:AC10"/>
    <mergeCell ref="AB11:AC11"/>
    <mergeCell ref="AB12:AC12"/>
    <mergeCell ref="AG3:AG4"/>
    <mergeCell ref="AH3:AH4"/>
    <mergeCell ref="AF3:AF4"/>
    <mergeCell ref="T3:U3"/>
    <mergeCell ref="V3:V4"/>
    <mergeCell ref="W3:W4"/>
    <mergeCell ref="X3:Y3"/>
    <mergeCell ref="Z3:AA3"/>
    <mergeCell ref="AB3:AC4"/>
    <mergeCell ref="AB23:AC23"/>
    <mergeCell ref="AB24:AC24"/>
    <mergeCell ref="AB25:AC25"/>
    <mergeCell ref="P1:S2"/>
    <mergeCell ref="T1:Y2"/>
    <mergeCell ref="AB1:AC2"/>
    <mergeCell ref="R3:R4"/>
    <mergeCell ref="S3:S4"/>
    <mergeCell ref="P3:P4"/>
    <mergeCell ref="Q3:Q4"/>
    <mergeCell ref="F3:F4"/>
    <mergeCell ref="A2:B2"/>
    <mergeCell ref="O3:O4"/>
    <mergeCell ref="K3:K4"/>
    <mergeCell ref="L3:L4"/>
    <mergeCell ref="M3:M4"/>
    <mergeCell ref="D3:E4"/>
    <mergeCell ref="J3:J4"/>
    <mergeCell ref="J1:L2"/>
    <mergeCell ref="M1:O2"/>
    <mergeCell ref="A3:A4"/>
    <mergeCell ref="B3:B4"/>
    <mergeCell ref="G3:G4"/>
    <mergeCell ref="H3:H4"/>
    <mergeCell ref="I3:I4"/>
    <mergeCell ref="N3:N4"/>
    <mergeCell ref="A38:A48"/>
    <mergeCell ref="S38:S48"/>
    <mergeCell ref="D48:E48"/>
    <mergeCell ref="AB48:AC48"/>
    <mergeCell ref="AB45:AC45"/>
    <mergeCell ref="AB46:AC46"/>
    <mergeCell ref="AB47:AC47"/>
    <mergeCell ref="A27:A37"/>
    <mergeCell ref="A5:A15"/>
    <mergeCell ref="S5:S15"/>
    <mergeCell ref="AB5:AC5"/>
    <mergeCell ref="D15:E15"/>
    <mergeCell ref="AB8:AC8"/>
    <mergeCell ref="AB15:AC15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2:AC22"/>
    <mergeCell ref="AB28:AC2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H16:AH26"/>
    <mergeCell ref="AB17:AC17"/>
    <mergeCell ref="AB18:AC18"/>
    <mergeCell ref="D37:E37"/>
    <mergeCell ref="AB37:AC37"/>
    <mergeCell ref="AB30:AC30"/>
    <mergeCell ref="AB31:AC31"/>
    <mergeCell ref="AB32:AC32"/>
    <mergeCell ref="AB33:AC33"/>
    <mergeCell ref="AB34:AC34"/>
    <mergeCell ref="AB35:AC35"/>
    <mergeCell ref="AB36:AC36"/>
    <mergeCell ref="S27:S37"/>
    <mergeCell ref="AB27:AC27"/>
    <mergeCell ref="AB29:AC29"/>
    <mergeCell ref="AH27:AH37"/>
    <mergeCell ref="D79:E79"/>
    <mergeCell ref="AB79:AC79"/>
    <mergeCell ref="A70:A79"/>
    <mergeCell ref="S70:S79"/>
    <mergeCell ref="AB70:AC70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98" priority="1" operator="greaterThan">
      <formula>0</formula>
    </cfRule>
  </conditionalFormatting>
  <conditionalFormatting sqref="Q5:Q79 AF5:AF79">
    <cfRule type="cellIs" dxfId="297" priority="4" operator="lessThan">
      <formula>0</formula>
    </cfRule>
  </conditionalFormatting>
  <conditionalFormatting sqref="R5:R79 AG5:AG79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S5:S10 S37:S62 AH59:AH62 S69:S76 AH69:AH76">
    <cfRule type="cellIs" dxfId="294" priority="7" operator="lessThan">
      <formula>0.8</formula>
    </cfRule>
  </conditionalFormatting>
  <conditionalFormatting sqref="S19:S25 AH19:AH25">
    <cfRule type="cellIs" dxfId="293" priority="6" operator="lessThan">
      <formula>0.8</formula>
    </cfRule>
  </conditionalFormatting>
  <conditionalFormatting sqref="S79">
    <cfRule type="cellIs" dxfId="292" priority="5" operator="lessThan">
      <formula>0.8</formula>
    </cfRule>
  </conditionalFormatting>
  <conditionalFormatting sqref="AH5:AH8 S15:S16 AH15:AH16 AH49 AH79">
    <cfRule type="cellIs" dxfId="291" priority="9" operator="lessThan">
      <formula>0.8</formula>
    </cfRule>
  </conditionalFormatting>
  <conditionalFormatting sqref="AH27 S27:S28">
    <cfRule type="cellIs" dxfId="2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58509C-5A9E-420D-9165-4A120571FE46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DEA7-851F-434E-8DCD-BA0728DE9A05}">
  <sheetPr codeName="工作表9"/>
  <dimension ref="B1:O26"/>
  <sheetViews>
    <sheetView topLeftCell="C1" zoomScale="70" zoomScaleNormal="70" workbookViewId="0">
      <selection activeCell="J20" sqref="J2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46056</v>
      </c>
      <c r="E3" s="493"/>
      <c r="F3" s="3" t="s">
        <v>72</v>
      </c>
      <c r="G3" s="494">
        <f>'0203'!E1</f>
        <v>58371</v>
      </c>
      <c r="H3" s="494"/>
      <c r="I3" s="3" t="s">
        <v>2</v>
      </c>
      <c r="J3" s="495">
        <f>'0203'!G1</f>
        <v>2797918.55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118.18497327835561</v>
      </c>
      <c r="G6" s="490"/>
      <c r="H6" s="491">
        <f>AVERAGE(D13:H13,J13)</f>
        <v>116.56435985038924</v>
      </c>
      <c r="I6" s="491"/>
      <c r="J6" s="491">
        <f>AVERAGE(I13)</f>
        <v>127.90865384615384</v>
      </c>
      <c r="K6" s="491"/>
      <c r="L6" s="497">
        <f>SUM(D18:J18)</f>
        <v>2</v>
      </c>
      <c r="M6" s="482">
        <f>SUM(D19:J19)</f>
        <v>10</v>
      </c>
      <c r="N6" s="498">
        <f>SUM(D20:J20)</f>
        <v>11</v>
      </c>
      <c r="O6" s="482">
        <f>SUM(D20:J20)</f>
        <v>11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107.05129784730148</v>
      </c>
      <c r="G7" s="479"/>
      <c r="H7" s="480">
        <f>AVERAGE(D14:H14,J14)</f>
        <v>106.18527877765933</v>
      </c>
      <c r="I7" s="480"/>
      <c r="J7" s="480">
        <f>AVERAGE(I14)</f>
        <v>112.24741226515432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0.90579449212353336</v>
      </c>
      <c r="G8" s="485"/>
      <c r="H8" s="485">
        <f>H7/H6</f>
        <v>0.91095836595292512</v>
      </c>
      <c r="I8" s="485"/>
      <c r="J8" s="485">
        <f>J7/J6</f>
        <v>0.87755917125172334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VALUE('0203'!L15)</f>
        <v>144.15120663650072</v>
      </c>
      <c r="E13" s="13">
        <f>VALUE('0203'!L26)</f>
        <v>176.22727272727272</v>
      </c>
      <c r="F13" s="13">
        <f>VALUE('0203'!L37)</f>
        <v>89.28235294117647</v>
      </c>
      <c r="G13" s="13">
        <f>VALUE('0203'!L48)</f>
        <v>88.280882352941177</v>
      </c>
      <c r="H13" s="13">
        <f>VALUE('0203'!L58)</f>
        <v>88.944444444444429</v>
      </c>
      <c r="I13" s="13">
        <f>VALUE('0203'!L69)</f>
        <v>127.90865384615384</v>
      </c>
      <c r="J13" s="13">
        <f>'0203'!L79</f>
        <v>112.5</v>
      </c>
    </row>
    <row r="14" spans="2:15" ht="39.950000000000003" customHeight="1">
      <c r="B14" s="473"/>
      <c r="C14" s="12" t="s">
        <v>100</v>
      </c>
      <c r="D14" s="13">
        <f>VALUE('0203'!O15)</f>
        <v>134.15063419334393</v>
      </c>
      <c r="E14" s="13">
        <f>VALUE('0203'!O26)</f>
        <v>156.9034868967216</v>
      </c>
      <c r="F14" s="13">
        <f>VALUE('0203'!O37)</f>
        <v>81.025519681557626</v>
      </c>
      <c r="G14" s="13">
        <f>VALUE('0203'!O48)</f>
        <v>81.859620257997932</v>
      </c>
      <c r="H14" s="13">
        <f>VALUE('0203'!O58)</f>
        <v>86.954229818152868</v>
      </c>
      <c r="I14" s="13">
        <f>VALUE('0203'!O69)</f>
        <v>112.24741226515432</v>
      </c>
      <c r="J14" s="13">
        <f>'0203'!O79</f>
        <v>96.218181818182103</v>
      </c>
    </row>
    <row r="15" spans="2:15" ht="39.950000000000003" customHeight="1">
      <c r="B15" s="474"/>
      <c r="C15" s="10" t="s">
        <v>26</v>
      </c>
      <c r="D15" s="14">
        <f>D14/D13</f>
        <v>0.93062442780396037</v>
      </c>
      <c r="E15" s="14">
        <f t="shared" ref="E15:I15" si="1">E14/E13</f>
        <v>0.89034735922823716</v>
      </c>
      <c r="F15" s="14">
        <f t="shared" si="1"/>
        <v>0.90751998589173777</v>
      </c>
      <c r="G15" s="14">
        <f t="shared" si="1"/>
        <v>0.92726327689757948</v>
      </c>
      <c r="H15" s="14">
        <f t="shared" si="1"/>
        <v>0.9776240704102136</v>
      </c>
      <c r="I15" s="14">
        <f t="shared" si="1"/>
        <v>0.87755917125172334</v>
      </c>
      <c r="J15" s="15">
        <f>'0203'!S70</f>
        <v>0.85527272727272985</v>
      </c>
    </row>
    <row r="16" spans="2:15" ht="17.25" customHeight="1">
      <c r="B16" s="475" t="s">
        <v>101</v>
      </c>
      <c r="C16" s="10" t="s">
        <v>34</v>
      </c>
      <c r="D16" s="16">
        <f>'0203'!T5</f>
        <v>0.31597222222222199</v>
      </c>
      <c r="E16" s="16">
        <f>'0203'!T16</f>
        <v>0.29027777777777802</v>
      </c>
      <c r="F16" s="16">
        <f>'0203'!T27</f>
        <v>0.29166666666666702</v>
      </c>
      <c r="G16" s="16">
        <f>'0203'!T38</f>
        <v>0.33333333333333298</v>
      </c>
      <c r="H16" s="16">
        <f>'0203'!T49</f>
        <v>0.29027777777777802</v>
      </c>
      <c r="I16" s="16">
        <f>'0203'!T59</f>
        <v>0.29166666666666702</v>
      </c>
      <c r="J16" s="16">
        <f>'0203'!T70</f>
        <v>0.37152777777777801</v>
      </c>
    </row>
    <row r="17" spans="2:10" ht="17.25" customHeight="1">
      <c r="B17" s="476"/>
      <c r="C17" s="10" t="s">
        <v>35</v>
      </c>
      <c r="D17" s="16">
        <v>0.68472222222222201</v>
      </c>
      <c r="E17" s="19">
        <v>0.68055555555555602</v>
      </c>
      <c r="F17" s="19">
        <v>0.60416666666666696</v>
      </c>
      <c r="G17" s="210">
        <v>0.68888888888888899</v>
      </c>
      <c r="H17" s="21">
        <v>0.62777777777777799</v>
      </c>
      <c r="I17" s="22">
        <v>0.61111111111111105</v>
      </c>
      <c r="J17" s="245">
        <v>0.48611111111111099</v>
      </c>
    </row>
    <row r="18" spans="2:10" ht="17.25" customHeight="1">
      <c r="B18" s="477" t="s">
        <v>102</v>
      </c>
      <c r="C18" s="330" t="s">
        <v>36</v>
      </c>
      <c r="D18" s="358">
        <f>'0203'!Z15</f>
        <v>0</v>
      </c>
      <c r="E18" s="359">
        <f>'0203'!Z26</f>
        <v>0</v>
      </c>
      <c r="F18" s="359">
        <f>'0203'!Z37</f>
        <v>0</v>
      </c>
      <c r="G18" s="360">
        <f>'0203'!Z48</f>
        <v>0</v>
      </c>
      <c r="H18" s="360">
        <f>'0203'!Z58</f>
        <v>2</v>
      </c>
      <c r="I18" s="359">
        <f>'0203'!Z69</f>
        <v>0</v>
      </c>
      <c r="J18" s="359">
        <f>'0203'!AA79</f>
        <v>0</v>
      </c>
    </row>
    <row r="19" spans="2:10" ht="17.25" customHeight="1">
      <c r="B19" s="478"/>
      <c r="C19" s="330" t="s">
        <v>37</v>
      </c>
      <c r="D19" s="358">
        <f>'0203'!AA15</f>
        <v>0</v>
      </c>
      <c r="E19" s="359">
        <f>'0203'!AA26</f>
        <v>0</v>
      </c>
      <c r="F19" s="359">
        <f>'0203'!AA37</f>
        <v>0</v>
      </c>
      <c r="G19" s="360">
        <f>'0203'!AA48</f>
        <v>0</v>
      </c>
      <c r="H19" s="360">
        <f>'0203'!AA58</f>
        <v>10</v>
      </c>
      <c r="I19" s="359">
        <f>'0203'!AA69</f>
        <v>0</v>
      </c>
      <c r="J19" s="359">
        <f>'0203'!AB79</f>
        <v>0</v>
      </c>
    </row>
    <row r="20" spans="2:10" ht="17.25" customHeight="1">
      <c r="B20" s="477" t="s">
        <v>103</v>
      </c>
      <c r="C20" s="330" t="s">
        <v>36</v>
      </c>
      <c r="D20" s="358">
        <f>'0203'!AD15</f>
        <v>0</v>
      </c>
      <c r="E20" s="359">
        <f>'0203'!AD26</f>
        <v>11</v>
      </c>
      <c r="F20" s="359">
        <f>'0203'!AD37</f>
        <v>0</v>
      </c>
      <c r="G20" s="360">
        <f>'0203'!AD48</f>
        <v>0</v>
      </c>
      <c r="H20" s="360">
        <f>'0203'!AD58</f>
        <v>0</v>
      </c>
      <c r="I20" s="359">
        <f>'0203'!AD69</f>
        <v>0</v>
      </c>
      <c r="J20" s="359">
        <f>'0203'!AD79</f>
        <v>0</v>
      </c>
    </row>
    <row r="21" spans="2:10" ht="17.25" customHeight="1">
      <c r="B21" s="478"/>
      <c r="C21" s="330" t="s">
        <v>85</v>
      </c>
      <c r="D21" s="358">
        <f>'0203'!AE15</f>
        <v>0</v>
      </c>
      <c r="E21" s="359">
        <f>'0203'!AE26</f>
        <v>11</v>
      </c>
      <c r="F21" s="359">
        <f>'0203'!AE37</f>
        <v>0</v>
      </c>
      <c r="G21" s="360">
        <f>'0203'!AE48</f>
        <v>0</v>
      </c>
      <c r="H21" s="360">
        <f>'0203'!AE58</f>
        <v>0</v>
      </c>
      <c r="I21" s="359">
        <f>'0203'!AE69</f>
        <v>0</v>
      </c>
      <c r="J21" s="359">
        <f>'0203'!AE79</f>
        <v>0</v>
      </c>
    </row>
    <row r="22" spans="2:10" ht="17.25" customHeight="1">
      <c r="B22" s="460" t="s">
        <v>104</v>
      </c>
      <c r="C22" s="461"/>
      <c r="D22" s="23">
        <f>VALUE('0203'!M15)</f>
        <v>14</v>
      </c>
      <c r="E22" s="23">
        <f>VALUE('0203'!M26)</f>
        <v>11.6</v>
      </c>
      <c r="F22" s="23">
        <f>VALUE('0203'!M37)</f>
        <v>15</v>
      </c>
      <c r="G22" s="23">
        <f>VALUE('0203'!M48)</f>
        <v>15.4</v>
      </c>
      <c r="H22" s="23">
        <f>VALUE('0203'!M58)</f>
        <v>17.2</v>
      </c>
      <c r="I22" s="23">
        <f>VALUE('0203'!M69)</f>
        <v>12.25</v>
      </c>
      <c r="J22" s="23">
        <f>'0203'!M79</f>
        <v>10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E8F6-3188-48E7-95B7-CCDAFBD773F9}">
  <sheetPr codeName="工作表10"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K15" sqref="K15"/>
      <selection pane="topRight" activeCell="K15" sqref="K15"/>
      <selection pane="bottomLeft" activeCell="K15" sqref="K15"/>
      <selection pane="bottomRight" activeCell="X40" sqref="X40:Y4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45.14062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58371</v>
      </c>
      <c r="F1" s="30" t="s">
        <v>2</v>
      </c>
      <c r="G1" s="31">
        <f>SUM(H5:H79)</f>
        <v>2797918.55</v>
      </c>
      <c r="H1" s="32" t="s">
        <v>3</v>
      </c>
      <c r="I1" s="33">
        <f>M15+M26+M48+M58+M69+M79+M37</f>
        <v>95.45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146</v>
      </c>
      <c r="B2" s="374"/>
      <c r="C2" s="28"/>
      <c r="D2" s="28" t="s">
        <v>14</v>
      </c>
      <c r="E2" s="35">
        <f>AVERAGE(O15,O26,O37,O48,O58,O69,O79)</f>
        <v>107.05129784730148</v>
      </c>
      <c r="F2" s="36" t="s">
        <v>15</v>
      </c>
      <c r="G2" s="37">
        <f>G1/E1</f>
        <v>47.933366740333383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2</v>
      </c>
      <c r="AA2" s="339">
        <f>AA15+AA26+AA37+AA48+AA58+AA69+AA79</f>
        <v>10</v>
      </c>
      <c r="AB2" s="370"/>
      <c r="AC2" s="370"/>
      <c r="AD2" s="340">
        <f>AD15+AD26+AD37+AD48+AD58+AD69+AD79</f>
        <v>11</v>
      </c>
      <c r="AE2" s="340">
        <f>AE15+AE26+AE37+AE48+AE58+AE69+AE79</f>
        <v>11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57.21</v>
      </c>
      <c r="G5" s="42">
        <v>1439</v>
      </c>
      <c r="H5" s="43">
        <f>F5*G5</f>
        <v>82325.19</v>
      </c>
      <c r="I5" s="44"/>
      <c r="J5" s="45">
        <f>VLOOKUP(D5,產線配置圖!$A$3:$C$39,2,0)</f>
        <v>17</v>
      </c>
      <c r="K5" s="46">
        <f>VLOOKUP(D5,產線配置圖!$A$3:$C$39,3,0)</f>
        <v>2000</v>
      </c>
      <c r="L5" s="47">
        <f t="shared" ref="L5:L8" si="0">K5/J5</f>
        <v>117.64705882352941</v>
      </c>
      <c r="M5" s="48">
        <v>17</v>
      </c>
      <c r="N5" s="46">
        <f t="shared" ref="N5:N8" si="1">G5/W5*60</f>
        <v>1660.3846153846189</v>
      </c>
      <c r="O5" s="47">
        <f t="shared" ref="O5:O8" si="2">N5/M5</f>
        <v>97.669683257918763</v>
      </c>
      <c r="P5" s="49">
        <f t="shared" ref="P5:P8" si="3">M5-J5</f>
        <v>0</v>
      </c>
      <c r="Q5" s="50">
        <f t="shared" ref="Q5:Q8" si="4">O5-L5</f>
        <v>-19.977375565610643</v>
      </c>
      <c r="R5" s="51">
        <f t="shared" ref="R5:R8" si="5">O5/L5</f>
        <v>0.83019230769230956</v>
      </c>
      <c r="S5" s="424">
        <f>R15</f>
        <v>0.93062442780396037</v>
      </c>
      <c r="T5" s="319">
        <v>0.31597222222222199</v>
      </c>
      <c r="U5" s="320">
        <v>0.35208333333333303</v>
      </c>
      <c r="V5" s="53"/>
      <c r="W5" s="54">
        <f t="shared" ref="W5:W14" si="6">(U5-T5)*24*60</f>
        <v>51.999999999999893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9" si="7">N5-K5</f>
        <v>-339.61538461538112</v>
      </c>
      <c r="AG5" s="52">
        <f t="shared" ref="AG5:AG9" si="8">N5/K5</f>
        <v>0.83019230769230945</v>
      </c>
      <c r="AH5" s="403">
        <f>AG15</f>
        <v>0.92669610304431838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2036</v>
      </c>
      <c r="H6" s="63">
        <f>F6*G6</f>
        <v>114586.08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1745.1428571428614</v>
      </c>
      <c r="O6" s="67">
        <f t="shared" si="2"/>
        <v>116.34285714285743</v>
      </c>
      <c r="P6" s="69">
        <f t="shared" si="3"/>
        <v>0</v>
      </c>
      <c r="Q6" s="70">
        <f t="shared" si="4"/>
        <v>-3.6571428571425741</v>
      </c>
      <c r="R6" s="71">
        <f t="shared" si="5"/>
        <v>0.9695238095238119</v>
      </c>
      <c r="S6" s="425"/>
      <c r="T6" s="16">
        <v>0.36111111111111099</v>
      </c>
      <c r="U6" s="16">
        <v>0.40972222222222199</v>
      </c>
      <c r="V6" s="30">
        <f>(T6-U5)*24*60</f>
        <v>13.000000000000274</v>
      </c>
      <c r="W6" s="73">
        <f t="shared" si="6"/>
        <v>69.999999999999829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-54.85714285713857</v>
      </c>
      <c r="AG6" s="72">
        <f t="shared" si="8"/>
        <v>0.9695238095238119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2401</v>
      </c>
      <c r="H7" s="78">
        <f>F7*G7</f>
        <v>117985.14</v>
      </c>
      <c r="I7" s="73"/>
      <c r="J7" s="79">
        <f>VLOOKUP(D7,產線配置圖!$A$3:$C$39,2,0)</f>
        <v>13</v>
      </c>
      <c r="K7" s="80">
        <f>VLOOKUP(D7,產線配置圖!$A$3:$C$39,3,0)</f>
        <v>2000</v>
      </c>
      <c r="L7" s="81">
        <f t="shared" si="0"/>
        <v>153.84615384615384</v>
      </c>
      <c r="M7" s="82">
        <v>13</v>
      </c>
      <c r="N7" s="80">
        <f t="shared" si="1"/>
        <v>1973.4246575342643</v>
      </c>
      <c r="O7" s="81">
        <f t="shared" si="2"/>
        <v>151.80189673340493</v>
      </c>
      <c r="P7" s="74">
        <f t="shared" si="3"/>
        <v>0</v>
      </c>
      <c r="Q7" s="83">
        <f t="shared" si="4"/>
        <v>-2.0442571127489089</v>
      </c>
      <c r="R7" s="72">
        <f t="shared" si="5"/>
        <v>0.98671232876713211</v>
      </c>
      <c r="S7" s="425"/>
      <c r="T7" s="18">
        <v>0.42499999999999999</v>
      </c>
      <c r="U7" s="18">
        <v>0.47569444444444398</v>
      </c>
      <c r="V7" s="30">
        <f>(T7-U6)*24*60</f>
        <v>22.00000000000032</v>
      </c>
      <c r="W7" s="73">
        <f t="shared" si="6"/>
        <v>72.999999999999346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-26.57534246573573</v>
      </c>
      <c r="AG7" s="72">
        <f t="shared" si="8"/>
        <v>0.98671232876713211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3445</v>
      </c>
      <c r="H8" s="78">
        <f>F8*G8</f>
        <v>169287.3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1829.2035398229921</v>
      </c>
      <c r="O8" s="81">
        <f t="shared" si="2"/>
        <v>140.70796460176862</v>
      </c>
      <c r="P8" s="74">
        <f t="shared" si="3"/>
        <v>0</v>
      </c>
      <c r="Q8" s="83">
        <f t="shared" si="4"/>
        <v>-13.138189244385217</v>
      </c>
      <c r="R8" s="72">
        <f t="shared" si="5"/>
        <v>0.91460176991149611</v>
      </c>
      <c r="S8" s="425"/>
      <c r="T8" s="16">
        <v>0.55069444444444404</v>
      </c>
      <c r="U8" s="16">
        <v>0.62916666666666698</v>
      </c>
      <c r="V8" s="30">
        <f t="shared" ref="V8:V9" si="9">(T8-U7)*24*60</f>
        <v>108.0000000000001</v>
      </c>
      <c r="W8" s="73">
        <f t="shared" si="6"/>
        <v>113.00000000000104</v>
      </c>
      <c r="X8" s="22">
        <v>0.48611111111111099</v>
      </c>
      <c r="Y8" s="84">
        <v>0.52777777777777801</v>
      </c>
      <c r="Z8" s="90"/>
      <c r="AA8" s="90"/>
      <c r="AB8" s="407"/>
      <c r="AC8" s="407"/>
      <c r="AD8" s="149"/>
      <c r="AE8" s="149"/>
      <c r="AF8" s="307">
        <f t="shared" si="7"/>
        <v>-170.79646017700793</v>
      </c>
      <c r="AG8" s="72">
        <f t="shared" si="8"/>
        <v>0.914601769911496</v>
      </c>
      <c r="AH8" s="404"/>
    </row>
    <row r="9" spans="1:34" ht="15" customHeight="1">
      <c r="A9" s="422"/>
      <c r="B9" s="75" t="s">
        <v>81</v>
      </c>
      <c r="C9" s="76"/>
      <c r="D9" s="59" t="s">
        <v>116</v>
      </c>
      <c r="E9" s="77"/>
      <c r="F9" s="75">
        <f>VLOOKUP(D9,廠價表!$C$1:$E$41,3,0)</f>
        <v>57.21</v>
      </c>
      <c r="G9" s="66">
        <v>1708</v>
      </c>
      <c r="H9" s="78">
        <f>F9*G9</f>
        <v>97714.680000000008</v>
      </c>
      <c r="I9" s="73"/>
      <c r="J9" s="79">
        <f>VLOOKUP(D9,產線配置圖!$A$3:$C$39,2,0)</f>
        <v>12</v>
      </c>
      <c r="K9" s="80">
        <f>VLOOKUP(D9,產線配置圖!$A$3:$C$39,3,0)</f>
        <v>2105</v>
      </c>
      <c r="L9" s="81">
        <f>K9/J9</f>
        <v>175.41666666666666</v>
      </c>
      <c r="M9" s="82">
        <v>12</v>
      </c>
      <c r="N9" s="80">
        <f>G9/W9*60</f>
        <v>1970.7692307692375</v>
      </c>
      <c r="O9" s="81">
        <f>N9/M9</f>
        <v>164.23076923076979</v>
      </c>
      <c r="P9" s="74">
        <f>M9-J9</f>
        <v>0</v>
      </c>
      <c r="Q9" s="83">
        <f>O9-L9</f>
        <v>-11.185897435896862</v>
      </c>
      <c r="R9" s="72">
        <f>O9/L9</f>
        <v>0.93623241366709631</v>
      </c>
      <c r="S9" s="426"/>
      <c r="T9" s="16">
        <v>0.64861111111111103</v>
      </c>
      <c r="U9" s="16">
        <v>0.68472222222222201</v>
      </c>
      <c r="V9" s="30">
        <f t="shared" si="9"/>
        <v>27.999999999999421</v>
      </c>
      <c r="W9" s="73">
        <f t="shared" si="6"/>
        <v>51.999999999999815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-134.23076923076246</v>
      </c>
      <c r="AG9" s="72">
        <f t="shared" si="8"/>
        <v>0.9362324136670962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/>
      <c r="AG10" s="72"/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/>
      <c r="AG11" s="72"/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0">AVERAGE(J5:J14)</f>
        <v>14</v>
      </c>
      <c r="K15" s="120">
        <f t="shared" si="10"/>
        <v>1981</v>
      </c>
      <c r="L15" s="117">
        <f t="shared" si="10"/>
        <v>144.15120663650072</v>
      </c>
      <c r="M15" s="120">
        <f t="shared" si="10"/>
        <v>14</v>
      </c>
      <c r="N15" s="120">
        <f t="shared" si="10"/>
        <v>1835.7849801307948</v>
      </c>
      <c r="O15" s="117">
        <f t="shared" si="10"/>
        <v>134.15063419334393</v>
      </c>
      <c r="P15" s="121">
        <f>M15-J15</f>
        <v>0</v>
      </c>
      <c r="Q15" s="122">
        <f>O15-L15</f>
        <v>-10.000572443156784</v>
      </c>
      <c r="R15" s="123">
        <f>O15/L15</f>
        <v>0.93062442780396037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1">N15-K15</f>
        <v>-145.21501986920521</v>
      </c>
      <c r="AG15" s="124">
        <f t="shared" ref="AG15:AG19" si="12">N15/K15</f>
        <v>0.92669610304431838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2203</v>
      </c>
      <c r="H16" s="134">
        <f>F16*G16</f>
        <v>126033.63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20" si="13">K16/J16</f>
        <v>175.41666666666666</v>
      </c>
      <c r="M16" s="139">
        <v>12</v>
      </c>
      <c r="N16" s="140">
        <f t="shared" ref="N16:N20" si="14">G16/W16*60</f>
        <v>1915.6521739130703</v>
      </c>
      <c r="O16" s="141">
        <f t="shared" ref="O16:O20" si="15">N16/M16</f>
        <v>159.63768115942253</v>
      </c>
      <c r="P16" s="142">
        <f t="shared" ref="P16:P20" si="16">M16-J16</f>
        <v>0</v>
      </c>
      <c r="Q16" s="143">
        <f t="shared" ref="Q16:Q20" si="17">O16-L16</f>
        <v>-15.77898550724413</v>
      </c>
      <c r="R16" s="144">
        <f t="shared" ref="R16:R20" si="18">O16/L16</f>
        <v>0.91004853867604296</v>
      </c>
      <c r="S16" s="417">
        <f>R26</f>
        <v>0.89034735922823716</v>
      </c>
      <c r="T16" s="19">
        <v>0.29027777777777802</v>
      </c>
      <c r="U16" s="19">
        <v>0.33819444444444402</v>
      </c>
      <c r="V16" s="135"/>
      <c r="W16" s="146">
        <f t="shared" ref="W16:W78" si="19">(U16-T16)*24*60</f>
        <v>68.999999999999034</v>
      </c>
      <c r="X16" s="141"/>
      <c r="Y16" s="296"/>
      <c r="Z16" s="169"/>
      <c r="AA16" s="169"/>
      <c r="AB16" s="402" t="s">
        <v>147</v>
      </c>
      <c r="AC16" s="402"/>
      <c r="AD16" s="135">
        <v>1</v>
      </c>
      <c r="AE16" s="135">
        <v>1</v>
      </c>
      <c r="AF16" s="229">
        <f t="shared" si="11"/>
        <v>-189.34782608692967</v>
      </c>
      <c r="AG16" s="52">
        <f t="shared" si="12"/>
        <v>0.91004853867604296</v>
      </c>
      <c r="AH16" s="403">
        <f>AG26</f>
        <v>0.89092732766185112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3651</v>
      </c>
      <c r="H17" s="78">
        <f t="shared" ref="H17:H20" si="20">F17*G17</f>
        <v>184996.17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3"/>
        <v>166.66666666666666</v>
      </c>
      <c r="M17" s="148">
        <v>12</v>
      </c>
      <c r="N17" s="95">
        <f t="shared" si="14"/>
        <v>1795.5737704917874</v>
      </c>
      <c r="O17" s="96">
        <f t="shared" si="15"/>
        <v>149.63114754098228</v>
      </c>
      <c r="P17" s="97">
        <f t="shared" si="16"/>
        <v>0</v>
      </c>
      <c r="Q17" s="98">
        <f t="shared" si="17"/>
        <v>-17.035519125684374</v>
      </c>
      <c r="R17" s="99">
        <f t="shared" si="18"/>
        <v>0.89778688524589378</v>
      </c>
      <c r="S17" s="418"/>
      <c r="T17" s="19">
        <v>0.344444444444444</v>
      </c>
      <c r="U17" s="19">
        <v>0.42916666666666697</v>
      </c>
      <c r="V17" s="30">
        <f>(T17-U16)*24*60</f>
        <v>8.999999999999968</v>
      </c>
      <c r="W17" s="149">
        <f t="shared" si="19"/>
        <v>122.00000000000108</v>
      </c>
      <c r="X17" s="19"/>
      <c r="Y17" s="297"/>
      <c r="Z17" s="90"/>
      <c r="AA17" s="90"/>
      <c r="AB17" s="395" t="s">
        <v>120</v>
      </c>
      <c r="AC17" s="395"/>
      <c r="AD17" s="92">
        <v>10</v>
      </c>
      <c r="AE17" s="92">
        <v>10</v>
      </c>
      <c r="AF17" s="307">
        <f t="shared" si="11"/>
        <v>-204.4262295082126</v>
      </c>
      <c r="AG17" s="72">
        <f t="shared" si="12"/>
        <v>0.89778688524589367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1825</v>
      </c>
      <c r="H18" s="78">
        <f t="shared" si="20"/>
        <v>91961.75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3"/>
        <v>181.81818181818181</v>
      </c>
      <c r="M18" s="148">
        <v>11</v>
      </c>
      <c r="N18" s="95">
        <f t="shared" si="14"/>
        <v>1887.931034482747</v>
      </c>
      <c r="O18" s="96">
        <f t="shared" si="15"/>
        <v>171.63009404388609</v>
      </c>
      <c r="P18" s="97">
        <f t="shared" si="16"/>
        <v>0</v>
      </c>
      <c r="Q18" s="98">
        <f t="shared" si="17"/>
        <v>-10.188087774295724</v>
      </c>
      <c r="R18" s="99">
        <f t="shared" si="18"/>
        <v>0.94396551724137356</v>
      </c>
      <c r="S18" s="418"/>
      <c r="T18" s="19">
        <v>0.4375</v>
      </c>
      <c r="U18" s="19">
        <v>0.47777777777777802</v>
      </c>
      <c r="V18" s="30">
        <f>(T18-U17)*24*60</f>
        <v>11.999999999999558</v>
      </c>
      <c r="W18" s="149">
        <f t="shared" si="19"/>
        <v>58.000000000000355</v>
      </c>
      <c r="X18" s="22"/>
      <c r="Y18" s="84"/>
      <c r="Z18" s="90"/>
      <c r="AA18" s="90"/>
      <c r="AD18" s="92"/>
      <c r="AE18" s="92"/>
      <c r="AF18" s="307">
        <f t="shared" si="11"/>
        <v>-112.06896551725299</v>
      </c>
      <c r="AG18" s="72">
        <f t="shared" si="12"/>
        <v>0.94396551724137345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3994</v>
      </c>
      <c r="H19" s="78">
        <f t="shared" si="20"/>
        <v>201257.66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3"/>
        <v>181.81818181818181</v>
      </c>
      <c r="M19" s="148">
        <v>11</v>
      </c>
      <c r="N19" s="95">
        <f t="shared" si="14"/>
        <v>1608.3221476510107</v>
      </c>
      <c r="O19" s="96">
        <f t="shared" si="15"/>
        <v>146.21110433191006</v>
      </c>
      <c r="P19" s="97">
        <f t="shared" si="16"/>
        <v>0</v>
      </c>
      <c r="Q19" s="98">
        <f t="shared" si="17"/>
        <v>-35.607077486271749</v>
      </c>
      <c r="R19" s="99">
        <f t="shared" si="18"/>
        <v>0.80416107382550539</v>
      </c>
      <c r="S19" s="418"/>
      <c r="T19" s="19">
        <v>0.55000000000000004</v>
      </c>
      <c r="U19" s="19">
        <v>0.65347222222222201</v>
      </c>
      <c r="V19" s="30">
        <f>(T19-U18)*24*60</f>
        <v>103.99999999999972</v>
      </c>
      <c r="W19" s="149">
        <f t="shared" si="19"/>
        <v>148.99999999999963</v>
      </c>
      <c r="X19" s="22">
        <v>0.48611111111111099</v>
      </c>
      <c r="Y19" s="84">
        <v>0.52777777777777801</v>
      </c>
      <c r="Z19" s="90"/>
      <c r="AA19" s="90"/>
      <c r="AB19" s="395"/>
      <c r="AC19" s="395"/>
      <c r="AD19" s="149"/>
      <c r="AE19" s="149"/>
      <c r="AF19" s="307">
        <f t="shared" si="11"/>
        <v>-391.67785234898929</v>
      </c>
      <c r="AG19" s="72">
        <f t="shared" si="12"/>
        <v>0.80416107382550539</v>
      </c>
      <c r="AH19" s="405"/>
    </row>
    <row r="20" spans="1:34" ht="15" customHeight="1">
      <c r="A20" s="414"/>
      <c r="B20" s="75" t="s">
        <v>81</v>
      </c>
      <c r="C20" s="76"/>
      <c r="D20" s="59" t="s">
        <v>116</v>
      </c>
      <c r="E20" s="77"/>
      <c r="F20" s="75">
        <f>VLOOKUP(D20,廠價表!$C$1:$E$41,3,0)</f>
        <v>57.21</v>
      </c>
      <c r="G20" s="147">
        <v>850</v>
      </c>
      <c r="H20" s="78">
        <f t="shared" si="20"/>
        <v>48628.5</v>
      </c>
      <c r="I20" s="30"/>
      <c r="J20" s="79">
        <f>VLOOKUP(D20,產線配置圖!$A$3:$C$39,2,0)</f>
        <v>12</v>
      </c>
      <c r="K20" s="80">
        <f>VLOOKUP(D20,產線配置圖!$A$3:$C$39,3,0)</f>
        <v>2105</v>
      </c>
      <c r="L20" s="81">
        <f t="shared" si="13"/>
        <v>175.41666666666666</v>
      </c>
      <c r="M20" s="148">
        <v>12</v>
      </c>
      <c r="N20" s="95">
        <f t="shared" si="14"/>
        <v>1888.8888888888844</v>
      </c>
      <c r="O20" s="96">
        <f t="shared" si="15"/>
        <v>157.40740740740702</v>
      </c>
      <c r="P20" s="97">
        <f t="shared" si="16"/>
        <v>0</v>
      </c>
      <c r="Q20" s="98">
        <f t="shared" si="17"/>
        <v>-18.009259259259636</v>
      </c>
      <c r="R20" s="99">
        <f t="shared" si="18"/>
        <v>0.89733438902084772</v>
      </c>
      <c r="S20" s="418"/>
      <c r="T20" s="19">
        <v>0.66180555555555598</v>
      </c>
      <c r="U20" s="19">
        <v>0.68055555555555602</v>
      </c>
      <c r="V20" s="30">
        <f>(T20-U19)*24*60</f>
        <v>12.000000000000917</v>
      </c>
      <c r="W20" s="149">
        <f t="shared" si="19"/>
        <v>27.000000000000064</v>
      </c>
      <c r="X20" s="19"/>
      <c r="Y20" s="297"/>
      <c r="Z20" s="90"/>
      <c r="AA20" s="90"/>
      <c r="AB20" s="395"/>
      <c r="AC20" s="395"/>
      <c r="AD20" s="92"/>
      <c r="AE20" s="92"/>
      <c r="AF20" s="307">
        <f>N20-K20</f>
        <v>-216.11111111111563</v>
      </c>
      <c r="AG20" s="72">
        <f>N20/K20</f>
        <v>0.89733438902084772</v>
      </c>
      <c r="AH20" s="405"/>
    </row>
    <row r="21" spans="1:34" ht="15" customHeight="1">
      <c r="A21" s="415"/>
      <c r="B21" s="30"/>
      <c r="C21" s="151"/>
      <c r="D21" s="59"/>
      <c r="E21" s="87"/>
      <c r="F21" s="75"/>
      <c r="G21" s="95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9"/>
      <c r="U21" s="19"/>
      <c r="V21" s="30"/>
      <c r="W21" s="149">
        <f t="shared" si="19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75"/>
      <c r="G22" s="95"/>
      <c r="H22" s="78"/>
      <c r="I22" s="30"/>
      <c r="J22" s="79"/>
      <c r="K22" s="80"/>
      <c r="L22" s="81"/>
      <c r="M22" s="148"/>
      <c r="N22" s="95"/>
      <c r="O22" s="96"/>
      <c r="P22" s="97"/>
      <c r="Q22" s="98"/>
      <c r="R22" s="99"/>
      <c r="S22" s="418"/>
      <c r="T22" s="19"/>
      <c r="U22" s="19"/>
      <c r="V22" s="92"/>
      <c r="W22" s="149">
        <f t="shared" si="19"/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9"/>
      <c r="U23" s="19"/>
      <c r="W23" s="149">
        <f t="shared" si="19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21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9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21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9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2">AVERAGE(J16:J25)</f>
        <v>11.6</v>
      </c>
      <c r="K26" s="155">
        <f t="shared" si="22"/>
        <v>2042</v>
      </c>
      <c r="L26" s="158">
        <f t="shared" si="22"/>
        <v>176.22727272727272</v>
      </c>
      <c r="M26" s="155">
        <f t="shared" si="22"/>
        <v>11.6</v>
      </c>
      <c r="N26" s="155">
        <f t="shared" si="22"/>
        <v>1819.2736030855001</v>
      </c>
      <c r="O26" s="158">
        <f t="shared" si="22"/>
        <v>156.9034868967216</v>
      </c>
      <c r="P26" s="159">
        <f t="shared" ref="P26:P31" si="23">M26-J26</f>
        <v>0</v>
      </c>
      <c r="Q26" s="160">
        <f t="shared" ref="Q26:Q31" si="24">O26-L26</f>
        <v>-19.323785830551117</v>
      </c>
      <c r="R26" s="161">
        <f>O26/L26</f>
        <v>0.89034735922823716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11</v>
      </c>
      <c r="AE26" s="323">
        <f>SUM(AE16:AE25)</f>
        <v>11</v>
      </c>
      <c r="AF26" s="309">
        <f t="shared" ref="AF26:AF31" si="25">N26-K26</f>
        <v>-222.7263969144999</v>
      </c>
      <c r="AG26" s="124">
        <f t="shared" ref="AG26:AG31" si="26">N26/K26</f>
        <v>0.89092732766185112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1888</v>
      </c>
      <c r="H27" s="134">
        <f>F27*G27</f>
        <v>108182.39999999999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31" si="27">K27/J27</f>
        <v>88.235294117647058</v>
      </c>
      <c r="M27" s="170">
        <v>17</v>
      </c>
      <c r="N27" s="140">
        <f>G27/W27*60</f>
        <v>1490.5263157894963</v>
      </c>
      <c r="O27" s="141">
        <f>N27/M27</f>
        <v>87.678018575852718</v>
      </c>
      <c r="P27" s="142">
        <f t="shared" si="23"/>
        <v>0</v>
      </c>
      <c r="Q27" s="143">
        <f t="shared" si="24"/>
        <v>-0.5572755417943398</v>
      </c>
      <c r="R27" s="144">
        <f>O27/L27</f>
        <v>0.99368421052633082</v>
      </c>
      <c r="S27" s="417">
        <f>R37</f>
        <v>0.90751998589173777</v>
      </c>
      <c r="T27" s="171">
        <v>0.29166666666666702</v>
      </c>
      <c r="U27" s="171">
        <v>0.344444444444444</v>
      </c>
      <c r="V27" s="135"/>
      <c r="W27" s="146">
        <f t="shared" si="19"/>
        <v>75.999999999998849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5"/>
        <v>-9.473684210503734</v>
      </c>
      <c r="AG27" s="172">
        <f t="shared" si="26"/>
        <v>0.99368421052633082</v>
      </c>
      <c r="AH27" s="403">
        <f>AG37</f>
        <v>0.84452747167752851</v>
      </c>
    </row>
    <row r="28" spans="1:34" ht="15" customHeight="1">
      <c r="A28" s="430"/>
      <c r="B28" s="75" t="s">
        <v>81</v>
      </c>
      <c r="C28" s="173"/>
      <c r="D28" s="59" t="s">
        <v>122</v>
      </c>
      <c r="E28" s="104"/>
      <c r="F28" s="75">
        <f>VLOOKUP(D28,廠價表!$C$1:$E$41,3,0)</f>
        <v>55.13</v>
      </c>
      <c r="G28" s="90">
        <v>1589</v>
      </c>
      <c r="H28" s="91">
        <f>F28*G28</f>
        <v>87601.57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7"/>
        <v>81.470588235294116</v>
      </c>
      <c r="M28" s="94">
        <v>14</v>
      </c>
      <c r="N28" s="95">
        <f>G28/W28*60</f>
        <v>1121.647058823525</v>
      </c>
      <c r="O28" s="96">
        <f>N28/M28</f>
        <v>80.117647058823209</v>
      </c>
      <c r="P28" s="97">
        <f t="shared" si="23"/>
        <v>-3</v>
      </c>
      <c r="Q28" s="98">
        <f t="shared" si="24"/>
        <v>-1.3529411764709067</v>
      </c>
      <c r="R28" s="99">
        <f t="shared" ref="R28:R31" si="28">O28/L28</f>
        <v>0.98339350180505025</v>
      </c>
      <c r="S28" s="418"/>
      <c r="T28" s="19">
        <v>0.35138888888888897</v>
      </c>
      <c r="U28" s="19">
        <v>0.41041666666666698</v>
      </c>
      <c r="V28" s="92">
        <f>(T28-U27)*24*60</f>
        <v>10.000000000000764</v>
      </c>
      <c r="W28" s="149">
        <f t="shared" si="19"/>
        <v>85.000000000000341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5"/>
        <v>-263.35294117647504</v>
      </c>
      <c r="AG28" s="99">
        <f t="shared" si="26"/>
        <v>0.80985347207474723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1232</v>
      </c>
      <c r="H29" s="91">
        <f>F29*G29</f>
        <v>61008.640000000007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7"/>
        <v>96</v>
      </c>
      <c r="M29" s="94">
        <v>14</v>
      </c>
      <c r="N29" s="95">
        <f>G29/W29*60</f>
        <v>1155.0000000000127</v>
      </c>
      <c r="O29" s="96">
        <f>N29/M29</f>
        <v>82.500000000000909</v>
      </c>
      <c r="P29" s="97">
        <f t="shared" si="23"/>
        <v>-1</v>
      </c>
      <c r="Q29" s="98">
        <f t="shared" si="24"/>
        <v>-13.499999999999091</v>
      </c>
      <c r="R29" s="99">
        <f t="shared" si="28"/>
        <v>0.85937500000000944</v>
      </c>
      <c r="S29" s="418"/>
      <c r="T29" s="19">
        <v>0.41527777777777802</v>
      </c>
      <c r="U29" s="19">
        <v>0.45972222222222198</v>
      </c>
      <c r="V29" s="92">
        <f>(T29-U28)*24*60</f>
        <v>6.9999999999998952</v>
      </c>
      <c r="W29" s="149">
        <f t="shared" si="19"/>
        <v>63.999999999999289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5"/>
        <v>-284.99999999998727</v>
      </c>
      <c r="AG29" s="99">
        <f t="shared" si="26"/>
        <v>0.80208333333334214</v>
      </c>
      <c r="AH29" s="432"/>
    </row>
    <row r="30" spans="1:34" ht="15" customHeight="1">
      <c r="A30" s="430"/>
      <c r="B30" s="75" t="s">
        <v>123</v>
      </c>
      <c r="C30" s="88"/>
      <c r="D30" s="59" t="s">
        <v>128</v>
      </c>
      <c r="E30" s="89"/>
      <c r="F30" s="75">
        <f>VLOOKUP(D30,廠價表!$C$1:$E$41,3,0)</f>
        <v>44.3</v>
      </c>
      <c r="G30" s="90">
        <v>1000</v>
      </c>
      <c r="H30" s="91">
        <f t="shared" ref="H30:H31" si="29">F30*G30</f>
        <v>44300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si="27"/>
        <v>84.705882352941174</v>
      </c>
      <c r="M30" s="94">
        <v>16</v>
      </c>
      <c r="N30" s="95">
        <f t="shared" ref="N30:N31" si="30">G30/W30*60</f>
        <v>1200.0000000000082</v>
      </c>
      <c r="O30" s="96">
        <f t="shared" ref="O30:O31" si="31">N30/M30</f>
        <v>75.000000000000512</v>
      </c>
      <c r="P30" s="97">
        <f t="shared" si="23"/>
        <v>-1</v>
      </c>
      <c r="Q30" s="98">
        <f t="shared" si="24"/>
        <v>-9.7058823529406624</v>
      </c>
      <c r="R30" s="99">
        <f t="shared" si="28"/>
        <v>0.88541666666667274</v>
      </c>
      <c r="S30" s="418"/>
      <c r="T30" s="19">
        <v>0.52430555555555602</v>
      </c>
      <c r="U30" s="19">
        <v>0.55902777777777801</v>
      </c>
      <c r="V30" s="92">
        <f>(T30-U29)*24*60</f>
        <v>93.000000000001023</v>
      </c>
      <c r="W30" s="149">
        <f t="shared" si="19"/>
        <v>49.999999999999659</v>
      </c>
      <c r="X30" s="174">
        <v>0.47916666666666702</v>
      </c>
      <c r="Y30" s="301">
        <v>0.52083333333333304</v>
      </c>
      <c r="Z30" s="335"/>
      <c r="AA30" s="335"/>
      <c r="AB30" s="395"/>
      <c r="AC30" s="395"/>
      <c r="AD30" s="92"/>
      <c r="AE30" s="92"/>
      <c r="AF30" s="312">
        <f t="shared" si="25"/>
        <v>-239.99999999999181</v>
      </c>
      <c r="AG30" s="99">
        <f t="shared" si="26"/>
        <v>0.83333333333333903</v>
      </c>
      <c r="AH30" s="433"/>
    </row>
    <row r="31" spans="1:34" ht="15" customHeight="1">
      <c r="A31" s="430"/>
      <c r="B31" s="75" t="s">
        <v>123</v>
      </c>
      <c r="C31" s="88"/>
      <c r="D31" s="59" t="s">
        <v>124</v>
      </c>
      <c r="E31" s="89"/>
      <c r="F31" s="75">
        <f>VLOOKUP(D31,廠價表!$C$1:$E$41,3,0)</f>
        <v>49.52</v>
      </c>
      <c r="G31" s="90">
        <v>950</v>
      </c>
      <c r="H31" s="91">
        <f t="shared" si="29"/>
        <v>47044</v>
      </c>
      <c r="I31" s="92"/>
      <c r="J31" s="79">
        <v>15</v>
      </c>
      <c r="K31" s="80">
        <f>VLOOKUP(D31,產線配置圖!$A$3:$C$39,3,0)</f>
        <v>1440</v>
      </c>
      <c r="L31" s="93">
        <f t="shared" si="27"/>
        <v>96</v>
      </c>
      <c r="M31" s="94">
        <v>14</v>
      </c>
      <c r="N31" s="95">
        <f t="shared" si="30"/>
        <v>1117.6470588235509</v>
      </c>
      <c r="O31" s="96">
        <f t="shared" si="31"/>
        <v>79.831932773110779</v>
      </c>
      <c r="P31" s="97">
        <f t="shared" si="23"/>
        <v>-1</v>
      </c>
      <c r="Q31" s="98">
        <f t="shared" si="24"/>
        <v>-16.168067226889221</v>
      </c>
      <c r="R31" s="99">
        <f t="shared" si="28"/>
        <v>0.83158263305323732</v>
      </c>
      <c r="S31" s="418"/>
      <c r="T31" s="19">
        <v>0.56527777777777799</v>
      </c>
      <c r="U31" s="19">
        <v>0.60069444444444398</v>
      </c>
      <c r="V31" s="92">
        <f>(T31-U30)*24*60</f>
        <v>8.999999999999968</v>
      </c>
      <c r="W31" s="149">
        <f t="shared" si="19"/>
        <v>50.999999999999019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5"/>
        <v>-322.35294117644912</v>
      </c>
      <c r="AG31" s="99">
        <f t="shared" si="26"/>
        <v>0.7761437908496881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9"/>
      <c r="U32" s="19"/>
      <c r="V32" s="92"/>
      <c r="W32" s="149">
        <f t="shared" si="19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9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9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9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32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9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3">AVERAGE(J27:J36)</f>
        <v>16.2</v>
      </c>
      <c r="K37" s="155">
        <f t="shared" si="33"/>
        <v>1441</v>
      </c>
      <c r="L37" s="158">
        <f t="shared" si="33"/>
        <v>89.28235294117647</v>
      </c>
      <c r="M37" s="155">
        <f t="shared" si="33"/>
        <v>15</v>
      </c>
      <c r="N37" s="155">
        <f t="shared" si="33"/>
        <v>1216.9640866873185</v>
      </c>
      <c r="O37" s="158">
        <f t="shared" si="33"/>
        <v>81.025519681557626</v>
      </c>
      <c r="P37" s="159">
        <f>M37-J37</f>
        <v>-1.1999999999999993</v>
      </c>
      <c r="Q37" s="160">
        <f>N37-K37</f>
        <v>-224.03591331268149</v>
      </c>
      <c r="R37" s="161">
        <f t="shared" ref="R37:R42" si="34">O37/L37</f>
        <v>0.90751998589173777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0" si="35">N37-K37</f>
        <v>-224.03591331268149</v>
      </c>
      <c r="AG37" s="124">
        <f t="shared" ref="AG37:AG40" si="36">N37/K37</f>
        <v>0.84452747167752851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1196</v>
      </c>
      <c r="H38" s="134">
        <f>F38*G38</f>
        <v>67490.28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2" si="37">K38/J38</f>
        <v>87.875</v>
      </c>
      <c r="M38" s="190">
        <v>13</v>
      </c>
      <c r="N38" s="140">
        <f>G38/W38*60</f>
        <v>1025.1428571428596</v>
      </c>
      <c r="O38" s="141">
        <f>N38/M38</f>
        <v>78.857142857143046</v>
      </c>
      <c r="P38" s="142">
        <f t="shared" ref="P38:P42" si="38">M38-J38</f>
        <v>-3</v>
      </c>
      <c r="Q38" s="143">
        <f t="shared" ref="Q38:Q42" si="39">O38-L38</f>
        <v>-9.0178571428569541</v>
      </c>
      <c r="R38" s="144">
        <f>O38/L38</f>
        <v>0.8973785815891101</v>
      </c>
      <c r="S38" s="437">
        <f>R48</f>
        <v>0.92726327689757948</v>
      </c>
      <c r="T38" s="191">
        <v>0.33333333333333298</v>
      </c>
      <c r="U38" s="191">
        <v>0.38194444444444398</v>
      </c>
      <c r="V38" s="192"/>
      <c r="W38" s="193">
        <f t="shared" si="19"/>
        <v>69.999999999999829</v>
      </c>
      <c r="X38" s="194"/>
      <c r="Y38" s="302"/>
      <c r="Z38" s="336"/>
      <c r="AA38" s="336"/>
      <c r="AB38" s="439" t="s">
        <v>148</v>
      </c>
      <c r="AC38" s="439"/>
      <c r="AD38" s="192"/>
      <c r="AE38" s="192"/>
      <c r="AF38" s="313">
        <f t="shared" si="35"/>
        <v>-380.85714285714039</v>
      </c>
      <c r="AG38" s="195">
        <f t="shared" si="36"/>
        <v>0.72912009754115192</v>
      </c>
      <c r="AH38" s="443">
        <f>AG48</f>
        <v>0.85071667172040899</v>
      </c>
    </row>
    <row r="39" spans="1:34" ht="15" customHeight="1">
      <c r="A39" s="435"/>
      <c r="B39" s="75" t="s">
        <v>123</v>
      </c>
      <c r="C39" s="197"/>
      <c r="D39" s="198" t="s">
        <v>127</v>
      </c>
      <c r="E39" s="176"/>
      <c r="F39" s="75">
        <f>VLOOKUP(D39,廠價表!$C$1:$E$41,3,0)</f>
        <v>49.91</v>
      </c>
      <c r="G39" s="199">
        <v>1345</v>
      </c>
      <c r="H39" s="91">
        <f>F39*G39</f>
        <v>67128.95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7"/>
        <v>92.058823529411768</v>
      </c>
      <c r="M39" s="201">
        <v>15</v>
      </c>
      <c r="N39" s="202">
        <f>G39/W39*60</f>
        <v>1301.6129032257925</v>
      </c>
      <c r="O39" s="203">
        <f t="shared" ref="O39:O42" si="40">N39/M39</f>
        <v>86.774193548386165</v>
      </c>
      <c r="P39" s="97">
        <f t="shared" si="38"/>
        <v>-2</v>
      </c>
      <c r="Q39" s="98">
        <f t="shared" si="39"/>
        <v>-5.2846299810256028</v>
      </c>
      <c r="R39" s="99">
        <f t="shared" si="34"/>
        <v>0.94259507368853979</v>
      </c>
      <c r="S39" s="438"/>
      <c r="T39" s="20">
        <v>0.39444444444444399</v>
      </c>
      <c r="U39" s="20">
        <v>0.4375</v>
      </c>
      <c r="V39" s="92">
        <f>(T39-U38)*24*60</f>
        <v>18.000000000000014</v>
      </c>
      <c r="W39" s="205">
        <f t="shared" si="19"/>
        <v>62.000000000000661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5"/>
        <v>-263.38709677420752</v>
      </c>
      <c r="AG39" s="206">
        <f t="shared" si="36"/>
        <v>0.83170153560753513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1640</v>
      </c>
      <c r="H40" s="91">
        <f>F40*G40</f>
        <v>72652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7"/>
        <v>84.705882352941174</v>
      </c>
      <c r="M40" s="201">
        <v>16</v>
      </c>
      <c r="N40" s="202">
        <f>G40/W40*60</f>
        <v>1214.8148148148155</v>
      </c>
      <c r="O40" s="203">
        <f t="shared" si="40"/>
        <v>75.925925925925966</v>
      </c>
      <c r="P40" s="97">
        <f t="shared" si="38"/>
        <v>-1</v>
      </c>
      <c r="Q40" s="98">
        <f t="shared" si="39"/>
        <v>-8.7799564270152075</v>
      </c>
      <c r="R40" s="99">
        <f t="shared" si="34"/>
        <v>0.89634773662551492</v>
      </c>
      <c r="S40" s="425"/>
      <c r="T40" s="20">
        <v>0.44722222222222202</v>
      </c>
      <c r="U40" s="20">
        <v>0.50347222222222199</v>
      </c>
      <c r="V40" s="92">
        <f>(T40-U39)*24*60</f>
        <v>13.99999999999971</v>
      </c>
      <c r="W40" s="205">
        <f t="shared" si="19"/>
        <v>80.999999999999957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5"/>
        <v>-225.18518518518454</v>
      </c>
      <c r="AG40" s="206">
        <f t="shared" si="36"/>
        <v>0.84362139917695522</v>
      </c>
      <c r="AH40" s="444"/>
    </row>
    <row r="41" spans="1:34" ht="15" customHeight="1">
      <c r="A41" s="435"/>
      <c r="B41" s="75" t="s">
        <v>123</v>
      </c>
      <c r="C41" s="207"/>
      <c r="D41" s="198" t="s">
        <v>128</v>
      </c>
      <c r="E41" s="178"/>
      <c r="F41" s="75">
        <f>VLOOKUP(D41,廠價表!$C$1:$E$41,3,0)</f>
        <v>44.3</v>
      </c>
      <c r="G41" s="199">
        <v>2886</v>
      </c>
      <c r="H41" s="91">
        <f t="shared" ref="H41:H42" si="41">F41*G41</f>
        <v>127849.79999999999</v>
      </c>
      <c r="I41" s="200"/>
      <c r="J41" s="148">
        <f>VLOOKUP(D41,產線配置圖!$A$3:$C$39,2,0)</f>
        <v>17</v>
      </c>
      <c r="K41" s="95">
        <f>VLOOKUP(D41,產線配置圖!$A$3:$C$39,3,0)</f>
        <v>1440</v>
      </c>
      <c r="L41" s="96">
        <f t="shared" si="37"/>
        <v>84.705882352941174</v>
      </c>
      <c r="M41" s="201">
        <v>17</v>
      </c>
      <c r="N41" s="202">
        <f t="shared" ref="N41:N42" si="42">G41/W41*60</f>
        <v>1419.3442622950852</v>
      </c>
      <c r="O41" s="203">
        <f t="shared" si="40"/>
        <v>83.490838958534425</v>
      </c>
      <c r="P41" s="97">
        <f t="shared" si="38"/>
        <v>0</v>
      </c>
      <c r="Q41" s="98">
        <f t="shared" si="39"/>
        <v>-1.2150433944067487</v>
      </c>
      <c r="R41" s="99">
        <f t="shared" si="34"/>
        <v>0.98565573770492032</v>
      </c>
      <c r="S41" s="425"/>
      <c r="T41" s="20">
        <v>0.56597222222222199</v>
      </c>
      <c r="U41" s="210">
        <v>0.65069444444444402</v>
      </c>
      <c r="V41" s="92">
        <f t="shared" ref="V41:V42" si="43">(T41-U40)*24*60</f>
        <v>90</v>
      </c>
      <c r="W41" s="205">
        <f t="shared" si="19"/>
        <v>121.99999999999973</v>
      </c>
      <c r="X41" s="208">
        <v>0.51041666666666696</v>
      </c>
      <c r="Y41" s="209">
        <v>0.55208333333333304</v>
      </c>
      <c r="Z41" s="337"/>
      <c r="AA41" s="337"/>
      <c r="AB41" s="395"/>
      <c r="AC41" s="395"/>
      <c r="AD41" s="92"/>
      <c r="AE41" s="92"/>
      <c r="AF41" s="314">
        <f>N41-K41</f>
        <v>-20.655737704914827</v>
      </c>
      <c r="AG41" s="206">
        <f>N41/K41</f>
        <v>0.98565573770492021</v>
      </c>
      <c r="AH41" s="444"/>
    </row>
    <row r="42" spans="1:34" ht="15" customHeight="1">
      <c r="A42" s="435"/>
      <c r="B42" s="75" t="s">
        <v>123</v>
      </c>
      <c r="C42" s="86"/>
      <c r="D42" s="198" t="s">
        <v>127</v>
      </c>
      <c r="E42" s="87"/>
      <c r="F42" s="75">
        <f>VLOOKUP(D42,廠價表!$C$1:$E$41,3,0)</f>
        <v>49.91</v>
      </c>
      <c r="G42" s="199">
        <v>1011</v>
      </c>
      <c r="H42" s="91">
        <f t="shared" si="41"/>
        <v>50459.009999999995</v>
      </c>
      <c r="I42" s="200"/>
      <c r="J42" s="148">
        <f>VLOOKUP(D42,產線配置圖!$A$3:$C$39,2,0)</f>
        <v>17</v>
      </c>
      <c r="K42" s="95">
        <f>VLOOKUP(D42,產線配置圖!$A$3:$C$39,3,0)</f>
        <v>1565</v>
      </c>
      <c r="L42" s="96">
        <f t="shared" si="37"/>
        <v>92.058823529411768</v>
      </c>
      <c r="M42" s="201">
        <v>16</v>
      </c>
      <c r="N42" s="202">
        <f t="shared" si="42"/>
        <v>1348</v>
      </c>
      <c r="O42" s="203">
        <f t="shared" si="40"/>
        <v>84.25</v>
      </c>
      <c r="P42" s="97">
        <f t="shared" si="38"/>
        <v>-1</v>
      </c>
      <c r="Q42" s="98">
        <f t="shared" si="39"/>
        <v>-7.808823529411768</v>
      </c>
      <c r="R42" s="99">
        <f t="shared" si="34"/>
        <v>0.91517571884984017</v>
      </c>
      <c r="S42" s="425"/>
      <c r="T42" s="210">
        <v>0.65763888888888899</v>
      </c>
      <c r="U42" s="210">
        <v>0.68888888888888899</v>
      </c>
      <c r="V42" s="92">
        <f t="shared" si="43"/>
        <v>10.000000000000764</v>
      </c>
      <c r="W42" s="205">
        <f t="shared" si="19"/>
        <v>45</v>
      </c>
      <c r="X42" s="208"/>
      <c r="Y42" s="211"/>
      <c r="Z42" s="338"/>
      <c r="AA42" s="338"/>
      <c r="AB42" s="395"/>
      <c r="AC42" s="395"/>
      <c r="AD42" s="92"/>
      <c r="AE42" s="92"/>
      <c r="AF42" s="314">
        <f>N42-K42</f>
        <v>-217</v>
      </c>
      <c r="AG42" s="206">
        <f>N42/K42</f>
        <v>0.86134185303514377</v>
      </c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44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44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44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32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44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45">AVERAGE(J38:J47)</f>
        <v>16.8</v>
      </c>
      <c r="K48" s="155">
        <f t="shared" si="45"/>
        <v>1483.2</v>
      </c>
      <c r="L48" s="158">
        <f t="shared" si="45"/>
        <v>88.280882352941177</v>
      </c>
      <c r="M48" s="155">
        <f t="shared" si="45"/>
        <v>15.4</v>
      </c>
      <c r="N48" s="155">
        <f t="shared" si="45"/>
        <v>1261.7829674957106</v>
      </c>
      <c r="O48" s="158">
        <f t="shared" si="45"/>
        <v>81.859620257997932</v>
      </c>
      <c r="P48" s="221">
        <f>M48-J48</f>
        <v>-1.4000000000000004</v>
      </c>
      <c r="Q48" s="222">
        <f>N48-K48</f>
        <v>-221.41703250428941</v>
      </c>
      <c r="R48" s="223">
        <f t="shared" ref="R48:R53" si="46">O48/L48</f>
        <v>0.92726327689757948</v>
      </c>
      <c r="S48" s="428"/>
      <c r="T48" s="224"/>
      <c r="U48" s="224"/>
      <c r="V48" s="225"/>
      <c r="W48" s="226">
        <f t="shared" si="44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47">N48-K48</f>
        <v>-221.41703250428941</v>
      </c>
      <c r="AG48" s="162">
        <f t="shared" ref="AG48:AG53" si="48">N48/K48</f>
        <v>0.85071667172040899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1159</v>
      </c>
      <c r="H49" s="134">
        <f>F49*G49</f>
        <v>65912.33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9">K49/J49</f>
        <v>86.944444444444443</v>
      </c>
      <c r="M49" s="170">
        <v>18</v>
      </c>
      <c r="N49" s="140">
        <f>G49/W49*60</f>
        <v>1545.3333333333335</v>
      </c>
      <c r="O49" s="141">
        <f>N49/M49</f>
        <v>85.851851851851862</v>
      </c>
      <c r="P49" s="229">
        <f>M49-J49</f>
        <v>0</v>
      </c>
      <c r="Q49" s="230">
        <f>O49-L49</f>
        <v>-1.092592592592581</v>
      </c>
      <c r="R49" s="52">
        <f t="shared" si="46"/>
        <v>0.98743343982960607</v>
      </c>
      <c r="S49" s="424">
        <f>R58</f>
        <v>0.9776240704102136</v>
      </c>
      <c r="T49" s="191">
        <v>0.29027777777777802</v>
      </c>
      <c r="U49" s="191">
        <v>0.32152777777777802</v>
      </c>
      <c r="V49" s="55"/>
      <c r="W49" s="193">
        <f t="shared" si="19"/>
        <v>45</v>
      </c>
      <c r="X49" s="55"/>
      <c r="Y49" s="290"/>
      <c r="Z49" s="169">
        <v>2</v>
      </c>
      <c r="AA49" s="169">
        <v>10</v>
      </c>
      <c r="AB49" s="402" t="s">
        <v>140</v>
      </c>
      <c r="AC49" s="402"/>
      <c r="AD49" s="135"/>
      <c r="AE49" s="135"/>
      <c r="AF49" s="229">
        <f t="shared" si="47"/>
        <v>-19.666666666666515</v>
      </c>
      <c r="AG49" s="52">
        <f t="shared" si="48"/>
        <v>0.98743343982960607</v>
      </c>
      <c r="AH49" s="403">
        <f>AG58</f>
        <v>0.97778613522190305</v>
      </c>
    </row>
    <row r="50" spans="1:34" ht="15" customHeight="1">
      <c r="A50" s="453"/>
      <c r="B50" s="75" t="s">
        <v>81</v>
      </c>
      <c r="C50" s="76"/>
      <c r="D50" s="59" t="s">
        <v>131</v>
      </c>
      <c r="E50" s="77"/>
      <c r="F50" s="75">
        <f>VLOOKUP(D50,廠價表!$C$1:$E$41,3,0)</f>
        <v>49.97</v>
      </c>
      <c r="G50" s="202">
        <v>3613</v>
      </c>
      <c r="H50" s="231">
        <f>F50*G50</f>
        <v>180541.61</v>
      </c>
      <c r="I50" s="232"/>
      <c r="J50" s="79">
        <f>VLOOKUP(D50,產線配置圖!$A$3:$C$39,2,0)</f>
        <v>18</v>
      </c>
      <c r="K50" s="80">
        <f>VLOOKUP(D50,產線配置圖!$A$3:$C$39,3,0)</f>
        <v>1600</v>
      </c>
      <c r="L50" s="81">
        <f t="shared" si="49"/>
        <v>88.888888888888886</v>
      </c>
      <c r="M50" s="233">
        <v>18</v>
      </c>
      <c r="N50" s="234">
        <f>G50/W50*60</f>
        <v>1582.3357664233561</v>
      </c>
      <c r="O50" s="235">
        <f>N50/M50</f>
        <v>87.90754257907534</v>
      </c>
      <c r="P50" s="74">
        <f>M50-J50</f>
        <v>0</v>
      </c>
      <c r="Q50" s="83">
        <f>O50-L50</f>
        <v>-0.98134630981354576</v>
      </c>
      <c r="R50" s="72">
        <f t="shared" si="46"/>
        <v>0.98895985401459763</v>
      </c>
      <c r="S50" s="425"/>
      <c r="T50" s="21">
        <v>0.32986111111111099</v>
      </c>
      <c r="U50" s="21">
        <v>0.42499999999999999</v>
      </c>
      <c r="V50" s="30">
        <f t="shared" ref="V50:V53" si="50">(T50-U49)*24*60</f>
        <v>11.999999999999478</v>
      </c>
      <c r="W50" s="236">
        <f t="shared" si="19"/>
        <v>137.00000000000014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7"/>
        <v>-17.664233576643937</v>
      </c>
      <c r="AG50" s="72">
        <f t="shared" si="48"/>
        <v>0.98895985401459752</v>
      </c>
      <c r="AH50" s="404"/>
    </row>
    <row r="51" spans="1:34" ht="15" customHeight="1">
      <c r="A51" s="453"/>
      <c r="B51" s="75" t="s">
        <v>81</v>
      </c>
      <c r="C51" s="76"/>
      <c r="D51" s="59" t="s">
        <v>130</v>
      </c>
      <c r="E51" s="77"/>
      <c r="F51" s="75">
        <f>VLOOKUP(D51,廠價表!$C$1:$E$41,3,0)</f>
        <v>47.71</v>
      </c>
      <c r="G51" s="202">
        <v>1984</v>
      </c>
      <c r="H51" s="231">
        <f>F51*G51</f>
        <v>94656.639999999999</v>
      </c>
      <c r="I51" s="232"/>
      <c r="J51" s="79">
        <f>VLOOKUP(D51,產線配置圖!$A$3:$C$39,2,0)</f>
        <v>16</v>
      </c>
      <c r="K51" s="80">
        <f>VLOOKUP(D51,產線配置圖!$A$3:$C$39,3,0)</f>
        <v>1440</v>
      </c>
      <c r="L51" s="81">
        <f t="shared" si="49"/>
        <v>90</v>
      </c>
      <c r="M51" s="233">
        <v>16</v>
      </c>
      <c r="N51" s="234">
        <f>G51/W51*60</f>
        <v>1434.2168674698778</v>
      </c>
      <c r="O51" s="235">
        <f>N51/M51</f>
        <v>89.638554216867362</v>
      </c>
      <c r="P51" s="74">
        <f>M51-J51</f>
        <v>0</v>
      </c>
      <c r="Q51" s="83">
        <f>O51-L51</f>
        <v>-0.36144578313263764</v>
      </c>
      <c r="R51" s="72">
        <f t="shared" si="46"/>
        <v>0.99598393574297073</v>
      </c>
      <c r="S51" s="425"/>
      <c r="T51" s="21">
        <v>0.43194444444444402</v>
      </c>
      <c r="U51" s="19">
        <v>0.48958333333333298</v>
      </c>
      <c r="V51" s="30">
        <f t="shared" si="50"/>
        <v>9.9999999999994049</v>
      </c>
      <c r="W51" s="236">
        <f t="shared" si="19"/>
        <v>83.000000000000099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47"/>
        <v>-5.7831325301222023</v>
      </c>
      <c r="AG51" s="72">
        <f t="shared" si="48"/>
        <v>0.99598393574297073</v>
      </c>
      <c r="AH51" s="404"/>
    </row>
    <row r="52" spans="1:34" ht="15" customHeight="1">
      <c r="A52" s="453"/>
      <c r="B52" s="75" t="s">
        <v>81</v>
      </c>
      <c r="C52" s="86"/>
      <c r="D52" s="59" t="s">
        <v>130</v>
      </c>
      <c r="E52" s="87"/>
      <c r="F52" s="75">
        <f>VLOOKUP(D52,廠價表!$C$1:$E$41,3,0)</f>
        <v>47.71</v>
      </c>
      <c r="G52" s="202">
        <v>480</v>
      </c>
      <c r="H52" s="231">
        <f>F52*G52</f>
        <v>22900.799999999999</v>
      </c>
      <c r="I52" s="232"/>
      <c r="J52" s="79">
        <f>VLOOKUP(D52,產線配置圖!$A$3:$C$39,2,0)</f>
        <v>16</v>
      </c>
      <c r="K52" s="80">
        <f>VLOOKUP(D52,產線配置圖!$A$3:$C$39,3,0)</f>
        <v>1440</v>
      </c>
      <c r="L52" s="81">
        <f t="shared" si="49"/>
        <v>90</v>
      </c>
      <c r="M52" s="233">
        <v>16</v>
      </c>
      <c r="N52" s="234">
        <f>G52/W52*60</f>
        <v>1371.4285714285973</v>
      </c>
      <c r="O52" s="235">
        <f>N52/M52</f>
        <v>85.714285714287328</v>
      </c>
      <c r="P52" s="74">
        <f>M52-J52</f>
        <v>0</v>
      </c>
      <c r="Q52" s="83">
        <f>O52-L52</f>
        <v>-4.2857142857126718</v>
      </c>
      <c r="R52" s="72">
        <f t="shared" si="46"/>
        <v>0.95238095238097031</v>
      </c>
      <c r="S52" s="425"/>
      <c r="T52" s="21">
        <v>0.54652777777777795</v>
      </c>
      <c r="U52" s="21">
        <v>0.56111111111111101</v>
      </c>
      <c r="V52" s="30">
        <f t="shared" si="50"/>
        <v>82.000000000000753</v>
      </c>
      <c r="W52" s="236">
        <f t="shared" si="19"/>
        <v>20.999999999999606</v>
      </c>
      <c r="X52" s="22">
        <v>0.5</v>
      </c>
      <c r="Y52" s="84">
        <v>0.54166666666666696</v>
      </c>
      <c r="Z52" s="90"/>
      <c r="AA52" s="90"/>
      <c r="AB52" s="395"/>
      <c r="AC52" s="395"/>
      <c r="AD52" s="92"/>
      <c r="AE52" s="92"/>
      <c r="AF52" s="307">
        <f t="shared" si="47"/>
        <v>-68.571428571402748</v>
      </c>
      <c r="AG52" s="72">
        <f t="shared" si="48"/>
        <v>0.95238095238097031</v>
      </c>
      <c r="AH52" s="404"/>
    </row>
    <row r="53" spans="1:34" ht="15" customHeight="1">
      <c r="A53" s="453"/>
      <c r="B53" s="101" t="s">
        <v>81</v>
      </c>
      <c r="C53" s="102"/>
      <c r="D53" s="103" t="s">
        <v>131</v>
      </c>
      <c r="E53" s="104"/>
      <c r="F53" s="75">
        <f>VLOOKUP(D53,廠價表!$C$1:$E$41,3,0)</f>
        <v>49.97</v>
      </c>
      <c r="G53" s="202">
        <v>2210</v>
      </c>
      <c r="H53" s="231">
        <f>F53*G53</f>
        <v>110433.7</v>
      </c>
      <c r="I53" s="30"/>
      <c r="J53" s="79">
        <f>VLOOKUP(D53,產線配置圖!$A$3:$C$39,2,0)</f>
        <v>18</v>
      </c>
      <c r="K53" s="80">
        <f>VLOOKUP(D53,產線配置圖!$A$3:$C$39,3,0)</f>
        <v>1600</v>
      </c>
      <c r="L53" s="81">
        <f>K53/J53</f>
        <v>88.888888888888886</v>
      </c>
      <c r="M53" s="233">
        <v>18</v>
      </c>
      <c r="N53" s="234">
        <f>G53/W53*60</f>
        <v>1541.8604651162848</v>
      </c>
      <c r="O53" s="235">
        <f>N53/M53</f>
        <v>85.65891472868249</v>
      </c>
      <c r="P53" s="74">
        <f>M53-J53</f>
        <v>0</v>
      </c>
      <c r="Q53" s="83">
        <f>O53-L53</f>
        <v>-3.229974160206396</v>
      </c>
      <c r="R53" s="72">
        <f t="shared" si="46"/>
        <v>0.96366279069767802</v>
      </c>
      <c r="S53" s="425"/>
      <c r="T53" s="21">
        <v>0.56805555555555598</v>
      </c>
      <c r="U53" s="21">
        <v>0.62777777777777799</v>
      </c>
      <c r="V53" s="30">
        <f t="shared" si="50"/>
        <v>10.000000000000764</v>
      </c>
      <c r="W53" s="236">
        <f t="shared" si="19"/>
        <v>85.999999999999687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47"/>
        <v>-58.139534883715214</v>
      </c>
      <c r="AG53" s="72">
        <f t="shared" si="48"/>
        <v>0.96366279069767802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9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9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9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9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51">AVERAGE(J49:J57)</f>
        <v>17.2</v>
      </c>
      <c r="K58" s="120">
        <f t="shared" si="51"/>
        <v>1529</v>
      </c>
      <c r="L58" s="117">
        <f t="shared" si="51"/>
        <v>88.944444444444429</v>
      </c>
      <c r="M58" s="120">
        <f t="shared" si="51"/>
        <v>17.2</v>
      </c>
      <c r="N58" s="120">
        <f t="shared" si="51"/>
        <v>1495.0350007542897</v>
      </c>
      <c r="O58" s="117">
        <f t="shared" si="51"/>
        <v>86.954229818152868</v>
      </c>
      <c r="P58" s="121">
        <f>M58-J58</f>
        <v>0</v>
      </c>
      <c r="Q58" s="122">
        <f>N58-K58</f>
        <v>-33.96499924571026</v>
      </c>
      <c r="R58" s="123">
        <f t="shared" ref="R58:R60" si="52">O58/L58</f>
        <v>0.9776240704102136</v>
      </c>
      <c r="S58" s="428"/>
      <c r="T58" s="241"/>
      <c r="U58" s="241"/>
      <c r="V58" s="126"/>
      <c r="W58" s="242"/>
      <c r="X58" s="128"/>
      <c r="Y58" s="295"/>
      <c r="Z58" s="334">
        <f>SUM(Z49:Z57)</f>
        <v>2</v>
      </c>
      <c r="AA58" s="334">
        <f>SUM(AA49:AA57)</f>
        <v>10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53">N58-K58</f>
        <v>-33.96499924571026</v>
      </c>
      <c r="AG58" s="124">
        <f t="shared" ref="AG58:AG61" si="54">N58/K58</f>
        <v>0.97778613522190305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3850</v>
      </c>
      <c r="H59" s="243">
        <f>F59*G59</f>
        <v>103911.5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2" si="55">K59/J59</f>
        <v>120.38461538461539</v>
      </c>
      <c r="M59" s="244">
        <v>13</v>
      </c>
      <c r="N59" s="137">
        <f t="shared" ref="N59:N62" si="56">G59/W59*60</f>
        <v>1490.3225806451596</v>
      </c>
      <c r="O59" s="138">
        <f t="shared" ref="O59:O62" si="57">N59/M59</f>
        <v>114.64019851116612</v>
      </c>
      <c r="P59" s="56">
        <f t="shared" ref="P59:P62" si="58">M59-J59</f>
        <v>0</v>
      </c>
      <c r="Q59" s="230">
        <f t="shared" ref="Q59:Q62" si="59">O59-L59</f>
        <v>-5.7444168734492678</v>
      </c>
      <c r="R59" s="52">
        <f t="shared" si="52"/>
        <v>0.95228279913428726</v>
      </c>
      <c r="S59" s="424">
        <f>R69</f>
        <v>0.87755917125172334</v>
      </c>
      <c r="T59" s="245">
        <v>0.29166666666666702</v>
      </c>
      <c r="U59" s="245">
        <v>0.39930555555555602</v>
      </c>
      <c r="V59" s="55"/>
      <c r="W59" s="54">
        <f t="shared" si="19"/>
        <v>155.00000000000017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53"/>
        <v>-74.677419354840367</v>
      </c>
      <c r="AG59" s="246">
        <f t="shared" si="54"/>
        <v>0.95228279913428726</v>
      </c>
      <c r="AH59" s="403">
        <f>AG69</f>
        <v>0.87899616409561887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1657</v>
      </c>
      <c r="H60" s="78">
        <f>F60*G60</f>
        <v>46826.82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5"/>
        <v>130.41666666666666</v>
      </c>
      <c r="M60" s="82">
        <v>12</v>
      </c>
      <c r="N60" s="80">
        <f t="shared" si="56"/>
        <v>1420.2857142857176</v>
      </c>
      <c r="O60" s="81">
        <f t="shared" si="57"/>
        <v>118.35714285714313</v>
      </c>
      <c r="P60" s="74">
        <f t="shared" si="58"/>
        <v>0</v>
      </c>
      <c r="Q60" s="83">
        <f t="shared" si="59"/>
        <v>-12.059523809523526</v>
      </c>
      <c r="R60" s="72">
        <f t="shared" si="52"/>
        <v>0.90753080785029883</v>
      </c>
      <c r="S60" s="451"/>
      <c r="T60" s="22">
        <v>0.40972222222222199</v>
      </c>
      <c r="U60" s="22">
        <v>0.45833333333333298</v>
      </c>
      <c r="V60" s="30">
        <f t="shared" ref="V60:V62" si="60">(T60-U59)*24*60</f>
        <v>14.999999999998987</v>
      </c>
      <c r="W60" s="248">
        <f t="shared" si="19"/>
        <v>69.999999999999829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53"/>
        <v>-144.71428571428237</v>
      </c>
      <c r="AG60" s="249">
        <f t="shared" si="54"/>
        <v>0.90753080785029883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1083</v>
      </c>
      <c r="H61" s="254">
        <f>F61*G61</f>
        <v>30605.58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5"/>
        <v>130.41666666666666</v>
      </c>
      <c r="M61" s="108">
        <v>12</v>
      </c>
      <c r="N61" s="107">
        <f t="shared" si="56"/>
        <v>1299.600000000009</v>
      </c>
      <c r="O61" s="238">
        <f t="shared" si="57"/>
        <v>108.30000000000075</v>
      </c>
      <c r="P61" s="111">
        <f t="shared" si="58"/>
        <v>0</v>
      </c>
      <c r="Q61" s="255">
        <f t="shared" si="59"/>
        <v>-22.116666666665907</v>
      </c>
      <c r="R61" s="85">
        <f>O61/L61</f>
        <v>0.83041533546326463</v>
      </c>
      <c r="S61" s="425"/>
      <c r="T61" s="22">
        <v>0.46875</v>
      </c>
      <c r="U61" s="22">
        <v>0.50347222222222199</v>
      </c>
      <c r="V61" s="30">
        <f t="shared" si="60"/>
        <v>15.000000000000506</v>
      </c>
      <c r="W61" s="256">
        <f t="shared" si="19"/>
        <v>49.999999999999659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53"/>
        <v>-265.399999999991</v>
      </c>
      <c r="AG61" s="247">
        <f t="shared" si="54"/>
        <v>0.83041533546326451</v>
      </c>
      <c r="AH61" s="404"/>
    </row>
    <row r="62" spans="1:34" ht="15" customHeight="1">
      <c r="A62" s="449"/>
      <c r="B62" s="250" t="s">
        <v>132</v>
      </c>
      <c r="C62" s="251"/>
      <c r="D62" s="257" t="s">
        <v>135</v>
      </c>
      <c r="E62" s="253"/>
      <c r="F62" s="250">
        <f>VLOOKUP(D62,廠價表!$C$1:$E$41,3,0)</f>
        <v>28.26</v>
      </c>
      <c r="G62" s="38">
        <v>1400</v>
      </c>
      <c r="H62" s="254">
        <f>F62*G62</f>
        <v>39564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si="55"/>
        <v>130.41666666666666</v>
      </c>
      <c r="M62" s="108">
        <v>12</v>
      </c>
      <c r="N62" s="107">
        <f t="shared" si="56"/>
        <v>1292.3076923076874</v>
      </c>
      <c r="O62" s="238">
        <f t="shared" si="57"/>
        <v>107.69230769230728</v>
      </c>
      <c r="P62" s="111">
        <f t="shared" si="58"/>
        <v>0</v>
      </c>
      <c r="Q62" s="255">
        <f t="shared" si="59"/>
        <v>-22.724358974359376</v>
      </c>
      <c r="R62" s="85">
        <f>O62/L62</f>
        <v>0.82575571393462455</v>
      </c>
      <c r="S62" s="425"/>
      <c r="T62" s="22">
        <v>0.56597222222222199</v>
      </c>
      <c r="U62" s="22">
        <v>0.61111111111111105</v>
      </c>
      <c r="V62" s="30">
        <f t="shared" si="60"/>
        <v>90</v>
      </c>
      <c r="W62" s="248">
        <f t="shared" si="19"/>
        <v>65.000000000000256</v>
      </c>
      <c r="X62" s="22">
        <v>0.51041666666666696</v>
      </c>
      <c r="Y62" s="84">
        <v>0.55208333333333304</v>
      </c>
      <c r="Z62" s="90"/>
      <c r="AA62" s="90"/>
      <c r="AB62" s="395"/>
      <c r="AC62" s="395"/>
      <c r="AD62" s="92"/>
      <c r="AE62" s="92"/>
      <c r="AF62" s="317">
        <f>N62-K62</f>
        <v>-272.69230769231262</v>
      </c>
      <c r="AG62" s="247">
        <f>N62/K62</f>
        <v>0.82575571393462455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9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9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9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9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9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9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61">AVERAGE(J59:J68)</f>
        <v>12.25</v>
      </c>
      <c r="K69" s="240">
        <f t="shared" si="61"/>
        <v>1565</v>
      </c>
      <c r="L69" s="268">
        <f t="shared" si="61"/>
        <v>127.90865384615384</v>
      </c>
      <c r="M69" s="240">
        <f t="shared" si="61"/>
        <v>12.25</v>
      </c>
      <c r="N69" s="240">
        <f t="shared" si="61"/>
        <v>1375.6289968096435</v>
      </c>
      <c r="O69" s="268">
        <f t="shared" si="61"/>
        <v>112.24741226515432</v>
      </c>
      <c r="P69" s="269">
        <f>M69-J69</f>
        <v>0</v>
      </c>
      <c r="Q69" s="222">
        <f>N69-K69</f>
        <v>-189.37100319035653</v>
      </c>
      <c r="R69" s="123">
        <f>O69/L69</f>
        <v>0.87755917125172334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-189.37100319035653</v>
      </c>
      <c r="AG69" s="124">
        <f>N69/K69</f>
        <v>0.87899616409561887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2646</v>
      </c>
      <c r="H70" s="243">
        <f>F70*G70</f>
        <v>134072.82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962.18181818182109</v>
      </c>
      <c r="O70" s="138">
        <f>N70/M70</f>
        <v>96.218181818182103</v>
      </c>
      <c r="P70" s="56">
        <f>M70-J70</f>
        <v>0</v>
      </c>
      <c r="Q70" s="230">
        <f>O70-L70</f>
        <v>-16.281818181817897</v>
      </c>
      <c r="R70" s="52">
        <f>O70/L70</f>
        <v>0.85527272727272985</v>
      </c>
      <c r="S70" s="424">
        <f>R79</f>
        <v>0.85527272727272985</v>
      </c>
      <c r="T70" s="245">
        <v>0.37152777777777801</v>
      </c>
      <c r="U70" s="245">
        <v>0.48611111111111099</v>
      </c>
      <c r="V70" s="55"/>
      <c r="W70" s="54">
        <f t="shared" si="19"/>
        <v>164.99999999999949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-162.81818181817891</v>
      </c>
      <c r="AG70" s="246">
        <f>N70/K70</f>
        <v>0.85527272727272985</v>
      </c>
      <c r="AH70" s="403">
        <f>AG79</f>
        <v>0.85527272727272985</v>
      </c>
    </row>
    <row r="71" spans="1:36" ht="15" customHeight="1">
      <c r="A71" s="457"/>
      <c r="B71" s="75"/>
      <c r="C71" s="76"/>
      <c r="D71" s="59"/>
      <c r="E71" s="77"/>
      <c r="F71" s="250"/>
      <c r="G71" s="202"/>
      <c r="H71" s="254"/>
      <c r="I71" s="232"/>
      <c r="J71" s="106"/>
      <c r="K71" s="107"/>
      <c r="L71" s="238"/>
      <c r="M71" s="82"/>
      <c r="N71" s="107"/>
      <c r="O71" s="238"/>
      <c r="P71" s="111"/>
      <c r="Q71" s="255"/>
      <c r="R71" s="85"/>
      <c r="S71" s="425"/>
      <c r="T71" s="22"/>
      <c r="U71" s="22"/>
      <c r="V71" s="30"/>
      <c r="W71" s="73">
        <f t="shared" si="19"/>
        <v>0</v>
      </c>
      <c r="X71" s="271"/>
      <c r="Y71" s="293"/>
      <c r="Z71" s="90"/>
      <c r="AA71" s="90"/>
      <c r="AB71" s="446"/>
      <c r="AC71" s="446"/>
      <c r="AD71" s="200"/>
      <c r="AE71" s="200"/>
      <c r="AF71" s="311"/>
      <c r="AG71" s="99"/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9"/>
        <v>0</v>
      </c>
      <c r="X72" s="272"/>
      <c r="Y72" s="288"/>
      <c r="Z72" s="90"/>
      <c r="AA72" s="90"/>
      <c r="AB72" s="395"/>
      <c r="AC72" s="395"/>
      <c r="AD72" s="92"/>
      <c r="AE72" s="92"/>
      <c r="AF72" s="311"/>
      <c r="AG72" s="99"/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9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9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62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9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62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9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62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9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62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9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63">AVERAGE(J70:J78)</f>
        <v>10</v>
      </c>
      <c r="K79" s="240">
        <f t="shared" si="63"/>
        <v>1125</v>
      </c>
      <c r="L79" s="268">
        <f t="shared" si="63"/>
        <v>112.5</v>
      </c>
      <c r="M79" s="240">
        <f t="shared" si="63"/>
        <v>10</v>
      </c>
      <c r="N79" s="240">
        <f t="shared" si="63"/>
        <v>962.18181818182109</v>
      </c>
      <c r="O79" s="268">
        <f t="shared" si="63"/>
        <v>96.218181818182103</v>
      </c>
      <c r="P79" s="269">
        <f>M79-J79</f>
        <v>0</v>
      </c>
      <c r="Q79" s="222">
        <f>N79-K79</f>
        <v>-162.81818181817891</v>
      </c>
      <c r="R79" s="223">
        <f>O79/L79</f>
        <v>0.85527272727272985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-162.81818181817891</v>
      </c>
      <c r="AG79" s="124">
        <f>N79/K79</f>
        <v>0.85527272727272985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A59:A69"/>
    <mergeCell ref="S59:S69"/>
    <mergeCell ref="AB59:AC59"/>
    <mergeCell ref="D69:E69"/>
    <mergeCell ref="AB69:AC6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16:AH26"/>
    <mergeCell ref="AB17:AC17"/>
    <mergeCell ref="AB19:AC19"/>
    <mergeCell ref="AB20:AC20"/>
    <mergeCell ref="AB21:AC21"/>
    <mergeCell ref="AB16:AC16"/>
    <mergeCell ref="AB26:AC2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7:AC37"/>
    <mergeCell ref="AH5:AH15"/>
    <mergeCell ref="AB6:AC6"/>
    <mergeCell ref="AB7:AC7"/>
    <mergeCell ref="AB12:AC12"/>
    <mergeCell ref="AB14:AC14"/>
    <mergeCell ref="AB13:AC13"/>
    <mergeCell ref="AB15:AC15"/>
    <mergeCell ref="AB5:AC5"/>
    <mergeCell ref="AB8:AC8"/>
    <mergeCell ref="AB9:AC9"/>
    <mergeCell ref="AB10:AC10"/>
    <mergeCell ref="AB11:AC11"/>
    <mergeCell ref="A27:A37"/>
    <mergeCell ref="S27:S37"/>
    <mergeCell ref="AB27:AC27"/>
    <mergeCell ref="A5:A15"/>
    <mergeCell ref="S5:S15"/>
    <mergeCell ref="D15:E15"/>
    <mergeCell ref="A16:A26"/>
    <mergeCell ref="S16:S26"/>
    <mergeCell ref="D26:E26"/>
    <mergeCell ref="AB35:AC35"/>
    <mergeCell ref="AB36:AC36"/>
    <mergeCell ref="AB25:AC25"/>
    <mergeCell ref="D37:E37"/>
    <mergeCell ref="AB22:AC22"/>
    <mergeCell ref="AB23:AC23"/>
    <mergeCell ref="AB24:AC24"/>
    <mergeCell ref="A2:B2"/>
    <mergeCell ref="A3:A4"/>
    <mergeCell ref="B3:B4"/>
    <mergeCell ref="D3:E4"/>
    <mergeCell ref="F3:F4"/>
    <mergeCell ref="AF3:AF4"/>
    <mergeCell ref="AG3:AG4"/>
    <mergeCell ref="R3:R4"/>
    <mergeCell ref="M3:M4"/>
    <mergeCell ref="N3:N4"/>
    <mergeCell ref="O3:O4"/>
    <mergeCell ref="P3:P4"/>
    <mergeCell ref="Q3:Q4"/>
    <mergeCell ref="AB1:AC2"/>
    <mergeCell ref="AF1:AH2"/>
    <mergeCell ref="G3:G4"/>
    <mergeCell ref="J1:L2"/>
    <mergeCell ref="M1:O2"/>
    <mergeCell ref="P1:S2"/>
    <mergeCell ref="T1:Y2"/>
    <mergeCell ref="S3:S4"/>
    <mergeCell ref="AB3:AC4"/>
    <mergeCell ref="AH3:AH4"/>
    <mergeCell ref="T3:U3"/>
    <mergeCell ref="V3:V4"/>
    <mergeCell ref="W3:W4"/>
    <mergeCell ref="X3:Y3"/>
    <mergeCell ref="Z3:AA3"/>
    <mergeCell ref="AD3:AE3"/>
    <mergeCell ref="H3:H4"/>
    <mergeCell ref="I3:I4"/>
    <mergeCell ref="J3:J4"/>
    <mergeCell ref="K3:K4"/>
    <mergeCell ref="L3:L4"/>
  </mergeCells>
  <phoneticPr fontId="0" type="noConversion"/>
  <conditionalFormatting sqref="P5:P79">
    <cfRule type="cellIs" dxfId="288" priority="1" operator="greaterThan">
      <formula>0</formula>
    </cfRule>
  </conditionalFormatting>
  <conditionalFormatting sqref="Q5:Q79 AF5:AF79">
    <cfRule type="cellIs" dxfId="287" priority="4" operator="lessThan">
      <formula>0</formula>
    </cfRule>
  </conditionalFormatting>
  <conditionalFormatting sqref="R5:R79 AG5:AG79">
    <cfRule type="cellIs" dxfId="286" priority="2" operator="greaterThan">
      <formula>1</formula>
    </cfRule>
    <cfRule type="cellIs" dxfId="285" priority="3" operator="lessThan">
      <formula>0.8</formula>
    </cfRule>
  </conditionalFormatting>
  <conditionalFormatting sqref="S5:S10 S37:S62 AH59:AH62 S69:S76 AH69:AH76">
    <cfRule type="cellIs" dxfId="284" priority="7" operator="lessThan">
      <formula>0.8</formula>
    </cfRule>
  </conditionalFormatting>
  <conditionalFormatting sqref="S19:S25 AH19:AH25">
    <cfRule type="cellIs" dxfId="283" priority="6" operator="lessThan">
      <formula>0.8</formula>
    </cfRule>
  </conditionalFormatting>
  <conditionalFormatting sqref="S79">
    <cfRule type="cellIs" dxfId="282" priority="5" operator="lessThan">
      <formula>0.8</formula>
    </cfRule>
  </conditionalFormatting>
  <conditionalFormatting sqref="AH5:AH8 S15:S16 AH15:AH16 AH49 AH79">
    <cfRule type="cellIs" dxfId="281" priority="9" operator="lessThan">
      <formula>0.8</formula>
    </cfRule>
  </conditionalFormatting>
  <conditionalFormatting sqref="AH27 S27:S28">
    <cfRule type="cellIs" dxfId="2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8FCF66-6751-4323-ADC8-B6FFB03FA9D8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0ADAA-5A25-4FB4-A2EC-C6891A7F5039}">
  <sheetPr codeName="工作表11"/>
  <dimension ref="B1:O26"/>
  <sheetViews>
    <sheetView topLeftCell="C1" zoomScale="70" zoomScaleNormal="70" workbookViewId="0">
      <selection activeCell="J20" sqref="J2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46057</v>
      </c>
      <c r="E3" s="493"/>
      <c r="F3" s="3" t="s">
        <v>72</v>
      </c>
      <c r="G3" s="494">
        <f>'0204'!E1</f>
        <v>55583</v>
      </c>
      <c r="H3" s="494"/>
      <c r="I3" s="3" t="s">
        <v>2</v>
      </c>
      <c r="J3" s="495">
        <f>'0204'!G1</f>
        <v>2656649.3599999994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117.10580885617649</v>
      </c>
      <c r="G6" s="490"/>
      <c r="H6" s="491">
        <f>AVERAGE(D13:H13,J13)</f>
        <v>115.30533469118028</v>
      </c>
      <c r="I6" s="491"/>
      <c r="J6" s="491">
        <f>AVERAGE(I13)</f>
        <v>127.90865384615384</v>
      </c>
      <c r="K6" s="491"/>
      <c r="L6" s="497">
        <f>SUM(D18:J18)</f>
        <v>0</v>
      </c>
      <c r="M6" s="482">
        <f>SUM(D19:J19)</f>
        <v>0</v>
      </c>
      <c r="N6" s="498">
        <f>SUM(D20:J20)</f>
        <v>51</v>
      </c>
      <c r="O6" s="482">
        <f>SUM(D20:J20)</f>
        <v>51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102.10438774783456</v>
      </c>
      <c r="G7" s="479"/>
      <c r="H7" s="480">
        <f>AVERAGE(D14:H14,J14)</f>
        <v>100.44702221325106</v>
      </c>
      <c r="I7" s="480"/>
      <c r="J7" s="480">
        <f>AVERAGE(I14)</f>
        <v>112.04858095533548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0.87189857399161197</v>
      </c>
      <c r="G8" s="485"/>
      <c r="H8" s="485">
        <f>H7/H6</f>
        <v>0.87113941850371535</v>
      </c>
      <c r="I8" s="485"/>
      <c r="J8" s="485">
        <f>J7/J6</f>
        <v>0.8760046923025665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VALUE('0204'!L15)</f>
        <v>136.33484162895925</v>
      </c>
      <c r="E13" s="13">
        <f>VALUE('0204'!L26)</f>
        <v>176.22727272727272</v>
      </c>
      <c r="F13" s="13">
        <f>VALUE('0204'!L37)</f>
        <v>90.752941176470586</v>
      </c>
      <c r="G13" s="13">
        <f>VALUE('0204'!L48)</f>
        <v>87.336397058823522</v>
      </c>
      <c r="H13" s="13">
        <f>VALUE('0204'!L58)</f>
        <v>88.680555555555571</v>
      </c>
      <c r="I13" s="13">
        <f>VALUE('0204'!L69)</f>
        <v>127.90865384615384</v>
      </c>
      <c r="J13" s="13">
        <f>'0204'!L79</f>
        <v>112.5</v>
      </c>
    </row>
    <row r="14" spans="2:15" ht="39.950000000000003" customHeight="1">
      <c r="B14" s="473"/>
      <c r="C14" s="12" t="s">
        <v>100</v>
      </c>
      <c r="D14" s="13">
        <f>VALUE('0204'!O15)</f>
        <v>115.85744645763515</v>
      </c>
      <c r="E14" s="13">
        <f>VALUE('0204'!O26)</f>
        <v>154.45614948147164</v>
      </c>
      <c r="F14" s="13">
        <f>VALUE('0204'!O37)</f>
        <v>80.355172902340797</v>
      </c>
      <c r="G14" s="13">
        <f>VALUE('0204'!O48)</f>
        <v>77.910168523390311</v>
      </c>
      <c r="H14" s="13">
        <f>VALUE('0204'!O58)</f>
        <v>83.732409397814436</v>
      </c>
      <c r="I14" s="13">
        <f>VALUE('0204'!O69)</f>
        <v>112.04858095533548</v>
      </c>
      <c r="J14" s="13">
        <f>'0204'!O79</f>
        <v>90.370786516854054</v>
      </c>
    </row>
    <row r="15" spans="2:15" ht="39.950000000000003" customHeight="1">
      <c r="B15" s="474"/>
      <c r="C15" s="10" t="s">
        <v>26</v>
      </c>
      <c r="D15" s="14">
        <f>D14/D13</f>
        <v>0.84980071912171828</v>
      </c>
      <c r="E15" s="14">
        <f t="shared" ref="E15:I15" si="1">E14/E13</f>
        <v>0.87645996610584886</v>
      </c>
      <c r="F15" s="14">
        <f t="shared" si="1"/>
        <v>0.88542775430372933</v>
      </c>
      <c r="G15" s="14">
        <f t="shared" si="1"/>
        <v>0.89206987175021224</v>
      </c>
      <c r="H15" s="14">
        <f t="shared" si="1"/>
        <v>0.94420258052351425</v>
      </c>
      <c r="I15" s="14">
        <f t="shared" si="1"/>
        <v>0.8760046923025665</v>
      </c>
      <c r="J15" s="15">
        <f>'0204'!S70</f>
        <v>0.80329588014981379</v>
      </c>
    </row>
    <row r="16" spans="2:15" ht="17.25" customHeight="1">
      <c r="B16" s="475" t="s">
        <v>101</v>
      </c>
      <c r="C16" s="10" t="s">
        <v>34</v>
      </c>
      <c r="D16" s="16">
        <f>'0204'!T5</f>
        <v>0.30972222222222201</v>
      </c>
      <c r="E16" s="16">
        <f>'0204'!T16</f>
        <v>0.29027777777777802</v>
      </c>
      <c r="F16" s="16">
        <f>'0204'!T27</f>
        <v>0.29027777777777802</v>
      </c>
      <c r="G16" s="16">
        <f>'0204'!T38</f>
        <v>0.33333333333333298</v>
      </c>
      <c r="H16" s="16">
        <f>'0204'!T49</f>
        <v>0.29097222222222202</v>
      </c>
      <c r="I16" s="16">
        <f>'0204'!T59</f>
        <v>0.29166666666666702</v>
      </c>
      <c r="J16" s="16">
        <f>'0204'!T70</f>
        <v>0.33680555555555602</v>
      </c>
    </row>
    <row r="17" spans="2:10" ht="17.25" customHeight="1">
      <c r="B17" s="476"/>
      <c r="C17" s="10" t="s">
        <v>35</v>
      </c>
      <c r="D17" s="16">
        <v>0.63194444444444398</v>
      </c>
      <c r="E17" s="19">
        <v>0.68541666666666701</v>
      </c>
      <c r="F17" s="19">
        <v>0.58958333333333302</v>
      </c>
      <c r="G17" s="210">
        <v>0.66666666666666696</v>
      </c>
      <c r="H17" s="21">
        <v>0.61250000000000004</v>
      </c>
      <c r="I17" s="22">
        <v>0.61458333333333304</v>
      </c>
      <c r="J17" s="245">
        <v>0.46041666666666697</v>
      </c>
    </row>
    <row r="18" spans="2:10" ht="17.25" customHeight="1">
      <c r="B18" s="477" t="s">
        <v>102</v>
      </c>
      <c r="C18" s="330" t="s">
        <v>36</v>
      </c>
      <c r="D18" s="358">
        <f>'0204'!Z15</f>
        <v>0</v>
      </c>
      <c r="E18" s="359">
        <f>'0204'!Z26</f>
        <v>0</v>
      </c>
      <c r="F18" s="359">
        <f>'0204'!Z37</f>
        <v>0</v>
      </c>
      <c r="G18" s="360">
        <f>'0204'!Z48</f>
        <v>0</v>
      </c>
      <c r="H18" s="360">
        <f>'0204'!Z58</f>
        <v>0</v>
      </c>
      <c r="I18" s="359">
        <f>'0204'!Z69</f>
        <v>0</v>
      </c>
      <c r="J18" s="359">
        <f>'0204'!AA79</f>
        <v>0</v>
      </c>
    </row>
    <row r="19" spans="2:10" ht="17.25" customHeight="1">
      <c r="B19" s="478"/>
      <c r="C19" s="330" t="s">
        <v>37</v>
      </c>
      <c r="D19" s="358">
        <f>'0204'!AA15</f>
        <v>0</v>
      </c>
      <c r="E19" s="359">
        <f>'0204'!AA26</f>
        <v>0</v>
      </c>
      <c r="F19" s="359">
        <f>'0204'!AA37</f>
        <v>0</v>
      </c>
      <c r="G19" s="360">
        <f>'0204'!AA48</f>
        <v>0</v>
      </c>
      <c r="H19" s="360">
        <f>'0204'!AA58</f>
        <v>0</v>
      </c>
      <c r="I19" s="359">
        <f>'0204'!AA69</f>
        <v>0</v>
      </c>
      <c r="J19" s="359">
        <f>'0204'!AB79</f>
        <v>0</v>
      </c>
    </row>
    <row r="20" spans="2:10" ht="17.25" customHeight="1">
      <c r="B20" s="477" t="s">
        <v>103</v>
      </c>
      <c r="C20" s="330" t="s">
        <v>36</v>
      </c>
      <c r="D20" s="358">
        <f>'0204'!AD15</f>
        <v>20</v>
      </c>
      <c r="E20" s="359">
        <f>'0204'!AD26</f>
        <v>31</v>
      </c>
      <c r="F20" s="359">
        <f>'0204'!AD37</f>
        <v>0</v>
      </c>
      <c r="G20" s="360">
        <f>'0204'!AD48</f>
        <v>0</v>
      </c>
      <c r="H20" s="360">
        <f>'0204'!AD58</f>
        <v>0</v>
      </c>
      <c r="I20" s="359">
        <f>'0204'!AD69</f>
        <v>0</v>
      </c>
      <c r="J20" s="359">
        <f>'0204'!AD79</f>
        <v>0</v>
      </c>
    </row>
    <row r="21" spans="2:10" ht="17.25" customHeight="1">
      <c r="B21" s="478"/>
      <c r="C21" s="330" t="s">
        <v>85</v>
      </c>
      <c r="D21" s="358">
        <f>'0204'!AE15</f>
        <v>20</v>
      </c>
      <c r="E21" s="359">
        <f>'0204'!AE26</f>
        <v>31</v>
      </c>
      <c r="F21" s="359">
        <f>'0204'!AE37</f>
        <v>0</v>
      </c>
      <c r="G21" s="360">
        <f>'0204'!AE48</f>
        <v>0</v>
      </c>
      <c r="H21" s="360">
        <f>'0204'!AE58</f>
        <v>0</v>
      </c>
      <c r="I21" s="359">
        <f>'0204'!AE69</f>
        <v>0</v>
      </c>
      <c r="J21" s="359">
        <f>'0204'!AE79</f>
        <v>0</v>
      </c>
    </row>
    <row r="22" spans="2:10" ht="17.25" customHeight="1">
      <c r="B22" s="460" t="s">
        <v>104</v>
      </c>
      <c r="C22" s="461"/>
      <c r="D22" s="23">
        <f>VALUE('0204'!M15)</f>
        <v>14.5</v>
      </c>
      <c r="E22" s="23">
        <f>VALUE('0204'!M26)</f>
        <v>11.6</v>
      </c>
      <c r="F22" s="23">
        <f>VALUE('0204'!M37)</f>
        <v>16</v>
      </c>
      <c r="G22" s="23">
        <f>VALUE('0204'!M48)</f>
        <v>15.25</v>
      </c>
      <c r="H22" s="23">
        <f>VALUE('0204'!M58)</f>
        <v>17.5</v>
      </c>
      <c r="I22" s="23">
        <f>VALUE('0204'!M69)</f>
        <v>12.25</v>
      </c>
      <c r="J22" s="23">
        <f>'0204'!M79</f>
        <v>10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74EA-93C7-4D45-9488-8928470598B5}">
  <sheetPr codeName="工作表12"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K15" sqref="K15"/>
      <selection pane="topRight" activeCell="K15" sqref="K15"/>
      <selection pane="bottomLeft" activeCell="K15" sqref="K15"/>
      <selection pane="bottomRight" activeCell="W41" sqref="W4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45.14062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55583</v>
      </c>
      <c r="F1" s="30" t="s">
        <v>2</v>
      </c>
      <c r="G1" s="31">
        <f>SUM(H5:H79)</f>
        <v>2656649.3599999994</v>
      </c>
      <c r="H1" s="32" t="s">
        <v>3</v>
      </c>
      <c r="I1" s="33">
        <f>M15+M26+M48+M58+M69+M79+M37</f>
        <v>97.1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149</v>
      </c>
      <c r="B2" s="374"/>
      <c r="C2" s="28"/>
      <c r="D2" s="28" t="s">
        <v>14</v>
      </c>
      <c r="E2" s="35">
        <f>AVERAGE(O15,O26,O37,O48,O58,O69,O79)</f>
        <v>102.10438774783456</v>
      </c>
      <c r="F2" s="36" t="s">
        <v>15</v>
      </c>
      <c r="G2" s="37">
        <f>G1/E1</f>
        <v>47.796077217854368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0</v>
      </c>
      <c r="AA2" s="339">
        <f>AA15+AA26+AA37+AA48+AA58+AA69+AA79</f>
        <v>0</v>
      </c>
      <c r="AB2" s="370"/>
      <c r="AC2" s="370"/>
      <c r="AD2" s="340">
        <f>AD15+AD26+AD37+AD48+AD58+AD69+AD79</f>
        <v>51</v>
      </c>
      <c r="AE2" s="340">
        <f>AE15+AE26+AE37+AE48+AE58+AE69+AE79</f>
        <v>51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57.21</v>
      </c>
      <c r="G5" s="42">
        <v>1527</v>
      </c>
      <c r="H5" s="43">
        <f>F5*G5</f>
        <v>87359.67</v>
      </c>
      <c r="I5" s="44"/>
      <c r="J5" s="45">
        <f>VLOOKUP(D5,產線配置圖!$A$3:$C$39,2,0)</f>
        <v>17</v>
      </c>
      <c r="K5" s="46">
        <f>VLOOKUP(D5,產線配置圖!$A$3:$C$39,3,0)</f>
        <v>2000</v>
      </c>
      <c r="L5" s="47">
        <f t="shared" ref="L5:L8" si="0">K5/J5</f>
        <v>117.64705882352941</v>
      </c>
      <c r="M5" s="48">
        <v>17</v>
      </c>
      <c r="N5" s="46">
        <f t="shared" ref="N5:N8" si="1">G5/W5*60</f>
        <v>1607.3684210526058</v>
      </c>
      <c r="O5" s="47">
        <f t="shared" ref="O5:O8" si="2">N5/M5</f>
        <v>94.551083591329757</v>
      </c>
      <c r="P5" s="49">
        <f t="shared" ref="P5:P8" si="3">M5-J5</f>
        <v>0</v>
      </c>
      <c r="Q5" s="50">
        <f t="shared" ref="Q5:Q8" si="4">O5-L5</f>
        <v>-23.095975232199649</v>
      </c>
      <c r="R5" s="51">
        <f t="shared" ref="R5:R8" si="5">O5/L5</f>
        <v>0.80368421052630301</v>
      </c>
      <c r="S5" s="424">
        <f>R15</f>
        <v>0.84980071912171828</v>
      </c>
      <c r="T5" s="319">
        <v>0.30972222222222201</v>
      </c>
      <c r="U5" s="320">
        <v>0.34930555555555598</v>
      </c>
      <c r="V5" s="53"/>
      <c r="W5" s="54">
        <f t="shared" ref="W5:W14" si="6">(U5-T5)*24*60</f>
        <v>57.000000000000917</v>
      </c>
      <c r="X5" s="55"/>
      <c r="Y5" s="290"/>
      <c r="Z5" s="169"/>
      <c r="AA5" s="169"/>
      <c r="AB5" s="402" t="s">
        <v>150</v>
      </c>
      <c r="AC5" s="402"/>
      <c r="AD5" s="135">
        <v>20</v>
      </c>
      <c r="AE5" s="135">
        <v>20</v>
      </c>
      <c r="AF5" s="229">
        <f t="shared" ref="AF5:AF9" si="7">N5-K5</f>
        <v>-392.63157894739425</v>
      </c>
      <c r="AG5" s="52">
        <f t="shared" ref="AG5:AG9" si="8">N5/K5</f>
        <v>0.8036842105263029</v>
      </c>
      <c r="AH5" s="403">
        <f>AG15</f>
        <v>0.84821336890193266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2346</v>
      </c>
      <c r="H6" s="63">
        <f>F6*G6</f>
        <v>132032.88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1599.5454545454575</v>
      </c>
      <c r="O6" s="67">
        <f t="shared" si="2"/>
        <v>106.63636363636382</v>
      </c>
      <c r="P6" s="69">
        <f t="shared" si="3"/>
        <v>0</v>
      </c>
      <c r="Q6" s="70">
        <f t="shared" si="4"/>
        <v>-13.363636363636175</v>
      </c>
      <c r="R6" s="71">
        <f t="shared" si="5"/>
        <v>0.88863636363636522</v>
      </c>
      <c r="S6" s="425"/>
      <c r="T6" s="16">
        <v>0.358333333333333</v>
      </c>
      <c r="U6" s="16">
        <v>0.41944444444444401</v>
      </c>
      <c r="V6" s="30">
        <f>(T6-U5)*24*60</f>
        <v>12.999999999998915</v>
      </c>
      <c r="W6" s="73">
        <f t="shared" si="6"/>
        <v>87.999999999999844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-200.45454545454254</v>
      </c>
      <c r="AG6" s="72">
        <f t="shared" si="8"/>
        <v>0.88863636363636522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1851</v>
      </c>
      <c r="H7" s="78">
        <f>F7*G7</f>
        <v>90958.14</v>
      </c>
      <c r="I7" s="73"/>
      <c r="J7" s="79">
        <f>VLOOKUP(D7,產線配置圖!$A$3:$C$39,2,0)</f>
        <v>13</v>
      </c>
      <c r="K7" s="80">
        <f>VLOOKUP(D7,產線配置圖!$A$3:$C$39,3,0)</f>
        <v>2000</v>
      </c>
      <c r="L7" s="81">
        <f t="shared" si="0"/>
        <v>153.84615384615384</v>
      </c>
      <c r="M7" s="82">
        <v>13</v>
      </c>
      <c r="N7" s="80">
        <f t="shared" si="1"/>
        <v>1657.6119402985353</v>
      </c>
      <c r="O7" s="81">
        <f t="shared" si="2"/>
        <v>127.50861079219501</v>
      </c>
      <c r="P7" s="74">
        <f t="shared" si="3"/>
        <v>0</v>
      </c>
      <c r="Q7" s="83">
        <f t="shared" si="4"/>
        <v>-26.337543053958825</v>
      </c>
      <c r="R7" s="72">
        <f t="shared" si="5"/>
        <v>0.8288059701492676</v>
      </c>
      <c r="S7" s="425"/>
      <c r="T7" s="18">
        <v>0.43055555555555602</v>
      </c>
      <c r="U7" s="18">
        <v>0.47708333333333303</v>
      </c>
      <c r="V7" s="30">
        <f>(T7-U6)*24*60</f>
        <v>16.0000000000013</v>
      </c>
      <c r="W7" s="73">
        <f t="shared" si="6"/>
        <v>66.999999999998877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-342.38805970146473</v>
      </c>
      <c r="AG7" s="72">
        <f t="shared" si="8"/>
        <v>0.8288059701492676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3795</v>
      </c>
      <c r="H8" s="78">
        <f>F8*G8</f>
        <v>186486.3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1751.5384615384764</v>
      </c>
      <c r="O8" s="81">
        <f t="shared" si="2"/>
        <v>134.73372781065203</v>
      </c>
      <c r="P8" s="74">
        <f t="shared" si="3"/>
        <v>0</v>
      </c>
      <c r="Q8" s="83">
        <f t="shared" si="4"/>
        <v>-19.112426035501812</v>
      </c>
      <c r="R8" s="72">
        <f t="shared" si="5"/>
        <v>0.87576923076923818</v>
      </c>
      <c r="S8" s="425"/>
      <c r="T8" s="16">
        <v>0.54166666666666696</v>
      </c>
      <c r="U8" s="16">
        <v>0.63194444444444398</v>
      </c>
      <c r="V8" s="30">
        <f>(T8-U7)*24*60</f>
        <v>93.000000000000867</v>
      </c>
      <c r="W8" s="73">
        <f t="shared" si="6"/>
        <v>129.99999999999889</v>
      </c>
      <c r="X8" s="22">
        <v>0.48611111111111099</v>
      </c>
      <c r="Y8" s="84">
        <v>0.52777777777777801</v>
      </c>
      <c r="Z8" s="90"/>
      <c r="AA8" s="90"/>
      <c r="AB8" s="407"/>
      <c r="AC8" s="407"/>
      <c r="AD8" s="149"/>
      <c r="AE8" s="149"/>
      <c r="AF8" s="307">
        <f t="shared" si="7"/>
        <v>-248.46153846152356</v>
      </c>
      <c r="AG8" s="72">
        <f t="shared" si="8"/>
        <v>0.87576923076923818</v>
      </c>
      <c r="AH8" s="404"/>
    </row>
    <row r="9" spans="1:34" ht="15" customHeight="1">
      <c r="A9" s="42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6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0</v>
      </c>
      <c r="AG9" s="72" t="e">
        <f t="shared" si="8"/>
        <v>#DIV/0!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/>
      <c r="AG10" s="72"/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/>
      <c r="AG11" s="72"/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9">AVERAGE(J5:J14)</f>
        <v>14.5</v>
      </c>
      <c r="K15" s="120">
        <f t="shared" si="9"/>
        <v>1950</v>
      </c>
      <c r="L15" s="117">
        <f t="shared" si="9"/>
        <v>136.33484162895925</v>
      </c>
      <c r="M15" s="120">
        <f t="shared" si="9"/>
        <v>14.5</v>
      </c>
      <c r="N15" s="120">
        <f t="shared" si="9"/>
        <v>1654.0160693587686</v>
      </c>
      <c r="O15" s="117">
        <f t="shared" si="9"/>
        <v>115.85744645763515</v>
      </c>
      <c r="P15" s="121">
        <f>M15-J15</f>
        <v>0</v>
      </c>
      <c r="Q15" s="122">
        <f t="shared" ref="Q15:Q16" si="10">O15-L15</f>
        <v>-20.477395171324105</v>
      </c>
      <c r="R15" s="123">
        <f>O15/L15</f>
        <v>0.84980071912171828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20</v>
      </c>
      <c r="AE15" s="323">
        <f>SUM(AE5:AE14)</f>
        <v>20</v>
      </c>
      <c r="AF15" s="309">
        <f t="shared" ref="AF15:AF20" si="11">N15-K15</f>
        <v>-295.98393064123138</v>
      </c>
      <c r="AG15" s="124">
        <f t="shared" ref="AG15:AG20" si="12">N15/K15</f>
        <v>0.84821336890193266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2227</v>
      </c>
      <c r="H16" s="134">
        <f>F16*G16</f>
        <v>127406.67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>K16/J16</f>
        <v>175.41666666666666</v>
      </c>
      <c r="M16" s="139">
        <v>12</v>
      </c>
      <c r="N16" s="140">
        <f>G16/W16*60</f>
        <v>2087.8125000000232</v>
      </c>
      <c r="O16" s="141">
        <f>N16/M16</f>
        <v>173.98437500000193</v>
      </c>
      <c r="P16" s="142">
        <f>M16-J16</f>
        <v>0</v>
      </c>
      <c r="Q16" s="143">
        <f t="shared" si="10"/>
        <v>-1.4322916666647245</v>
      </c>
      <c r="R16" s="144">
        <f>O16/L16</f>
        <v>0.99183491686461911</v>
      </c>
      <c r="S16" s="417">
        <f>R26</f>
        <v>0.87645996610584886</v>
      </c>
      <c r="T16" s="19">
        <v>0.29027777777777802</v>
      </c>
      <c r="U16" s="19">
        <v>0.33472222222222198</v>
      </c>
      <c r="V16" s="135"/>
      <c r="W16" s="146">
        <f t="shared" ref="W16:W78" si="13">(U16-T16)*24*60</f>
        <v>63.999999999999289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1"/>
        <v>-17.187499999976808</v>
      </c>
      <c r="AG16" s="52">
        <f t="shared" si="12"/>
        <v>0.99183491686461911</v>
      </c>
      <c r="AH16" s="403">
        <f>AG26</f>
        <v>0.87904984449269508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3451</v>
      </c>
      <c r="H17" s="78">
        <f t="shared" ref="H17:H19" si="14">F17*G17</f>
        <v>174862.17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ref="L17:L19" si="15">K17/J17</f>
        <v>166.66666666666666</v>
      </c>
      <c r="M17" s="148">
        <v>12</v>
      </c>
      <c r="N17" s="95">
        <f t="shared" ref="N17:N19" si="16">G17/W17*60</f>
        <v>1816.3157894736996</v>
      </c>
      <c r="O17" s="96">
        <f t="shared" ref="O17:O19" si="17">N17/M17</f>
        <v>151.35964912280829</v>
      </c>
      <c r="P17" s="97">
        <f t="shared" ref="P17:P19" si="18">M17-J17</f>
        <v>0</v>
      </c>
      <c r="Q17" s="98">
        <f t="shared" ref="Q17:Q19" si="19">O17-L17</f>
        <v>-15.307017543858365</v>
      </c>
      <c r="R17" s="99">
        <f t="shared" ref="R17:R19" si="20">O17/L17</f>
        <v>0.90815789473684982</v>
      </c>
      <c r="S17" s="418"/>
      <c r="T17" s="19">
        <v>0.34166666666666701</v>
      </c>
      <c r="U17" s="19">
        <v>0.420833333333333</v>
      </c>
      <c r="V17" s="30">
        <f>(T17-U16)*24*60</f>
        <v>10.000000000000844</v>
      </c>
      <c r="W17" s="149">
        <f t="shared" si="13"/>
        <v>113.99999999999903</v>
      </c>
      <c r="X17" s="19"/>
      <c r="Y17" s="297"/>
      <c r="Z17" s="90"/>
      <c r="AA17" s="90"/>
      <c r="AB17" s="395" t="s">
        <v>151</v>
      </c>
      <c r="AC17" s="395"/>
      <c r="AD17" s="92">
        <v>31</v>
      </c>
      <c r="AE17" s="92">
        <v>31</v>
      </c>
      <c r="AF17" s="307">
        <f t="shared" si="11"/>
        <v>-183.68421052630038</v>
      </c>
      <c r="AG17" s="72">
        <f t="shared" si="12"/>
        <v>0.90815789473684982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1980</v>
      </c>
      <c r="H18" s="78">
        <f t="shared" si="14"/>
        <v>99772.2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5"/>
        <v>181.81818181818181</v>
      </c>
      <c r="M18" s="148">
        <v>11</v>
      </c>
      <c r="N18" s="95">
        <f t="shared" si="16"/>
        <v>1605.4054054054009</v>
      </c>
      <c r="O18" s="96">
        <f t="shared" si="17"/>
        <v>145.94594594594554</v>
      </c>
      <c r="P18" s="97">
        <f t="shared" si="18"/>
        <v>0</v>
      </c>
      <c r="Q18" s="98">
        <f t="shared" si="19"/>
        <v>-35.872235872236274</v>
      </c>
      <c r="R18" s="99">
        <f t="shared" si="20"/>
        <v>0.8027027027027005</v>
      </c>
      <c r="S18" s="418"/>
      <c r="T18" s="19">
        <v>0.42777777777777798</v>
      </c>
      <c r="U18" s="19">
        <v>0.47916666666666702</v>
      </c>
      <c r="V18" s="30">
        <f>(T18-U17)*24*60</f>
        <v>10.000000000000764</v>
      </c>
      <c r="W18" s="149">
        <f t="shared" si="13"/>
        <v>74.000000000000213</v>
      </c>
      <c r="X18" s="22"/>
      <c r="Y18" s="84"/>
      <c r="Z18" s="90"/>
      <c r="AA18" s="90"/>
      <c r="AD18" s="92"/>
      <c r="AE18" s="92"/>
      <c r="AF18" s="307">
        <f t="shared" si="11"/>
        <v>-394.59459459459913</v>
      </c>
      <c r="AG18" s="72">
        <f t="shared" si="12"/>
        <v>0.80270270270270039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3085</v>
      </c>
      <c r="H19" s="78">
        <f t="shared" si="14"/>
        <v>155453.15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5"/>
        <v>181.81818181818181</v>
      </c>
      <c r="M19" s="148">
        <v>11</v>
      </c>
      <c r="N19" s="95">
        <f t="shared" si="16"/>
        <v>1609.5652173913056</v>
      </c>
      <c r="O19" s="96">
        <f t="shared" si="17"/>
        <v>146.32411067193686</v>
      </c>
      <c r="P19" s="97">
        <f t="shared" si="18"/>
        <v>0</v>
      </c>
      <c r="Q19" s="98">
        <f t="shared" si="19"/>
        <v>-35.494071146244949</v>
      </c>
      <c r="R19" s="99">
        <f t="shared" si="20"/>
        <v>0.80478260869565277</v>
      </c>
      <c r="S19" s="418"/>
      <c r="T19" s="19">
        <v>0.54513888888888895</v>
      </c>
      <c r="U19" s="19">
        <v>0.625</v>
      </c>
      <c r="V19" s="30">
        <f>(T19-U18)*24*60</f>
        <v>94.999999999999588</v>
      </c>
      <c r="W19" s="149">
        <f t="shared" si="13"/>
        <v>114.99999999999991</v>
      </c>
      <c r="X19" s="22">
        <v>0.48611111111111099</v>
      </c>
      <c r="Y19" s="84">
        <v>0.52777777777777801</v>
      </c>
      <c r="Z19" s="90"/>
      <c r="AA19" s="90"/>
      <c r="AB19" s="395"/>
      <c r="AC19" s="395"/>
      <c r="AD19" s="149"/>
      <c r="AE19" s="149"/>
      <c r="AF19" s="307">
        <f t="shared" si="11"/>
        <v>-390.43478260869438</v>
      </c>
      <c r="AG19" s="72">
        <f t="shared" si="12"/>
        <v>0.80478260869565277</v>
      </c>
      <c r="AH19" s="405"/>
    </row>
    <row r="20" spans="1:34" ht="15" customHeight="1">
      <c r="A20" s="414"/>
      <c r="B20" s="75" t="s">
        <v>81</v>
      </c>
      <c r="C20" s="76"/>
      <c r="D20" s="59" t="s">
        <v>116</v>
      </c>
      <c r="E20" s="77"/>
      <c r="F20" s="75">
        <f>VLOOKUP(D20,廠價表!$C$1:$E$41,3,0)</f>
        <v>57.21</v>
      </c>
      <c r="G20" s="147">
        <v>1856</v>
      </c>
      <c r="H20" s="78">
        <f>F20*G20</f>
        <v>106181.75999999999</v>
      </c>
      <c r="I20" s="30"/>
      <c r="J20" s="79">
        <f>VLOOKUP(D20,產線配置圖!$A$3:$C$39,2,0)</f>
        <v>12</v>
      </c>
      <c r="K20" s="80">
        <f>VLOOKUP(D20,產線配置圖!$A$3:$C$39,3,0)</f>
        <v>2105</v>
      </c>
      <c r="L20" s="81">
        <f>K20/J20</f>
        <v>175.41666666666666</v>
      </c>
      <c r="M20" s="148">
        <v>12</v>
      </c>
      <c r="N20" s="95">
        <f>G20/W20*60</f>
        <v>1855.9999999999868</v>
      </c>
      <c r="O20" s="96">
        <f>N20/M20</f>
        <v>154.66666666666558</v>
      </c>
      <c r="P20" s="97">
        <f>M20-J20</f>
        <v>0</v>
      </c>
      <c r="Q20" s="98">
        <f>O20-L20</f>
        <v>-20.75000000000108</v>
      </c>
      <c r="R20" s="99">
        <f>O20/L20</f>
        <v>0.88171021377671588</v>
      </c>
      <c r="S20" s="418"/>
      <c r="T20" s="19">
        <v>0.64375000000000004</v>
      </c>
      <c r="U20" s="19">
        <v>0.68541666666666701</v>
      </c>
      <c r="V20" s="30">
        <f>(T20-U19)*24*60</f>
        <v>27.000000000000064</v>
      </c>
      <c r="W20" s="149">
        <f t="shared" si="13"/>
        <v>60.000000000000426</v>
      </c>
      <c r="X20" s="19"/>
      <c r="Y20" s="297"/>
      <c r="Z20" s="90"/>
      <c r="AA20" s="90"/>
      <c r="AB20" s="395"/>
      <c r="AC20" s="395"/>
      <c r="AD20" s="92"/>
      <c r="AE20" s="92"/>
      <c r="AF20" s="307">
        <f t="shared" si="11"/>
        <v>-249.00000000001319</v>
      </c>
      <c r="AG20" s="72">
        <f t="shared" si="12"/>
        <v>0.88171021377671588</v>
      </c>
      <c r="AH20" s="405"/>
    </row>
    <row r="21" spans="1:34" ht="15" customHeight="1">
      <c r="A21" s="415"/>
      <c r="B21" s="30"/>
      <c r="C21" s="151"/>
      <c r="D21" s="59"/>
      <c r="E21" s="87"/>
      <c r="F21" s="75"/>
      <c r="G21" s="95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9"/>
      <c r="U21" s="19"/>
      <c r="V21" s="30"/>
      <c r="W21" s="149">
        <f t="shared" si="13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75"/>
      <c r="G22" s="95"/>
      <c r="H22" s="78"/>
      <c r="I22" s="30"/>
      <c r="J22" s="79"/>
      <c r="K22" s="80"/>
      <c r="L22" s="81"/>
      <c r="M22" s="148"/>
      <c r="N22" s="95"/>
      <c r="O22" s="96"/>
      <c r="P22" s="97"/>
      <c r="Q22" s="98"/>
      <c r="R22" s="99"/>
      <c r="S22" s="418"/>
      <c r="T22" s="19"/>
      <c r="U22" s="19"/>
      <c r="V22" s="92"/>
      <c r="W22" s="149">
        <f t="shared" si="13"/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9"/>
      <c r="U23" s="19"/>
      <c r="W23" s="149">
        <f t="shared" si="13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21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3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21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3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2">AVERAGE(J16:J25)</f>
        <v>11.6</v>
      </c>
      <c r="K26" s="155">
        <f t="shared" si="22"/>
        <v>2042</v>
      </c>
      <c r="L26" s="158">
        <f t="shared" si="22"/>
        <v>176.22727272727272</v>
      </c>
      <c r="M26" s="155">
        <f t="shared" si="22"/>
        <v>11.6</v>
      </c>
      <c r="N26" s="155">
        <f t="shared" si="22"/>
        <v>1795.0197824540833</v>
      </c>
      <c r="O26" s="158">
        <f t="shared" si="22"/>
        <v>154.45614948147164</v>
      </c>
      <c r="P26" s="159">
        <f t="shared" ref="P26:P30" si="23">M26-J26</f>
        <v>0</v>
      </c>
      <c r="Q26" s="160">
        <f t="shared" ref="Q26:Q30" si="24">O26-L26</f>
        <v>-21.771123245801078</v>
      </c>
      <c r="R26" s="161">
        <f>O26/L26</f>
        <v>0.87645996610584886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31</v>
      </c>
      <c r="AE26" s="323">
        <f>SUM(AE16:AE25)</f>
        <v>31</v>
      </c>
      <c r="AF26" s="309">
        <f t="shared" ref="AF26:AF31" si="25">N26-K26</f>
        <v>-246.98021754591673</v>
      </c>
      <c r="AG26" s="124">
        <f t="shared" ref="AG26:AG31" si="26">N26/K26</f>
        <v>0.87904984449269508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1873</v>
      </c>
      <c r="H27" s="134">
        <f>F27*G27</f>
        <v>107322.9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30" si="27">K27/J27</f>
        <v>88.235294117647058</v>
      </c>
      <c r="M27" s="170">
        <v>17</v>
      </c>
      <c r="N27" s="140">
        <f>G27/W27*60</f>
        <v>1498.4000000000101</v>
      </c>
      <c r="O27" s="141">
        <f>N27/M27</f>
        <v>88.141176470588832</v>
      </c>
      <c r="P27" s="142">
        <f t="shared" si="23"/>
        <v>0</v>
      </c>
      <c r="Q27" s="143">
        <f t="shared" si="24"/>
        <v>-9.4117647058226339E-2</v>
      </c>
      <c r="R27" s="144">
        <f>O27/L27</f>
        <v>0.99893333333334011</v>
      </c>
      <c r="S27" s="417">
        <f>R37</f>
        <v>0.88542775430372933</v>
      </c>
      <c r="T27" s="171">
        <v>0.29027777777777802</v>
      </c>
      <c r="U27" s="171">
        <v>0.34236111111111101</v>
      </c>
      <c r="V27" s="135"/>
      <c r="W27" s="146">
        <f t="shared" si="13"/>
        <v>74.999999999999488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5"/>
        <v>-1.5999999999899046</v>
      </c>
      <c r="AG27" s="172">
        <f t="shared" si="26"/>
        <v>0.99893333333334011</v>
      </c>
      <c r="AH27" s="403">
        <f>AG37</f>
        <v>0.87806560560127311</v>
      </c>
    </row>
    <row r="28" spans="1:34" ht="15" customHeight="1">
      <c r="A28" s="430"/>
      <c r="B28" s="75" t="s">
        <v>81</v>
      </c>
      <c r="C28" s="173"/>
      <c r="D28" s="59" t="s">
        <v>122</v>
      </c>
      <c r="E28" s="104"/>
      <c r="F28" s="75">
        <f>VLOOKUP(D28,廠價表!$C$1:$E$41,3,0)</f>
        <v>55.13</v>
      </c>
      <c r="G28" s="90">
        <v>1557</v>
      </c>
      <c r="H28" s="91">
        <f>F28*G28</f>
        <v>85837.41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7"/>
        <v>81.470588235294116</v>
      </c>
      <c r="M28" s="94">
        <v>17</v>
      </c>
      <c r="N28" s="95">
        <f>G28/W28*60</f>
        <v>1279.7260273972454</v>
      </c>
      <c r="O28" s="96">
        <f>N28/M28</f>
        <v>75.278001611602676</v>
      </c>
      <c r="P28" s="97">
        <f t="shared" si="23"/>
        <v>0</v>
      </c>
      <c r="Q28" s="98">
        <f t="shared" si="24"/>
        <v>-6.1925866236914402</v>
      </c>
      <c r="R28" s="99">
        <f t="shared" ref="R28:R30" si="28">O28/L28</f>
        <v>0.92398991147815557</v>
      </c>
      <c r="S28" s="418"/>
      <c r="T28" s="19">
        <v>0.34861111111111098</v>
      </c>
      <c r="U28" s="19">
        <v>0.39930555555555602</v>
      </c>
      <c r="V28" s="92">
        <f>(T28-U27)*24*60</f>
        <v>8.999999999999968</v>
      </c>
      <c r="W28" s="149">
        <f t="shared" si="13"/>
        <v>73.000000000000853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5"/>
        <v>-105.27397260275461</v>
      </c>
      <c r="AG28" s="99">
        <f t="shared" si="26"/>
        <v>0.92398991147815557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648</v>
      </c>
      <c r="H29" s="91">
        <f>F29*G29</f>
        <v>32088.960000000003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7"/>
        <v>96</v>
      </c>
      <c r="M29" s="94">
        <v>15</v>
      </c>
      <c r="N29" s="95">
        <f>G29/W29*60</f>
        <v>1178.1818181818537</v>
      </c>
      <c r="O29" s="96">
        <f>N29/M29</f>
        <v>78.54545454545692</v>
      </c>
      <c r="P29" s="97">
        <f t="shared" si="23"/>
        <v>0</v>
      </c>
      <c r="Q29" s="98">
        <f t="shared" si="24"/>
        <v>-17.45454545454308</v>
      </c>
      <c r="R29" s="99">
        <f t="shared" si="28"/>
        <v>0.81818181818184288</v>
      </c>
      <c r="S29" s="418"/>
      <c r="T29" s="19">
        <v>0.40416666666666701</v>
      </c>
      <c r="U29" s="19">
        <v>0.42708333333333298</v>
      </c>
      <c r="V29" s="92">
        <f>(T29-U28)*24*60</f>
        <v>6.9999999999998153</v>
      </c>
      <c r="W29" s="149">
        <f t="shared" si="13"/>
        <v>32.999999999999005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5"/>
        <v>-261.81818181814629</v>
      </c>
      <c r="AG29" s="99">
        <f t="shared" si="26"/>
        <v>0.81818181818184288</v>
      </c>
      <c r="AH29" s="432"/>
    </row>
    <row r="30" spans="1:34" ht="15" customHeight="1">
      <c r="A30" s="430"/>
      <c r="B30" s="75" t="s">
        <v>123</v>
      </c>
      <c r="C30" s="88"/>
      <c r="D30" s="59" t="s">
        <v>127</v>
      </c>
      <c r="E30" s="89"/>
      <c r="F30" s="75">
        <f>VLOOKUP(D30,廠價表!$C$1:$E$41,3,0)</f>
        <v>49.91</v>
      </c>
      <c r="G30" s="90">
        <v>1015</v>
      </c>
      <c r="H30" s="91">
        <f>F30*G30</f>
        <v>50658.649999999994</v>
      </c>
      <c r="I30" s="92"/>
      <c r="J30" s="79">
        <f>VLOOKUP(D30,產線配置圖!$A$3:$C$39,2,0)</f>
        <v>17</v>
      </c>
      <c r="K30" s="80">
        <f>VLOOKUP(D30,產線配置圖!$A$3:$C$39,3,0)</f>
        <v>1565</v>
      </c>
      <c r="L30" s="93">
        <f t="shared" si="27"/>
        <v>92.058823529411768</v>
      </c>
      <c r="M30" s="94">
        <v>16</v>
      </c>
      <c r="N30" s="95">
        <f>G30/W30*60</f>
        <v>1323.913043478238</v>
      </c>
      <c r="O30" s="96">
        <f>N30/M30</f>
        <v>82.744565217389876</v>
      </c>
      <c r="P30" s="97">
        <f t="shared" si="23"/>
        <v>-1</v>
      </c>
      <c r="Q30" s="98">
        <f t="shared" si="24"/>
        <v>-9.3142583120218916</v>
      </c>
      <c r="R30" s="99">
        <f t="shared" si="28"/>
        <v>0.89882275316014559</v>
      </c>
      <c r="S30" s="418"/>
      <c r="T30" s="19">
        <v>0.43194444444444402</v>
      </c>
      <c r="U30" s="19">
        <v>0.46388888888888902</v>
      </c>
      <c r="V30" s="92">
        <f>(T30-U29)*24*60</f>
        <v>6.9999999999998952</v>
      </c>
      <c r="W30" s="149">
        <f t="shared" si="13"/>
        <v>46.000000000000796</v>
      </c>
      <c r="X30" s="174"/>
      <c r="Y30" s="301"/>
      <c r="Z30" s="335"/>
      <c r="AA30" s="335"/>
      <c r="AB30" s="395"/>
      <c r="AC30" s="395"/>
      <c r="AD30" s="92"/>
      <c r="AE30" s="92"/>
      <c r="AF30" s="312">
        <f t="shared" si="25"/>
        <v>-241.08695652176198</v>
      </c>
      <c r="AG30" s="99">
        <f t="shared" si="26"/>
        <v>0.84595082650366649</v>
      </c>
      <c r="AH30" s="433"/>
    </row>
    <row r="31" spans="1:34" ht="15" customHeight="1">
      <c r="A31" s="430"/>
      <c r="B31" s="75" t="s">
        <v>123</v>
      </c>
      <c r="C31" s="102"/>
      <c r="D31" s="175" t="s">
        <v>124</v>
      </c>
      <c r="E31" s="176"/>
      <c r="F31" s="75">
        <f>VLOOKUP(D31,廠價表!$C$1:$E$41,3,0)</f>
        <v>49.52</v>
      </c>
      <c r="G31" s="90">
        <v>1445</v>
      </c>
      <c r="H31" s="91">
        <f>F31*G31</f>
        <v>71556.400000000009</v>
      </c>
      <c r="I31" s="92"/>
      <c r="J31" s="79">
        <f>VLOOKUP(D31,產線配置圖!$A$3:$C$39,2,0)</f>
        <v>15</v>
      </c>
      <c r="K31" s="80">
        <f>VLOOKUP(D31,產線配置圖!$A$3:$C$39,3,0)</f>
        <v>1440</v>
      </c>
      <c r="L31" s="93">
        <f>K31/J31</f>
        <v>96</v>
      </c>
      <c r="M31" s="94">
        <v>15</v>
      </c>
      <c r="N31" s="95">
        <f>G31/W31*60</f>
        <v>1155.9999999999843</v>
      </c>
      <c r="O31" s="96">
        <f>N31/M31</f>
        <v>77.066666666665625</v>
      </c>
      <c r="P31" s="97">
        <f>M31-J31</f>
        <v>0</v>
      </c>
      <c r="Q31" s="98">
        <f>O31-L31</f>
        <v>-18.933333333334375</v>
      </c>
      <c r="R31" s="99">
        <f>O31/L31</f>
        <v>0.80277777777776693</v>
      </c>
      <c r="S31" s="418"/>
      <c r="T31" s="19">
        <v>0.53333333333333299</v>
      </c>
      <c r="U31" s="19">
        <v>0.58541666666666703</v>
      </c>
      <c r="V31" s="92">
        <f>(T31-U30)*24*60</f>
        <v>99.999999999999318</v>
      </c>
      <c r="W31" s="149">
        <f t="shared" si="13"/>
        <v>75.000000000001009</v>
      </c>
      <c r="X31" s="174">
        <v>0.47222222222222199</v>
      </c>
      <c r="Y31" s="301">
        <v>0.51388888888888895</v>
      </c>
      <c r="Z31" s="335"/>
      <c r="AA31" s="335"/>
      <c r="AB31" s="395"/>
      <c r="AC31" s="395"/>
      <c r="AD31" s="92"/>
      <c r="AE31" s="92"/>
      <c r="AF31" s="312">
        <f t="shared" si="25"/>
        <v>-284.00000000001569</v>
      </c>
      <c r="AG31" s="99">
        <f t="shared" si="26"/>
        <v>0.80277777777776693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9"/>
      <c r="U32" s="19"/>
      <c r="V32" s="92"/>
      <c r="W32" s="149">
        <f t="shared" si="13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9"/>
      <c r="U33" s="19"/>
      <c r="V33" s="92"/>
      <c r="W33" s="149">
        <f t="shared" si="13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3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3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29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3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0">AVERAGE(J27:J36)</f>
        <v>16.2</v>
      </c>
      <c r="K37" s="155">
        <f t="shared" si="30"/>
        <v>1466</v>
      </c>
      <c r="L37" s="158">
        <f t="shared" si="30"/>
        <v>90.752941176470586</v>
      </c>
      <c r="M37" s="155">
        <f t="shared" si="30"/>
        <v>16</v>
      </c>
      <c r="N37" s="155">
        <f t="shared" si="30"/>
        <v>1287.2441778114664</v>
      </c>
      <c r="O37" s="158">
        <f t="shared" si="30"/>
        <v>80.355172902340797</v>
      </c>
      <c r="P37" s="159">
        <f>M37-J37</f>
        <v>-0.19999999999999929</v>
      </c>
      <c r="Q37" s="160">
        <f>N37-K37</f>
        <v>-178.75582218853356</v>
      </c>
      <c r="R37" s="161">
        <f t="shared" ref="R37:R41" si="31">O37/L37</f>
        <v>0.88542775430372933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0" si="32">N37-K37</f>
        <v>-178.75582218853356</v>
      </c>
      <c r="AG37" s="124">
        <f t="shared" ref="AG37:AG40" si="33">N37/K37</f>
        <v>0.87806560560127311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1110</v>
      </c>
      <c r="H38" s="134">
        <f>F38*G38</f>
        <v>62637.3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1" si="34">K38/J38</f>
        <v>87.875</v>
      </c>
      <c r="M38" s="190">
        <v>13</v>
      </c>
      <c r="N38" s="140">
        <f>G38/W38*60</f>
        <v>951.42857142857372</v>
      </c>
      <c r="O38" s="141">
        <f>N38/M38</f>
        <v>73.186813186813367</v>
      </c>
      <c r="P38" s="142">
        <f t="shared" ref="P38:P41" si="35">M38-J38</f>
        <v>-3</v>
      </c>
      <c r="Q38" s="143">
        <f t="shared" ref="Q38:Q41" si="36">O38-L38</f>
        <v>-14.688186813186633</v>
      </c>
      <c r="R38" s="144">
        <f>O38/L38</f>
        <v>0.8328513591671507</v>
      </c>
      <c r="S38" s="437">
        <f>R48</f>
        <v>0.89206987175021224</v>
      </c>
      <c r="T38" s="191">
        <v>0.33333333333333298</v>
      </c>
      <c r="U38" s="191">
        <v>0.38194444444444398</v>
      </c>
      <c r="V38" s="192"/>
      <c r="W38" s="193">
        <f t="shared" si="13"/>
        <v>69.999999999999829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2"/>
        <v>-454.57142857142628</v>
      </c>
      <c r="AG38" s="195">
        <f t="shared" si="33"/>
        <v>0.6766917293233099</v>
      </c>
      <c r="AH38" s="443">
        <f>AG48</f>
        <v>0.81467960108298398</v>
      </c>
    </row>
    <row r="39" spans="1:34" ht="15" customHeight="1">
      <c r="A39" s="435"/>
      <c r="B39" s="75" t="s">
        <v>123</v>
      </c>
      <c r="C39" s="197"/>
      <c r="D39" s="198" t="s">
        <v>127</v>
      </c>
      <c r="E39" s="176"/>
      <c r="F39" s="75">
        <f>VLOOKUP(D39,廠價表!$C$1:$E$41,3,0)</f>
        <v>49.91</v>
      </c>
      <c r="G39" s="199">
        <v>1313</v>
      </c>
      <c r="H39" s="91">
        <f>F39*G39</f>
        <v>65531.829999999994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4"/>
        <v>92.058823529411768</v>
      </c>
      <c r="M39" s="201">
        <v>16</v>
      </c>
      <c r="N39" s="202">
        <f>G39/W39*60</f>
        <v>1382.1052631579075</v>
      </c>
      <c r="O39" s="203">
        <f t="shared" ref="O39:O41" si="37">N39/M39</f>
        <v>86.381578947369221</v>
      </c>
      <c r="P39" s="97">
        <f t="shared" si="35"/>
        <v>-1</v>
      </c>
      <c r="Q39" s="98">
        <f t="shared" si="36"/>
        <v>-5.6772445820425474</v>
      </c>
      <c r="R39" s="99">
        <f t="shared" si="31"/>
        <v>0.93833025054650265</v>
      </c>
      <c r="S39" s="438"/>
      <c r="T39" s="20">
        <v>0.38888888888888901</v>
      </c>
      <c r="U39" s="20">
        <v>0.42847222222222198</v>
      </c>
      <c r="V39" s="92">
        <f>(T39-U38)*24*60</f>
        <v>10.000000000000844</v>
      </c>
      <c r="W39" s="205">
        <f t="shared" si="13"/>
        <v>56.999999999999474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2"/>
        <v>-182.89473684209247</v>
      </c>
      <c r="AG39" s="206">
        <f t="shared" si="33"/>
        <v>0.88313435345553193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1543</v>
      </c>
      <c r="H40" s="91">
        <f>F40*G40</f>
        <v>68354.899999999994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4"/>
        <v>84.705882352941174</v>
      </c>
      <c r="M40" s="201">
        <v>16</v>
      </c>
      <c r="N40" s="202">
        <f>G40/W40*60</f>
        <v>1142.9629629629626</v>
      </c>
      <c r="O40" s="203">
        <f t="shared" si="37"/>
        <v>71.435185185185162</v>
      </c>
      <c r="P40" s="97">
        <f t="shared" si="35"/>
        <v>-1</v>
      </c>
      <c r="Q40" s="98">
        <f t="shared" si="36"/>
        <v>-13.270697167756012</v>
      </c>
      <c r="R40" s="99">
        <f t="shared" si="31"/>
        <v>0.84333204732510259</v>
      </c>
      <c r="S40" s="425"/>
      <c r="T40" s="20">
        <v>0.43958333333333299</v>
      </c>
      <c r="U40" s="20">
        <v>0.49583333333333302</v>
      </c>
      <c r="V40" s="92">
        <f>(T40-U39)*24*60</f>
        <v>15.999999999999863</v>
      </c>
      <c r="W40" s="205">
        <f t="shared" si="13"/>
        <v>81.000000000000028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2"/>
        <v>-297.03703703703741</v>
      </c>
      <c r="AG40" s="206">
        <f t="shared" si="33"/>
        <v>0.79372427983539073</v>
      </c>
      <c r="AH40" s="444"/>
    </row>
    <row r="41" spans="1:34" ht="15" customHeight="1">
      <c r="A41" s="435"/>
      <c r="B41" s="75" t="s">
        <v>123</v>
      </c>
      <c r="C41" s="207"/>
      <c r="D41" s="198" t="s">
        <v>128</v>
      </c>
      <c r="E41" s="178"/>
      <c r="F41" s="75">
        <f>VLOOKUP(D41,廠價表!$C$1:$E$41,3,0)</f>
        <v>44.3</v>
      </c>
      <c r="G41" s="199">
        <v>3333</v>
      </c>
      <c r="H41" s="91">
        <f>F41*G41</f>
        <v>147651.9</v>
      </c>
      <c r="I41" s="200"/>
      <c r="J41" s="148">
        <f>VLOOKUP(D41,產線配置圖!$A$3:$C$39,2,0)</f>
        <v>17</v>
      </c>
      <c r="K41" s="95">
        <f>VLOOKUP(D41,產線配置圖!$A$3:$C$39,3,0)</f>
        <v>1440</v>
      </c>
      <c r="L41" s="96">
        <f t="shared" si="34"/>
        <v>84.705882352941174</v>
      </c>
      <c r="M41" s="201">
        <v>16</v>
      </c>
      <c r="N41" s="202">
        <f>G41/W41*60</f>
        <v>1290.1935483870959</v>
      </c>
      <c r="O41" s="203">
        <f t="shared" si="37"/>
        <v>80.637096774193495</v>
      </c>
      <c r="P41" s="97">
        <f t="shared" si="35"/>
        <v>-1</v>
      </c>
      <c r="Q41" s="98">
        <f t="shared" si="36"/>
        <v>-4.0687855787476792</v>
      </c>
      <c r="R41" s="99">
        <f t="shared" si="31"/>
        <v>0.951965725806451</v>
      </c>
      <c r="S41" s="425"/>
      <c r="T41" s="20">
        <v>0.55902777777777801</v>
      </c>
      <c r="U41" s="210">
        <v>0.66666666666666696</v>
      </c>
      <c r="V41" s="92">
        <f>(T41-U40)*24*60</f>
        <v>91.000000000000796</v>
      </c>
      <c r="W41" s="205">
        <f t="shared" si="13"/>
        <v>155.00000000000009</v>
      </c>
      <c r="X41" s="208">
        <v>0.51041666666666696</v>
      </c>
      <c r="Y41" s="209">
        <v>0.55208333333333304</v>
      </c>
      <c r="Z41" s="337"/>
      <c r="AA41" s="337"/>
      <c r="AB41" s="395"/>
      <c r="AC41" s="395"/>
      <c r="AD41" s="92"/>
      <c r="AE41" s="92"/>
      <c r="AF41" s="314">
        <f>N41-K41</f>
        <v>-149.80645161290408</v>
      </c>
      <c r="AG41" s="206">
        <f>N41/K41</f>
        <v>0.89596774193548323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3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8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8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8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29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8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39">AVERAGE(J38:J47)</f>
        <v>16.75</v>
      </c>
      <c r="K48" s="155">
        <f t="shared" si="39"/>
        <v>1462.75</v>
      </c>
      <c r="L48" s="158">
        <f t="shared" si="39"/>
        <v>87.336397058823522</v>
      </c>
      <c r="M48" s="155">
        <f t="shared" si="39"/>
        <v>15.25</v>
      </c>
      <c r="N48" s="155">
        <f t="shared" si="39"/>
        <v>1191.6725864841349</v>
      </c>
      <c r="O48" s="158">
        <f t="shared" si="39"/>
        <v>77.910168523390311</v>
      </c>
      <c r="P48" s="221">
        <f>M48-J48</f>
        <v>-1.5</v>
      </c>
      <c r="Q48" s="222">
        <f>N48-K48</f>
        <v>-271.07741351586515</v>
      </c>
      <c r="R48" s="223">
        <f t="shared" ref="R48:R52" si="40">O48/L48</f>
        <v>0.89206987175021224</v>
      </c>
      <c r="S48" s="428"/>
      <c r="T48" s="224"/>
      <c r="U48" s="224"/>
      <c r="V48" s="225"/>
      <c r="W48" s="226">
        <f t="shared" si="38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41">N48-K48</f>
        <v>-271.07741351586515</v>
      </c>
      <c r="AG48" s="162">
        <f t="shared" ref="AG48:AG53" si="42">N48/K48</f>
        <v>0.81467960108298398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1165</v>
      </c>
      <c r="H49" s="134">
        <f>F49*G49</f>
        <v>66253.55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3">K49/J49</f>
        <v>86.944444444444443</v>
      </c>
      <c r="M49" s="170">
        <v>18</v>
      </c>
      <c r="N49" s="140">
        <f>G49/W49*60</f>
        <v>1370.5882352941055</v>
      </c>
      <c r="O49" s="141">
        <f>N49/M49</f>
        <v>76.143790849672527</v>
      </c>
      <c r="P49" s="229">
        <f>M49-J49</f>
        <v>0</v>
      </c>
      <c r="Q49" s="230">
        <f>O49-L49</f>
        <v>-10.800653594771916</v>
      </c>
      <c r="R49" s="52">
        <f t="shared" si="40"/>
        <v>0.87577523021987569</v>
      </c>
      <c r="S49" s="424">
        <f>R58</f>
        <v>0.94420258052351425</v>
      </c>
      <c r="T49" s="191">
        <v>0.29097222222222202</v>
      </c>
      <c r="U49" s="191">
        <v>0.32638888888888901</v>
      </c>
      <c r="V49" s="55"/>
      <c r="W49" s="193">
        <f t="shared" si="13"/>
        <v>51.000000000000455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41"/>
        <v>-194.41176470589448</v>
      </c>
      <c r="AG49" s="52">
        <f t="shared" si="42"/>
        <v>0.87577523021987569</v>
      </c>
      <c r="AH49" s="403">
        <f>AG58</f>
        <v>0.94351638854606845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2439</v>
      </c>
      <c r="H50" s="231">
        <f>F50*G50</f>
        <v>116364.69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3"/>
        <v>90</v>
      </c>
      <c r="M50" s="233">
        <v>16</v>
      </c>
      <c r="N50" s="234">
        <f>G50/W50*60</f>
        <v>1393.714285714279</v>
      </c>
      <c r="O50" s="235">
        <f>N50/M50</f>
        <v>87.107142857142435</v>
      </c>
      <c r="P50" s="74">
        <f>M50-J50</f>
        <v>0</v>
      </c>
      <c r="Q50" s="83">
        <f>O50-L50</f>
        <v>-2.8928571428575651</v>
      </c>
      <c r="R50" s="72">
        <f t="shared" si="40"/>
        <v>0.9678571428571382</v>
      </c>
      <c r="S50" s="425"/>
      <c r="T50" s="21">
        <v>0.33333333333333298</v>
      </c>
      <c r="U50" s="21">
        <v>0.40625</v>
      </c>
      <c r="V50" s="30">
        <f t="shared" ref="V50:V52" si="44">(T50-U49)*24*60</f>
        <v>9.999999999999325</v>
      </c>
      <c r="W50" s="236">
        <f t="shared" si="13"/>
        <v>105.00000000000051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1"/>
        <v>-46.285714285721042</v>
      </c>
      <c r="AG50" s="72">
        <f t="shared" si="42"/>
        <v>0.9678571428571382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2412</v>
      </c>
      <c r="H51" s="231">
        <f>F51*G51</f>
        <v>120527.64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3"/>
        <v>88.888888888888886</v>
      </c>
      <c r="M51" s="233">
        <v>18</v>
      </c>
      <c r="N51" s="234">
        <f>G51/W51*60</f>
        <v>1539.5744680851001</v>
      </c>
      <c r="O51" s="235">
        <f>N51/M51</f>
        <v>85.531914893616673</v>
      </c>
      <c r="P51" s="74">
        <f>M51-J51</f>
        <v>0</v>
      </c>
      <c r="Q51" s="83">
        <f>O51-L51</f>
        <v>-3.3569739952722131</v>
      </c>
      <c r="R51" s="72">
        <f t="shared" si="40"/>
        <v>0.96223404255318756</v>
      </c>
      <c r="S51" s="425"/>
      <c r="T51" s="21">
        <v>0.41249999999999998</v>
      </c>
      <c r="U51" s="19">
        <v>0.47777777777777802</v>
      </c>
      <c r="V51" s="30">
        <f t="shared" si="44"/>
        <v>8.999999999999968</v>
      </c>
      <c r="W51" s="236">
        <f t="shared" si="13"/>
        <v>94.000000000000384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41"/>
        <v>-60.425531914899921</v>
      </c>
      <c r="AG51" s="72">
        <f t="shared" si="42"/>
        <v>0.96223404255318756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2817</v>
      </c>
      <c r="H52" s="231">
        <f>F52*G52</f>
        <v>140765.49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3"/>
        <v>88.888888888888886</v>
      </c>
      <c r="M52" s="233">
        <v>18</v>
      </c>
      <c r="N52" s="234">
        <f>G52/W52*60</f>
        <v>1550.6422018348701</v>
      </c>
      <c r="O52" s="235">
        <f>N52/M52</f>
        <v>86.14678899082611</v>
      </c>
      <c r="P52" s="74">
        <f>M52-J52</f>
        <v>0</v>
      </c>
      <c r="Q52" s="83">
        <f>O52-L52</f>
        <v>-2.7420998980627758</v>
      </c>
      <c r="R52" s="72">
        <f t="shared" si="40"/>
        <v>0.96915137614679381</v>
      </c>
      <c r="S52" s="425"/>
      <c r="T52" s="21">
        <v>0.53680555555555598</v>
      </c>
      <c r="U52" s="21">
        <v>0.61250000000000004</v>
      </c>
      <c r="V52" s="30">
        <f t="shared" si="44"/>
        <v>85.000000000000256</v>
      </c>
      <c r="W52" s="236">
        <f t="shared" si="13"/>
        <v>108.99999999999946</v>
      </c>
      <c r="X52" s="22">
        <v>0.48611111111111099</v>
      </c>
      <c r="Y52" s="84">
        <v>0.52777777777777801</v>
      </c>
      <c r="Z52" s="90"/>
      <c r="AA52" s="90"/>
      <c r="AB52" s="395"/>
      <c r="AC52" s="395"/>
      <c r="AD52" s="92"/>
      <c r="AE52" s="92"/>
      <c r="AF52" s="307">
        <f t="shared" si="41"/>
        <v>-49.357798165129907</v>
      </c>
      <c r="AG52" s="72">
        <f t="shared" si="42"/>
        <v>0.96915137614679381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231"/>
      <c r="I53" s="30"/>
      <c r="J53" s="79"/>
      <c r="K53" s="80"/>
      <c r="L53" s="81"/>
      <c r="M53" s="233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3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41"/>
        <v>0</v>
      </c>
      <c r="AG53" s="72" t="e">
        <f t="shared" si="42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3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3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3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3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5">AVERAGE(J49:J57)</f>
        <v>17.5</v>
      </c>
      <c r="K58" s="120">
        <f t="shared" si="45"/>
        <v>1551.25</v>
      </c>
      <c r="L58" s="117">
        <f t="shared" si="45"/>
        <v>88.680555555555571</v>
      </c>
      <c r="M58" s="120">
        <f t="shared" si="45"/>
        <v>17.5</v>
      </c>
      <c r="N58" s="120">
        <f t="shared" si="45"/>
        <v>1463.6297977320887</v>
      </c>
      <c r="O58" s="117">
        <f t="shared" si="45"/>
        <v>83.732409397814436</v>
      </c>
      <c r="P58" s="121">
        <f>M58-J58</f>
        <v>0</v>
      </c>
      <c r="Q58" s="122">
        <f>N58-K58</f>
        <v>-87.620202267911282</v>
      </c>
      <c r="R58" s="123">
        <f t="shared" ref="R58:R60" si="46">O58/L58</f>
        <v>0.94420258052351425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47">N58-K58</f>
        <v>-87.620202267911282</v>
      </c>
      <c r="AG58" s="124">
        <f t="shared" ref="AG58:AG61" si="48">N58/K58</f>
        <v>0.94351638854606845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3593</v>
      </c>
      <c r="H59" s="243">
        <f>F59*G59</f>
        <v>96975.069999999992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2" si="49">K59/J59</f>
        <v>120.38461538461539</v>
      </c>
      <c r="M59" s="244">
        <v>13</v>
      </c>
      <c r="N59" s="137">
        <f t="shared" ref="N59:N62" si="50">G59/W59*60</f>
        <v>1390.8387096774179</v>
      </c>
      <c r="O59" s="138">
        <f t="shared" ref="O59:O62" si="51">N59/M59</f>
        <v>106.98759305210908</v>
      </c>
      <c r="P59" s="56">
        <f t="shared" ref="P59:P62" si="52">M59-J59</f>
        <v>0</v>
      </c>
      <c r="Q59" s="230">
        <f t="shared" ref="Q59:Q62" si="53">O59-L59</f>
        <v>-13.39702233250631</v>
      </c>
      <c r="R59" s="52">
        <f t="shared" si="46"/>
        <v>0.88871483046480382</v>
      </c>
      <c r="S59" s="424">
        <f>R69</f>
        <v>0.8760046923025665</v>
      </c>
      <c r="T59" s="245">
        <v>0.29166666666666702</v>
      </c>
      <c r="U59" s="245">
        <v>0.39930555555555602</v>
      </c>
      <c r="V59" s="55"/>
      <c r="W59" s="54">
        <f t="shared" si="13"/>
        <v>155.00000000000017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47"/>
        <v>-174.16129032258209</v>
      </c>
      <c r="AG59" s="246">
        <f t="shared" si="48"/>
        <v>0.88871483046480382</v>
      </c>
      <c r="AH59" s="403">
        <f>AG69</f>
        <v>0.87624911803645555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1596</v>
      </c>
      <c r="H60" s="78">
        <f>F60*G60</f>
        <v>45102.96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9"/>
        <v>130.41666666666666</v>
      </c>
      <c r="M60" s="82">
        <v>12</v>
      </c>
      <c r="N60" s="80">
        <f t="shared" si="50"/>
        <v>1473.2307692307652</v>
      </c>
      <c r="O60" s="81">
        <f t="shared" si="51"/>
        <v>122.76923076923043</v>
      </c>
      <c r="P60" s="74">
        <f t="shared" si="52"/>
        <v>0</v>
      </c>
      <c r="Q60" s="83">
        <f t="shared" si="53"/>
        <v>-7.6474358974362246</v>
      </c>
      <c r="R60" s="72">
        <f t="shared" si="46"/>
        <v>0.94136151388547307</v>
      </c>
      <c r="S60" s="451"/>
      <c r="T60" s="22">
        <v>0.40972222222222199</v>
      </c>
      <c r="U60" s="22">
        <v>0.45486111111111099</v>
      </c>
      <c r="V60" s="30">
        <f t="shared" ref="V60:V62" si="54">(T60-U59)*24*60</f>
        <v>14.999999999998987</v>
      </c>
      <c r="W60" s="248">
        <f t="shared" si="13"/>
        <v>65.000000000000171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47"/>
        <v>-91.769230769234809</v>
      </c>
      <c r="AG60" s="249">
        <f t="shared" si="48"/>
        <v>0.94136151388547296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1254</v>
      </c>
      <c r="H61" s="254">
        <f>F61*G61</f>
        <v>35438.04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9"/>
        <v>130.41666666666666</v>
      </c>
      <c r="M61" s="108">
        <v>12</v>
      </c>
      <c r="N61" s="107">
        <f t="shared" si="50"/>
        <v>1368.0000000000168</v>
      </c>
      <c r="O61" s="238">
        <f t="shared" si="51"/>
        <v>114.00000000000141</v>
      </c>
      <c r="P61" s="111">
        <f t="shared" si="52"/>
        <v>0</v>
      </c>
      <c r="Q61" s="255">
        <f t="shared" si="53"/>
        <v>-16.41666666666525</v>
      </c>
      <c r="R61" s="85">
        <f>O61/L61</f>
        <v>0.87412140575080954</v>
      </c>
      <c r="S61" s="425"/>
      <c r="T61" s="22">
        <v>0.46527777777777801</v>
      </c>
      <c r="U61" s="22">
        <v>0.50347222222222199</v>
      </c>
      <c r="V61" s="30">
        <f t="shared" si="54"/>
        <v>15.000000000000506</v>
      </c>
      <c r="W61" s="256">
        <f t="shared" si="13"/>
        <v>54.999999999999325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47"/>
        <v>-196.99999999998317</v>
      </c>
      <c r="AG61" s="247">
        <f t="shared" si="48"/>
        <v>0.87412140575080943</v>
      </c>
      <c r="AH61" s="404"/>
    </row>
    <row r="62" spans="1:34" ht="15" customHeight="1">
      <c r="A62" s="449"/>
      <c r="B62" s="250" t="s">
        <v>132</v>
      </c>
      <c r="C62" s="251"/>
      <c r="D62" s="257" t="s">
        <v>135</v>
      </c>
      <c r="E62" s="253"/>
      <c r="F62" s="250">
        <f>VLOOKUP(D62,廠價表!$C$1:$E$41,3,0)</f>
        <v>28.26</v>
      </c>
      <c r="G62" s="38">
        <v>1671</v>
      </c>
      <c r="H62" s="254">
        <f>F62*G62</f>
        <v>47222.46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si="49"/>
        <v>130.41666666666666</v>
      </c>
      <c r="M62" s="108">
        <v>12</v>
      </c>
      <c r="N62" s="107">
        <f t="shared" si="50"/>
        <v>1253.2500000000121</v>
      </c>
      <c r="O62" s="238">
        <f t="shared" si="51"/>
        <v>104.43750000000101</v>
      </c>
      <c r="P62" s="111">
        <f t="shared" si="52"/>
        <v>0</v>
      </c>
      <c r="Q62" s="255">
        <f t="shared" si="53"/>
        <v>-25.979166666665648</v>
      </c>
      <c r="R62" s="85">
        <f>O62/L62</f>
        <v>0.80079872204473623</v>
      </c>
      <c r="S62" s="425"/>
      <c r="T62" s="22">
        <v>0.55902777777777801</v>
      </c>
      <c r="U62" s="22">
        <v>0.61458333333333304</v>
      </c>
      <c r="V62" s="30">
        <f t="shared" si="54"/>
        <v>80.000000000000682</v>
      </c>
      <c r="W62" s="248">
        <f t="shared" si="13"/>
        <v>79.999999999999233</v>
      </c>
      <c r="X62" s="22">
        <v>0.51041666666666696</v>
      </c>
      <c r="Y62" s="84">
        <v>0.55208333333333304</v>
      </c>
      <c r="Z62" s="90"/>
      <c r="AA62" s="90"/>
      <c r="AB62" s="395"/>
      <c r="AC62" s="395"/>
      <c r="AD62" s="92"/>
      <c r="AE62" s="92"/>
      <c r="AF62" s="317">
        <f>N62-K62</f>
        <v>-311.74999999998795</v>
      </c>
      <c r="AG62" s="247">
        <f>N62/K62</f>
        <v>0.80079872204473612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3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3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3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3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3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3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5">AVERAGE(J59:J68)</f>
        <v>12.25</v>
      </c>
      <c r="K69" s="240">
        <f t="shared" si="55"/>
        <v>1565</v>
      </c>
      <c r="L69" s="268">
        <f t="shared" si="55"/>
        <v>127.90865384615384</v>
      </c>
      <c r="M69" s="240">
        <f t="shared" si="55"/>
        <v>12.25</v>
      </c>
      <c r="N69" s="240">
        <f t="shared" si="55"/>
        <v>1371.3298697270529</v>
      </c>
      <c r="O69" s="268">
        <f t="shared" si="55"/>
        <v>112.04858095533548</v>
      </c>
      <c r="P69" s="269">
        <f>M69-J69</f>
        <v>0</v>
      </c>
      <c r="Q69" s="222">
        <f>N69-K69</f>
        <v>-193.67013027294706</v>
      </c>
      <c r="R69" s="123">
        <f>O69/L69</f>
        <v>0.8760046923025665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-193.67013027294706</v>
      </c>
      <c r="AG69" s="124">
        <f>N69/K69</f>
        <v>0.87624911803645555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2681</v>
      </c>
      <c r="H70" s="243">
        <f>F70*G70</f>
        <v>135846.27000000002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903.70786516854048</v>
      </c>
      <c r="O70" s="138">
        <f>N70/M70</f>
        <v>90.370786516854054</v>
      </c>
      <c r="P70" s="56">
        <f>M70-J70</f>
        <v>0</v>
      </c>
      <c r="Q70" s="230">
        <f>O70-L70</f>
        <v>-22.129213483145946</v>
      </c>
      <c r="R70" s="52">
        <f>O70/L70</f>
        <v>0.80329588014981379</v>
      </c>
      <c r="S70" s="424">
        <f>R79</f>
        <v>0.80329588014981379</v>
      </c>
      <c r="T70" s="245">
        <v>0.33680555555555602</v>
      </c>
      <c r="U70" s="245">
        <v>0.46041666666666697</v>
      </c>
      <c r="V70" s="55"/>
      <c r="W70" s="54">
        <f t="shared" si="13"/>
        <v>177.99999999999977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-221.29213483145952</v>
      </c>
      <c r="AG70" s="246">
        <f>N70/K70</f>
        <v>0.80329588014981379</v>
      </c>
      <c r="AH70" s="403">
        <f>AG79</f>
        <v>0.80329588014981379</v>
      </c>
    </row>
    <row r="71" spans="1:36" ht="15" customHeight="1">
      <c r="A71" s="457"/>
      <c r="B71" s="75"/>
      <c r="C71" s="76"/>
      <c r="D71" s="59"/>
      <c r="E71" s="77"/>
      <c r="F71" s="250"/>
      <c r="G71" s="202"/>
      <c r="H71" s="361"/>
      <c r="I71" s="232"/>
      <c r="J71" s="106"/>
      <c r="K71" s="107"/>
      <c r="L71" s="238"/>
      <c r="M71" s="82"/>
      <c r="N71" s="107"/>
      <c r="O71" s="238"/>
      <c r="P71" s="111"/>
      <c r="Q71" s="255"/>
      <c r="R71" s="85"/>
      <c r="S71" s="425"/>
      <c r="T71" s="22"/>
      <c r="U71" s="22"/>
      <c r="V71" s="30"/>
      <c r="W71" s="73">
        <f t="shared" si="13"/>
        <v>0</v>
      </c>
      <c r="X71" s="271"/>
      <c r="Y71" s="293"/>
      <c r="Z71" s="90"/>
      <c r="AA71" s="90"/>
      <c r="AB71" s="446"/>
      <c r="AC71" s="446"/>
      <c r="AD71" s="200"/>
      <c r="AE71" s="200"/>
      <c r="AF71" s="311"/>
      <c r="AG71" s="99"/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3"/>
        <v>0</v>
      </c>
      <c r="X72" s="272"/>
      <c r="Y72" s="288"/>
      <c r="Z72" s="90"/>
      <c r="AA72" s="90"/>
      <c r="AB72" s="395"/>
      <c r="AC72" s="395"/>
      <c r="AD72" s="92"/>
      <c r="AE72" s="92"/>
      <c r="AF72" s="311"/>
      <c r="AG72" s="99"/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3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3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56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3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56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3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56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3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56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3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57">AVERAGE(J70:J78)</f>
        <v>10</v>
      </c>
      <c r="K79" s="240">
        <f t="shared" si="57"/>
        <v>1125</v>
      </c>
      <c r="L79" s="268">
        <f t="shared" si="57"/>
        <v>112.5</v>
      </c>
      <c r="M79" s="240">
        <f t="shared" si="57"/>
        <v>10</v>
      </c>
      <c r="N79" s="240">
        <f t="shared" si="57"/>
        <v>903.70786516854048</v>
      </c>
      <c r="O79" s="268">
        <f t="shared" si="57"/>
        <v>90.370786516854054</v>
      </c>
      <c r="P79" s="269">
        <f>M79-J79</f>
        <v>0</v>
      </c>
      <c r="Q79" s="222">
        <f>N79-K79</f>
        <v>-221.29213483145952</v>
      </c>
      <c r="R79" s="223">
        <f>O79/L79</f>
        <v>0.80329588014981379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-221.29213483145952</v>
      </c>
      <c r="AG79" s="124">
        <f>N79/K79</f>
        <v>0.80329588014981379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AB68:AC68"/>
    <mergeCell ref="D79:E79"/>
    <mergeCell ref="AB79:AC79"/>
    <mergeCell ref="A70:A79"/>
    <mergeCell ref="S70:S79"/>
    <mergeCell ref="AB70:AC70"/>
    <mergeCell ref="A59:A69"/>
    <mergeCell ref="S59:S69"/>
    <mergeCell ref="AB59:AC59"/>
    <mergeCell ref="D69:E69"/>
    <mergeCell ref="AB69:AC69"/>
    <mergeCell ref="AB63:AC63"/>
    <mergeCell ref="AB64:AC64"/>
    <mergeCell ref="AB65:AC65"/>
    <mergeCell ref="AB66:AC66"/>
    <mergeCell ref="AB67:AC67"/>
    <mergeCell ref="A49:A58"/>
    <mergeCell ref="S49:S58"/>
    <mergeCell ref="AB49:AC4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D58:E58"/>
    <mergeCell ref="AB58:AC5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46:AC46"/>
    <mergeCell ref="AB47:AC47"/>
    <mergeCell ref="A27:A37"/>
    <mergeCell ref="S27:S37"/>
    <mergeCell ref="AB27:AC27"/>
    <mergeCell ref="D37:E37"/>
    <mergeCell ref="A38:A48"/>
    <mergeCell ref="S38:S48"/>
    <mergeCell ref="AB38:AC38"/>
    <mergeCell ref="D48:E48"/>
    <mergeCell ref="AB48:AC48"/>
    <mergeCell ref="A16:A26"/>
    <mergeCell ref="S16:S26"/>
    <mergeCell ref="AB16:AC16"/>
    <mergeCell ref="D26:E26"/>
    <mergeCell ref="A5:A15"/>
    <mergeCell ref="S5:S15"/>
    <mergeCell ref="D15:E15"/>
    <mergeCell ref="AB5:AC5"/>
    <mergeCell ref="AB22:AC22"/>
    <mergeCell ref="AB23:AC23"/>
    <mergeCell ref="AB24:AC24"/>
    <mergeCell ref="AB25:AC25"/>
    <mergeCell ref="AB26:AC26"/>
    <mergeCell ref="AB14:AC14"/>
    <mergeCell ref="AB13:AC13"/>
    <mergeCell ref="AB15:AC15"/>
    <mergeCell ref="W3:W4"/>
    <mergeCell ref="X3:Y3"/>
    <mergeCell ref="Z3:AA3"/>
    <mergeCell ref="AH16:AH26"/>
    <mergeCell ref="AB17:AC17"/>
    <mergeCell ref="AB19:AC19"/>
    <mergeCell ref="AB20:AC20"/>
    <mergeCell ref="AB21:AC21"/>
    <mergeCell ref="AH5:AH15"/>
    <mergeCell ref="AB6:AC6"/>
    <mergeCell ref="AB7:AC7"/>
    <mergeCell ref="AB8:AC8"/>
    <mergeCell ref="AB9:AC9"/>
    <mergeCell ref="AB10:AC10"/>
    <mergeCell ref="AB11:AC11"/>
    <mergeCell ref="AB12:AC12"/>
    <mergeCell ref="P3:P4"/>
    <mergeCell ref="Q3:Q4"/>
    <mergeCell ref="R3:R4"/>
    <mergeCell ref="T3:U3"/>
    <mergeCell ref="V3:V4"/>
    <mergeCell ref="A2:B2"/>
    <mergeCell ref="A3:A4"/>
    <mergeCell ref="B3:B4"/>
    <mergeCell ref="D3:E4"/>
    <mergeCell ref="F3:F4"/>
    <mergeCell ref="AB3:AC4"/>
    <mergeCell ref="AD3:AE3"/>
    <mergeCell ref="AF3:AF4"/>
    <mergeCell ref="AG3:AG4"/>
    <mergeCell ref="AH3:AH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</mergeCells>
  <phoneticPr fontId="0" type="noConversion"/>
  <conditionalFormatting sqref="P5:P79">
    <cfRule type="cellIs" dxfId="278" priority="1" operator="greaterThan">
      <formula>0</formula>
    </cfRule>
  </conditionalFormatting>
  <conditionalFormatting sqref="Q5:Q79 AF5:AF79">
    <cfRule type="cellIs" dxfId="277" priority="4" operator="lessThan">
      <formula>0</formula>
    </cfRule>
  </conditionalFormatting>
  <conditionalFormatting sqref="R5:R79 AG5:AG79">
    <cfRule type="cellIs" dxfId="276" priority="2" operator="greaterThan">
      <formula>1</formula>
    </cfRule>
    <cfRule type="cellIs" dxfId="275" priority="3" operator="lessThan">
      <formula>0.8</formula>
    </cfRule>
  </conditionalFormatting>
  <conditionalFormatting sqref="S5:S10 S37:S62 AH59:AH62 S69:S76 AH69:AH76">
    <cfRule type="cellIs" dxfId="274" priority="7" operator="lessThan">
      <formula>0.8</formula>
    </cfRule>
  </conditionalFormatting>
  <conditionalFormatting sqref="S19:S25 AH19:AH25">
    <cfRule type="cellIs" dxfId="273" priority="6" operator="lessThan">
      <formula>0.8</formula>
    </cfRule>
  </conditionalFormatting>
  <conditionalFormatting sqref="S79">
    <cfRule type="cellIs" dxfId="272" priority="5" operator="lessThan">
      <formula>0.8</formula>
    </cfRule>
  </conditionalFormatting>
  <conditionalFormatting sqref="AH5:AH8 S15:S16 AH15:AH16 AH49 AH79">
    <cfRule type="cellIs" dxfId="271" priority="9" operator="lessThan">
      <formula>0.8</formula>
    </cfRule>
  </conditionalFormatting>
  <conditionalFormatting sqref="AH27 S27:S28">
    <cfRule type="cellIs" dxfId="2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5195E8-BC0B-47D4-952F-7CDBCAA3D8E2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E19D-31D0-40D1-A0A2-7461107E112C}">
  <sheetPr codeName="工作表13"/>
  <dimension ref="B1:O26"/>
  <sheetViews>
    <sheetView topLeftCell="C1" zoomScale="70" zoomScaleNormal="70" workbookViewId="0">
      <selection activeCell="J20" sqref="J2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46058</v>
      </c>
      <c r="E3" s="493"/>
      <c r="F3" s="3" t="s">
        <v>72</v>
      </c>
      <c r="G3" s="494">
        <f>'0205'!E1</f>
        <v>54750</v>
      </c>
      <c r="H3" s="494"/>
      <c r="I3" s="3" t="s">
        <v>2</v>
      </c>
      <c r="J3" s="495">
        <f>'0205'!G1</f>
        <v>2636503.5800000005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118.13761100011099</v>
      </c>
      <c r="G6" s="490"/>
      <c r="H6" s="491">
        <f>AVERAGE(D13:H13,J13)</f>
        <v>116.50910385910386</v>
      </c>
      <c r="I6" s="491"/>
      <c r="J6" s="491">
        <f>AVERAGE(I13)</f>
        <v>127.90865384615384</v>
      </c>
      <c r="K6" s="491"/>
      <c r="L6" s="497">
        <f>SUM(D18:J18)</f>
        <v>0</v>
      </c>
      <c r="M6" s="482">
        <f>SUM(D19:J19)</f>
        <v>0</v>
      </c>
      <c r="N6" s="498">
        <f>SUM(D20:J20)</f>
        <v>16</v>
      </c>
      <c r="O6" s="482">
        <f>SUM(D20:J20)</f>
        <v>16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106.98020997441434</v>
      </c>
      <c r="G7" s="479"/>
      <c r="H7" s="480">
        <f>AVERAGE(D14:H14,J14)</f>
        <v>105.4748059054417</v>
      </c>
      <c r="I7" s="480"/>
      <c r="J7" s="480">
        <f>AVERAGE(I14)</f>
        <v>116.01263438825013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0.90555589425550365</v>
      </c>
      <c r="G8" s="485"/>
      <c r="H8" s="485">
        <f>H7/H6</f>
        <v>0.90529239700439124</v>
      </c>
      <c r="I8" s="485"/>
      <c r="J8" s="485">
        <f>J7/J6</f>
        <v>0.90699597642383123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VALUE('0205'!L15)</f>
        <v>144.15120663650075</v>
      </c>
      <c r="E13" s="13">
        <f>VALUE('0205'!L26)</f>
        <v>176.22727272727272</v>
      </c>
      <c r="F13" s="13">
        <f>VALUE('0205'!L37)</f>
        <v>89.28235294117647</v>
      </c>
      <c r="G13" s="13">
        <f>VALUE('0205'!L48)</f>
        <v>88.213235294117638</v>
      </c>
      <c r="H13" s="13">
        <f>VALUE('0205'!L58)</f>
        <v>88.680555555555571</v>
      </c>
      <c r="I13" s="13">
        <f>VALUE('0205'!L69)</f>
        <v>127.90865384615384</v>
      </c>
      <c r="J13" s="13">
        <f>'0205'!L79</f>
        <v>112.5</v>
      </c>
    </row>
    <row r="14" spans="2:15" ht="39.950000000000003" customHeight="1">
      <c r="B14" s="473"/>
      <c r="C14" s="12" t="s">
        <v>100</v>
      </c>
      <c r="D14" s="13">
        <f>VALUE('0205'!O15)</f>
        <v>129.26247213331851</v>
      </c>
      <c r="E14" s="13">
        <f>VALUE('0205'!O26)</f>
        <v>160.01428307324875</v>
      </c>
      <c r="F14" s="13">
        <f>VALUE('0205'!O37)</f>
        <v>83.212480042179536</v>
      </c>
      <c r="G14" s="13">
        <f>VALUE('0205'!O48)</f>
        <v>78.923039070097161</v>
      </c>
      <c r="H14" s="13">
        <f>VALUE('0205'!O58)</f>
        <v>87.095384643218438</v>
      </c>
      <c r="I14" s="13">
        <f>VALUE('0205'!O69)</f>
        <v>116.01263438825013</v>
      </c>
      <c r="J14" s="13">
        <f>'0205'!O79</f>
        <v>94.341176470587854</v>
      </c>
    </row>
    <row r="15" spans="2:15" ht="39.950000000000003" customHeight="1">
      <c r="B15" s="474"/>
      <c r="C15" s="10" t="s">
        <v>26</v>
      </c>
      <c r="D15" s="14">
        <f>D14/D13</f>
        <v>0.89671446496645391</v>
      </c>
      <c r="E15" s="14">
        <f t="shared" ref="E15:I15" si="1">E14/E13</f>
        <v>0.90799954284536311</v>
      </c>
      <c r="F15" s="14">
        <f t="shared" si="1"/>
        <v>0.93201486409082368</v>
      </c>
      <c r="G15" s="14">
        <f t="shared" si="1"/>
        <v>0.89468478065626533</v>
      </c>
      <c r="H15" s="14">
        <f t="shared" si="1"/>
        <v>0.98212493254686395</v>
      </c>
      <c r="I15" s="14">
        <f t="shared" si="1"/>
        <v>0.90699597642383123</v>
      </c>
      <c r="J15" s="15">
        <f>'0205'!S70</f>
        <v>0.8385882352941143</v>
      </c>
    </row>
    <row r="16" spans="2:15" ht="17.25" customHeight="1">
      <c r="B16" s="475" t="s">
        <v>101</v>
      </c>
      <c r="C16" s="10" t="s">
        <v>34</v>
      </c>
      <c r="D16" s="16">
        <f>'0205'!T5</f>
        <v>0.29027777777777802</v>
      </c>
      <c r="E16" s="16">
        <f>'0205'!T16</f>
        <v>0.29027777777777802</v>
      </c>
      <c r="F16" s="16">
        <f>'0205'!T27</f>
        <v>0.29166666666666702</v>
      </c>
      <c r="G16" s="16">
        <f>'0205'!T38</f>
        <v>0.33194444444444399</v>
      </c>
      <c r="H16" s="16">
        <f>'0205'!T49</f>
        <v>0.29027777777777802</v>
      </c>
      <c r="I16" s="16">
        <f>'0205'!T59</f>
        <v>0.29027777777777802</v>
      </c>
      <c r="J16" s="16">
        <f>'0205'!T70</f>
        <v>0.33333333333333298</v>
      </c>
    </row>
    <row r="17" spans="2:10" ht="17.25" customHeight="1">
      <c r="B17" s="476"/>
      <c r="C17" s="10" t="s">
        <v>35</v>
      </c>
      <c r="D17" s="16">
        <v>0.63472222222222197</v>
      </c>
      <c r="E17" s="19">
        <v>0.64722222222222203</v>
      </c>
      <c r="F17" s="19">
        <v>0.66319444444444398</v>
      </c>
      <c r="G17" s="20">
        <v>0.5</v>
      </c>
      <c r="H17" s="21">
        <v>0.60555555555555596</v>
      </c>
      <c r="I17" s="22">
        <v>0.57777777777777795</v>
      </c>
      <c r="J17" s="245">
        <v>0.45138888888888901</v>
      </c>
    </row>
    <row r="18" spans="2:10" ht="17.25" customHeight="1">
      <c r="B18" s="477" t="s">
        <v>102</v>
      </c>
      <c r="C18" s="330" t="s">
        <v>36</v>
      </c>
      <c r="D18" s="358">
        <f>'0205'!Z15</f>
        <v>0</v>
      </c>
      <c r="E18" s="359">
        <f>'0205'!Z26</f>
        <v>0</v>
      </c>
      <c r="F18" s="359">
        <f>'0205'!Z37</f>
        <v>0</v>
      </c>
      <c r="G18" s="360">
        <f>'0205'!Z48</f>
        <v>0</v>
      </c>
      <c r="H18" s="360">
        <f>'0205'!Z58</f>
        <v>0</v>
      </c>
      <c r="I18" s="359">
        <f>'0205'!Z69</f>
        <v>0</v>
      </c>
      <c r="J18" s="359">
        <f>'0205'!AA79</f>
        <v>0</v>
      </c>
    </row>
    <row r="19" spans="2:10" ht="17.25" customHeight="1">
      <c r="B19" s="478"/>
      <c r="C19" s="330" t="s">
        <v>37</v>
      </c>
      <c r="D19" s="358">
        <f>'0205'!AA15</f>
        <v>0</v>
      </c>
      <c r="E19" s="359">
        <f>'0205'!AA26</f>
        <v>0</v>
      </c>
      <c r="F19" s="359">
        <f>'0205'!AA37</f>
        <v>0</v>
      </c>
      <c r="G19" s="360">
        <f>'0205'!AA48</f>
        <v>0</v>
      </c>
      <c r="H19" s="360">
        <f>'0205'!AA58</f>
        <v>0</v>
      </c>
      <c r="I19" s="359">
        <f>'0205'!AA69</f>
        <v>0</v>
      </c>
      <c r="J19" s="359">
        <f>'0205'!AB79</f>
        <v>0</v>
      </c>
    </row>
    <row r="20" spans="2:10" ht="17.25" customHeight="1">
      <c r="B20" s="477" t="s">
        <v>103</v>
      </c>
      <c r="C20" s="330" t="s">
        <v>36</v>
      </c>
      <c r="D20" s="358">
        <f>'0205'!AD15</f>
        <v>1</v>
      </c>
      <c r="E20" s="359">
        <f>'0205'!AD26</f>
        <v>15</v>
      </c>
      <c r="F20" s="359">
        <f>'0205'!AD37</f>
        <v>0</v>
      </c>
      <c r="G20" s="360">
        <f>'0205'!AD48</f>
        <v>0</v>
      </c>
      <c r="H20" s="360">
        <f>'0205'!AD58</f>
        <v>0</v>
      </c>
      <c r="I20" s="359">
        <f>'0205'!AD69</f>
        <v>0</v>
      </c>
      <c r="J20" s="359">
        <f>'0205'!AD79</f>
        <v>0</v>
      </c>
    </row>
    <row r="21" spans="2:10" ht="17.25" customHeight="1">
      <c r="B21" s="478"/>
      <c r="C21" s="330" t="s">
        <v>85</v>
      </c>
      <c r="D21" s="358">
        <f>'0205'!AE15</f>
        <v>1</v>
      </c>
      <c r="E21" s="359">
        <f>'0205'!AE26</f>
        <v>15</v>
      </c>
      <c r="F21" s="359">
        <f>'0205'!AE37</f>
        <v>0</v>
      </c>
      <c r="G21" s="360">
        <f>'0205'!AE48</f>
        <v>0</v>
      </c>
      <c r="H21" s="360">
        <f>'0205'!AE58</f>
        <v>0</v>
      </c>
      <c r="I21" s="359">
        <f>'0205'!AE69</f>
        <v>0</v>
      </c>
      <c r="J21" s="359">
        <f>'0205'!AE79</f>
        <v>0</v>
      </c>
    </row>
    <row r="22" spans="2:10" ht="17.25" customHeight="1">
      <c r="B22" s="460" t="s">
        <v>104</v>
      </c>
      <c r="C22" s="461"/>
      <c r="D22" s="23">
        <f>VALUE('0205'!M15)</f>
        <v>14</v>
      </c>
      <c r="E22" s="23">
        <f>VALUE('0205'!M26)</f>
        <v>11.6</v>
      </c>
      <c r="F22" s="23">
        <f>VALUE('0205'!M37)</f>
        <v>16</v>
      </c>
      <c r="G22" s="23">
        <f>VALUE('0205'!M48)</f>
        <v>16.333333333333332</v>
      </c>
      <c r="H22" s="23">
        <f>VALUE('0205'!M58)</f>
        <v>17.5</v>
      </c>
      <c r="I22" s="23">
        <f>VALUE('0205'!M69)</f>
        <v>12.25</v>
      </c>
      <c r="J22" s="23">
        <f>'0205'!M79</f>
        <v>10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6EBF5-DFED-46CA-90BA-E7534A04797D}">
  <sheetPr codeName="工作表14">
    <tabColor theme="9" tint="0.79998168889431442"/>
  </sheetPr>
  <dimension ref="A1:AJ92"/>
  <sheetViews>
    <sheetView zoomScale="69" zoomScaleNormal="69" workbookViewId="0">
      <pane xSplit="5" ySplit="4" topLeftCell="F32" activePane="bottomRight" state="frozen"/>
      <selection activeCell="N33" sqref="N33"/>
      <selection pane="topRight" activeCell="N33" sqref="N33"/>
      <selection pane="bottomLeft" activeCell="N33" sqref="N33"/>
      <selection pane="bottomRight" activeCell="Y53" sqref="Y5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45.14062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54750</v>
      </c>
      <c r="F1" s="30" t="s">
        <v>2</v>
      </c>
      <c r="G1" s="31">
        <f>SUM(H5:H79)</f>
        <v>2636503.5800000005</v>
      </c>
      <c r="H1" s="32" t="s">
        <v>3</v>
      </c>
      <c r="I1" s="33">
        <f>M15+M26+M48+M58+M69+M79+M37</f>
        <v>97.683333333333337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152</v>
      </c>
      <c r="B2" s="374"/>
      <c r="C2" s="28"/>
      <c r="D2" s="28" t="s">
        <v>14</v>
      </c>
      <c r="E2" s="35">
        <f>AVERAGE(O15,O26,O37,O48,O58,O69,O79)</f>
        <v>106.98020997441434</v>
      </c>
      <c r="F2" s="36" t="s">
        <v>15</v>
      </c>
      <c r="G2" s="37">
        <f>G1/E1</f>
        <v>48.155316529680377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0</v>
      </c>
      <c r="AA2" s="339">
        <f>AA15+AA26+AA37+AA48+AA58+AA69+AA79</f>
        <v>0</v>
      </c>
      <c r="AB2" s="370"/>
      <c r="AC2" s="370"/>
      <c r="AD2" s="340">
        <f>AD15+AD26+AD37+AD48+AD58+AD69+AD79</f>
        <v>16</v>
      </c>
      <c r="AE2" s="340">
        <f>AE15+AE26+AE37+AE48+AE58+AE69+AE79</f>
        <v>16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1563</v>
      </c>
      <c r="H5" s="43">
        <f>F5*G5</f>
        <v>89419.23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8" si="0">K5/J5</f>
        <v>175.41666666666666</v>
      </c>
      <c r="M5" s="48">
        <v>12</v>
      </c>
      <c r="N5" s="46">
        <f t="shared" ref="N5:N8" si="1">G5/W5*60</f>
        <v>1875.6000000000129</v>
      </c>
      <c r="O5" s="47">
        <f t="shared" ref="O5:O8" si="2">N5/M5</f>
        <v>156.30000000000106</v>
      </c>
      <c r="P5" s="49">
        <f t="shared" ref="P5:P8" si="3">M5-J5</f>
        <v>0</v>
      </c>
      <c r="Q5" s="50">
        <f t="shared" ref="Q5:Q8" si="4">O5-L5</f>
        <v>-19.116666666665594</v>
      </c>
      <c r="R5" s="51">
        <f t="shared" ref="R5:R8" si="5">O5/L5</f>
        <v>0.89102137767221512</v>
      </c>
      <c r="S5" s="424">
        <f>R15</f>
        <v>0.89671446496645391</v>
      </c>
      <c r="T5" s="319">
        <v>0.29027777777777802</v>
      </c>
      <c r="U5" s="320">
        <v>0.32500000000000001</v>
      </c>
      <c r="V5" s="53"/>
      <c r="W5" s="54">
        <f t="shared" ref="W5:W14" si="6">(U5-T5)*24*60</f>
        <v>49.999999999999659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9" si="7">N5-K5</f>
        <v>-229.39999999998713</v>
      </c>
      <c r="AG5" s="52">
        <f t="shared" ref="AG5:AG9" si="8">N5/K5</f>
        <v>0.89102137767221512</v>
      </c>
      <c r="AH5" s="403">
        <f>AG15</f>
        <v>0.89659848908967954</v>
      </c>
    </row>
    <row r="6" spans="1:34" ht="15" customHeight="1">
      <c r="A6" s="421"/>
      <c r="B6" s="57" t="s">
        <v>81</v>
      </c>
      <c r="C6" s="58"/>
      <c r="D6" s="59" t="s">
        <v>113</v>
      </c>
      <c r="E6" s="60"/>
      <c r="F6" s="61">
        <f>VLOOKUP(D6,廠價表!$C$1:$E$41,3,0)</f>
        <v>57.21</v>
      </c>
      <c r="G6" s="62">
        <v>1548</v>
      </c>
      <c r="H6" s="63">
        <f>F6*G6</f>
        <v>88561.08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1720.0000000000009</v>
      </c>
      <c r="O6" s="67">
        <f t="shared" si="2"/>
        <v>101.17647058823535</v>
      </c>
      <c r="P6" s="69">
        <f t="shared" si="3"/>
        <v>0</v>
      </c>
      <c r="Q6" s="70">
        <f t="shared" si="4"/>
        <v>-16.470588235294059</v>
      </c>
      <c r="R6" s="71">
        <f t="shared" si="5"/>
        <v>0.86000000000000054</v>
      </c>
      <c r="S6" s="425"/>
      <c r="T6" s="16">
        <v>0.33750000000000002</v>
      </c>
      <c r="U6" s="16">
        <v>0.375</v>
      </c>
      <c r="V6" s="30">
        <f>(T6-U5)*24*60</f>
        <v>18.000000000000014</v>
      </c>
      <c r="W6" s="73">
        <f t="shared" si="6"/>
        <v>53.999999999999972</v>
      </c>
      <c r="X6" s="22"/>
      <c r="Y6" s="84"/>
      <c r="Z6" s="90"/>
      <c r="AA6" s="90"/>
      <c r="AB6" s="395" t="s">
        <v>120</v>
      </c>
      <c r="AC6" s="395"/>
      <c r="AD6" s="149">
        <v>1</v>
      </c>
      <c r="AE6" s="149">
        <v>1</v>
      </c>
      <c r="AF6" s="307">
        <f t="shared" si="7"/>
        <v>-279.99999999999909</v>
      </c>
      <c r="AG6" s="72">
        <f t="shared" si="8"/>
        <v>0.86000000000000043</v>
      </c>
      <c r="AH6" s="404"/>
    </row>
    <row r="7" spans="1:34" ht="15" customHeight="1">
      <c r="A7" s="421"/>
      <c r="B7" s="75" t="s">
        <v>81</v>
      </c>
      <c r="C7" s="76"/>
      <c r="D7" s="59" t="s">
        <v>114</v>
      </c>
      <c r="E7" s="77"/>
      <c r="F7" s="75">
        <f>VLOOKUP(D7,廠價表!$C$1:$E$41,3,0)</f>
        <v>56.28</v>
      </c>
      <c r="G7" s="66">
        <v>2361</v>
      </c>
      <c r="H7" s="78">
        <f>F7*G7</f>
        <v>132877.08000000002</v>
      </c>
      <c r="I7" s="73"/>
      <c r="J7" s="79">
        <f>VLOOKUP(D7,產線配置圖!$A$3:$C$39,2,0)</f>
        <v>15</v>
      </c>
      <c r="K7" s="80">
        <f>VLOOKUP(D7,產線配置圖!$A$3:$C$39,3,0)</f>
        <v>1800</v>
      </c>
      <c r="L7" s="81">
        <f t="shared" si="0"/>
        <v>120</v>
      </c>
      <c r="M7" s="82">
        <v>15</v>
      </c>
      <c r="N7" s="80">
        <f t="shared" si="1"/>
        <v>1727.5609756097385</v>
      </c>
      <c r="O7" s="81">
        <f t="shared" si="2"/>
        <v>115.17073170731591</v>
      </c>
      <c r="P7" s="74">
        <f t="shared" si="3"/>
        <v>0</v>
      </c>
      <c r="Q7" s="83">
        <f t="shared" si="4"/>
        <v>-4.8292682926840911</v>
      </c>
      <c r="R7" s="72">
        <f t="shared" si="5"/>
        <v>0.95975609756096592</v>
      </c>
      <c r="S7" s="425"/>
      <c r="T7" s="18">
        <v>0.38194444444444398</v>
      </c>
      <c r="U7" s="18">
        <v>0.43888888888888899</v>
      </c>
      <c r="V7" s="30">
        <f>(T7-U6)*24*60</f>
        <v>9.999999999999325</v>
      </c>
      <c r="W7" s="73">
        <f t="shared" si="6"/>
        <v>82.000000000000824</v>
      </c>
      <c r="X7" s="22"/>
      <c r="Y7" s="84"/>
      <c r="Z7" s="90"/>
      <c r="AA7" s="90"/>
      <c r="AD7" s="92"/>
      <c r="AE7" s="92"/>
      <c r="AF7" s="307">
        <f t="shared" si="7"/>
        <v>-72.439024390261466</v>
      </c>
      <c r="AG7" s="72">
        <f t="shared" si="8"/>
        <v>0.9597560975609658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1155</v>
      </c>
      <c r="H8" s="78">
        <f>F8*G8</f>
        <v>56756.7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1732.4999999999852</v>
      </c>
      <c r="O8" s="81">
        <f t="shared" si="2"/>
        <v>133.26923076922964</v>
      </c>
      <c r="P8" s="74">
        <f t="shared" si="3"/>
        <v>0</v>
      </c>
      <c r="Q8" s="83">
        <f t="shared" si="4"/>
        <v>-20.576923076924203</v>
      </c>
      <c r="R8" s="72">
        <f t="shared" si="5"/>
        <v>0.86624999999999264</v>
      </c>
      <c r="S8" s="425"/>
      <c r="T8" s="16">
        <v>0.45</v>
      </c>
      <c r="U8" s="16">
        <v>0.47777777777777802</v>
      </c>
      <c r="V8" s="30">
        <f t="shared" ref="V8:V9" si="9">(T8-U7)*24*60</f>
        <v>15.999999999999863</v>
      </c>
      <c r="W8" s="73">
        <f t="shared" si="6"/>
        <v>40.000000000000341</v>
      </c>
      <c r="X8" s="22"/>
      <c r="Y8" s="84"/>
      <c r="Z8" s="90"/>
      <c r="AA8" s="90"/>
      <c r="AB8" s="407"/>
      <c r="AC8" s="407"/>
      <c r="AD8" s="149"/>
      <c r="AE8" s="149"/>
      <c r="AF8" s="307">
        <f t="shared" si="7"/>
        <v>-267.50000000001478</v>
      </c>
      <c r="AG8" s="72">
        <f t="shared" si="8"/>
        <v>0.86624999999999264</v>
      </c>
      <c r="AH8" s="404"/>
    </row>
    <row r="9" spans="1:34" ht="15" customHeight="1">
      <c r="A9" s="422"/>
      <c r="B9" s="75" t="s">
        <v>81</v>
      </c>
      <c r="C9" s="76"/>
      <c r="D9" s="59" t="s">
        <v>115</v>
      </c>
      <c r="E9" s="77"/>
      <c r="F9" s="75">
        <f>VLOOKUP(D9,廠價表!$C$1:$E$41,3,0)</f>
        <v>49.14</v>
      </c>
      <c r="G9" s="66">
        <v>4137</v>
      </c>
      <c r="H9" s="78">
        <f>F9*G9</f>
        <v>203292.18</v>
      </c>
      <c r="I9" s="73"/>
      <c r="J9" s="79">
        <f>VLOOKUP(D9,產線配置圖!$A$3:$C$39,2,0)</f>
        <v>13</v>
      </c>
      <c r="K9" s="80">
        <f>VLOOKUP(D9,產線配置圖!$A$3:$C$39,3,0)</f>
        <v>2000</v>
      </c>
      <c r="L9" s="81">
        <f>K9/J9</f>
        <v>153.84615384615384</v>
      </c>
      <c r="M9" s="82">
        <v>13</v>
      </c>
      <c r="N9" s="80">
        <f>G9/W9*60</f>
        <v>1825.1470588235381</v>
      </c>
      <c r="O9" s="81">
        <f>N9/M9</f>
        <v>140.39592760181063</v>
      </c>
      <c r="P9" s="74">
        <f>M9-J9</f>
        <v>0</v>
      </c>
      <c r="Q9" s="83">
        <f>O9-L9</f>
        <v>-13.450226244343213</v>
      </c>
      <c r="R9" s="72">
        <f>O9/L9</f>
        <v>0.91257352941176906</v>
      </c>
      <c r="S9" s="426"/>
      <c r="T9" s="16">
        <v>0.54027777777777797</v>
      </c>
      <c r="U9" s="16">
        <v>0.63472222222222197</v>
      </c>
      <c r="V9" s="30">
        <f t="shared" si="9"/>
        <v>89.999999999999915</v>
      </c>
      <c r="W9" s="73">
        <f t="shared" si="6"/>
        <v>135.99999999999935</v>
      </c>
      <c r="X9" s="22">
        <v>0.48611111111111099</v>
      </c>
      <c r="Y9" s="84">
        <v>0.52777777777777801</v>
      </c>
      <c r="Z9" s="90"/>
      <c r="AA9" s="90"/>
      <c r="AB9" s="407"/>
      <c r="AC9" s="407"/>
      <c r="AD9" s="149"/>
      <c r="AE9" s="149"/>
      <c r="AF9" s="307">
        <f t="shared" si="7"/>
        <v>-174.85294117646185</v>
      </c>
      <c r="AG9" s="72">
        <f t="shared" si="8"/>
        <v>0.91257352941176906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/>
      <c r="AG10" s="72"/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/>
      <c r="AG11" s="72"/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0">AVERAGE(J5:J14)</f>
        <v>14</v>
      </c>
      <c r="K15" s="120">
        <f t="shared" si="10"/>
        <v>1981</v>
      </c>
      <c r="L15" s="117">
        <f t="shared" si="10"/>
        <v>144.15120663650075</v>
      </c>
      <c r="M15" s="120">
        <f t="shared" si="10"/>
        <v>14</v>
      </c>
      <c r="N15" s="120">
        <f t="shared" si="10"/>
        <v>1776.1616068866551</v>
      </c>
      <c r="O15" s="117">
        <f t="shared" si="10"/>
        <v>129.26247213331851</v>
      </c>
      <c r="P15" s="121">
        <f>M15-J15</f>
        <v>0</v>
      </c>
      <c r="Q15" s="122">
        <f t="shared" ref="Q15:Q20" si="11">O15-L15</f>
        <v>-14.888734503182235</v>
      </c>
      <c r="R15" s="123">
        <f>O15/L15</f>
        <v>0.89671446496645391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1</v>
      </c>
      <c r="AE15" s="323">
        <f>SUM(AE5:AE14)</f>
        <v>1</v>
      </c>
      <c r="AF15" s="309">
        <f t="shared" ref="AF15:AF20" si="12">N15-K15</f>
        <v>-204.83839311334486</v>
      </c>
      <c r="AG15" s="124">
        <f t="shared" ref="AG15:AG20" si="13">N15/K15</f>
        <v>0.89659848908967954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1343</v>
      </c>
      <c r="H16" s="134">
        <f>F16*G16</f>
        <v>76833.03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20" si="14">K16/J16</f>
        <v>175.41666666666666</v>
      </c>
      <c r="M16" s="139">
        <v>12</v>
      </c>
      <c r="N16" s="140">
        <f t="shared" ref="N16:N20" si="15">G16/W16*60</f>
        <v>1918.5714285714755</v>
      </c>
      <c r="O16" s="141">
        <f t="shared" ref="O16:O20" si="16">N16/M16</f>
        <v>159.8809523809563</v>
      </c>
      <c r="P16" s="142">
        <f t="shared" ref="P16:P20" si="17">M16-J16</f>
        <v>0</v>
      </c>
      <c r="Q16" s="143">
        <f t="shared" si="11"/>
        <v>-15.535714285710355</v>
      </c>
      <c r="R16" s="144">
        <f t="shared" ref="R16:R20" si="18">O16/L16</f>
        <v>0.9114353579911999</v>
      </c>
      <c r="S16" s="417">
        <f>R26</f>
        <v>0.90799954284536311</v>
      </c>
      <c r="T16" s="19">
        <v>0.29027777777777802</v>
      </c>
      <c r="U16" s="19">
        <v>0.31944444444444398</v>
      </c>
      <c r="V16" s="135"/>
      <c r="W16" s="146">
        <f t="shared" ref="W16:W78" si="19">(U16-T16)*24*60</f>
        <v>41.99999999999897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2"/>
        <v>-186.42857142852449</v>
      </c>
      <c r="AG16" s="52">
        <f t="shared" si="13"/>
        <v>0.91143535799119979</v>
      </c>
      <c r="AH16" s="403">
        <f>AG26</f>
        <v>0.90772104858227443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3326</v>
      </c>
      <c r="H17" s="78">
        <f t="shared" ref="H17:H20" si="20">F17*G17</f>
        <v>168528.42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4"/>
        <v>166.66666666666666</v>
      </c>
      <c r="M17" s="148">
        <v>12</v>
      </c>
      <c r="N17" s="95">
        <f t="shared" si="15"/>
        <v>1995.5999999999844</v>
      </c>
      <c r="O17" s="96">
        <f t="shared" si="16"/>
        <v>166.2999999999987</v>
      </c>
      <c r="P17" s="97">
        <f t="shared" si="17"/>
        <v>0</v>
      </c>
      <c r="Q17" s="98">
        <f t="shared" si="11"/>
        <v>-0.36666666666795322</v>
      </c>
      <c r="R17" s="99">
        <f t="shared" si="18"/>
        <v>0.99779999999999225</v>
      </c>
      <c r="S17" s="418"/>
      <c r="T17" s="19">
        <v>0.344444444444444</v>
      </c>
      <c r="U17" s="19">
        <v>0.41388888888888897</v>
      </c>
      <c r="V17" s="30">
        <f>(T17-U16)*24*60</f>
        <v>36.000000000000028</v>
      </c>
      <c r="W17" s="149">
        <f t="shared" si="19"/>
        <v>100.00000000000077</v>
      </c>
      <c r="X17" s="19"/>
      <c r="Y17" s="297"/>
      <c r="Z17" s="90"/>
      <c r="AA17" s="90"/>
      <c r="AB17" s="395" t="s">
        <v>120</v>
      </c>
      <c r="AC17" s="395"/>
      <c r="AD17" s="92">
        <v>15</v>
      </c>
      <c r="AE17" s="92">
        <v>15</v>
      </c>
      <c r="AF17" s="307">
        <f t="shared" si="12"/>
        <v>-4.4000000000155524</v>
      </c>
      <c r="AG17" s="72">
        <f t="shared" si="13"/>
        <v>0.99779999999999225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2420</v>
      </c>
      <c r="H18" s="78">
        <f t="shared" si="20"/>
        <v>121943.8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4"/>
        <v>181.81818181818181</v>
      </c>
      <c r="M18" s="148">
        <v>11</v>
      </c>
      <c r="N18" s="95">
        <f t="shared" si="15"/>
        <v>1814.9999999999845</v>
      </c>
      <c r="O18" s="96">
        <f t="shared" si="16"/>
        <v>164.99999999999861</v>
      </c>
      <c r="P18" s="97">
        <f t="shared" si="17"/>
        <v>0</v>
      </c>
      <c r="Q18" s="98">
        <f t="shared" si="11"/>
        <v>-16.818181818183206</v>
      </c>
      <c r="R18" s="99">
        <f t="shared" si="18"/>
        <v>0.90749999999999231</v>
      </c>
      <c r="S18" s="418"/>
      <c r="T18" s="19">
        <v>0.422222222222222</v>
      </c>
      <c r="U18" s="19">
        <v>0.47777777777777802</v>
      </c>
      <c r="V18" s="30">
        <f>(T18-U17)*24*60</f>
        <v>11.999999999999558</v>
      </c>
      <c r="W18" s="149">
        <f t="shared" si="19"/>
        <v>80.000000000000682</v>
      </c>
      <c r="X18" s="22"/>
      <c r="Y18" s="84"/>
      <c r="Z18" s="90"/>
      <c r="AA18" s="90"/>
      <c r="AD18" s="92"/>
      <c r="AE18" s="92"/>
      <c r="AF18" s="307">
        <f t="shared" si="12"/>
        <v>-185.00000000001546</v>
      </c>
      <c r="AG18" s="72">
        <f t="shared" si="13"/>
        <v>0.90749999999999231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2680</v>
      </c>
      <c r="H19" s="78">
        <f t="shared" si="20"/>
        <v>135045.20000000001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4"/>
        <v>181.81818181818181</v>
      </c>
      <c r="M19" s="148">
        <v>11</v>
      </c>
      <c r="N19" s="95">
        <f t="shared" si="15"/>
        <v>1848.2758620689553</v>
      </c>
      <c r="O19" s="96">
        <f t="shared" si="16"/>
        <v>168.02507836990503</v>
      </c>
      <c r="P19" s="97">
        <f t="shared" si="17"/>
        <v>0</v>
      </c>
      <c r="Q19" s="98">
        <f t="shared" si="11"/>
        <v>-13.793103448276781</v>
      </c>
      <c r="R19" s="99">
        <f t="shared" si="18"/>
        <v>0.92413793103447772</v>
      </c>
      <c r="S19" s="418"/>
      <c r="T19" s="19">
        <v>0.54236111111111096</v>
      </c>
      <c r="U19" s="19">
        <v>0.60277777777777797</v>
      </c>
      <c r="V19" s="30">
        <f>(T19-U18)*24*60</f>
        <v>92.999999999999432</v>
      </c>
      <c r="W19" s="149">
        <f t="shared" si="19"/>
        <v>87.000000000000483</v>
      </c>
      <c r="X19" s="22">
        <v>0.48611111111111099</v>
      </c>
      <c r="Y19" s="84">
        <v>0.52777777777777801</v>
      </c>
      <c r="Z19" s="90"/>
      <c r="AA19" s="90"/>
      <c r="AB19" s="395"/>
      <c r="AC19" s="395"/>
      <c r="AD19" s="149"/>
      <c r="AE19" s="149"/>
      <c r="AF19" s="307">
        <f t="shared" si="12"/>
        <v>-151.72413793104465</v>
      </c>
      <c r="AG19" s="72">
        <f t="shared" si="13"/>
        <v>0.92413793103447772</v>
      </c>
      <c r="AH19" s="405"/>
    </row>
    <row r="20" spans="1:34" ht="15" customHeight="1">
      <c r="A20" s="414"/>
      <c r="B20" s="75" t="s">
        <v>81</v>
      </c>
      <c r="C20" s="76"/>
      <c r="D20" s="59" t="s">
        <v>116</v>
      </c>
      <c r="E20" s="77"/>
      <c r="F20" s="75">
        <f>VLOOKUP(D20,廠價表!$C$1:$E$41,3,0)</f>
        <v>57.21</v>
      </c>
      <c r="G20" s="147">
        <v>1465</v>
      </c>
      <c r="H20" s="78">
        <f t="shared" si="20"/>
        <v>83812.649999999994</v>
      </c>
      <c r="I20" s="30"/>
      <c r="J20" s="79">
        <f>VLOOKUP(D20,產線配置圖!$A$3:$C$39,2,0)</f>
        <v>12</v>
      </c>
      <c r="K20" s="80">
        <f>VLOOKUP(D20,產線配置圖!$A$3:$C$39,3,0)</f>
        <v>2105</v>
      </c>
      <c r="L20" s="81">
        <f t="shared" si="14"/>
        <v>175.41666666666666</v>
      </c>
      <c r="M20" s="148">
        <v>12</v>
      </c>
      <c r="N20" s="95">
        <f t="shared" si="15"/>
        <v>1690.3846153846214</v>
      </c>
      <c r="O20" s="96">
        <f t="shared" si="16"/>
        <v>140.86538461538512</v>
      </c>
      <c r="P20" s="97">
        <f t="shared" si="17"/>
        <v>0</v>
      </c>
      <c r="Q20" s="98">
        <f t="shared" si="11"/>
        <v>-34.551282051281532</v>
      </c>
      <c r="R20" s="99">
        <f t="shared" si="18"/>
        <v>0.8030330714416255</v>
      </c>
      <c r="S20" s="418"/>
      <c r="T20" s="19">
        <v>0.61111111111111105</v>
      </c>
      <c r="U20" s="19">
        <v>0.64722222222222203</v>
      </c>
      <c r="V20" s="30">
        <f>(T20-U19)*24*60</f>
        <v>11.999999999999638</v>
      </c>
      <c r="W20" s="149">
        <f t="shared" si="19"/>
        <v>51.999999999999815</v>
      </c>
      <c r="X20" s="19"/>
      <c r="Y20" s="297"/>
      <c r="Z20" s="90"/>
      <c r="AA20" s="90"/>
      <c r="AB20" s="395"/>
      <c r="AC20" s="395"/>
      <c r="AD20" s="92"/>
      <c r="AE20" s="92"/>
      <c r="AF20" s="307">
        <f t="shared" si="12"/>
        <v>-414.61538461537862</v>
      </c>
      <c r="AG20" s="72">
        <f t="shared" si="13"/>
        <v>0.80303307144162539</v>
      </c>
      <c r="AH20" s="405"/>
    </row>
    <row r="21" spans="1:34" ht="15" customHeight="1">
      <c r="A21" s="415"/>
      <c r="B21" s="30"/>
      <c r="C21" s="151"/>
      <c r="D21" s="59"/>
      <c r="E21" s="87"/>
      <c r="F21" s="75"/>
      <c r="G21" s="95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9"/>
      <c r="U21" s="19"/>
      <c r="V21" s="30"/>
      <c r="W21" s="149">
        <f t="shared" si="19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75"/>
      <c r="G22" s="95"/>
      <c r="H22" s="78"/>
      <c r="I22" s="30"/>
      <c r="J22" s="79"/>
      <c r="K22" s="80"/>
      <c r="L22" s="81"/>
      <c r="M22" s="148"/>
      <c r="N22" s="95"/>
      <c r="O22" s="96"/>
      <c r="P22" s="97"/>
      <c r="Q22" s="98"/>
      <c r="R22" s="99"/>
      <c r="S22" s="418"/>
      <c r="T22" s="19"/>
      <c r="U22" s="19"/>
      <c r="V22" s="92"/>
      <c r="W22" s="149">
        <f t="shared" si="19"/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9"/>
      <c r="U23" s="19"/>
      <c r="W23" s="149">
        <f t="shared" si="19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21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9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21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9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2">AVERAGE(J16:J25)</f>
        <v>11.6</v>
      </c>
      <c r="K26" s="155">
        <f t="shared" si="22"/>
        <v>2042</v>
      </c>
      <c r="L26" s="158">
        <f t="shared" si="22"/>
        <v>176.22727272727272</v>
      </c>
      <c r="M26" s="155">
        <f t="shared" si="22"/>
        <v>11.6</v>
      </c>
      <c r="N26" s="155">
        <f t="shared" si="22"/>
        <v>1853.5663812050043</v>
      </c>
      <c r="O26" s="158">
        <f t="shared" si="22"/>
        <v>160.01428307324875</v>
      </c>
      <c r="P26" s="159">
        <f t="shared" ref="P26:P31" si="23">M26-J26</f>
        <v>0</v>
      </c>
      <c r="Q26" s="160">
        <f t="shared" ref="Q26:Q31" si="24">O26-L26</f>
        <v>-16.212989654023971</v>
      </c>
      <c r="R26" s="161">
        <f>O26/L26</f>
        <v>0.90799954284536311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15</v>
      </c>
      <c r="AE26" s="323">
        <f>SUM(AE16:AE25)</f>
        <v>15</v>
      </c>
      <c r="AF26" s="309">
        <f t="shared" ref="AF26:AF31" si="25">N26-K26</f>
        <v>-188.43361879499571</v>
      </c>
      <c r="AG26" s="124">
        <f t="shared" ref="AG26:AG31" si="26">N26/K26</f>
        <v>0.90772104858227443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2046</v>
      </c>
      <c r="H27" s="134">
        <f>F27*G27</f>
        <v>117235.79999999999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31" si="27">K27/J27</f>
        <v>88.235294117647058</v>
      </c>
      <c r="M27" s="170">
        <v>17</v>
      </c>
      <c r="N27" s="140">
        <f>G27/W27*60</f>
        <v>1444.2352941176671</v>
      </c>
      <c r="O27" s="141">
        <f>N27/M27</f>
        <v>84.955017301039234</v>
      </c>
      <c r="P27" s="142">
        <f t="shared" si="23"/>
        <v>0</v>
      </c>
      <c r="Q27" s="143">
        <f t="shared" si="24"/>
        <v>-3.2802768166078238</v>
      </c>
      <c r="R27" s="144">
        <f>O27/L27</f>
        <v>0.96282352941177796</v>
      </c>
      <c r="S27" s="417">
        <f>R37</f>
        <v>0.93201486409082368</v>
      </c>
      <c r="T27" s="171">
        <v>0.29166666666666702</v>
      </c>
      <c r="U27" s="171">
        <v>0.35069444444444398</v>
      </c>
      <c r="V27" s="135"/>
      <c r="W27" s="146">
        <f t="shared" si="19"/>
        <v>84.99999999999882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5"/>
        <v>-55.764705882332919</v>
      </c>
      <c r="AG27" s="172">
        <f t="shared" si="26"/>
        <v>0.96282352941177807</v>
      </c>
      <c r="AH27" s="403">
        <f>AG37</f>
        <v>0.92142664529259255</v>
      </c>
    </row>
    <row r="28" spans="1:34" ht="15" customHeight="1">
      <c r="A28" s="430"/>
      <c r="B28" s="75" t="s">
        <v>81</v>
      </c>
      <c r="C28" s="173"/>
      <c r="D28" s="59" t="s">
        <v>122</v>
      </c>
      <c r="E28" s="104"/>
      <c r="F28" s="75">
        <f>VLOOKUP(D28,廠價表!$C$1:$E$41,3,0)</f>
        <v>55.13</v>
      </c>
      <c r="G28" s="90">
        <v>1675</v>
      </c>
      <c r="H28" s="91">
        <f>F28*G28</f>
        <v>92342.75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7"/>
        <v>81.470588235294116</v>
      </c>
      <c r="M28" s="94">
        <v>16</v>
      </c>
      <c r="N28" s="95">
        <f>G28/W28*60</f>
        <v>1046.874999999995</v>
      </c>
      <c r="O28" s="96">
        <f>N28/M28</f>
        <v>65.429687499999687</v>
      </c>
      <c r="P28" s="97">
        <f t="shared" si="23"/>
        <v>-1</v>
      </c>
      <c r="Q28" s="98">
        <f t="shared" si="24"/>
        <v>-16.040900735294429</v>
      </c>
      <c r="R28" s="99">
        <f t="shared" ref="R28:R31" si="28">O28/L28</f>
        <v>0.80310807761732472</v>
      </c>
      <c r="S28" s="418"/>
      <c r="T28" s="19">
        <v>0.35625000000000001</v>
      </c>
      <c r="U28" s="19">
        <v>0.422916666666667</v>
      </c>
      <c r="V28" s="92">
        <f>(T28-U27)*24*60</f>
        <v>8.000000000000691</v>
      </c>
      <c r="W28" s="149">
        <f t="shared" si="19"/>
        <v>96.000000000000455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5"/>
        <v>-338.125000000005</v>
      </c>
      <c r="AG28" s="99">
        <f t="shared" si="26"/>
        <v>0.7558664259927762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1236</v>
      </c>
      <c r="H29" s="91">
        <f>F29*G29</f>
        <v>61206.720000000001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7"/>
        <v>96</v>
      </c>
      <c r="M29" s="94">
        <v>15</v>
      </c>
      <c r="N29" s="95">
        <f>G29/W29*60</f>
        <v>1373.3333333333321</v>
      </c>
      <c r="O29" s="96">
        <f>N29/M29</f>
        <v>91.555555555555472</v>
      </c>
      <c r="P29" s="97">
        <f t="shared" si="23"/>
        <v>0</v>
      </c>
      <c r="Q29" s="98">
        <f t="shared" si="24"/>
        <v>-4.4444444444445281</v>
      </c>
      <c r="R29" s="99">
        <f t="shared" si="28"/>
        <v>0.95370370370370283</v>
      </c>
      <c r="S29" s="418"/>
      <c r="T29" s="19">
        <v>0.42916666666666697</v>
      </c>
      <c r="U29" s="19">
        <v>0.46666666666666701</v>
      </c>
      <c r="V29" s="92">
        <f>(T29-U28)*24*60</f>
        <v>8.999999999999968</v>
      </c>
      <c r="W29" s="149">
        <f t="shared" si="19"/>
        <v>54.00000000000005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5"/>
        <v>-66.666666666667879</v>
      </c>
      <c r="AG29" s="99">
        <f t="shared" si="26"/>
        <v>0.95370370370370283</v>
      </c>
      <c r="AH29" s="432"/>
    </row>
    <row r="30" spans="1:34" ht="15" customHeight="1">
      <c r="A30" s="430"/>
      <c r="B30" s="75" t="s">
        <v>123</v>
      </c>
      <c r="C30" s="88"/>
      <c r="D30" s="59" t="s">
        <v>124</v>
      </c>
      <c r="E30" s="89"/>
      <c r="F30" s="75">
        <f>VLOOKUP(D30,廠價表!$C$1:$E$41,3,0)</f>
        <v>49.52</v>
      </c>
      <c r="G30" s="90">
        <v>905</v>
      </c>
      <c r="H30" s="91">
        <f t="shared" ref="H30:H31" si="29">F30*G30</f>
        <v>44815.600000000006</v>
      </c>
      <c r="I30" s="92"/>
      <c r="J30" s="79">
        <f>VLOOKUP(D30,產線配置圖!$A$3:$C$39,2,0)</f>
        <v>15</v>
      </c>
      <c r="K30" s="80">
        <f>VLOOKUP(D30,產線配置圖!$A$3:$C$39,3,0)</f>
        <v>1440</v>
      </c>
      <c r="L30" s="93">
        <f t="shared" si="27"/>
        <v>96</v>
      </c>
      <c r="M30" s="94">
        <v>15</v>
      </c>
      <c r="N30" s="95">
        <f t="shared" ref="N30:N31" si="30">G30/W30*60</f>
        <v>1392.3076923076574</v>
      </c>
      <c r="O30" s="96">
        <f t="shared" ref="O30:O31" si="31">N30/M30</f>
        <v>92.820512820510487</v>
      </c>
      <c r="P30" s="97">
        <f t="shared" si="23"/>
        <v>0</v>
      </c>
      <c r="Q30" s="98">
        <f t="shared" si="24"/>
        <v>-3.179487179489513</v>
      </c>
      <c r="R30" s="99">
        <f t="shared" si="28"/>
        <v>0.96688034188031757</v>
      </c>
      <c r="S30" s="418"/>
      <c r="T30" s="19">
        <v>0.52569444444444402</v>
      </c>
      <c r="U30" s="19">
        <v>0.55277777777777803</v>
      </c>
      <c r="V30" s="92">
        <f>(T30-U29)*24*60</f>
        <v>84.999999999998892</v>
      </c>
      <c r="W30" s="149">
        <f t="shared" si="19"/>
        <v>39.000000000000981</v>
      </c>
      <c r="X30" s="174">
        <v>0.47222222222222199</v>
      </c>
      <c r="Y30" s="301">
        <v>0.51388888888888895</v>
      </c>
      <c r="Z30" s="335"/>
      <c r="AA30" s="335"/>
      <c r="AB30" s="395"/>
      <c r="AC30" s="395"/>
      <c r="AD30" s="92"/>
      <c r="AE30" s="92"/>
      <c r="AF30" s="312">
        <f t="shared" si="25"/>
        <v>-47.692307692342638</v>
      </c>
      <c r="AG30" s="99">
        <f t="shared" si="26"/>
        <v>0.96688034188031757</v>
      </c>
      <c r="AH30" s="433"/>
    </row>
    <row r="31" spans="1:34" ht="15" customHeight="1">
      <c r="A31" s="430"/>
      <c r="B31" s="75" t="s">
        <v>123</v>
      </c>
      <c r="C31" s="102"/>
      <c r="D31" s="175" t="s">
        <v>128</v>
      </c>
      <c r="E31" s="176"/>
      <c r="F31" s="75">
        <f>VLOOKUP(D31,廠價表!$C$1:$E$41,3,0)</f>
        <v>44.3</v>
      </c>
      <c r="G31" s="90">
        <v>3248</v>
      </c>
      <c r="H31" s="91">
        <f t="shared" si="29"/>
        <v>143886.39999999999</v>
      </c>
      <c r="I31" s="92"/>
      <c r="J31" s="79">
        <f>VLOOKUP(D31,產線配置圖!$A$3:$C$39,2,0)</f>
        <v>17</v>
      </c>
      <c r="K31" s="80">
        <f>VLOOKUP(D31,產線配置圖!$A$3:$C$39,3,0)</f>
        <v>1440</v>
      </c>
      <c r="L31" s="93">
        <f t="shared" si="27"/>
        <v>84.705882352941174</v>
      </c>
      <c r="M31" s="94">
        <v>17</v>
      </c>
      <c r="N31" s="95">
        <f t="shared" si="30"/>
        <v>1382.1276595744775</v>
      </c>
      <c r="O31" s="96">
        <f t="shared" si="31"/>
        <v>81.301627033792798</v>
      </c>
      <c r="P31" s="97">
        <f t="shared" si="23"/>
        <v>0</v>
      </c>
      <c r="Q31" s="98">
        <f t="shared" si="24"/>
        <v>-3.4042553191483762</v>
      </c>
      <c r="R31" s="99">
        <f t="shared" si="28"/>
        <v>0.95981087470449833</v>
      </c>
      <c r="S31" s="418"/>
      <c r="T31" s="19">
        <v>0.56527777777777799</v>
      </c>
      <c r="U31" s="19">
        <v>0.66319444444444398</v>
      </c>
      <c r="V31" s="92">
        <f>(T31-U30)*24*60</f>
        <v>17.999999999999936</v>
      </c>
      <c r="W31" s="149">
        <f t="shared" si="19"/>
        <v>140.99999999999903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5"/>
        <v>-57.872340425522452</v>
      </c>
      <c r="AG31" s="99">
        <f t="shared" si="26"/>
        <v>0.95981087470449833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9"/>
      <c r="U32" s="19"/>
      <c r="V32" s="92"/>
      <c r="W32" s="149">
        <f t="shared" si="19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9"/>
      <c r="U33" s="19"/>
      <c r="V33" s="92"/>
      <c r="W33" s="149">
        <f t="shared" si="19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9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9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32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9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3">AVERAGE(J27:J36)</f>
        <v>16.2</v>
      </c>
      <c r="K37" s="155">
        <f t="shared" si="33"/>
        <v>1441</v>
      </c>
      <c r="L37" s="158">
        <f t="shared" si="33"/>
        <v>89.28235294117647</v>
      </c>
      <c r="M37" s="155">
        <f t="shared" si="33"/>
        <v>16</v>
      </c>
      <c r="N37" s="155">
        <f t="shared" si="33"/>
        <v>1327.7757958666259</v>
      </c>
      <c r="O37" s="158">
        <f t="shared" si="33"/>
        <v>83.212480042179536</v>
      </c>
      <c r="P37" s="159">
        <f>M37-J37</f>
        <v>-0.19999999999999929</v>
      </c>
      <c r="Q37" s="160">
        <f>N37-K37</f>
        <v>-113.22420413337409</v>
      </c>
      <c r="R37" s="161">
        <f t="shared" ref="R37:R40" si="34">O37/L37</f>
        <v>0.93201486409082368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0" si="35">N37-K37</f>
        <v>-113.22420413337409</v>
      </c>
      <c r="AG37" s="124">
        <f t="shared" ref="AG37:AG40" si="36">N37/K37</f>
        <v>0.92142664529259255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1102</v>
      </c>
      <c r="H38" s="134">
        <f>F38*G38</f>
        <v>62185.86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37">K38/J38</f>
        <v>87.875</v>
      </c>
      <c r="M38" s="190">
        <v>16</v>
      </c>
      <c r="N38" s="140">
        <f>G38/W38*60</f>
        <v>1159.9999999999798</v>
      </c>
      <c r="O38" s="141">
        <f>N38/M38</f>
        <v>72.499999999998735</v>
      </c>
      <c r="P38" s="142">
        <f t="shared" ref="P38:P40" si="38">M38-J38</f>
        <v>0</v>
      </c>
      <c r="Q38" s="143">
        <f t="shared" ref="Q38:Q40" si="39">O38-L38</f>
        <v>-15.375000000001265</v>
      </c>
      <c r="R38" s="144">
        <f>O38/L38</f>
        <v>0.8250355618776527</v>
      </c>
      <c r="S38" s="437">
        <f>R48</f>
        <v>0.89468478065626533</v>
      </c>
      <c r="T38" s="191">
        <v>0.33194444444444399</v>
      </c>
      <c r="U38" s="191">
        <v>0.37152777777777801</v>
      </c>
      <c r="V38" s="192"/>
      <c r="W38" s="193">
        <f t="shared" si="19"/>
        <v>57.000000000000995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5"/>
        <v>-246.00000000002024</v>
      </c>
      <c r="AG38" s="195">
        <f t="shared" si="36"/>
        <v>0.8250355618776527</v>
      </c>
      <c r="AH38" s="443">
        <f>AG48</f>
        <v>0.87581825736438412</v>
      </c>
    </row>
    <row r="39" spans="1:34" ht="15" customHeight="1">
      <c r="A39" s="435"/>
      <c r="B39" s="75" t="s">
        <v>123</v>
      </c>
      <c r="C39" s="197"/>
      <c r="D39" s="198" t="s">
        <v>127</v>
      </c>
      <c r="E39" s="176"/>
      <c r="F39" s="75">
        <f>VLOOKUP(D39,廠價表!$C$1:$E$41,3,0)</f>
        <v>49.91</v>
      </c>
      <c r="G39" s="199">
        <v>2168</v>
      </c>
      <c r="H39" s="91">
        <f>F39*G39</f>
        <v>108204.87999999999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7"/>
        <v>92.058823529411768</v>
      </c>
      <c r="M39" s="201">
        <v>16</v>
      </c>
      <c r="N39" s="202">
        <f>G39/W39*60</f>
        <v>1429.450549450537</v>
      </c>
      <c r="O39" s="203">
        <f t="shared" ref="O39:O40" si="40">N39/M39</f>
        <v>89.340659340658561</v>
      </c>
      <c r="P39" s="97">
        <f t="shared" si="38"/>
        <v>-1</v>
      </c>
      <c r="Q39" s="98">
        <f t="shared" si="39"/>
        <v>-2.7181641887532066</v>
      </c>
      <c r="R39" s="99">
        <f t="shared" si="34"/>
        <v>0.97047361584101943</v>
      </c>
      <c r="S39" s="438"/>
      <c r="T39" s="20">
        <v>0.37847222222222199</v>
      </c>
      <c r="U39" s="20">
        <v>0.44166666666666698</v>
      </c>
      <c r="V39" s="92">
        <f>(T39-U38)*24*60</f>
        <v>9.999999999999325</v>
      </c>
      <c r="W39" s="205">
        <f t="shared" si="19"/>
        <v>91.000000000000796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5"/>
        <v>-135.54945054946302</v>
      </c>
      <c r="AG39" s="206">
        <f t="shared" si="36"/>
        <v>0.91338693255625369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1571</v>
      </c>
      <c r="H40" s="91">
        <f>F40*G40</f>
        <v>69595.299999999988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7"/>
        <v>84.705882352941174</v>
      </c>
      <c r="M40" s="201">
        <v>17</v>
      </c>
      <c r="N40" s="202">
        <f>G40/W40*60</f>
        <v>1273.7837837837812</v>
      </c>
      <c r="O40" s="203">
        <f t="shared" si="40"/>
        <v>74.928457869634187</v>
      </c>
      <c r="P40" s="97">
        <f t="shared" si="38"/>
        <v>0</v>
      </c>
      <c r="Q40" s="98">
        <f t="shared" si="39"/>
        <v>-9.7774244833069872</v>
      </c>
      <c r="R40" s="99">
        <f t="shared" si="34"/>
        <v>0.88457207207207034</v>
      </c>
      <c r="S40" s="425"/>
      <c r="T40" s="20">
        <v>0.44861111111111102</v>
      </c>
      <c r="U40" s="20">
        <v>0.5</v>
      </c>
      <c r="V40" s="92">
        <f>(T40-U39)*24*60</f>
        <v>9.9999999999994049</v>
      </c>
      <c r="W40" s="205">
        <f t="shared" si="19"/>
        <v>74.000000000000142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5"/>
        <v>-166.21621621621875</v>
      </c>
      <c r="AG40" s="206">
        <f t="shared" si="36"/>
        <v>0.88457207207207034</v>
      </c>
      <c r="AH40" s="444"/>
    </row>
    <row r="41" spans="1:34" ht="15" customHeight="1">
      <c r="A41" s="43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5"/>
      <c r="T41" s="20"/>
      <c r="U41" s="210"/>
      <c r="V41" s="92"/>
      <c r="W41" s="205">
        <f t="shared" si="19"/>
        <v>0</v>
      </c>
      <c r="X41" s="208"/>
      <c r="Y41" s="209"/>
      <c r="Z41" s="337"/>
      <c r="AA41" s="337"/>
      <c r="AB41" s="395"/>
      <c r="AC41" s="395"/>
      <c r="AD41" s="92"/>
      <c r="AE41" s="92"/>
      <c r="AF41" s="314">
        <f>N41-K41</f>
        <v>0</v>
      </c>
      <c r="AG41" s="206" t="e">
        <f>N41/K41</f>
        <v>#DIV/0!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9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41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41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41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32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41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42">AVERAGE(J38:J47)</f>
        <v>16.666666666666668</v>
      </c>
      <c r="K48" s="155">
        <f t="shared" si="42"/>
        <v>1470.3333333333333</v>
      </c>
      <c r="L48" s="158">
        <f t="shared" si="42"/>
        <v>88.213235294117638</v>
      </c>
      <c r="M48" s="155">
        <f t="shared" si="42"/>
        <v>16.333333333333332</v>
      </c>
      <c r="N48" s="155">
        <f t="shared" si="42"/>
        <v>1287.744777744766</v>
      </c>
      <c r="O48" s="158">
        <f t="shared" si="42"/>
        <v>78.923039070097161</v>
      </c>
      <c r="P48" s="221">
        <f>M48-J48</f>
        <v>-0.3333333333333357</v>
      </c>
      <c r="Q48" s="222">
        <f>N48-K48</f>
        <v>-182.58855558856726</v>
      </c>
      <c r="R48" s="223">
        <f t="shared" ref="R48:R52" si="43">O48/L48</f>
        <v>0.89468478065626533</v>
      </c>
      <c r="S48" s="428"/>
      <c r="T48" s="224"/>
      <c r="U48" s="224"/>
      <c r="V48" s="225"/>
      <c r="W48" s="226">
        <f t="shared" si="41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44">N48-K48</f>
        <v>-182.58855558856726</v>
      </c>
      <c r="AG48" s="162">
        <f t="shared" ref="AG48:AG53" si="45">N48/K48</f>
        <v>0.87581825736438412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1196</v>
      </c>
      <c r="H49" s="134">
        <f>F49*G49</f>
        <v>68016.52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6">K49/J49</f>
        <v>86.944444444444443</v>
      </c>
      <c r="M49" s="170">
        <v>18</v>
      </c>
      <c r="N49" s="140">
        <f>G49/W49*60</f>
        <v>1526.8085106382928</v>
      </c>
      <c r="O49" s="141">
        <f>N49/M49</f>
        <v>84.822695035460711</v>
      </c>
      <c r="P49" s="229">
        <f>M49-J49</f>
        <v>0</v>
      </c>
      <c r="Q49" s="230">
        <f>O49-L49</f>
        <v>-2.1217494089837317</v>
      </c>
      <c r="R49" s="52">
        <f t="shared" si="43"/>
        <v>0.9755964924206344</v>
      </c>
      <c r="S49" s="424">
        <f>R58</f>
        <v>0.98212493254686395</v>
      </c>
      <c r="T49" s="191">
        <v>0.29027777777777802</v>
      </c>
      <c r="U49" s="191">
        <v>0.32291666666666702</v>
      </c>
      <c r="V49" s="55"/>
      <c r="W49" s="193">
        <f t="shared" si="19"/>
        <v>47.000000000000156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44"/>
        <v>-38.191489361707227</v>
      </c>
      <c r="AG49" s="52">
        <f t="shared" si="45"/>
        <v>0.9755964924206344</v>
      </c>
      <c r="AH49" s="403">
        <f>AG58</f>
        <v>0.9817514414684495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2388</v>
      </c>
      <c r="H50" s="231">
        <f>F50*G50</f>
        <v>113931.48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6"/>
        <v>90</v>
      </c>
      <c r="M50" s="233">
        <v>16</v>
      </c>
      <c r="N50" s="234">
        <f>G50/W50*60</f>
        <v>1432.799999999989</v>
      </c>
      <c r="O50" s="235">
        <f>N50/M50</f>
        <v>89.549999999999315</v>
      </c>
      <c r="P50" s="74">
        <f>M50-J50</f>
        <v>0</v>
      </c>
      <c r="Q50" s="83">
        <f>O50-L50</f>
        <v>-0.45000000000068496</v>
      </c>
      <c r="R50" s="72">
        <f t="shared" si="43"/>
        <v>0.99499999999999234</v>
      </c>
      <c r="S50" s="425"/>
      <c r="T50" s="21">
        <v>0.328472222222222</v>
      </c>
      <c r="U50" s="21">
        <v>0.39791666666666697</v>
      </c>
      <c r="V50" s="30">
        <f t="shared" ref="V50:V52" si="47">(T50-U49)*24*60</f>
        <v>7.9999999999991722</v>
      </c>
      <c r="W50" s="236">
        <f t="shared" si="19"/>
        <v>100.00000000000077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4"/>
        <v>-7.2000000000109594</v>
      </c>
      <c r="AG50" s="72">
        <f t="shared" si="45"/>
        <v>0.99499999999999234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2557</v>
      </c>
      <c r="H51" s="231">
        <f>F51*G51</f>
        <v>127773.29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6"/>
        <v>88.888888888888886</v>
      </c>
      <c r="M51" s="233">
        <v>18</v>
      </c>
      <c r="N51" s="234">
        <f>G51/W51*60</f>
        <v>1534.1999999999882</v>
      </c>
      <c r="O51" s="235">
        <f>N51/M51</f>
        <v>85.233333333332681</v>
      </c>
      <c r="P51" s="74">
        <f>M51-J51</f>
        <v>0</v>
      </c>
      <c r="Q51" s="83">
        <f>O51-L51</f>
        <v>-3.6555555555562051</v>
      </c>
      <c r="R51" s="72">
        <f t="shared" si="43"/>
        <v>0.95887499999999271</v>
      </c>
      <c r="S51" s="425"/>
      <c r="T51" s="21">
        <v>0.40347222222222201</v>
      </c>
      <c r="U51" s="19">
        <v>0.47291666666666698</v>
      </c>
      <c r="V51" s="30">
        <f t="shared" si="47"/>
        <v>7.9999999999992522</v>
      </c>
      <c r="W51" s="236">
        <f t="shared" si="19"/>
        <v>100.00000000000077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44"/>
        <v>-65.800000000011778</v>
      </c>
      <c r="AG51" s="72">
        <f t="shared" si="45"/>
        <v>0.95887499999999259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2610</v>
      </c>
      <c r="H52" s="231">
        <f>F52*G52</f>
        <v>130421.7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6"/>
        <v>88.888888888888886</v>
      </c>
      <c r="M52" s="233">
        <v>18</v>
      </c>
      <c r="N52" s="234">
        <f>G52/W52*60</f>
        <v>1597.9591836734594</v>
      </c>
      <c r="O52" s="235">
        <f>N52/M52</f>
        <v>88.775510204081073</v>
      </c>
      <c r="P52" s="74">
        <f>M52-J52</f>
        <v>0</v>
      </c>
      <c r="Q52" s="83">
        <f>O52-L52</f>
        <v>-0.1133786848078131</v>
      </c>
      <c r="R52" s="72">
        <f t="shared" si="43"/>
        <v>0.99872448979591211</v>
      </c>
      <c r="S52" s="425"/>
      <c r="T52" s="21">
        <v>0.53749999999999998</v>
      </c>
      <c r="U52" s="21">
        <v>0.60555555555555596</v>
      </c>
      <c r="V52" s="30">
        <f t="shared" si="47"/>
        <v>92.999999999999517</v>
      </c>
      <c r="W52" s="236">
        <f t="shared" si="19"/>
        <v>98.000000000000611</v>
      </c>
      <c r="X52" s="22">
        <v>0.47916666666666702</v>
      </c>
      <c r="Y52" s="84">
        <v>0.52083333333333304</v>
      </c>
      <c r="Z52" s="90"/>
      <c r="AA52" s="90"/>
      <c r="AB52" s="395"/>
      <c r="AC52" s="395"/>
      <c r="AD52" s="92"/>
      <c r="AE52" s="92"/>
      <c r="AF52" s="307">
        <f t="shared" si="44"/>
        <v>-2.0408163265406074</v>
      </c>
      <c r="AG52" s="72">
        <f t="shared" si="45"/>
        <v>0.99872448979591211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231"/>
      <c r="I53" s="30"/>
      <c r="J53" s="79"/>
      <c r="K53" s="80"/>
      <c r="L53" s="81"/>
      <c r="M53" s="233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9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44"/>
        <v>0</v>
      </c>
      <c r="AG53" s="72" t="e">
        <f t="shared" si="45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9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9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9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9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8">AVERAGE(J49:J57)</f>
        <v>17.5</v>
      </c>
      <c r="K58" s="120">
        <f t="shared" si="48"/>
        <v>1551.25</v>
      </c>
      <c r="L58" s="117">
        <f t="shared" si="48"/>
        <v>88.680555555555571</v>
      </c>
      <c r="M58" s="120">
        <f t="shared" si="48"/>
        <v>17.5</v>
      </c>
      <c r="N58" s="120">
        <f t="shared" si="48"/>
        <v>1522.9419235779324</v>
      </c>
      <c r="O58" s="117">
        <f t="shared" si="48"/>
        <v>87.095384643218438</v>
      </c>
      <c r="P58" s="121">
        <f>M58-J58</f>
        <v>0</v>
      </c>
      <c r="Q58" s="122">
        <f>N58-K58</f>
        <v>-28.308076422067643</v>
      </c>
      <c r="R58" s="123">
        <f t="shared" ref="R58:R60" si="49">O58/L58</f>
        <v>0.98212493254686395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50">N58-K58</f>
        <v>-28.308076422067643</v>
      </c>
      <c r="AG58" s="124">
        <f t="shared" ref="AG58:AG61" si="51">N58/K58</f>
        <v>0.9817514414684495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3226</v>
      </c>
      <c r="H59" s="243">
        <f>F59*G59</f>
        <v>87069.739999999991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2" si="52">K59/J59</f>
        <v>120.38461538461539</v>
      </c>
      <c r="M59" s="244">
        <v>13</v>
      </c>
      <c r="N59" s="137">
        <f t="shared" ref="N59:N62" si="53">G59/W59*60</f>
        <v>1524.0944881889848</v>
      </c>
      <c r="O59" s="138">
        <f t="shared" ref="O59:O62" si="54">N59/M59</f>
        <v>117.23803755299883</v>
      </c>
      <c r="P59" s="56">
        <f t="shared" ref="P59:P62" si="55">M59-J59</f>
        <v>0</v>
      </c>
      <c r="Q59" s="230">
        <f t="shared" ref="Q59:Q62" si="56">O59-L59</f>
        <v>-3.146577831616554</v>
      </c>
      <c r="R59" s="52">
        <f t="shared" si="49"/>
        <v>0.97386229277251424</v>
      </c>
      <c r="S59" s="424">
        <f>R69</f>
        <v>0.90699597642383123</v>
      </c>
      <c r="T59" s="245">
        <v>0.29027777777777802</v>
      </c>
      <c r="U59" s="245">
        <v>0.37847222222222199</v>
      </c>
      <c r="V59" s="55"/>
      <c r="W59" s="54">
        <f t="shared" si="19"/>
        <v>126.9999999999993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50"/>
        <v>-40.905511811015231</v>
      </c>
      <c r="AG59" s="246">
        <f t="shared" si="51"/>
        <v>0.97386229277251424</v>
      </c>
      <c r="AH59" s="403">
        <f>AG69</f>
        <v>0.90828186712284431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1558</v>
      </c>
      <c r="H60" s="78">
        <f>F60*G60</f>
        <v>44029.08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2"/>
        <v>130.41666666666666</v>
      </c>
      <c r="M60" s="82">
        <v>12</v>
      </c>
      <c r="N60" s="80">
        <f t="shared" si="53"/>
        <v>1298.3333333333335</v>
      </c>
      <c r="O60" s="81">
        <f t="shared" si="54"/>
        <v>108.19444444444446</v>
      </c>
      <c r="P60" s="74">
        <f t="shared" si="55"/>
        <v>0</v>
      </c>
      <c r="Q60" s="83">
        <f t="shared" si="56"/>
        <v>-22.2222222222222</v>
      </c>
      <c r="R60" s="72">
        <f t="shared" si="49"/>
        <v>0.8296059637912675</v>
      </c>
      <c r="S60" s="451"/>
      <c r="T60" s="22">
        <v>0.39236111111111099</v>
      </c>
      <c r="U60" s="22">
        <v>0.44236111111111098</v>
      </c>
      <c r="V60" s="30">
        <f t="shared" ref="V60:V62" si="57">(T60-U59)*24*60</f>
        <v>20.000000000000171</v>
      </c>
      <c r="W60" s="248">
        <f t="shared" si="19"/>
        <v>71.999999999999986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50"/>
        <v>-266.66666666666652</v>
      </c>
      <c r="AG60" s="249">
        <f t="shared" si="51"/>
        <v>0.82960596379126739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1969</v>
      </c>
      <c r="H61" s="254">
        <f>F61*G61</f>
        <v>55643.94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2"/>
        <v>130.41666666666666</v>
      </c>
      <c r="M61" s="108">
        <v>12</v>
      </c>
      <c r="N61" s="107">
        <f t="shared" si="53"/>
        <v>1476.7500000000155</v>
      </c>
      <c r="O61" s="238">
        <f t="shared" si="54"/>
        <v>123.06250000000129</v>
      </c>
      <c r="P61" s="111">
        <f t="shared" si="55"/>
        <v>0</v>
      </c>
      <c r="Q61" s="255">
        <f t="shared" si="56"/>
        <v>-7.354166666665364</v>
      </c>
      <c r="R61" s="85">
        <f>O61/L61</f>
        <v>0.9436102236421825</v>
      </c>
      <c r="S61" s="425"/>
      <c r="T61" s="22">
        <v>0.45138888888888901</v>
      </c>
      <c r="U61" s="22">
        <v>0.50694444444444398</v>
      </c>
      <c r="V61" s="30">
        <f t="shared" si="57"/>
        <v>13.000000000000353</v>
      </c>
      <c r="W61" s="256">
        <f t="shared" si="19"/>
        <v>79.999999999999162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50"/>
        <v>-88.249999999984539</v>
      </c>
      <c r="AG61" s="247">
        <f t="shared" si="51"/>
        <v>0.94361022364218239</v>
      </c>
      <c r="AH61" s="404"/>
    </row>
    <row r="62" spans="1:34" ht="15" customHeight="1">
      <c r="A62" s="449"/>
      <c r="B62" s="250" t="s">
        <v>132</v>
      </c>
      <c r="C62" s="251"/>
      <c r="D62" s="257" t="s">
        <v>135</v>
      </c>
      <c r="E62" s="253"/>
      <c r="F62" s="250">
        <f>VLOOKUP(D62,廠價表!$C$1:$E$41,3,0)</f>
        <v>28.26</v>
      </c>
      <c r="G62" s="38">
        <v>624</v>
      </c>
      <c r="H62" s="254">
        <f>F62*G62</f>
        <v>17634.240000000002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si="52"/>
        <v>130.41666666666666</v>
      </c>
      <c r="M62" s="108">
        <v>12</v>
      </c>
      <c r="N62" s="107">
        <f t="shared" si="53"/>
        <v>1386.6666666666715</v>
      </c>
      <c r="O62" s="238">
        <f t="shared" si="54"/>
        <v>115.55555555555596</v>
      </c>
      <c r="P62" s="111">
        <f t="shared" si="55"/>
        <v>0</v>
      </c>
      <c r="Q62" s="255">
        <f t="shared" si="56"/>
        <v>-14.861111111110702</v>
      </c>
      <c r="R62" s="85">
        <f>O62/L62</f>
        <v>0.88604898828541312</v>
      </c>
      <c r="S62" s="425"/>
      <c r="T62" s="22">
        <v>0.55902777777777801</v>
      </c>
      <c r="U62" s="22">
        <v>0.57777777777777795</v>
      </c>
      <c r="V62" s="30">
        <f t="shared" si="57"/>
        <v>75.000000000001009</v>
      </c>
      <c r="W62" s="248">
        <f t="shared" si="19"/>
        <v>26.999999999999904</v>
      </c>
      <c r="X62" s="22">
        <v>0.51388888888888895</v>
      </c>
      <c r="Y62" s="84">
        <v>0.55555555555555602</v>
      </c>
      <c r="Z62" s="90"/>
      <c r="AA62" s="90"/>
      <c r="AB62" s="395"/>
      <c r="AC62" s="395"/>
      <c r="AD62" s="92"/>
      <c r="AE62" s="92"/>
      <c r="AF62" s="317">
        <f>N62-K62</f>
        <v>-178.33333333332848</v>
      </c>
      <c r="AG62" s="247">
        <f>N62/K62</f>
        <v>0.88604898828541312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9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9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9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9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9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9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8">AVERAGE(J59:J68)</f>
        <v>12.25</v>
      </c>
      <c r="K69" s="240">
        <f t="shared" si="58"/>
        <v>1565</v>
      </c>
      <c r="L69" s="268">
        <f t="shared" si="58"/>
        <v>127.90865384615384</v>
      </c>
      <c r="M69" s="240">
        <f t="shared" si="58"/>
        <v>12.25</v>
      </c>
      <c r="N69" s="240">
        <f t="shared" si="58"/>
        <v>1421.4611220472514</v>
      </c>
      <c r="O69" s="268">
        <f t="shared" si="58"/>
        <v>116.01263438825013</v>
      </c>
      <c r="P69" s="269">
        <f>M69-J69</f>
        <v>0</v>
      </c>
      <c r="Q69" s="222">
        <f>N69-K69</f>
        <v>-143.53887795274863</v>
      </c>
      <c r="R69" s="123">
        <f>O69/L69</f>
        <v>0.90699597642383123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-143.53887795274863</v>
      </c>
      <c r="AG69" s="124">
        <f>N69/K69</f>
        <v>0.90828186712284431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2673</v>
      </c>
      <c r="H70" s="243">
        <f>F70*G70</f>
        <v>135440.91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943.41176470587857</v>
      </c>
      <c r="O70" s="138">
        <f>N70/M70</f>
        <v>94.341176470587854</v>
      </c>
      <c r="P70" s="56">
        <f>M70-J70</f>
        <v>0</v>
      </c>
      <c r="Q70" s="230">
        <f>O70-L70</f>
        <v>-18.158823529412146</v>
      </c>
      <c r="R70" s="52">
        <f>O70/L70</f>
        <v>0.8385882352941143</v>
      </c>
      <c r="S70" s="424">
        <f>R79</f>
        <v>0.8385882352941143</v>
      </c>
      <c r="T70" s="245">
        <v>0.33333333333333298</v>
      </c>
      <c r="U70" s="245">
        <v>0.45138888888888901</v>
      </c>
      <c r="V70" s="55"/>
      <c r="W70" s="54">
        <f t="shared" si="19"/>
        <v>170.00000000000068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-181.58823529412143</v>
      </c>
      <c r="AG70" s="246">
        <f>N70/K70</f>
        <v>0.8385882352941143</v>
      </c>
      <c r="AH70" s="403">
        <f>AG79</f>
        <v>0.8385882352941143</v>
      </c>
    </row>
    <row r="71" spans="1:36" ht="15" customHeight="1">
      <c r="A71" s="457"/>
      <c r="B71" s="75"/>
      <c r="C71" s="76"/>
      <c r="D71" s="59"/>
      <c r="E71" s="77"/>
      <c r="F71" s="250"/>
      <c r="G71" s="202"/>
      <c r="H71" s="361"/>
      <c r="I71" s="232"/>
      <c r="J71" s="106"/>
      <c r="K71" s="107"/>
      <c r="L71" s="238"/>
      <c r="M71" s="82"/>
      <c r="N71" s="107"/>
      <c r="O71" s="238"/>
      <c r="P71" s="111"/>
      <c r="Q71" s="255"/>
      <c r="R71" s="85"/>
      <c r="S71" s="425"/>
      <c r="T71" s="22"/>
      <c r="U71" s="22"/>
      <c r="V71" s="30"/>
      <c r="W71" s="73">
        <f t="shared" si="19"/>
        <v>0</v>
      </c>
      <c r="X71" s="271"/>
      <c r="Y71" s="293"/>
      <c r="Z71" s="90"/>
      <c r="AA71" s="90"/>
      <c r="AB71" s="446"/>
      <c r="AC71" s="446"/>
      <c r="AD71" s="200"/>
      <c r="AE71" s="200"/>
      <c r="AF71" s="311"/>
      <c r="AG71" s="99"/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9"/>
        <v>0</v>
      </c>
      <c r="X72" s="272"/>
      <c r="Y72" s="288"/>
      <c r="Z72" s="90"/>
      <c r="AA72" s="90"/>
      <c r="AB72" s="395"/>
      <c r="AC72" s="395"/>
      <c r="AD72" s="92"/>
      <c r="AE72" s="92"/>
      <c r="AF72" s="311"/>
      <c r="AG72" s="99"/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9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9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59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9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59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9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59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9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59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9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60">AVERAGE(J70:J78)</f>
        <v>10</v>
      </c>
      <c r="K79" s="240">
        <f t="shared" si="60"/>
        <v>1125</v>
      </c>
      <c r="L79" s="268">
        <f t="shared" si="60"/>
        <v>112.5</v>
      </c>
      <c r="M79" s="240">
        <f t="shared" si="60"/>
        <v>10</v>
      </c>
      <c r="N79" s="240">
        <f t="shared" si="60"/>
        <v>943.41176470587857</v>
      </c>
      <c r="O79" s="268">
        <f t="shared" si="60"/>
        <v>94.341176470587854</v>
      </c>
      <c r="P79" s="269">
        <f>M79-J79</f>
        <v>0</v>
      </c>
      <c r="Q79" s="222">
        <f>N79-K79</f>
        <v>-181.58823529412143</v>
      </c>
      <c r="R79" s="223">
        <f>O79/L79</f>
        <v>0.8385882352941143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-181.58823529412143</v>
      </c>
      <c r="AG79" s="124">
        <f>N79/K79</f>
        <v>0.8385882352941143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5">
    <mergeCell ref="N3:N4"/>
    <mergeCell ref="O3:O4"/>
    <mergeCell ref="AB1:AC2"/>
    <mergeCell ref="V3:V4"/>
    <mergeCell ref="W3:W4"/>
    <mergeCell ref="X3:Y3"/>
    <mergeCell ref="Z3:AA3"/>
    <mergeCell ref="T3:U3"/>
    <mergeCell ref="P3:P4"/>
    <mergeCell ref="Q3:Q4"/>
    <mergeCell ref="R3:R4"/>
    <mergeCell ref="I3:I4"/>
    <mergeCell ref="J3:J4"/>
    <mergeCell ref="K3:K4"/>
    <mergeCell ref="L3:L4"/>
    <mergeCell ref="M3:M4"/>
    <mergeCell ref="AH16:AH26"/>
    <mergeCell ref="AB17:AC17"/>
    <mergeCell ref="AB19:AC19"/>
    <mergeCell ref="A2:B2"/>
    <mergeCell ref="A3:A4"/>
    <mergeCell ref="B3:B4"/>
    <mergeCell ref="D3:E4"/>
    <mergeCell ref="F3:F4"/>
    <mergeCell ref="AF1:AH2"/>
    <mergeCell ref="G3:G4"/>
    <mergeCell ref="J1:L2"/>
    <mergeCell ref="M1:O2"/>
    <mergeCell ref="P1:S2"/>
    <mergeCell ref="T1:Y2"/>
    <mergeCell ref="S3:S4"/>
    <mergeCell ref="H3:H4"/>
    <mergeCell ref="AH27:AH37"/>
    <mergeCell ref="AB28:AC28"/>
    <mergeCell ref="AH5:AH15"/>
    <mergeCell ref="AB6:AC6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AH3:AH4"/>
    <mergeCell ref="A5:A15"/>
    <mergeCell ref="S5:S15"/>
    <mergeCell ref="AB5:AC5"/>
    <mergeCell ref="AB32:AC32"/>
    <mergeCell ref="AB33:AC33"/>
    <mergeCell ref="AB20:AC20"/>
    <mergeCell ref="AB21:AC21"/>
    <mergeCell ref="AB22:AC22"/>
    <mergeCell ref="AB23:AC23"/>
    <mergeCell ref="AB24:AC24"/>
    <mergeCell ref="AB25:AC25"/>
    <mergeCell ref="AB26:AC26"/>
    <mergeCell ref="D15:E15"/>
    <mergeCell ref="AB15:AC15"/>
    <mergeCell ref="A38:A48"/>
    <mergeCell ref="S38:S48"/>
    <mergeCell ref="AB29:AC29"/>
    <mergeCell ref="AB30:AC30"/>
    <mergeCell ref="AB31:AC31"/>
    <mergeCell ref="A16:A26"/>
    <mergeCell ref="S16:S26"/>
    <mergeCell ref="AB16:AC16"/>
    <mergeCell ref="D26:E26"/>
    <mergeCell ref="A27:A37"/>
    <mergeCell ref="S27:S37"/>
    <mergeCell ref="AB27:AC27"/>
    <mergeCell ref="D37:E37"/>
    <mergeCell ref="D48:E48"/>
    <mergeCell ref="AB48:AC48"/>
    <mergeCell ref="AB34:AC34"/>
    <mergeCell ref="AB35:AC35"/>
    <mergeCell ref="AB36:AC36"/>
    <mergeCell ref="AB39:AC39"/>
    <mergeCell ref="AB40:AC40"/>
    <mergeCell ref="AB37:AC37"/>
    <mergeCell ref="AB46:AC46"/>
    <mergeCell ref="AB47:AC47"/>
    <mergeCell ref="AB38:AC3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41:AC41"/>
    <mergeCell ref="AB42:AC42"/>
    <mergeCell ref="AB43:AC43"/>
    <mergeCell ref="AB44:AC44"/>
    <mergeCell ref="AB45:AC45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68" priority="1" operator="greaterThan">
      <formula>0</formula>
    </cfRule>
  </conditionalFormatting>
  <conditionalFormatting sqref="Q5:Q79 AF5:AF79">
    <cfRule type="cellIs" dxfId="267" priority="4" operator="lessThan">
      <formula>0</formula>
    </cfRule>
  </conditionalFormatting>
  <conditionalFormatting sqref="R5:R79 AG5:AG79">
    <cfRule type="cellIs" dxfId="266" priority="2" operator="greaterThan">
      <formula>1</formula>
    </cfRule>
    <cfRule type="cellIs" dxfId="265" priority="3" operator="lessThan">
      <formula>0.8</formula>
    </cfRule>
  </conditionalFormatting>
  <conditionalFormatting sqref="S5:S10 S37:S62 AH59:AH62 S69:S76 AH69:AH76">
    <cfRule type="cellIs" dxfId="264" priority="7" operator="lessThan">
      <formula>0.8</formula>
    </cfRule>
  </conditionalFormatting>
  <conditionalFormatting sqref="S19:S25 AH19:AH25">
    <cfRule type="cellIs" dxfId="263" priority="6" operator="lessThan">
      <formula>0.8</formula>
    </cfRule>
  </conditionalFormatting>
  <conditionalFormatting sqref="S79">
    <cfRule type="cellIs" dxfId="262" priority="5" operator="lessThan">
      <formula>0.8</formula>
    </cfRule>
  </conditionalFormatting>
  <conditionalFormatting sqref="AH5:AH8 S15:S16 AH15:AH16 AH49 AH79">
    <cfRule type="cellIs" dxfId="261" priority="9" operator="lessThan">
      <formula>0.8</formula>
    </cfRule>
  </conditionalFormatting>
  <conditionalFormatting sqref="AH27 S27:S28">
    <cfRule type="cellIs" dxfId="2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D64B94-60CA-4009-8416-2E4A5D6D96EC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1E12-E34E-43E3-87DC-F3DCF0E5AC53}">
  <sheetPr codeName="工作表15"/>
  <dimension ref="B1:O26"/>
  <sheetViews>
    <sheetView topLeftCell="C1" zoomScale="70" zoomScaleNormal="70" workbookViewId="0">
      <selection activeCell="AB70" sqref="AB70:AC7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46059</v>
      </c>
      <c r="E3" s="493"/>
      <c r="F3" s="3" t="s">
        <v>72</v>
      </c>
      <c r="G3" s="494">
        <f>'0206'!E1</f>
        <v>45329</v>
      </c>
      <c r="H3" s="494"/>
      <c r="I3" s="3" t="s">
        <v>2</v>
      </c>
      <c r="J3" s="495">
        <f>'0206'!G1</f>
        <v>2167149.79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116.64234213498919</v>
      </c>
      <c r="G6" s="490"/>
      <c r="H6" s="491">
        <f>AVERAGE(D13:H13,J13)</f>
        <v>114.90395756204579</v>
      </c>
      <c r="I6" s="491"/>
      <c r="J6" s="491">
        <f>AVERAGE(I13)</f>
        <v>127.07264957264958</v>
      </c>
      <c r="K6" s="491"/>
      <c r="L6" s="497">
        <f>SUM(D18:J18)</f>
        <v>1</v>
      </c>
      <c r="M6" s="482">
        <f>SUM(D19:J19)</f>
        <v>5</v>
      </c>
      <c r="N6" s="498">
        <f>SUM(D20:J20)</f>
        <v>2</v>
      </c>
      <c r="O6" s="482">
        <f>SUM(D20:J20)</f>
        <v>2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105.54816704895407</v>
      </c>
      <c r="G7" s="479"/>
      <c r="H7" s="480">
        <f>AVERAGE(D14:H14,J14)</f>
        <v>104.90681674010666</v>
      </c>
      <c r="I7" s="480"/>
      <c r="J7" s="480">
        <f>AVERAGE(I14)</f>
        <v>109.39626890203856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0.90488724006248156</v>
      </c>
      <c r="G8" s="485"/>
      <c r="H8" s="485">
        <f>H7/H6</f>
        <v>0.91299567887780653</v>
      </c>
      <c r="I8" s="485"/>
      <c r="J8" s="485">
        <f>J7/J6</f>
        <v>0.86089547412399603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VALUE('0206'!L15)</f>
        <v>136.33484162895925</v>
      </c>
      <c r="E13" s="13">
        <f>VALUE('0206'!L26)</f>
        <v>176.09217171717171</v>
      </c>
      <c r="F13" s="13">
        <f>VALUE('0206'!L37)</f>
        <v>87.60294117647058</v>
      </c>
      <c r="G13" s="13">
        <f>VALUE('0206'!L48)</f>
        <v>88.213235294117638</v>
      </c>
      <c r="H13" s="13">
        <f>VALUE('0206'!L58)</f>
        <v>88.680555555555571</v>
      </c>
      <c r="I13" s="13">
        <f>VALUE('0206'!L69)</f>
        <v>127.07264957264958</v>
      </c>
      <c r="J13" s="13">
        <f>'0206'!L79</f>
        <v>112.5</v>
      </c>
    </row>
    <row r="14" spans="2:15" ht="39.950000000000003" customHeight="1">
      <c r="B14" s="473"/>
      <c r="C14" s="12" t="s">
        <v>100</v>
      </c>
      <c r="D14" s="13">
        <f>VALUE('0206'!O15)</f>
        <v>132.25965755735518</v>
      </c>
      <c r="E14" s="13">
        <f>VALUE('0206'!O26)</f>
        <v>169.97694897694919</v>
      </c>
      <c r="F14" s="13">
        <f>VALUE('0206'!O37)</f>
        <v>81.251306199449203</v>
      </c>
      <c r="G14" s="13">
        <f>VALUE('0206'!O48)</f>
        <v>82.739196415666555</v>
      </c>
      <c r="H14" s="13">
        <f>VALUE('0206'!O58)</f>
        <v>79.613791291220423</v>
      </c>
      <c r="I14" s="13">
        <f>VALUE('0206'!O69)</f>
        <v>109.39626890203856</v>
      </c>
      <c r="J14" s="13">
        <f>'0206'!O79</f>
        <v>83.599999999999483</v>
      </c>
    </row>
    <row r="15" spans="2:15" ht="39.950000000000003" customHeight="1">
      <c r="B15" s="474"/>
      <c r="C15" s="10" t="s">
        <v>26</v>
      </c>
      <c r="D15" s="14">
        <f>D14/D13</f>
        <v>0.97010900498425157</v>
      </c>
      <c r="E15" s="14">
        <f t="shared" ref="E15:I15" si="1">E14/E13</f>
        <v>0.96527260308854379</v>
      </c>
      <c r="F15" s="14">
        <f t="shared" si="1"/>
        <v>0.92749518575835932</v>
      </c>
      <c r="G15" s="14">
        <f t="shared" si="1"/>
        <v>0.93794537905565167</v>
      </c>
      <c r="H15" s="14">
        <f t="shared" si="1"/>
        <v>0.8977592753277791</v>
      </c>
      <c r="I15" s="14">
        <f t="shared" si="1"/>
        <v>0.86089547412399603</v>
      </c>
      <c r="J15" s="15">
        <f>'0206'!S70</f>
        <v>0.7431111111111065</v>
      </c>
    </row>
    <row r="16" spans="2:15" ht="17.25" customHeight="1">
      <c r="B16" s="475" t="s">
        <v>101</v>
      </c>
      <c r="C16" s="10" t="s">
        <v>34</v>
      </c>
      <c r="D16" s="16">
        <f>'0206'!T5</f>
        <v>0.32361111111111102</v>
      </c>
      <c r="E16" s="16">
        <f>'0206'!T16</f>
        <v>0.29097222222222202</v>
      </c>
      <c r="F16" s="16">
        <f>'0206'!T27</f>
        <v>0.29166666666666702</v>
      </c>
      <c r="G16" s="16">
        <f>'0206'!T38</f>
        <v>0.33333333333333298</v>
      </c>
      <c r="H16" s="16">
        <f>'0206'!T49</f>
        <v>0.29166666666666702</v>
      </c>
      <c r="I16" s="16">
        <f>'0206'!T59</f>
        <v>0.29027777777777802</v>
      </c>
      <c r="J16" s="16">
        <f>'0206'!T70</f>
        <v>0.33333333333333298</v>
      </c>
    </row>
    <row r="17" spans="2:10" ht="17.25" customHeight="1">
      <c r="B17" s="476"/>
      <c r="C17" s="10" t="s">
        <v>35</v>
      </c>
      <c r="D17" s="16">
        <v>0.58472222222222203</v>
      </c>
      <c r="E17" s="19">
        <v>0.62013888888888902</v>
      </c>
      <c r="F17" s="19">
        <v>0.60694444444444395</v>
      </c>
      <c r="G17" s="20">
        <v>0.49513888888888902</v>
      </c>
      <c r="H17" s="21">
        <v>0.57430555555555596</v>
      </c>
      <c r="I17" s="22">
        <v>0.50694444444444398</v>
      </c>
      <c r="J17" s="245">
        <v>0.44791666666666702</v>
      </c>
    </row>
    <row r="18" spans="2:10" ht="17.25" customHeight="1">
      <c r="B18" s="477" t="s">
        <v>102</v>
      </c>
      <c r="C18" s="330" t="s">
        <v>36</v>
      </c>
      <c r="D18" s="358">
        <f>'0206'!Z15</f>
        <v>0</v>
      </c>
      <c r="E18" s="359">
        <f>'0206'!Z26</f>
        <v>0</v>
      </c>
      <c r="F18" s="359">
        <f>'0206'!Z37</f>
        <v>0</v>
      </c>
      <c r="G18" s="360">
        <f>'0206'!Z48</f>
        <v>0</v>
      </c>
      <c r="H18" s="360">
        <f>'0206'!Z58</f>
        <v>0</v>
      </c>
      <c r="I18" s="359">
        <f>'0206'!Z69</f>
        <v>1</v>
      </c>
      <c r="J18" s="359">
        <f>'0206'!AA79</f>
        <v>0</v>
      </c>
    </row>
    <row r="19" spans="2:10" ht="17.25" customHeight="1">
      <c r="B19" s="478"/>
      <c r="C19" s="330" t="s">
        <v>37</v>
      </c>
      <c r="D19" s="358">
        <f>'0206'!AA15</f>
        <v>0</v>
      </c>
      <c r="E19" s="359">
        <f>'0206'!AA26</f>
        <v>0</v>
      </c>
      <c r="F19" s="359">
        <f>'0206'!AA37</f>
        <v>0</v>
      </c>
      <c r="G19" s="360">
        <f>'0206'!AA48</f>
        <v>0</v>
      </c>
      <c r="H19" s="360">
        <f>'0206'!AA58</f>
        <v>0</v>
      </c>
      <c r="I19" s="359">
        <f>'0206'!AA69</f>
        <v>5</v>
      </c>
      <c r="J19" s="359">
        <f>'0206'!AB79</f>
        <v>0</v>
      </c>
    </row>
    <row r="20" spans="2:10" ht="17.25" customHeight="1">
      <c r="B20" s="477" t="s">
        <v>103</v>
      </c>
      <c r="C20" s="330" t="s">
        <v>36</v>
      </c>
      <c r="D20" s="358">
        <f>'0206'!AD15</f>
        <v>0</v>
      </c>
      <c r="E20" s="359">
        <f>'0206'!AD26</f>
        <v>1</v>
      </c>
      <c r="F20" s="359">
        <f>'0206'!AD37</f>
        <v>0</v>
      </c>
      <c r="G20" s="360">
        <f>'0206'!AD48</f>
        <v>0</v>
      </c>
      <c r="H20" s="360">
        <f>'0206'!AD58</f>
        <v>1</v>
      </c>
      <c r="I20" s="359">
        <f>'0206'!AD69</f>
        <v>0</v>
      </c>
      <c r="J20" s="359">
        <f>'0206'!AD79</f>
        <v>0</v>
      </c>
    </row>
    <row r="21" spans="2:10" ht="17.25" customHeight="1">
      <c r="B21" s="478"/>
      <c r="C21" s="330" t="s">
        <v>85</v>
      </c>
      <c r="D21" s="358">
        <f>'0206'!AE15</f>
        <v>0</v>
      </c>
      <c r="E21" s="359">
        <f>'0206'!AE26</f>
        <v>1</v>
      </c>
      <c r="F21" s="359">
        <f>'0206'!AE37</f>
        <v>0</v>
      </c>
      <c r="G21" s="360">
        <f>'0206'!AE48</f>
        <v>0</v>
      </c>
      <c r="H21" s="360">
        <f>'0206'!AE58</f>
        <v>1</v>
      </c>
      <c r="I21" s="359">
        <f>'0206'!AE69</f>
        <v>0</v>
      </c>
      <c r="J21" s="359">
        <f>'0206'!AE79</f>
        <v>0</v>
      </c>
    </row>
    <row r="22" spans="2:10" ht="17.25" customHeight="1">
      <c r="B22" s="460" t="s">
        <v>104</v>
      </c>
      <c r="C22" s="461"/>
      <c r="D22" s="23">
        <f>VALUE('0206'!M15)</f>
        <v>14</v>
      </c>
      <c r="E22" s="23">
        <f>VALUE('0206'!M26)</f>
        <v>11.666666666666666</v>
      </c>
      <c r="F22" s="23">
        <f>VALUE('0206'!M37)</f>
        <v>15.25</v>
      </c>
      <c r="G22" s="23">
        <f>VALUE('0206'!M48)</f>
        <v>16</v>
      </c>
      <c r="H22" s="23">
        <f>VALUE('0206'!M58)</f>
        <v>16.75</v>
      </c>
      <c r="I22" s="23">
        <f>VALUE('0206'!M69)</f>
        <v>12.333333333333334</v>
      </c>
      <c r="J22" s="23">
        <f>'0206'!M79</f>
        <v>10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A881-FDB7-40A3-84BC-141F5F9E0513}">
  <sheetPr codeName="工作表16">
    <tabColor theme="9" tint="0.79998168889431442"/>
  </sheetPr>
  <dimension ref="A1:AJ92"/>
  <sheetViews>
    <sheetView zoomScale="69" zoomScaleNormal="69" workbookViewId="0">
      <pane xSplit="5" ySplit="4" topLeftCell="O35" activePane="bottomRight" state="frozen"/>
      <selection activeCell="AB70" sqref="AB70:AC70"/>
      <selection pane="topRight" activeCell="AB70" sqref="AB70:AC70"/>
      <selection pane="bottomLeft" activeCell="AB70" sqref="AB70:AC70"/>
      <selection pane="bottomRight" activeCell="Y31" sqref="Y3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45329</v>
      </c>
      <c r="F1" s="30" t="s">
        <v>2</v>
      </c>
      <c r="G1" s="31">
        <f>SUM(H5:H79)</f>
        <v>2167149.79</v>
      </c>
      <c r="H1" s="32" t="s">
        <v>3</v>
      </c>
      <c r="I1" s="33">
        <f>M15+M26+M48+M58+M69+M79+M37</f>
        <v>96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153</v>
      </c>
      <c r="B2" s="374"/>
      <c r="C2" s="28"/>
      <c r="D2" s="28" t="s">
        <v>14</v>
      </c>
      <c r="E2" s="35">
        <f>AVERAGE(O15,O26,O37,O48,O58,O69,O79)</f>
        <v>105.54816704895407</v>
      </c>
      <c r="F2" s="36" t="s">
        <v>15</v>
      </c>
      <c r="G2" s="37">
        <f>G1/E1</f>
        <v>47.809344790310838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1</v>
      </c>
      <c r="AA2" s="339">
        <f>AA15+AA26+AA37+AA48+AA58+AA69+AA79</f>
        <v>5</v>
      </c>
      <c r="AB2" s="370"/>
      <c r="AC2" s="370"/>
      <c r="AD2" s="340">
        <f>AD15+AD26+AD37+AD48+AD58+AD69+AD79</f>
        <v>2</v>
      </c>
      <c r="AE2" s="340">
        <f>AE15+AE26+AE37+AE48+AE58+AE69+AE79</f>
        <v>2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57.21</v>
      </c>
      <c r="G5" s="42">
        <v>1070</v>
      </c>
      <c r="H5" s="43">
        <f>F5*G5</f>
        <v>61214.700000000004</v>
      </c>
      <c r="I5" s="44"/>
      <c r="J5" s="45">
        <f>VLOOKUP(D5,產線配置圖!$A$3:$C$39,2,0)</f>
        <v>17</v>
      </c>
      <c r="K5" s="46">
        <f>VLOOKUP(D5,產線配置圖!$A$3:$C$39,3,0)</f>
        <v>2000</v>
      </c>
      <c r="L5" s="47">
        <f t="shared" ref="L5:L8" si="0">K5/J5</f>
        <v>117.64705882352941</v>
      </c>
      <c r="M5" s="48">
        <v>15</v>
      </c>
      <c r="N5" s="46">
        <f t="shared" ref="N5:N8" si="1">G5/W5*60</f>
        <v>1689.4736842105217</v>
      </c>
      <c r="O5" s="47">
        <f t="shared" ref="O5:O8" si="2">N5/M5</f>
        <v>112.63157894736811</v>
      </c>
      <c r="P5" s="49">
        <f t="shared" ref="P5:P8" si="3">M5-J5</f>
        <v>-2</v>
      </c>
      <c r="Q5" s="50">
        <f t="shared" ref="Q5:Q8" si="4">O5-L5</f>
        <v>-5.0154798761612938</v>
      </c>
      <c r="R5" s="51">
        <f t="shared" ref="R5:R8" si="5">O5/L5</f>
        <v>0.95736842105262898</v>
      </c>
      <c r="S5" s="424">
        <f>R15</f>
        <v>0.97010900498425157</v>
      </c>
      <c r="T5" s="319">
        <v>0.32361111111111102</v>
      </c>
      <c r="U5" s="320">
        <v>0.35</v>
      </c>
      <c r="V5" s="53"/>
      <c r="W5" s="54">
        <f t="shared" ref="W5:W14" si="6">(U5-T5)*24*60</f>
        <v>38.000000000000107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11" si="7">N5-K5</f>
        <v>-310.5263157894783</v>
      </c>
      <c r="AG5" s="52">
        <f t="shared" ref="AG5:AG11" si="8">N5/K5</f>
        <v>0.8447368421052609</v>
      </c>
      <c r="AH5" s="403">
        <f>AG15</f>
        <v>0.94103829284750506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1958</v>
      </c>
      <c r="H6" s="63">
        <f>F6*G6</f>
        <v>110196.24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1780.0000000000127</v>
      </c>
      <c r="O6" s="67">
        <f t="shared" si="2"/>
        <v>118.66666666666751</v>
      </c>
      <c r="P6" s="69">
        <f t="shared" si="3"/>
        <v>0</v>
      </c>
      <c r="Q6" s="70">
        <f t="shared" si="4"/>
        <v>-1.3333333333324902</v>
      </c>
      <c r="R6" s="71">
        <f t="shared" si="5"/>
        <v>0.98888888888889592</v>
      </c>
      <c r="S6" s="425"/>
      <c r="T6" s="16">
        <v>0.35555555555555601</v>
      </c>
      <c r="U6" s="16">
        <v>0.40138888888888902</v>
      </c>
      <c r="V6" s="30">
        <f>(T6-U5)*24*60</f>
        <v>8.000000000000691</v>
      </c>
      <c r="W6" s="73">
        <f t="shared" si="6"/>
        <v>65.999999999999531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-19.999999999987267</v>
      </c>
      <c r="AG6" s="72">
        <f t="shared" si="8"/>
        <v>0.98888888888889592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3139</v>
      </c>
      <c r="H7" s="78">
        <f>F7*G7</f>
        <v>154250.46</v>
      </c>
      <c r="I7" s="73"/>
      <c r="J7" s="79">
        <f>VLOOKUP(D7,產線配置圖!$A$3:$C$39,2,0)</f>
        <v>13</v>
      </c>
      <c r="K7" s="80">
        <f>VLOOKUP(D7,產線配置圖!$A$3:$C$39,3,0)</f>
        <v>2000</v>
      </c>
      <c r="L7" s="81">
        <f t="shared" si="0"/>
        <v>153.84615384615384</v>
      </c>
      <c r="M7" s="82">
        <v>13</v>
      </c>
      <c r="N7" s="80">
        <f t="shared" si="1"/>
        <v>1961.8749999999889</v>
      </c>
      <c r="O7" s="81">
        <f t="shared" si="2"/>
        <v>150.91346153846069</v>
      </c>
      <c r="P7" s="74">
        <f t="shared" si="3"/>
        <v>0</v>
      </c>
      <c r="Q7" s="83">
        <f t="shared" si="4"/>
        <v>-2.932692307693145</v>
      </c>
      <c r="R7" s="72">
        <f t="shared" si="5"/>
        <v>0.98093749999999458</v>
      </c>
      <c r="S7" s="425"/>
      <c r="T7" s="18">
        <v>0.41249999999999998</v>
      </c>
      <c r="U7" s="18">
        <v>0.47916666666666702</v>
      </c>
      <c r="V7" s="30">
        <f>(T7-U6)*24*60</f>
        <v>15.999999999999783</v>
      </c>
      <c r="W7" s="73">
        <f t="shared" si="6"/>
        <v>96.00000000000054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-38.125000000011141</v>
      </c>
      <c r="AG7" s="72">
        <f t="shared" si="8"/>
        <v>0.98093749999999447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2036</v>
      </c>
      <c r="H8" s="78">
        <f>F8*G8</f>
        <v>100049.04000000001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1908.7500000000164</v>
      </c>
      <c r="O8" s="81">
        <f t="shared" si="2"/>
        <v>146.82692307692434</v>
      </c>
      <c r="P8" s="74">
        <f t="shared" si="3"/>
        <v>0</v>
      </c>
      <c r="Q8" s="83">
        <f t="shared" si="4"/>
        <v>-7.0192307692294946</v>
      </c>
      <c r="R8" s="72">
        <f t="shared" si="5"/>
        <v>0.9543750000000083</v>
      </c>
      <c r="S8" s="425"/>
      <c r="T8" s="16">
        <v>0.54027777777777797</v>
      </c>
      <c r="U8" s="16">
        <v>0.58472222222222203</v>
      </c>
      <c r="V8" s="30">
        <f>(T8-U7)*24*60</f>
        <v>87.999999999999773</v>
      </c>
      <c r="W8" s="73">
        <f t="shared" si="6"/>
        <v>63.999999999999453</v>
      </c>
      <c r="X8" s="22">
        <v>0.48611111111111099</v>
      </c>
      <c r="Y8" s="84">
        <v>0.52777777777777801</v>
      </c>
      <c r="Z8" s="90"/>
      <c r="AA8" s="90"/>
      <c r="AB8" s="407"/>
      <c r="AC8" s="407"/>
      <c r="AD8" s="149"/>
      <c r="AE8" s="149"/>
      <c r="AF8" s="307">
        <f t="shared" si="7"/>
        <v>-91.249999999983629</v>
      </c>
      <c r="AG8" s="72">
        <f t="shared" si="8"/>
        <v>0.95437500000000819</v>
      </c>
      <c r="AH8" s="404"/>
    </row>
    <row r="9" spans="1:34" ht="15" customHeight="1">
      <c r="A9" s="42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6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0</v>
      </c>
      <c r="AG9" s="72" t="e">
        <f t="shared" si="8"/>
        <v>#DIV/0!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9">AVERAGE(J5:J14)</f>
        <v>14.5</v>
      </c>
      <c r="K15" s="120">
        <f t="shared" si="9"/>
        <v>1950</v>
      </c>
      <c r="L15" s="117">
        <f t="shared" si="9"/>
        <v>136.33484162895925</v>
      </c>
      <c r="M15" s="120">
        <f t="shared" si="9"/>
        <v>14</v>
      </c>
      <c r="N15" s="120">
        <f t="shared" si="9"/>
        <v>1835.0246710526349</v>
      </c>
      <c r="O15" s="117">
        <f t="shared" si="9"/>
        <v>132.25965755735518</v>
      </c>
      <c r="P15" s="121">
        <f t="shared" ref="P15:P21" si="10">M15-J15</f>
        <v>-0.5</v>
      </c>
      <c r="Q15" s="122">
        <f t="shared" ref="Q15:Q21" si="11">O15-L15</f>
        <v>-4.0751840716040704</v>
      </c>
      <c r="R15" s="123">
        <f t="shared" ref="R15:R21" si="12">O15/L15</f>
        <v>0.97010900498425157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3">N15-K15</f>
        <v>-114.97532894736514</v>
      </c>
      <c r="AG15" s="124">
        <f t="shared" ref="AG15:AG19" si="14">N15/K15</f>
        <v>0.94103829284750506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1540</v>
      </c>
      <c r="H16" s="134">
        <f>F16*G16</f>
        <v>88103.4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21" si="15">K16/J16</f>
        <v>175.41666666666666</v>
      </c>
      <c r="M16" s="139">
        <v>12</v>
      </c>
      <c r="N16" s="140">
        <f t="shared" ref="N16:N21" si="16">G16/W16*60</f>
        <v>2053.3333333333335</v>
      </c>
      <c r="O16" s="141">
        <f>N16/M16</f>
        <v>171.11111111111111</v>
      </c>
      <c r="P16" s="142">
        <f>M16-J16</f>
        <v>0</v>
      </c>
      <c r="Q16" s="143">
        <f t="shared" si="11"/>
        <v>-4.3055555555555429</v>
      </c>
      <c r="R16" s="144">
        <f>O16/L16</f>
        <v>0.97545526524148862</v>
      </c>
      <c r="S16" s="417">
        <f>R26</f>
        <v>0.96527260308854379</v>
      </c>
      <c r="T16" s="145">
        <v>0.29097222222222202</v>
      </c>
      <c r="U16" s="145">
        <v>0.32222222222222202</v>
      </c>
      <c r="V16" s="135"/>
      <c r="W16" s="146">
        <f t="shared" ref="W16:W78" si="17">(U16-T16)*24*60</f>
        <v>45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3"/>
        <v>-51.666666666666515</v>
      </c>
      <c r="AG16" s="52">
        <f t="shared" si="14"/>
        <v>0.97545526524148862</v>
      </c>
      <c r="AH16" s="403">
        <f>AG26</f>
        <v>0.96559864550120456</v>
      </c>
    </row>
    <row r="17" spans="1:34" ht="15" customHeight="1">
      <c r="A17" s="414"/>
      <c r="B17" s="75" t="s">
        <v>81</v>
      </c>
      <c r="C17" s="76"/>
      <c r="D17" s="59" t="s">
        <v>116</v>
      </c>
      <c r="E17" s="77"/>
      <c r="F17" s="75">
        <f>VLOOKUP(D17,廠價表!$C$1:$E$41,3,0)</f>
        <v>57.21</v>
      </c>
      <c r="G17" s="147">
        <v>651</v>
      </c>
      <c r="H17" s="78">
        <f>F17*G17</f>
        <v>37243.71</v>
      </c>
      <c r="I17" s="30"/>
      <c r="J17" s="79">
        <f>VLOOKUP(D17,產線配置圖!$A$3:$C$39,2,0)</f>
        <v>12</v>
      </c>
      <c r="K17" s="80">
        <f>VLOOKUP(D17,產線配置圖!$A$3:$C$39,3,0)</f>
        <v>2105</v>
      </c>
      <c r="L17" s="81">
        <f t="shared" si="15"/>
        <v>175.41666666666666</v>
      </c>
      <c r="M17" s="148">
        <v>12</v>
      </c>
      <c r="N17" s="95">
        <f>G17/W17*60</f>
        <v>2055.7894736842782</v>
      </c>
      <c r="O17" s="96">
        <f t="shared" ref="O17:O21" si="18">N17/M17</f>
        <v>171.31578947368985</v>
      </c>
      <c r="P17" s="97">
        <f t="shared" si="10"/>
        <v>0</v>
      </c>
      <c r="Q17" s="98">
        <f t="shared" si="11"/>
        <v>-4.1008771929768102</v>
      </c>
      <c r="R17" s="99">
        <f t="shared" si="12"/>
        <v>0.97662207775975218</v>
      </c>
      <c r="S17" s="418"/>
      <c r="T17" s="19">
        <v>0.32638888888888901</v>
      </c>
      <c r="U17" s="19">
        <v>0.33958333333333302</v>
      </c>
      <c r="V17" s="30">
        <f>(T17-U16)*24*60</f>
        <v>6.0000000000004583</v>
      </c>
      <c r="W17" s="149">
        <f t="shared" si="17"/>
        <v>18.999999999999375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3"/>
        <v>-49.210526315721836</v>
      </c>
      <c r="AG17" s="72">
        <f t="shared" si="14"/>
        <v>0.97662207775975207</v>
      </c>
      <c r="AH17" s="404"/>
    </row>
    <row r="18" spans="1:34" ht="15" customHeight="1">
      <c r="A18" s="414"/>
      <c r="B18" s="75" t="s">
        <v>81</v>
      </c>
      <c r="C18" s="76"/>
      <c r="D18" s="59" t="s">
        <v>118</v>
      </c>
      <c r="E18" s="77"/>
      <c r="F18" s="75">
        <f>VLOOKUP(D18,廠價表!$C$1:$E$41,3,0)</f>
        <v>50.67</v>
      </c>
      <c r="G18" s="147">
        <v>3129</v>
      </c>
      <c r="H18" s="78">
        <f>F18*G18</f>
        <v>158546.43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5"/>
        <v>166.66666666666666</v>
      </c>
      <c r="M18" s="148">
        <v>12</v>
      </c>
      <c r="N18" s="95">
        <f t="shared" si="16"/>
        <v>1976.2105263157666</v>
      </c>
      <c r="O18" s="96">
        <f t="shared" si="18"/>
        <v>164.68421052631388</v>
      </c>
      <c r="P18" s="97">
        <f t="shared" si="10"/>
        <v>0</v>
      </c>
      <c r="Q18" s="98">
        <f t="shared" si="11"/>
        <v>-1.9824561403527809</v>
      </c>
      <c r="R18" s="99">
        <f t="shared" si="12"/>
        <v>0.98810526315788327</v>
      </c>
      <c r="S18" s="418"/>
      <c r="T18" s="19">
        <v>0.34583333333333299</v>
      </c>
      <c r="U18" s="19">
        <v>0.41180555555555598</v>
      </c>
      <c r="V18" s="30">
        <f>(T18-U17)*24*60</f>
        <v>8.999999999999968</v>
      </c>
      <c r="W18" s="149">
        <f t="shared" si="17"/>
        <v>95.000000000001108</v>
      </c>
      <c r="X18" s="22"/>
      <c r="Y18" s="84"/>
      <c r="Z18" s="90"/>
      <c r="AA18" s="90"/>
      <c r="AB18" s="395"/>
      <c r="AC18" s="395"/>
      <c r="AD18" s="92"/>
      <c r="AE18" s="92"/>
      <c r="AF18" s="307">
        <f t="shared" si="13"/>
        <v>-23.789473684233371</v>
      </c>
      <c r="AG18" s="72">
        <f t="shared" si="14"/>
        <v>0.98810526315788327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2388</v>
      </c>
      <c r="H19" s="78">
        <f t="shared" ref="H19:H21" si="19">F19*G19</f>
        <v>120331.32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5"/>
        <v>181.81818181818181</v>
      </c>
      <c r="M19" s="148">
        <v>11</v>
      </c>
      <c r="N19" s="95">
        <f t="shared" si="16"/>
        <v>1836.9230769230667</v>
      </c>
      <c r="O19" s="96">
        <f t="shared" si="18"/>
        <v>166.99300699300605</v>
      </c>
      <c r="P19" s="97">
        <f t="shared" si="10"/>
        <v>0</v>
      </c>
      <c r="Q19" s="98">
        <f t="shared" si="11"/>
        <v>-14.825174825175765</v>
      </c>
      <c r="R19" s="99">
        <f t="shared" si="12"/>
        <v>0.91846153846153333</v>
      </c>
      <c r="S19" s="418"/>
      <c r="T19" s="19">
        <v>0.42013888888888901</v>
      </c>
      <c r="U19" s="19">
        <v>0.47430555555555598</v>
      </c>
      <c r="V19" s="30">
        <f>(T19-U18)*24*60</f>
        <v>11.999999999999558</v>
      </c>
      <c r="W19" s="149">
        <f t="shared" si="17"/>
        <v>78.000000000000441</v>
      </c>
      <c r="X19" s="22"/>
      <c r="Y19" s="84"/>
      <c r="Z19" s="90"/>
      <c r="AA19" s="90"/>
      <c r="AB19" s="407" t="s">
        <v>120</v>
      </c>
      <c r="AC19" s="407"/>
      <c r="AD19" s="149">
        <v>1</v>
      </c>
      <c r="AE19" s="149">
        <v>1</v>
      </c>
      <c r="AF19" s="307">
        <f t="shared" si="13"/>
        <v>-163.07692307693333</v>
      </c>
      <c r="AG19" s="72">
        <f t="shared" si="14"/>
        <v>0.91846153846153333</v>
      </c>
      <c r="AH19" s="405"/>
    </row>
    <row r="20" spans="1:34" ht="15" customHeight="1">
      <c r="A20" s="414"/>
      <c r="B20" s="75" t="s">
        <v>81</v>
      </c>
      <c r="C20" s="76"/>
      <c r="D20" s="59" t="s">
        <v>119</v>
      </c>
      <c r="E20" s="77"/>
      <c r="F20" s="75">
        <f>VLOOKUP(D20,廠價表!$C$1:$E$41,3,0)</f>
        <v>50.39</v>
      </c>
      <c r="G20" s="147">
        <v>1881</v>
      </c>
      <c r="H20" s="78">
        <f t="shared" si="19"/>
        <v>94783.59</v>
      </c>
      <c r="I20" s="30"/>
      <c r="J20" s="79">
        <f>VLOOKUP(D20,產線配置圖!$A$3:$C$39,2,0)</f>
        <v>11</v>
      </c>
      <c r="K20" s="80">
        <f>VLOOKUP(D20,產線配置圖!$A$3:$C$39,3,0)</f>
        <v>2000</v>
      </c>
      <c r="L20" s="81">
        <f t="shared" si="15"/>
        <v>181.81818181818181</v>
      </c>
      <c r="M20" s="148">
        <v>11</v>
      </c>
      <c r="N20" s="95">
        <f t="shared" si="16"/>
        <v>1980.0000000000127</v>
      </c>
      <c r="O20" s="96">
        <f t="shared" si="18"/>
        <v>180.00000000000117</v>
      </c>
      <c r="P20" s="97">
        <f t="shared" si="10"/>
        <v>0</v>
      </c>
      <c r="Q20" s="98">
        <f t="shared" si="11"/>
        <v>-1.8181818181806477</v>
      </c>
      <c r="R20" s="99">
        <f t="shared" si="12"/>
        <v>0.99000000000000643</v>
      </c>
      <c r="S20" s="418"/>
      <c r="T20" s="19">
        <v>0.54166666666666696</v>
      </c>
      <c r="U20" s="19">
        <v>0.58125000000000004</v>
      </c>
      <c r="V20" s="30">
        <f>(T20-U19)*24*60</f>
        <v>96.999999999999815</v>
      </c>
      <c r="W20" s="149">
        <f t="shared" si="17"/>
        <v>56.999999999999638</v>
      </c>
      <c r="X20" s="22">
        <v>0.48611111111111099</v>
      </c>
      <c r="Y20" s="84">
        <v>0.52777777777777801</v>
      </c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 t="s">
        <v>81</v>
      </c>
      <c r="C21" s="76"/>
      <c r="D21" s="59" t="s">
        <v>116</v>
      </c>
      <c r="E21" s="77"/>
      <c r="F21" s="75">
        <f>VLOOKUP(D21,廠價表!$C$1:$E$41,3,0)</f>
        <v>57.21</v>
      </c>
      <c r="G21" s="147">
        <v>1094</v>
      </c>
      <c r="H21" s="78">
        <f t="shared" si="19"/>
        <v>62587.74</v>
      </c>
      <c r="I21" s="30"/>
      <c r="J21" s="79">
        <f>VLOOKUP(D21,產線配置圖!$A$3:$C$39,2,0)</f>
        <v>12</v>
      </c>
      <c r="K21" s="80">
        <f>VLOOKUP(D21,產線配置圖!$A$3:$C$39,3,0)</f>
        <v>2105</v>
      </c>
      <c r="L21" s="81">
        <f t="shared" si="15"/>
        <v>175.41666666666666</v>
      </c>
      <c r="M21" s="148">
        <v>12</v>
      </c>
      <c r="N21" s="95">
        <f t="shared" si="16"/>
        <v>1989.0909090908774</v>
      </c>
      <c r="O21" s="96">
        <f t="shared" si="18"/>
        <v>165.75757575757311</v>
      </c>
      <c r="P21" s="97">
        <f t="shared" si="10"/>
        <v>0</v>
      </c>
      <c r="Q21" s="98">
        <f t="shared" si="11"/>
        <v>-9.6590909090935497</v>
      </c>
      <c r="R21" s="99">
        <f t="shared" si="12"/>
        <v>0.94493629885552366</v>
      </c>
      <c r="S21" s="418"/>
      <c r="T21" s="19">
        <v>0.59722222222222199</v>
      </c>
      <c r="U21" s="19">
        <v>0.62013888888888902</v>
      </c>
      <c r="V21" s="30">
        <f>(T21-U20)*24*60</f>
        <v>22.999999999999599</v>
      </c>
      <c r="W21" s="149">
        <f t="shared" si="17"/>
        <v>33.000000000000526</v>
      </c>
      <c r="X21" s="19">
        <v>0.58333333333333304</v>
      </c>
      <c r="Y21" s="297">
        <v>0.59027777777777801</v>
      </c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7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20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20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1">AVERAGE(J16:J25)</f>
        <v>11.666666666666666</v>
      </c>
      <c r="K26" s="155">
        <f t="shared" si="21"/>
        <v>2052.5</v>
      </c>
      <c r="L26" s="158">
        <f t="shared" si="21"/>
        <v>176.09217171717171</v>
      </c>
      <c r="M26" s="155">
        <f t="shared" si="21"/>
        <v>11.666666666666666</v>
      </c>
      <c r="N26" s="155">
        <f t="shared" si="21"/>
        <v>1981.8912198912224</v>
      </c>
      <c r="O26" s="158">
        <f t="shared" si="21"/>
        <v>169.97694897694919</v>
      </c>
      <c r="P26" s="159">
        <f t="shared" ref="P26:P30" si="22">M26-J26</f>
        <v>0</v>
      </c>
      <c r="Q26" s="160">
        <f t="shared" ref="Q26:Q30" si="23">O26-L26</f>
        <v>-6.1152227402225208</v>
      </c>
      <c r="R26" s="161">
        <f>O26/L26</f>
        <v>0.96527260308854379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1</v>
      </c>
      <c r="AE26" s="323">
        <f>SUM(AE16:AE25)</f>
        <v>1</v>
      </c>
      <c r="AF26" s="309">
        <f t="shared" ref="AF26:AF31" si="24">N26-K26</f>
        <v>-70.608780108777637</v>
      </c>
      <c r="AG26" s="124">
        <f t="shared" ref="AG26:AG31" si="25">N26/K26</f>
        <v>0.96559864550120456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1636</v>
      </c>
      <c r="H27" s="134">
        <f>F27*G27</f>
        <v>93742.799999999988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30" si="26">K27/J27</f>
        <v>88.235294117647058</v>
      </c>
      <c r="M27" s="170">
        <v>17</v>
      </c>
      <c r="N27" s="140">
        <f>G27/W27*60</f>
        <v>1487.2727272727377</v>
      </c>
      <c r="O27" s="141">
        <f>N27/M27</f>
        <v>87.48663101604339</v>
      </c>
      <c r="P27" s="142">
        <f t="shared" si="22"/>
        <v>0</v>
      </c>
      <c r="Q27" s="143">
        <f t="shared" si="23"/>
        <v>-0.74866310160366822</v>
      </c>
      <c r="R27" s="144">
        <f>O27/L27</f>
        <v>0.99151515151515845</v>
      </c>
      <c r="S27" s="417">
        <f>R37</f>
        <v>0.92749518575835932</v>
      </c>
      <c r="T27" s="171">
        <v>0.29166666666666702</v>
      </c>
      <c r="U27" s="171">
        <v>0.33750000000000002</v>
      </c>
      <c r="V27" s="135"/>
      <c r="W27" s="146">
        <f t="shared" si="17"/>
        <v>65.999999999999531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4"/>
        <v>-12.727272727262289</v>
      </c>
      <c r="AG27" s="172">
        <f t="shared" si="25"/>
        <v>0.99151515151515845</v>
      </c>
      <c r="AH27" s="403">
        <f>AG37</f>
        <v>0.86247953012001632</v>
      </c>
    </row>
    <row r="28" spans="1:34" ht="15" customHeight="1">
      <c r="A28" s="430"/>
      <c r="B28" s="75" t="s">
        <v>81</v>
      </c>
      <c r="C28" s="173"/>
      <c r="D28" s="59" t="s">
        <v>122</v>
      </c>
      <c r="E28" s="104"/>
      <c r="F28" s="75">
        <f>VLOOKUP(D28,廠價表!$C$1:$E$41,3,0)</f>
        <v>55.13</v>
      </c>
      <c r="G28" s="90">
        <v>1090</v>
      </c>
      <c r="H28" s="91">
        <f>F28*G28</f>
        <v>60091.700000000004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6"/>
        <v>81.470588235294116</v>
      </c>
      <c r="M28" s="94">
        <v>14</v>
      </c>
      <c r="N28" s="95">
        <f>G28/W28*60</f>
        <v>1090.0000000000168</v>
      </c>
      <c r="O28" s="96">
        <f>N28/M28</f>
        <v>77.857142857144055</v>
      </c>
      <c r="P28" s="97">
        <f t="shared" si="22"/>
        <v>-3</v>
      </c>
      <c r="Q28" s="98">
        <f t="shared" si="23"/>
        <v>-3.6134453781500611</v>
      </c>
      <c r="R28" s="99">
        <f t="shared" ref="R28:R30" si="27">O28/L28</f>
        <v>0.95564724084581154</v>
      </c>
      <c r="S28" s="418"/>
      <c r="T28" s="19">
        <v>0.343055555555556</v>
      </c>
      <c r="U28" s="19">
        <v>0.38472222222222202</v>
      </c>
      <c r="V28" s="92">
        <f>(T28-U27)*24*60</f>
        <v>8.0000000000006111</v>
      </c>
      <c r="W28" s="149">
        <f t="shared" si="17"/>
        <v>59.999999999999069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4"/>
        <v>-294.99999999998317</v>
      </c>
      <c r="AG28" s="99">
        <f t="shared" si="25"/>
        <v>0.78700361010831543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1575</v>
      </c>
      <c r="H29" s="91">
        <f>F29*G29</f>
        <v>77994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6"/>
        <v>96</v>
      </c>
      <c r="M29" s="94">
        <v>15</v>
      </c>
      <c r="N29" s="95">
        <f>G29/W29*60</f>
        <v>1277.0270270270246</v>
      </c>
      <c r="O29" s="96">
        <f>N29/M29</f>
        <v>85.135135135134973</v>
      </c>
      <c r="P29" s="97">
        <f t="shared" si="22"/>
        <v>0</v>
      </c>
      <c r="Q29" s="98">
        <f t="shared" si="23"/>
        <v>-10.864864864865027</v>
      </c>
      <c r="R29" s="99">
        <f t="shared" si="27"/>
        <v>0.88682432432432268</v>
      </c>
      <c r="S29" s="418"/>
      <c r="T29" s="19">
        <v>0.40347222222222201</v>
      </c>
      <c r="U29" s="19">
        <v>0.45486111111111099</v>
      </c>
      <c r="V29" s="92">
        <f>(T29-U28)*24*60</f>
        <v>26.999999999999986</v>
      </c>
      <c r="W29" s="149">
        <f t="shared" si="17"/>
        <v>74.000000000000142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4"/>
        <v>-162.97297297297541</v>
      </c>
      <c r="AG29" s="99">
        <f t="shared" si="25"/>
        <v>0.88682432432432268</v>
      </c>
      <c r="AH29" s="432"/>
    </row>
    <row r="30" spans="1:34" ht="15" customHeight="1">
      <c r="A30" s="430"/>
      <c r="B30" s="75" t="s">
        <v>123</v>
      </c>
      <c r="C30" s="88"/>
      <c r="D30" s="59" t="s">
        <v>128</v>
      </c>
      <c r="E30" s="89"/>
      <c r="F30" s="75">
        <f>VLOOKUP(D30,廠價表!$C$1:$E$41,3,0)</f>
        <v>44.3</v>
      </c>
      <c r="G30" s="90">
        <v>2124</v>
      </c>
      <c r="H30" s="91">
        <f>F30*G30</f>
        <v>94093.2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si="26"/>
        <v>84.705882352941174</v>
      </c>
      <c r="M30" s="94">
        <v>15</v>
      </c>
      <c r="N30" s="95">
        <f>G30/W30*60</f>
        <v>1117.8947368421154</v>
      </c>
      <c r="O30" s="96">
        <f>N30/M30</f>
        <v>74.526315789474367</v>
      </c>
      <c r="P30" s="97">
        <f t="shared" si="22"/>
        <v>-2</v>
      </c>
      <c r="Q30" s="98">
        <f t="shared" si="23"/>
        <v>-10.179566563466807</v>
      </c>
      <c r="R30" s="99">
        <f t="shared" si="27"/>
        <v>0.87982456140351684</v>
      </c>
      <c r="S30" s="418"/>
      <c r="T30" s="19">
        <v>0.52777777777777801</v>
      </c>
      <c r="U30" s="19">
        <v>0.60694444444444395</v>
      </c>
      <c r="V30" s="92">
        <f>(T30-U29)*24*60</f>
        <v>105.00000000000051</v>
      </c>
      <c r="W30" s="149">
        <f t="shared" si="17"/>
        <v>113.99999999999895</v>
      </c>
      <c r="X30" s="174">
        <v>0.46875</v>
      </c>
      <c r="Y30" s="301">
        <v>0.51041666666666696</v>
      </c>
      <c r="Z30" s="335"/>
      <c r="AA30" s="335"/>
      <c r="AB30" s="395"/>
      <c r="AC30" s="395"/>
      <c r="AD30" s="92"/>
      <c r="AE30" s="92"/>
      <c r="AF30" s="312">
        <f t="shared" si="24"/>
        <v>-322.10526315788456</v>
      </c>
      <c r="AG30" s="99">
        <f t="shared" si="25"/>
        <v>0.77631578947369129</v>
      </c>
      <c r="AH30" s="433"/>
    </row>
    <row r="31" spans="1:34" ht="15" customHeight="1">
      <c r="A31" s="43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8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4"/>
        <v>0</v>
      </c>
      <c r="AG31" s="99" t="e">
        <f t="shared" si="25"/>
        <v>#DIV/0!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28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29">AVERAGE(J27:J36)</f>
        <v>16.5</v>
      </c>
      <c r="K37" s="155">
        <f t="shared" si="29"/>
        <v>1441.25</v>
      </c>
      <c r="L37" s="158">
        <f t="shared" si="29"/>
        <v>87.60294117647058</v>
      </c>
      <c r="M37" s="155">
        <f t="shared" si="29"/>
        <v>15.25</v>
      </c>
      <c r="N37" s="155">
        <f t="shared" si="29"/>
        <v>1243.0486227854735</v>
      </c>
      <c r="O37" s="158">
        <f t="shared" si="29"/>
        <v>81.251306199449203</v>
      </c>
      <c r="P37" s="159">
        <f>M37-J37</f>
        <v>-1.25</v>
      </c>
      <c r="Q37" s="160">
        <f>N37-K37</f>
        <v>-198.20137721452647</v>
      </c>
      <c r="R37" s="161">
        <f t="shared" ref="R37:R40" si="30">O37/L37</f>
        <v>0.92749518575835932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1">N37-K37</f>
        <v>-198.20137721452647</v>
      </c>
      <c r="AG37" s="124">
        <f t="shared" ref="AG37:AG41" si="32">N37/K37</f>
        <v>0.86247953012001632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805</v>
      </c>
      <c r="H38" s="134">
        <f>F38*G38</f>
        <v>45426.15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33">K38/J38</f>
        <v>87.875</v>
      </c>
      <c r="M38" s="190">
        <v>14</v>
      </c>
      <c r="N38" s="140">
        <f>G38/W38*60</f>
        <v>1049.9999999999818</v>
      </c>
      <c r="O38" s="141">
        <f>N38/M38</f>
        <v>74.999999999998707</v>
      </c>
      <c r="P38" s="142">
        <f t="shared" ref="P38:P40" si="34">M38-J38</f>
        <v>-2</v>
      </c>
      <c r="Q38" s="143">
        <f t="shared" ref="Q38:Q40" si="35">O38-L38</f>
        <v>-12.875000000001293</v>
      </c>
      <c r="R38" s="144">
        <f>O38/L38</f>
        <v>0.85348506401136504</v>
      </c>
      <c r="S38" s="437">
        <f>R48</f>
        <v>0.93794537905565167</v>
      </c>
      <c r="T38" s="191">
        <v>0.33333333333333298</v>
      </c>
      <c r="U38" s="191">
        <v>0.36527777777777798</v>
      </c>
      <c r="V38" s="192"/>
      <c r="W38" s="193">
        <f t="shared" si="17"/>
        <v>46.000000000000796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1"/>
        <v>-356.00000000001819</v>
      </c>
      <c r="AG38" s="195">
        <f t="shared" si="32"/>
        <v>0.74679943100994439</v>
      </c>
      <c r="AH38" s="443">
        <f>AG48</f>
        <v>0.90562208505985009</v>
      </c>
    </row>
    <row r="39" spans="1:34" ht="15" customHeight="1">
      <c r="A39" s="435"/>
      <c r="B39" s="75" t="s">
        <v>123</v>
      </c>
      <c r="C39" s="197"/>
      <c r="D39" s="198" t="s">
        <v>127</v>
      </c>
      <c r="E39" s="176"/>
      <c r="F39" s="75">
        <f>VLOOKUP(D39,廠價表!$C$1:$E$41,3,0)</f>
        <v>49.91</v>
      </c>
      <c r="G39" s="199">
        <v>1860</v>
      </c>
      <c r="H39" s="91">
        <f>F39*G39</f>
        <v>92832.599999999991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3"/>
        <v>92.058823529411768</v>
      </c>
      <c r="M39" s="201">
        <v>17</v>
      </c>
      <c r="N39" s="202">
        <f>G39/W39*60</f>
        <v>1508.1081081081052</v>
      </c>
      <c r="O39" s="203">
        <f t="shared" ref="O39:O40" si="36">N39/M39</f>
        <v>88.712241653417948</v>
      </c>
      <c r="P39" s="97">
        <f t="shared" si="34"/>
        <v>0</v>
      </c>
      <c r="Q39" s="98">
        <f t="shared" si="35"/>
        <v>-3.3465818759938202</v>
      </c>
      <c r="R39" s="99">
        <f t="shared" si="30"/>
        <v>0.96364735342370933</v>
      </c>
      <c r="S39" s="438"/>
      <c r="T39" s="20">
        <v>0.37152777777777801</v>
      </c>
      <c r="U39" s="20">
        <v>0.422916666666667</v>
      </c>
      <c r="V39" s="92">
        <f>(T39-U38)*24*60</f>
        <v>9.000000000000048</v>
      </c>
      <c r="W39" s="205">
        <f t="shared" si="17"/>
        <v>74.000000000000142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1"/>
        <v>-56.891891891894829</v>
      </c>
      <c r="AG39" s="206">
        <f t="shared" si="32"/>
        <v>0.96364735342370933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2107</v>
      </c>
      <c r="H40" s="91">
        <f>F40*G40</f>
        <v>93340.099999999991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3"/>
        <v>84.705882352941174</v>
      </c>
      <c r="M40" s="201">
        <v>17</v>
      </c>
      <c r="N40" s="202">
        <f>G40/W40*60</f>
        <v>1436.5909090909115</v>
      </c>
      <c r="O40" s="203">
        <f t="shared" si="36"/>
        <v>84.505347593583025</v>
      </c>
      <c r="P40" s="97">
        <f t="shared" si="34"/>
        <v>0</v>
      </c>
      <c r="Q40" s="98">
        <f t="shared" si="35"/>
        <v>-0.20053475935814902</v>
      </c>
      <c r="R40" s="99">
        <f t="shared" si="30"/>
        <v>0.99763257575757736</v>
      </c>
      <c r="S40" s="425"/>
      <c r="T40" s="20">
        <v>0.43402777777777801</v>
      </c>
      <c r="U40" s="20">
        <v>0.49513888888888902</v>
      </c>
      <c r="V40" s="92">
        <f>(T40-U39)*24*60</f>
        <v>15.999999999999863</v>
      </c>
      <c r="W40" s="205">
        <f t="shared" si="17"/>
        <v>87.999999999999844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1"/>
        <v>-3.4090909090884907</v>
      </c>
      <c r="AG40" s="206">
        <f t="shared" si="32"/>
        <v>0.99763257575757747</v>
      </c>
      <c r="AH40" s="444"/>
    </row>
    <row r="41" spans="1:34" ht="15" customHeight="1">
      <c r="A41" s="43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5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95"/>
      <c r="AC41" s="395"/>
      <c r="AD41" s="92"/>
      <c r="AE41" s="92"/>
      <c r="AF41" s="314">
        <f t="shared" si="31"/>
        <v>0</v>
      </c>
      <c r="AG41" s="206" t="e">
        <f t="shared" si="32"/>
        <v>#DIV/0!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7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7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7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28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7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38">AVERAGE(J38:J47)</f>
        <v>16.666666666666668</v>
      </c>
      <c r="K48" s="155">
        <f t="shared" si="38"/>
        <v>1470.3333333333333</v>
      </c>
      <c r="L48" s="158">
        <f t="shared" si="38"/>
        <v>88.213235294117638</v>
      </c>
      <c r="M48" s="155">
        <f t="shared" si="38"/>
        <v>16</v>
      </c>
      <c r="N48" s="155">
        <f t="shared" si="38"/>
        <v>1331.5663390663328</v>
      </c>
      <c r="O48" s="158">
        <f t="shared" si="38"/>
        <v>82.739196415666555</v>
      </c>
      <c r="P48" s="221">
        <f>M48-J48</f>
        <v>-0.66666666666666785</v>
      </c>
      <c r="Q48" s="222">
        <f>N48-K48</f>
        <v>-138.76699426700043</v>
      </c>
      <c r="R48" s="223">
        <f>O48/L48</f>
        <v>0.93794537905565167</v>
      </c>
      <c r="S48" s="428"/>
      <c r="T48" s="224"/>
      <c r="U48" s="224"/>
      <c r="V48" s="225"/>
      <c r="W48" s="226">
        <f t="shared" si="37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39">N48-K48</f>
        <v>-138.76699426700043</v>
      </c>
      <c r="AG48" s="162">
        <f t="shared" ref="AG48:AG53" si="40">N48/K48</f>
        <v>0.90562208505985009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729</v>
      </c>
      <c r="H49" s="134">
        <f>F49*G49</f>
        <v>41458.229999999996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1">K49/J49</f>
        <v>86.944444444444443</v>
      </c>
      <c r="M49" s="170">
        <v>17</v>
      </c>
      <c r="N49" s="140">
        <f>G49/W49*60</f>
        <v>1366.8750000000152</v>
      </c>
      <c r="O49" s="141">
        <f>N49/M49</f>
        <v>80.404411764706779</v>
      </c>
      <c r="P49" s="229">
        <f>M49-J49</f>
        <v>-1</v>
      </c>
      <c r="Q49" s="230">
        <f>O49-L49</f>
        <v>-6.5400326797376636</v>
      </c>
      <c r="R49" s="52">
        <f>O49/L49</f>
        <v>0.92477917684646782</v>
      </c>
      <c r="S49" s="424">
        <f>R58</f>
        <v>0.8977592753277791</v>
      </c>
      <c r="T49" s="191">
        <v>0.29166666666666702</v>
      </c>
      <c r="U49" s="191">
        <v>0.31388888888888899</v>
      </c>
      <c r="V49" s="55"/>
      <c r="W49" s="193">
        <f t="shared" si="17"/>
        <v>31.999999999999645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39"/>
        <v>-198.12499999998477</v>
      </c>
      <c r="AG49" s="52">
        <f t="shared" si="40"/>
        <v>0.87340255591055282</v>
      </c>
      <c r="AH49" s="403">
        <f>AG58</f>
        <v>0.86053507828270193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2016</v>
      </c>
      <c r="H50" s="231">
        <f>F50*G50</f>
        <v>96183.360000000001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1"/>
        <v>90</v>
      </c>
      <c r="M50" s="233">
        <v>16</v>
      </c>
      <c r="N50" s="234">
        <f>G50/W50*60</f>
        <v>1185.8823529411659</v>
      </c>
      <c r="O50" s="235">
        <f>N50/M50</f>
        <v>74.117647058822868</v>
      </c>
      <c r="P50" s="74">
        <f>M50-J50</f>
        <v>0</v>
      </c>
      <c r="Q50" s="83">
        <f>O50-L50</f>
        <v>-15.882352941177132</v>
      </c>
      <c r="R50" s="72">
        <f>O50/L50</f>
        <v>0.82352941176469852</v>
      </c>
      <c r="S50" s="425"/>
      <c r="T50" s="21">
        <v>0.32083333333333303</v>
      </c>
      <c r="U50" s="21">
        <v>0.391666666666667</v>
      </c>
      <c r="V50" s="30">
        <f t="shared" ref="V50:V52" si="42">(T50-U49)*24*60</f>
        <v>9.9999999999994049</v>
      </c>
      <c r="W50" s="236">
        <f t="shared" si="17"/>
        <v>102.00000000000091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39"/>
        <v>-254.11764705883411</v>
      </c>
      <c r="AG50" s="72">
        <f t="shared" si="40"/>
        <v>0.82352941176469852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2516</v>
      </c>
      <c r="H51" s="231">
        <f>F51*G51</f>
        <v>125724.52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1"/>
        <v>88.888888888888886</v>
      </c>
      <c r="M51" s="233">
        <v>17</v>
      </c>
      <c r="N51" s="234">
        <f>G51/W51*60</f>
        <v>1424.1509433962294</v>
      </c>
      <c r="O51" s="235">
        <f>N51/M51</f>
        <v>83.773584905660556</v>
      </c>
      <c r="P51" s="74">
        <f>M51-J51</f>
        <v>-1</v>
      </c>
      <c r="Q51" s="83">
        <f>O51-L51</f>
        <v>-5.1153039832283298</v>
      </c>
      <c r="R51" s="72">
        <f>O51/L51</f>
        <v>0.94245283018868131</v>
      </c>
      <c r="S51" s="425"/>
      <c r="T51" s="21">
        <v>0.39861111111111103</v>
      </c>
      <c r="U51" s="19">
        <v>0.47222222222222199</v>
      </c>
      <c r="V51" s="30">
        <f t="shared" si="42"/>
        <v>9.9999999999994049</v>
      </c>
      <c r="W51" s="236">
        <f t="shared" si="17"/>
        <v>105.99999999999979</v>
      </c>
      <c r="X51" s="22"/>
      <c r="Y51" s="84"/>
      <c r="Z51" s="90"/>
      <c r="AA51" s="90"/>
      <c r="AB51" s="395" t="s">
        <v>154</v>
      </c>
      <c r="AC51" s="395"/>
      <c r="AD51" s="92">
        <v>1</v>
      </c>
      <c r="AE51" s="92">
        <v>1</v>
      </c>
      <c r="AF51" s="307">
        <f t="shared" si="39"/>
        <v>-175.84905660377058</v>
      </c>
      <c r="AG51" s="72">
        <f t="shared" si="40"/>
        <v>0.89009433962264339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1340</v>
      </c>
      <c r="H52" s="231">
        <f>F52*G52</f>
        <v>66959.8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1"/>
        <v>88.888888888888886</v>
      </c>
      <c r="M52" s="233">
        <v>17</v>
      </c>
      <c r="N52" s="234">
        <f>G52/W52*60</f>
        <v>1362.7118644067552</v>
      </c>
      <c r="O52" s="235">
        <f>N52/M52</f>
        <v>80.159521435691488</v>
      </c>
      <c r="P52" s="74">
        <f>M52-J52</f>
        <v>-1</v>
      </c>
      <c r="Q52" s="83">
        <f>O52-L52</f>
        <v>-8.7293674531973977</v>
      </c>
      <c r="R52" s="72">
        <f>O52/L52</f>
        <v>0.90179461615152923</v>
      </c>
      <c r="S52" s="425"/>
      <c r="T52" s="21">
        <v>0.53333333333333299</v>
      </c>
      <c r="U52" s="21">
        <v>0.57430555555555596</v>
      </c>
      <c r="V52" s="30">
        <f t="shared" si="42"/>
        <v>87.999999999999844</v>
      </c>
      <c r="W52" s="236">
        <f t="shared" si="17"/>
        <v>59.000000000001066</v>
      </c>
      <c r="X52" s="22">
        <v>0.47916666666666702</v>
      </c>
      <c r="Y52" s="84">
        <v>0.52083333333333304</v>
      </c>
      <c r="Z52" s="90"/>
      <c r="AA52" s="90"/>
      <c r="AB52" s="395"/>
      <c r="AC52" s="395"/>
      <c r="AD52" s="92"/>
      <c r="AE52" s="92"/>
      <c r="AF52" s="307">
        <f t="shared" si="39"/>
        <v>-237.28813559324476</v>
      </c>
      <c r="AG52" s="72">
        <f t="shared" si="40"/>
        <v>0.85169491525422203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39"/>
        <v>0</v>
      </c>
      <c r="AG53" s="72" t="e">
        <f t="shared" si="40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3">AVERAGE(J49:J57)</f>
        <v>17.5</v>
      </c>
      <c r="K58" s="120">
        <f t="shared" si="43"/>
        <v>1551.25</v>
      </c>
      <c r="L58" s="117">
        <f t="shared" si="43"/>
        <v>88.680555555555571</v>
      </c>
      <c r="M58" s="120">
        <f t="shared" si="43"/>
        <v>16.75</v>
      </c>
      <c r="N58" s="120">
        <f t="shared" si="43"/>
        <v>1334.9050401860413</v>
      </c>
      <c r="O58" s="117">
        <f t="shared" si="43"/>
        <v>79.613791291220423</v>
      </c>
      <c r="P58" s="121">
        <f>M58-J58</f>
        <v>-0.75</v>
      </c>
      <c r="Q58" s="122">
        <f>N58-K58</f>
        <v>-216.34495981395867</v>
      </c>
      <c r="R58" s="123">
        <f t="shared" ref="R58:R60" si="44">O58/L58</f>
        <v>0.8977592753277791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1</v>
      </c>
      <c r="AE58" s="323">
        <f>SUM(AE49:AE57)</f>
        <v>1</v>
      </c>
      <c r="AF58" s="309">
        <f t="shared" ref="AF58:AF61" si="45">N58-K58</f>
        <v>-216.34495981395867</v>
      </c>
      <c r="AG58" s="124">
        <f t="shared" ref="AG58:AG61" si="46">N58/K58</f>
        <v>0.86053507828270193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3017</v>
      </c>
      <c r="H59" s="243">
        <f>F59*G59</f>
        <v>81428.83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47">K59/J59</f>
        <v>120.38461538461539</v>
      </c>
      <c r="M59" s="244">
        <v>13</v>
      </c>
      <c r="N59" s="137">
        <f t="shared" ref="N59:N61" si="48">G59/W59*60</f>
        <v>1547.1794871794875</v>
      </c>
      <c r="O59" s="138">
        <f t="shared" ref="O59:O61" si="49">N59/M59</f>
        <v>119.01380670611442</v>
      </c>
      <c r="P59" s="56">
        <f t="shared" ref="P59:P61" si="50">M59-J59</f>
        <v>0</v>
      </c>
      <c r="Q59" s="230">
        <f t="shared" ref="Q59:Q61" si="51">O59-L59</f>
        <v>-1.3708086785009641</v>
      </c>
      <c r="R59" s="52">
        <f t="shared" si="44"/>
        <v>0.98861309084951277</v>
      </c>
      <c r="S59" s="424">
        <f>R69</f>
        <v>0.86089547412399603</v>
      </c>
      <c r="T59" s="245">
        <v>0.29027777777777802</v>
      </c>
      <c r="U59" s="245">
        <v>0.37152777777777801</v>
      </c>
      <c r="V59" s="55"/>
      <c r="W59" s="54">
        <f t="shared" si="17"/>
        <v>116.99999999999999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45"/>
        <v>-17.820512820512477</v>
      </c>
      <c r="AG59" s="246">
        <f t="shared" si="46"/>
        <v>0.98861309084951277</v>
      </c>
      <c r="AH59" s="403">
        <f>AG69</f>
        <v>0.86417028480926561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1208</v>
      </c>
      <c r="H60" s="78">
        <f>F60*G60</f>
        <v>34138.080000000002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7"/>
        <v>130.41666666666666</v>
      </c>
      <c r="M60" s="82">
        <v>12</v>
      </c>
      <c r="N60" s="80">
        <f t="shared" si="48"/>
        <v>1449.6000000000099</v>
      </c>
      <c r="O60" s="81">
        <f t="shared" si="49"/>
        <v>120.80000000000082</v>
      </c>
      <c r="P60" s="74">
        <f t="shared" si="50"/>
        <v>0</v>
      </c>
      <c r="Q60" s="83">
        <f t="shared" si="51"/>
        <v>-9.6166666666658358</v>
      </c>
      <c r="R60" s="72">
        <f t="shared" si="44"/>
        <v>0.92626198083067735</v>
      </c>
      <c r="S60" s="451"/>
      <c r="T60" s="22">
        <v>0.37847222222222199</v>
      </c>
      <c r="U60" s="22">
        <v>0.41319444444444398</v>
      </c>
      <c r="V60" s="30">
        <f t="shared" ref="V60:V61" si="52">(T60-U59)*24*60</f>
        <v>9.999999999999325</v>
      </c>
      <c r="W60" s="248">
        <f t="shared" si="17"/>
        <v>49.999999999999659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45"/>
        <v>-115.39999999999009</v>
      </c>
      <c r="AG60" s="249">
        <f t="shared" si="46"/>
        <v>0.92626198083067723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2121</v>
      </c>
      <c r="H61" s="254">
        <f>F61*G61</f>
        <v>59939.460000000006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7"/>
        <v>130.41666666666666</v>
      </c>
      <c r="M61" s="108">
        <v>12</v>
      </c>
      <c r="N61" s="107">
        <f t="shared" si="48"/>
        <v>1060.5000000000045</v>
      </c>
      <c r="O61" s="238">
        <f t="shared" si="49"/>
        <v>88.375000000000384</v>
      </c>
      <c r="P61" s="111">
        <f t="shared" si="50"/>
        <v>0</v>
      </c>
      <c r="Q61" s="255">
        <f t="shared" si="51"/>
        <v>-42.041666666666273</v>
      </c>
      <c r="R61" s="85">
        <f>O61/L61</f>
        <v>0.67763578274760683</v>
      </c>
      <c r="S61" s="425"/>
      <c r="T61" s="22">
        <v>0.42361111111111099</v>
      </c>
      <c r="U61" s="22">
        <v>0.50694444444444398</v>
      </c>
      <c r="V61" s="30">
        <f t="shared" si="52"/>
        <v>15.000000000000506</v>
      </c>
      <c r="W61" s="256">
        <f t="shared" si="17"/>
        <v>119.99999999999949</v>
      </c>
      <c r="X61" s="22"/>
      <c r="Y61" s="84"/>
      <c r="Z61" s="90">
        <v>1</v>
      </c>
      <c r="AA61" s="90">
        <v>5</v>
      </c>
      <c r="AB61" s="395" t="s">
        <v>143</v>
      </c>
      <c r="AC61" s="395"/>
      <c r="AD61" s="92"/>
      <c r="AE61" s="92"/>
      <c r="AF61" s="317">
        <f t="shared" si="45"/>
        <v>-504.49999999999545</v>
      </c>
      <c r="AG61" s="247">
        <f t="shared" si="46"/>
        <v>0.67763578274760672</v>
      </c>
      <c r="AH61" s="404"/>
    </row>
    <row r="62" spans="1:34" ht="15" customHeight="1">
      <c r="A62" s="44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5"/>
      <c r="T62" s="22"/>
      <c r="U62" s="22"/>
      <c r="V62" s="30"/>
      <c r="W62" s="248">
        <f t="shared" si="17"/>
        <v>0</v>
      </c>
      <c r="X62" s="22"/>
      <c r="Y62" s="84"/>
      <c r="Z62" s="90"/>
      <c r="AA62" s="90"/>
      <c r="AB62" s="395"/>
      <c r="AC62" s="395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3">AVERAGE(J59:J68)</f>
        <v>12.333333333333334</v>
      </c>
      <c r="K69" s="240">
        <f t="shared" si="53"/>
        <v>1565</v>
      </c>
      <c r="L69" s="268">
        <f t="shared" si="53"/>
        <v>127.07264957264958</v>
      </c>
      <c r="M69" s="240">
        <f t="shared" si="53"/>
        <v>12.333333333333334</v>
      </c>
      <c r="N69" s="240">
        <f t="shared" si="53"/>
        <v>1352.4264957265007</v>
      </c>
      <c r="O69" s="268">
        <f t="shared" si="53"/>
        <v>109.39626890203856</v>
      </c>
      <c r="P69" s="269">
        <f>M69-J69</f>
        <v>0</v>
      </c>
      <c r="Q69" s="222">
        <f>N69-K69</f>
        <v>-212.57350427349934</v>
      </c>
      <c r="R69" s="123">
        <f>O69/L69</f>
        <v>0.86089547412399603</v>
      </c>
      <c r="S69" s="428"/>
      <c r="T69" s="125"/>
      <c r="U69" s="125"/>
      <c r="V69" s="126"/>
      <c r="W69" s="242"/>
      <c r="X69" s="128"/>
      <c r="Y69" s="295"/>
      <c r="Z69" s="334">
        <f>SUM(Z59:Z68)</f>
        <v>1</v>
      </c>
      <c r="AA69" s="334">
        <f>SUM(AA59:AA68)</f>
        <v>5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-212.57350427349934</v>
      </c>
      <c r="AG69" s="124">
        <f>N69/K69</f>
        <v>0.86417028480926561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2299</v>
      </c>
      <c r="H70" s="243">
        <f>F70*G70</f>
        <v>116490.33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835.99999999999477</v>
      </c>
      <c r="O70" s="138">
        <f>N70/M70</f>
        <v>83.599999999999483</v>
      </c>
      <c r="P70" s="56">
        <f>M70-J70</f>
        <v>0</v>
      </c>
      <c r="Q70" s="230">
        <f>O70-L70</f>
        <v>-28.900000000000517</v>
      </c>
      <c r="R70" s="52">
        <f>O70/L70</f>
        <v>0.7431111111111065</v>
      </c>
      <c r="S70" s="424">
        <f>R79</f>
        <v>0.7431111111111065</v>
      </c>
      <c r="T70" s="245">
        <v>0.33333333333333298</v>
      </c>
      <c r="U70" s="245">
        <v>0.44791666666666702</v>
      </c>
      <c r="V70" s="55"/>
      <c r="W70" s="54">
        <f t="shared" si="17"/>
        <v>165.00000000000102</v>
      </c>
      <c r="X70" s="270"/>
      <c r="Y70" s="292"/>
      <c r="Z70" s="169"/>
      <c r="AA70" s="169"/>
      <c r="AB70" s="402" t="s">
        <v>155</v>
      </c>
      <c r="AC70" s="402"/>
      <c r="AD70" s="135"/>
      <c r="AE70" s="135"/>
      <c r="AF70" s="310">
        <f>N70-K70</f>
        <v>-289.00000000000523</v>
      </c>
      <c r="AG70" s="246">
        <f>N70/K70</f>
        <v>0.7431111111111065</v>
      </c>
      <c r="AH70" s="403">
        <f>AG79</f>
        <v>0.7431111111111065</v>
      </c>
    </row>
    <row r="71" spans="1:36" ht="15" customHeight="1">
      <c r="A71" s="45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5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54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54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54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54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55">AVERAGE(J70:J78)</f>
        <v>10</v>
      </c>
      <c r="K79" s="240">
        <f t="shared" si="55"/>
        <v>1125</v>
      </c>
      <c r="L79" s="268">
        <f t="shared" si="55"/>
        <v>112.5</v>
      </c>
      <c r="M79" s="240">
        <f t="shared" si="55"/>
        <v>10</v>
      </c>
      <c r="N79" s="240">
        <f t="shared" si="55"/>
        <v>835.99999999999477</v>
      </c>
      <c r="O79" s="268">
        <f t="shared" si="55"/>
        <v>83.599999999999483</v>
      </c>
      <c r="P79" s="269">
        <f>M79-J79</f>
        <v>0</v>
      </c>
      <c r="Q79" s="222">
        <f>N79-K79</f>
        <v>-289.00000000000523</v>
      </c>
      <c r="R79" s="223">
        <f>O79/L79</f>
        <v>0.7431111111111065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-289.00000000000523</v>
      </c>
      <c r="AG79" s="124">
        <f>N79/K79</f>
        <v>0.7431111111111065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70:A79"/>
    <mergeCell ref="S70:S79"/>
    <mergeCell ref="AB70:AC70"/>
    <mergeCell ref="D79:E79"/>
    <mergeCell ref="A59:A69"/>
    <mergeCell ref="S59:S69"/>
    <mergeCell ref="AB59:AC59"/>
    <mergeCell ref="D69:E69"/>
    <mergeCell ref="AB69:AC69"/>
    <mergeCell ref="AB62:AC62"/>
    <mergeCell ref="AB63:AC63"/>
    <mergeCell ref="AB64:AC64"/>
    <mergeCell ref="AB65:AC65"/>
    <mergeCell ref="AB66:AC66"/>
    <mergeCell ref="AH38:AH48"/>
    <mergeCell ref="AB39:AC39"/>
    <mergeCell ref="AB40:AC40"/>
    <mergeCell ref="AB67:AC67"/>
    <mergeCell ref="AH59:AH69"/>
    <mergeCell ref="AB60:AC60"/>
    <mergeCell ref="AB61:AC61"/>
    <mergeCell ref="AB68:AC68"/>
    <mergeCell ref="A49:A58"/>
    <mergeCell ref="S49:S58"/>
    <mergeCell ref="AB49:AC49"/>
    <mergeCell ref="D58:E5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27:A37"/>
    <mergeCell ref="S27:S37"/>
    <mergeCell ref="AB27:AC27"/>
    <mergeCell ref="D37:E37"/>
    <mergeCell ref="A38:A48"/>
    <mergeCell ref="S38:S48"/>
    <mergeCell ref="AB38:AC38"/>
    <mergeCell ref="D48:E48"/>
    <mergeCell ref="AB48:AC48"/>
    <mergeCell ref="AB42:AC42"/>
    <mergeCell ref="AB43:AC43"/>
    <mergeCell ref="AB47:AC47"/>
    <mergeCell ref="AB41:AC41"/>
    <mergeCell ref="AB44:AC44"/>
    <mergeCell ref="AB45:AC45"/>
    <mergeCell ref="AB46:AC46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D15:E15"/>
    <mergeCell ref="AB15:AC15"/>
    <mergeCell ref="A16:A26"/>
    <mergeCell ref="S16:S26"/>
    <mergeCell ref="AB16:AC16"/>
    <mergeCell ref="A5:A15"/>
    <mergeCell ref="S5:S15"/>
    <mergeCell ref="AB23:AC23"/>
    <mergeCell ref="AB24:AC24"/>
    <mergeCell ref="AB25:AC25"/>
    <mergeCell ref="D26:E26"/>
    <mergeCell ref="AB26:AC26"/>
    <mergeCell ref="AB7:AC7"/>
    <mergeCell ref="AB18:AC18"/>
    <mergeCell ref="AB22:AC22"/>
    <mergeCell ref="A2:B2"/>
    <mergeCell ref="A3:A4"/>
    <mergeCell ref="B3:B4"/>
    <mergeCell ref="D3:E4"/>
    <mergeCell ref="F3:F4"/>
    <mergeCell ref="G3:G4"/>
    <mergeCell ref="H3:H4"/>
    <mergeCell ref="I3:I4"/>
    <mergeCell ref="AB14:AC14"/>
    <mergeCell ref="AB5:AC5"/>
    <mergeCell ref="AB6:AC6"/>
    <mergeCell ref="AB8:AC8"/>
    <mergeCell ref="AB9:AC9"/>
    <mergeCell ref="AB10:AC10"/>
    <mergeCell ref="AB11:AC11"/>
    <mergeCell ref="AB12:AC12"/>
    <mergeCell ref="AB13:AC13"/>
    <mergeCell ref="O3:O4"/>
    <mergeCell ref="W3:W4"/>
    <mergeCell ref="AH16:AH26"/>
    <mergeCell ref="AB17:AC17"/>
    <mergeCell ref="AB19:AC19"/>
    <mergeCell ref="AB20:AC20"/>
    <mergeCell ref="AH5:AH15"/>
    <mergeCell ref="AB21:AC21"/>
    <mergeCell ref="R3:R4"/>
    <mergeCell ref="T3:U3"/>
    <mergeCell ref="V3:V4"/>
    <mergeCell ref="AB3:AC4"/>
    <mergeCell ref="J1:L2"/>
    <mergeCell ref="M1:O2"/>
    <mergeCell ref="P1:S2"/>
    <mergeCell ref="T1:Y2"/>
    <mergeCell ref="S3:S4"/>
    <mergeCell ref="J3:J4"/>
    <mergeCell ref="K3:K4"/>
    <mergeCell ref="L3:L4"/>
    <mergeCell ref="M3:M4"/>
    <mergeCell ref="N3:N4"/>
    <mergeCell ref="P3:P4"/>
    <mergeCell ref="Q3:Q4"/>
    <mergeCell ref="AF1:AH2"/>
    <mergeCell ref="AF3:AF4"/>
    <mergeCell ref="AG3:AG4"/>
    <mergeCell ref="AH3:AH4"/>
    <mergeCell ref="X3:Y3"/>
    <mergeCell ref="Z3:AA3"/>
    <mergeCell ref="AD3:AE3"/>
    <mergeCell ref="AB1:AC2"/>
  </mergeCells>
  <phoneticPr fontId="0" type="noConversion"/>
  <conditionalFormatting sqref="P5:P79">
    <cfRule type="cellIs" dxfId="258" priority="1" operator="greaterThan">
      <formula>0</formula>
    </cfRule>
  </conditionalFormatting>
  <conditionalFormatting sqref="Q5:Q79 AF5:AF79">
    <cfRule type="cellIs" dxfId="257" priority="4" operator="lessThan">
      <formula>0</formula>
    </cfRule>
  </conditionalFormatting>
  <conditionalFormatting sqref="R5:R79 AG5:AG79">
    <cfRule type="cellIs" dxfId="256" priority="2" operator="greaterThan">
      <formula>1</formula>
    </cfRule>
    <cfRule type="cellIs" dxfId="255" priority="3" operator="lessThan">
      <formula>0.8</formula>
    </cfRule>
  </conditionalFormatting>
  <conditionalFormatting sqref="S5:S10 S37:S62 AH59:AH62 S69:S76 AH69:AH76">
    <cfRule type="cellIs" dxfId="254" priority="7" operator="lessThan">
      <formula>0.8</formula>
    </cfRule>
  </conditionalFormatting>
  <conditionalFormatting sqref="S19:S25 AH19:AH25">
    <cfRule type="cellIs" dxfId="253" priority="6" operator="lessThan">
      <formula>0.8</formula>
    </cfRule>
  </conditionalFormatting>
  <conditionalFormatting sqref="S79">
    <cfRule type="cellIs" dxfId="252" priority="5" operator="lessThan">
      <formula>0.8</formula>
    </cfRule>
  </conditionalFormatting>
  <conditionalFormatting sqref="AH5:AH8 S15:S16 AH15:AH16 AH49 AH79">
    <cfRule type="cellIs" dxfId="251" priority="9" operator="lessThan">
      <formula>0.8</formula>
    </cfRule>
  </conditionalFormatting>
  <conditionalFormatting sqref="AH27 S27:S28">
    <cfRule type="cellIs" dxfId="2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8EB61B-E472-4262-AD2D-A7D28862B14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7F24-FA0F-48CC-8B22-4310BEED4908}">
  <sheetPr codeName="工作表17"/>
  <dimension ref="B1:O26"/>
  <sheetViews>
    <sheetView zoomScale="70" zoomScaleNormal="70" workbookViewId="0">
      <selection activeCell="J28" sqref="J2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46060</v>
      </c>
      <c r="E3" s="493"/>
      <c r="F3" s="3" t="s">
        <v>72</v>
      </c>
      <c r="G3" s="494">
        <f>'0207'!E1</f>
        <v>49678</v>
      </c>
      <c r="H3" s="494"/>
      <c r="I3" s="3" t="s">
        <v>2</v>
      </c>
      <c r="J3" s="495">
        <f>'0207'!G1</f>
        <v>2383324.9799999995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117.80721606824548</v>
      </c>
      <c r="G6" s="490"/>
      <c r="H6" s="491">
        <f>AVERAGE(D13:H13,J13)</f>
        <v>116.2629771508448</v>
      </c>
      <c r="I6" s="491"/>
      <c r="J6" s="491">
        <f>AVERAGE(I13)</f>
        <v>127.07264957264958</v>
      </c>
      <c r="K6" s="491"/>
      <c r="L6" s="497">
        <f>SUM(D18:J18)</f>
        <v>2</v>
      </c>
      <c r="M6" s="482">
        <f>SUM(D19:J19)</f>
        <v>11</v>
      </c>
      <c r="N6" s="498">
        <f>SUM(D20:J20)</f>
        <v>6</v>
      </c>
      <c r="O6" s="482">
        <f>SUM(D20:J20)</f>
        <v>6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106.86932103305706</v>
      </c>
      <c r="G7" s="479"/>
      <c r="H7" s="480">
        <f>AVERAGE(D14:H14,J14)</f>
        <v>105.90226580162452</v>
      </c>
      <c r="I7" s="480"/>
      <c r="J7" s="480">
        <f>AVERAGE(I14)</f>
        <v>112.6716524216523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0.90715428646703511</v>
      </c>
      <c r="G8" s="485"/>
      <c r="H8" s="485">
        <f>H7/H6</f>
        <v>0.91088554926838117</v>
      </c>
      <c r="I8" s="485"/>
      <c r="J8" s="485">
        <f>J7/J6</f>
        <v>0.88667115072025005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VALUE('0207'!L15)</f>
        <v>144.15120663650075</v>
      </c>
      <c r="E13" s="13">
        <f>VALUE('0207'!L26)</f>
        <v>176.42992424242425</v>
      </c>
      <c r="F13" s="13">
        <f>VALUE('0207'!L37)</f>
        <v>87.60294117647058</v>
      </c>
      <c r="G13" s="13">
        <f>VALUE('0207'!L48)</f>
        <v>88.213235294117638</v>
      </c>
      <c r="H13" s="13">
        <f>VALUE('0207'!L58)</f>
        <v>88.680555555555571</v>
      </c>
      <c r="I13" s="13">
        <f>VALUE('0207'!L69)</f>
        <v>127.07264957264958</v>
      </c>
      <c r="J13" s="13">
        <f>'0207'!L79</f>
        <v>112.5</v>
      </c>
    </row>
    <row r="14" spans="2:15" ht="39.950000000000003" customHeight="1">
      <c r="B14" s="473"/>
      <c r="C14" s="12" t="s">
        <v>100</v>
      </c>
      <c r="D14" s="13">
        <f>VALUE('0207'!O15)</f>
        <v>135.82907427427978</v>
      </c>
      <c r="E14" s="13">
        <f>VALUE('0207'!O26)</f>
        <v>171.24058577275071</v>
      </c>
      <c r="F14" s="13">
        <f>VALUE('0207'!O37)</f>
        <v>77.615421733484283</v>
      </c>
      <c r="G14" s="13">
        <f>VALUE('0207'!O48)</f>
        <v>80.860253607706866</v>
      </c>
      <c r="H14" s="13">
        <f>VALUE('0207'!O58)</f>
        <v>85.868259421525551</v>
      </c>
      <c r="I14" s="13">
        <f>VALUE('0207'!O69)</f>
        <v>112.6716524216523</v>
      </c>
      <c r="J14" s="13">
        <f>'0207'!O79</f>
        <v>83.999999999999844</v>
      </c>
    </row>
    <row r="15" spans="2:15" ht="39.950000000000003" customHeight="1">
      <c r="B15" s="474"/>
      <c r="C15" s="10" t="s">
        <v>26</v>
      </c>
      <c r="D15" s="14">
        <f>D14/D13</f>
        <v>0.94226803537478188</v>
      </c>
      <c r="E15" s="14">
        <f t="shared" ref="E15:I15" si="1">E14/E13</f>
        <v>0.97058697104838565</v>
      </c>
      <c r="F15" s="14">
        <f t="shared" si="1"/>
        <v>0.88599104882943291</v>
      </c>
      <c r="G15" s="14">
        <f t="shared" si="1"/>
        <v>0.91664536889623527</v>
      </c>
      <c r="H15" s="14">
        <f t="shared" si="1"/>
        <v>0.96828734194985722</v>
      </c>
      <c r="I15" s="14">
        <f t="shared" si="1"/>
        <v>0.88667115072025005</v>
      </c>
      <c r="J15" s="15">
        <f>'0207'!S70</f>
        <v>0.74666666666666526</v>
      </c>
    </row>
    <row r="16" spans="2:15" ht="17.25" customHeight="1">
      <c r="B16" s="475" t="s">
        <v>101</v>
      </c>
      <c r="C16" s="10" t="s">
        <v>34</v>
      </c>
      <c r="D16" s="16">
        <f>'0207'!T5</f>
        <v>0.29166666666666702</v>
      </c>
      <c r="E16" s="16">
        <f>'0207'!T16</f>
        <v>0.29097222222222202</v>
      </c>
      <c r="F16" s="16">
        <f>'0207'!T27</f>
        <v>0.29027777777777802</v>
      </c>
      <c r="G16" s="16">
        <f>'0207'!T38</f>
        <v>0.33402777777777798</v>
      </c>
      <c r="H16" s="16">
        <f>'0207'!T49</f>
        <v>0.29097222222222202</v>
      </c>
      <c r="I16" s="16">
        <f>'0207'!T59</f>
        <v>0.29166666666666702</v>
      </c>
      <c r="J16" s="16">
        <f>'0207'!T70</f>
        <v>0.33333333333333298</v>
      </c>
    </row>
    <row r="17" spans="2:10" ht="17.25" customHeight="1">
      <c r="B17" s="476"/>
      <c r="C17" s="10" t="s">
        <v>35</v>
      </c>
      <c r="D17" s="16">
        <v>0.60138888888888897</v>
      </c>
      <c r="E17" s="19">
        <v>0.57361111111111096</v>
      </c>
      <c r="F17" s="19">
        <v>0.62708333333333299</v>
      </c>
      <c r="G17" s="20">
        <v>0.52430555555555602</v>
      </c>
      <c r="H17" s="21">
        <v>0.58263888888888904</v>
      </c>
      <c r="I17" s="22">
        <v>0.51736111111111105</v>
      </c>
      <c r="J17" s="245">
        <v>0.45486111111111099</v>
      </c>
    </row>
    <row r="18" spans="2:10" ht="17.25" customHeight="1">
      <c r="B18" s="477" t="s">
        <v>102</v>
      </c>
      <c r="C18" s="330" t="s">
        <v>36</v>
      </c>
      <c r="D18" s="358">
        <f>'0207'!Z15</f>
        <v>1</v>
      </c>
      <c r="E18" s="359">
        <f>'0207'!Z26</f>
        <v>0</v>
      </c>
      <c r="F18" s="359">
        <f>'0207'!Z37</f>
        <v>0</v>
      </c>
      <c r="G18" s="360">
        <f>'0207'!Z48</f>
        <v>0</v>
      </c>
      <c r="H18" s="360">
        <f>'0207'!Z58</f>
        <v>0</v>
      </c>
      <c r="I18" s="359">
        <f>'0207'!Z69</f>
        <v>1</v>
      </c>
      <c r="J18" s="359">
        <f>'0207'!AA79</f>
        <v>0</v>
      </c>
    </row>
    <row r="19" spans="2:10" ht="17.25" customHeight="1">
      <c r="B19" s="478"/>
      <c r="C19" s="330" t="s">
        <v>37</v>
      </c>
      <c r="D19" s="358">
        <f>'0207'!AA15</f>
        <v>6</v>
      </c>
      <c r="E19" s="359">
        <f>'0207'!AA26</f>
        <v>0</v>
      </c>
      <c r="F19" s="359">
        <f>'0207'!AA37</f>
        <v>0</v>
      </c>
      <c r="G19" s="360">
        <f>'0207'!AA48</f>
        <v>0</v>
      </c>
      <c r="H19" s="360">
        <f>'0207'!AA58</f>
        <v>0</v>
      </c>
      <c r="I19" s="359">
        <f>'0207'!AA69</f>
        <v>5</v>
      </c>
      <c r="J19" s="359">
        <f>'0207'!AB79</f>
        <v>0</v>
      </c>
    </row>
    <row r="20" spans="2:10" ht="17.25" customHeight="1">
      <c r="B20" s="477" t="s">
        <v>103</v>
      </c>
      <c r="C20" s="330" t="s">
        <v>36</v>
      </c>
      <c r="D20" s="358">
        <f>'0207'!AD15</f>
        <v>0</v>
      </c>
      <c r="E20" s="359">
        <f>'0207'!AD26</f>
        <v>6</v>
      </c>
      <c r="F20" s="359">
        <f>'0207'!AD37</f>
        <v>0</v>
      </c>
      <c r="G20" s="360">
        <f>'0207'!AD48</f>
        <v>0</v>
      </c>
      <c r="H20" s="360">
        <f>'0207'!AD58</f>
        <v>0</v>
      </c>
      <c r="I20" s="359">
        <f>'0207'!AD69</f>
        <v>0</v>
      </c>
      <c r="J20" s="359">
        <f>'0207'!AD79</f>
        <v>0</v>
      </c>
    </row>
    <row r="21" spans="2:10" ht="17.25" customHeight="1">
      <c r="B21" s="478"/>
      <c r="C21" s="330" t="s">
        <v>85</v>
      </c>
      <c r="D21" s="358">
        <f>'0207'!AE15</f>
        <v>0</v>
      </c>
      <c r="E21" s="359">
        <f>'0207'!AE26</f>
        <v>6</v>
      </c>
      <c r="F21" s="359">
        <f>'0207'!AE37</f>
        <v>0</v>
      </c>
      <c r="G21" s="360">
        <f>'0207'!AE48</f>
        <v>0</v>
      </c>
      <c r="H21" s="360">
        <f>'0207'!AE58</f>
        <v>0</v>
      </c>
      <c r="I21" s="359">
        <f>'0207'!AE69</f>
        <v>0</v>
      </c>
      <c r="J21" s="359">
        <f>'0207'!AE79</f>
        <v>0</v>
      </c>
    </row>
    <row r="22" spans="2:10" ht="17.25" customHeight="1">
      <c r="B22" s="460" t="s">
        <v>104</v>
      </c>
      <c r="C22" s="461"/>
      <c r="D22" s="23">
        <f>VALUE('0207'!M15)</f>
        <v>14</v>
      </c>
      <c r="E22" s="23">
        <f>VALUE('0207'!M26)</f>
        <v>11.5</v>
      </c>
      <c r="F22" s="23">
        <f>VALUE('0207'!M37)</f>
        <v>15.75</v>
      </c>
      <c r="G22" s="23">
        <f>VALUE('0207'!M48)</f>
        <v>16</v>
      </c>
      <c r="H22" s="23">
        <f>VALUE('0207'!M58)</f>
        <v>17.5</v>
      </c>
      <c r="I22" s="23">
        <f>VALUE('0207'!M69)</f>
        <v>12.333333333333334</v>
      </c>
      <c r="J22" s="23">
        <f>'0207'!M79</f>
        <v>10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2668-6DB4-430F-B56C-8E48096405CB}">
  <sheetPr codeName="工作表18">
    <tabColor theme="9" tint="0.79998168889431442"/>
  </sheetPr>
  <dimension ref="A1:AJ92"/>
  <sheetViews>
    <sheetView zoomScale="69" zoomScaleNormal="69" workbookViewId="0">
      <pane xSplit="5" ySplit="4" topLeftCell="L38" activePane="bottomRight" state="frozen"/>
      <selection activeCell="J28" sqref="J28"/>
      <selection pane="topRight" activeCell="J28" sqref="J28"/>
      <selection pane="bottomLeft" activeCell="J28" sqref="J28"/>
      <selection pane="bottomRight" activeCell="X18" sqref="X18:Y1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49678</v>
      </c>
      <c r="F1" s="30" t="s">
        <v>2</v>
      </c>
      <c r="G1" s="31">
        <f>SUM(H5:H79)</f>
        <v>2383324.9799999995</v>
      </c>
      <c r="H1" s="32" t="s">
        <v>3</v>
      </c>
      <c r="I1" s="33">
        <f>M15+M26+M48+M58+M69+M79+M37</f>
        <v>97.083333333333329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156</v>
      </c>
      <c r="B2" s="374"/>
      <c r="C2" s="28"/>
      <c r="D2" s="28" t="s">
        <v>14</v>
      </c>
      <c r="E2" s="35">
        <f>AVERAGE(O15,O26,O37,O48,O58,O69,O79)</f>
        <v>106.86932103305706</v>
      </c>
      <c r="F2" s="36" t="s">
        <v>15</v>
      </c>
      <c r="G2" s="37">
        <f>G1/E1</f>
        <v>47.975461572527067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2</v>
      </c>
      <c r="AA2" s="339">
        <f>AA15+AA26+AA37+AA48+AA58+AA69+AA79</f>
        <v>11</v>
      </c>
      <c r="AB2" s="370"/>
      <c r="AC2" s="370"/>
      <c r="AD2" s="340">
        <f>AD15+AD26+AD37+AD48+AD58+AD69+AD79</f>
        <v>6</v>
      </c>
      <c r="AE2" s="340">
        <f>AE15+AE26+AE37+AE48+AE58+AE69+AE79</f>
        <v>6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1562</v>
      </c>
      <c r="H5" s="43">
        <f>F5*G5</f>
        <v>89362.02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9" si="0">K5/J5</f>
        <v>175.41666666666666</v>
      </c>
      <c r="M5" s="48">
        <v>12</v>
      </c>
      <c r="N5" s="46">
        <f t="shared" ref="N5:N9" si="1">G5/W5*60</f>
        <v>1802.3076923076987</v>
      </c>
      <c r="O5" s="47">
        <f t="shared" ref="O5:O9" si="2">N5/M5</f>
        <v>150.19230769230822</v>
      </c>
      <c r="P5" s="49">
        <f t="shared" ref="P5:P9" si="3">M5-J5</f>
        <v>0</v>
      </c>
      <c r="Q5" s="50">
        <f t="shared" ref="Q5:Q9" si="4">O5-L5</f>
        <v>-25.224358974358438</v>
      </c>
      <c r="R5" s="51">
        <f t="shared" ref="R5:R9" si="5">O5/L5</f>
        <v>0.85620317924356237</v>
      </c>
      <c r="S5" s="424">
        <f>R15</f>
        <v>0.94226803537478188</v>
      </c>
      <c r="T5" s="319">
        <v>0.29166666666666702</v>
      </c>
      <c r="U5" s="320">
        <v>0.327777777777778</v>
      </c>
      <c r="V5" s="53"/>
      <c r="W5" s="54">
        <f t="shared" ref="W5:W14" si="6">(U5-T5)*24*60</f>
        <v>51.999999999999815</v>
      </c>
      <c r="X5" s="55"/>
      <c r="Y5" s="290"/>
      <c r="Z5" s="169">
        <v>1</v>
      </c>
      <c r="AA5" s="169">
        <v>6</v>
      </c>
      <c r="AB5" s="402" t="s">
        <v>157</v>
      </c>
      <c r="AC5" s="402"/>
      <c r="AD5" s="135"/>
      <c r="AE5" s="135"/>
      <c r="AF5" s="229">
        <f t="shared" ref="AF5:AF11" si="7">N5-K5</f>
        <v>-302.69230769230126</v>
      </c>
      <c r="AG5" s="52">
        <f t="shared" ref="AG5:AG11" si="8">N5/K5</f>
        <v>0.85620317924356237</v>
      </c>
      <c r="AH5" s="403">
        <f>AG15</f>
        <v>0.94716799224001302</v>
      </c>
    </row>
    <row r="6" spans="1:34" ht="15" customHeight="1">
      <c r="A6" s="421"/>
      <c r="B6" s="57" t="s">
        <v>81</v>
      </c>
      <c r="C6" s="58"/>
      <c r="D6" s="59" t="s">
        <v>113</v>
      </c>
      <c r="E6" s="60"/>
      <c r="F6" s="61">
        <f>VLOOKUP(D6,廠價表!$C$1:$E$41,3,0)</f>
        <v>57.21</v>
      </c>
      <c r="G6" s="62">
        <v>1445</v>
      </c>
      <c r="H6" s="63">
        <f>F6*G6</f>
        <v>82668.45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1970.454545454581</v>
      </c>
      <c r="O6" s="67">
        <f t="shared" si="2"/>
        <v>115.909090909093</v>
      </c>
      <c r="P6" s="69">
        <f t="shared" si="3"/>
        <v>0</v>
      </c>
      <c r="Q6" s="70">
        <f t="shared" si="4"/>
        <v>-1.7379679144364104</v>
      </c>
      <c r="R6" s="71">
        <f t="shared" si="5"/>
        <v>0.98522727272729049</v>
      </c>
      <c r="S6" s="425"/>
      <c r="T6" s="16">
        <v>0.33680555555555602</v>
      </c>
      <c r="U6" s="16">
        <v>0.36736111111111103</v>
      </c>
      <c r="V6" s="30">
        <f>(T6-U5)*24*60</f>
        <v>13.000000000000353</v>
      </c>
      <c r="W6" s="73">
        <f t="shared" si="6"/>
        <v>43.999999999999204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-29.545454545419034</v>
      </c>
      <c r="AG6" s="72">
        <f t="shared" si="8"/>
        <v>0.98522727272729049</v>
      </c>
      <c r="AH6" s="404"/>
    </row>
    <row r="7" spans="1:34" ht="15" customHeight="1">
      <c r="A7" s="421"/>
      <c r="B7" s="75" t="s">
        <v>81</v>
      </c>
      <c r="C7" s="76"/>
      <c r="D7" s="59" t="s">
        <v>114</v>
      </c>
      <c r="E7" s="77"/>
      <c r="F7" s="75">
        <f>VLOOKUP(D7,廠價表!$C$1:$E$41,3,0)</f>
        <v>56.28</v>
      </c>
      <c r="G7" s="66">
        <v>1885</v>
      </c>
      <c r="H7" s="78">
        <f>F7*G7</f>
        <v>106087.8</v>
      </c>
      <c r="I7" s="73"/>
      <c r="J7" s="79">
        <f>VLOOKUP(D7,產線配置圖!$A$3:$C$39,2,0)</f>
        <v>15</v>
      </c>
      <c r="K7" s="80">
        <f>VLOOKUP(D7,產線配置圖!$A$3:$C$39,3,0)</f>
        <v>1800</v>
      </c>
      <c r="L7" s="81">
        <f t="shared" si="0"/>
        <v>120</v>
      </c>
      <c r="M7" s="82">
        <v>15</v>
      </c>
      <c r="N7" s="80">
        <f t="shared" si="1"/>
        <v>1795.2380952380947</v>
      </c>
      <c r="O7" s="81">
        <f t="shared" si="2"/>
        <v>119.68253968253966</v>
      </c>
      <c r="P7" s="74">
        <f t="shared" si="3"/>
        <v>0</v>
      </c>
      <c r="Q7" s="83">
        <f t="shared" si="4"/>
        <v>-0.31746031746034475</v>
      </c>
      <c r="R7" s="72">
        <f t="shared" si="5"/>
        <v>0.9973544973544971</v>
      </c>
      <c r="S7" s="425"/>
      <c r="T7" s="18">
        <v>0.375</v>
      </c>
      <c r="U7" s="18">
        <v>0.41875000000000001</v>
      </c>
      <c r="V7" s="30">
        <f>(T7-U6)*24*60</f>
        <v>11.000000000000121</v>
      </c>
      <c r="W7" s="73">
        <f t="shared" si="6"/>
        <v>63.000000000000014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-4.7619047619052708</v>
      </c>
      <c r="AG7" s="72">
        <f t="shared" si="8"/>
        <v>0.9973544973544971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2231</v>
      </c>
      <c r="H8" s="78">
        <f t="shared" ref="H8:H9" si="9">F8*G8</f>
        <v>109631.34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1833.6986301369648</v>
      </c>
      <c r="O8" s="81">
        <f t="shared" si="2"/>
        <v>141.05374077976651</v>
      </c>
      <c r="P8" s="74">
        <f t="shared" si="3"/>
        <v>0</v>
      </c>
      <c r="Q8" s="83">
        <f t="shared" si="4"/>
        <v>-12.792413066387326</v>
      </c>
      <c r="R8" s="72">
        <f t="shared" si="5"/>
        <v>0.91684931506848233</v>
      </c>
      <c r="S8" s="425"/>
      <c r="T8" s="16">
        <v>0.42708333333333298</v>
      </c>
      <c r="U8" s="16">
        <v>0.47777777777777802</v>
      </c>
      <c r="V8" s="30">
        <f>(T8-U7)*24*60</f>
        <v>11.999999999999478</v>
      </c>
      <c r="W8" s="73">
        <f t="shared" si="6"/>
        <v>73.000000000000853</v>
      </c>
      <c r="X8" s="22"/>
      <c r="Y8" s="84"/>
      <c r="Z8" s="90"/>
      <c r="AA8" s="90"/>
      <c r="AB8" s="407"/>
      <c r="AC8" s="407"/>
      <c r="AD8" s="149"/>
      <c r="AE8" s="149"/>
      <c r="AF8" s="307">
        <f t="shared" si="7"/>
        <v>-166.30136986303523</v>
      </c>
      <c r="AG8" s="72">
        <f t="shared" si="8"/>
        <v>0.91684931506848233</v>
      </c>
      <c r="AH8" s="404"/>
    </row>
    <row r="9" spans="1:34" ht="15" customHeight="1">
      <c r="A9" s="422"/>
      <c r="B9" s="75" t="s">
        <v>81</v>
      </c>
      <c r="C9" s="76"/>
      <c r="D9" s="59" t="s">
        <v>115</v>
      </c>
      <c r="E9" s="77"/>
      <c r="F9" s="75">
        <f>VLOOKUP(D9,廠價表!$C$1:$E$41,3,0)</f>
        <v>49.14</v>
      </c>
      <c r="G9" s="66">
        <v>2871</v>
      </c>
      <c r="H9" s="78">
        <f t="shared" si="9"/>
        <v>141080.94</v>
      </c>
      <c r="I9" s="73"/>
      <c r="J9" s="79">
        <f>VLOOKUP(D9,產線配置圖!$A$3:$C$39,2,0)</f>
        <v>13</v>
      </c>
      <c r="K9" s="80">
        <f>VLOOKUP(D9,產線配置圖!$A$3:$C$39,3,0)</f>
        <v>2000</v>
      </c>
      <c r="L9" s="81">
        <f t="shared" si="0"/>
        <v>153.84615384615384</v>
      </c>
      <c r="M9" s="82">
        <v>13</v>
      </c>
      <c r="N9" s="80">
        <f t="shared" si="1"/>
        <v>1979.9999999999889</v>
      </c>
      <c r="O9" s="81">
        <f t="shared" si="2"/>
        <v>152.30769230769144</v>
      </c>
      <c r="P9" s="74">
        <f t="shared" si="3"/>
        <v>0</v>
      </c>
      <c r="Q9" s="83">
        <f t="shared" si="4"/>
        <v>-1.5384615384623999</v>
      </c>
      <c r="R9" s="72">
        <f t="shared" si="5"/>
        <v>0.98999999999999444</v>
      </c>
      <c r="S9" s="426"/>
      <c r="T9" s="16">
        <v>0.54097222222222197</v>
      </c>
      <c r="U9" s="16">
        <v>0.60138888888888897</v>
      </c>
      <c r="V9" s="30">
        <f>(T9-U8)*24*60</f>
        <v>90.999999999999275</v>
      </c>
      <c r="W9" s="73">
        <f t="shared" si="6"/>
        <v>87.000000000000483</v>
      </c>
      <c r="X9" s="22">
        <v>0.48611111111111099</v>
      </c>
      <c r="Y9" s="84">
        <v>0.52777777777777801</v>
      </c>
      <c r="Z9" s="90"/>
      <c r="AA9" s="90"/>
      <c r="AB9" s="407"/>
      <c r="AC9" s="407"/>
      <c r="AD9" s="149"/>
      <c r="AE9" s="149"/>
      <c r="AF9" s="307">
        <f t="shared" si="7"/>
        <v>-20.000000000011141</v>
      </c>
      <c r="AG9" s="72">
        <f t="shared" si="8"/>
        <v>0.98999999999999444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0">AVERAGE(J5:J14)</f>
        <v>14</v>
      </c>
      <c r="K15" s="120">
        <f t="shared" si="10"/>
        <v>1981</v>
      </c>
      <c r="L15" s="117">
        <f t="shared" si="10"/>
        <v>144.15120663650075</v>
      </c>
      <c r="M15" s="120">
        <f t="shared" si="10"/>
        <v>14</v>
      </c>
      <c r="N15" s="120">
        <f t="shared" si="10"/>
        <v>1876.3397926274658</v>
      </c>
      <c r="O15" s="117">
        <f t="shared" si="10"/>
        <v>135.82907427427978</v>
      </c>
      <c r="P15" s="121">
        <f t="shared" ref="P15:P19" si="11">M15-J15</f>
        <v>0</v>
      </c>
      <c r="Q15" s="122">
        <f t="shared" ref="Q15:Q19" si="12">O15-L15</f>
        <v>-8.3221323622209695</v>
      </c>
      <c r="R15" s="123">
        <f t="shared" ref="R15:R19" si="13">O15/L15</f>
        <v>0.94226803537478188</v>
      </c>
      <c r="S15" s="428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6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4">N15-K15</f>
        <v>-104.66020737253416</v>
      </c>
      <c r="AG15" s="124">
        <f t="shared" ref="AG15:AG19" si="15">N15/K15</f>
        <v>0.94716799224001302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1587</v>
      </c>
      <c r="H16" s="134">
        <f>F16*G16</f>
        <v>90792.27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19" si="16">K16/J16</f>
        <v>175.41666666666666</v>
      </c>
      <c r="M16" s="139">
        <v>12</v>
      </c>
      <c r="N16" s="140">
        <f t="shared" ref="N16:N19" si="17">G16/W16*60</f>
        <v>2069.9999999999641</v>
      </c>
      <c r="O16" s="141">
        <f>N16/M16</f>
        <v>172.49999999999702</v>
      </c>
      <c r="P16" s="142">
        <f>M16-J16</f>
        <v>0</v>
      </c>
      <c r="Q16" s="143">
        <f t="shared" si="12"/>
        <v>-2.9166666666696415</v>
      </c>
      <c r="R16" s="144">
        <f>O16/L16</f>
        <v>0.98337292161518497</v>
      </c>
      <c r="S16" s="417">
        <f>R26</f>
        <v>0.97058697104838565</v>
      </c>
      <c r="T16" s="145">
        <v>0.29097222222222202</v>
      </c>
      <c r="U16" s="145">
        <v>0.32291666666666702</v>
      </c>
      <c r="V16" s="135"/>
      <c r="W16" s="146">
        <f t="shared" ref="W16:W78" si="18">(U16-T16)*24*60</f>
        <v>46.000000000000796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4"/>
        <v>-35.000000000035925</v>
      </c>
      <c r="AG16" s="52">
        <f t="shared" si="15"/>
        <v>0.98337292161518486</v>
      </c>
      <c r="AH16" s="403">
        <f>AG26</f>
        <v>0.97062180081056793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3260</v>
      </c>
      <c r="H17" s="78">
        <f>F17*G17</f>
        <v>165184.20000000001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6"/>
        <v>166.66666666666666</v>
      </c>
      <c r="M17" s="148">
        <v>12</v>
      </c>
      <c r="N17" s="95">
        <f>G17/W17*60</f>
        <v>1917.6470588235106</v>
      </c>
      <c r="O17" s="96">
        <f t="shared" ref="O17:O19" si="19">N17/M17</f>
        <v>159.8039215686259</v>
      </c>
      <c r="P17" s="97">
        <f t="shared" si="11"/>
        <v>0</v>
      </c>
      <c r="Q17" s="98">
        <f t="shared" si="12"/>
        <v>-6.8627450980407616</v>
      </c>
      <c r="R17" s="99">
        <f t="shared" si="13"/>
        <v>0.95882352941175542</v>
      </c>
      <c r="S17" s="418"/>
      <c r="T17" s="19">
        <v>0.33333333333333298</v>
      </c>
      <c r="U17" s="19">
        <v>0.40416666666666701</v>
      </c>
      <c r="V17" s="30">
        <f>(T17-U16)*24*60</f>
        <v>14.999999999998987</v>
      </c>
      <c r="W17" s="149">
        <f t="shared" si="18"/>
        <v>102.00000000000099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4"/>
        <v>-82.352941176489367</v>
      </c>
      <c r="AG17" s="72">
        <f t="shared" si="15"/>
        <v>0.9588235294117553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3053</v>
      </c>
      <c r="H18" s="78">
        <f>F18*G18</f>
        <v>153840.67000000001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6"/>
        <v>181.81818181818181</v>
      </c>
      <c r="M18" s="148">
        <v>11</v>
      </c>
      <c r="N18" s="95">
        <f t="shared" si="17"/>
        <v>1969.6774193548472</v>
      </c>
      <c r="O18" s="96">
        <f t="shared" si="19"/>
        <v>179.06158357771338</v>
      </c>
      <c r="P18" s="97">
        <f t="shared" si="11"/>
        <v>0</v>
      </c>
      <c r="Q18" s="98">
        <f t="shared" si="12"/>
        <v>-2.7565982404684348</v>
      </c>
      <c r="R18" s="99">
        <f t="shared" si="13"/>
        <v>0.9848387096774236</v>
      </c>
      <c r="S18" s="418"/>
      <c r="T18" s="19">
        <v>0.41249999999999998</v>
      </c>
      <c r="U18" s="19">
        <v>0.47708333333333303</v>
      </c>
      <c r="V18" s="30">
        <f>(T18-U17)*24*60</f>
        <v>11.999999999999478</v>
      </c>
      <c r="W18" s="149">
        <f t="shared" si="18"/>
        <v>92.999999999999588</v>
      </c>
      <c r="X18" s="22"/>
      <c r="Y18" s="84"/>
      <c r="Z18" s="90"/>
      <c r="AA18" s="90"/>
      <c r="AB18" s="395" t="s">
        <v>120</v>
      </c>
      <c r="AC18" s="395"/>
      <c r="AD18" s="92">
        <v>4</v>
      </c>
      <c r="AE18" s="92">
        <v>4</v>
      </c>
      <c r="AF18" s="307">
        <f t="shared" si="14"/>
        <v>-30.322580645152811</v>
      </c>
      <c r="AG18" s="72">
        <f t="shared" si="15"/>
        <v>0.9848387096774236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1464</v>
      </c>
      <c r="H19" s="78">
        <f>F19*G19</f>
        <v>73770.960000000006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6"/>
        <v>181.81818181818181</v>
      </c>
      <c r="M19" s="148">
        <v>11</v>
      </c>
      <c r="N19" s="95">
        <f t="shared" si="17"/>
        <v>1909.5652173913309</v>
      </c>
      <c r="O19" s="96">
        <f t="shared" si="19"/>
        <v>173.59683794466645</v>
      </c>
      <c r="P19" s="97">
        <f t="shared" si="11"/>
        <v>0</v>
      </c>
      <c r="Q19" s="98">
        <f t="shared" si="12"/>
        <v>-8.2213438735153659</v>
      </c>
      <c r="R19" s="99">
        <f t="shared" si="13"/>
        <v>0.95478260869566545</v>
      </c>
      <c r="S19" s="418"/>
      <c r="T19" s="19">
        <v>0.54166666666666696</v>
      </c>
      <c r="U19" s="19">
        <v>0.57361111111111096</v>
      </c>
      <c r="V19" s="30">
        <f>(T19-U18)*24*60</f>
        <v>93.000000000000867</v>
      </c>
      <c r="W19" s="149">
        <f t="shared" si="18"/>
        <v>45.999999999999361</v>
      </c>
      <c r="X19" s="22">
        <v>0.48611111111111099</v>
      </c>
      <c r="Y19" s="84">
        <v>0.52777777777777801</v>
      </c>
      <c r="Z19" s="90"/>
      <c r="AA19" s="90"/>
      <c r="AB19" s="407" t="s">
        <v>120</v>
      </c>
      <c r="AC19" s="407"/>
      <c r="AD19" s="149">
        <v>2</v>
      </c>
      <c r="AE19" s="149">
        <v>2</v>
      </c>
      <c r="AF19" s="307">
        <f t="shared" si="14"/>
        <v>-90.434782608669138</v>
      </c>
      <c r="AG19" s="72">
        <f t="shared" si="15"/>
        <v>0.95478260869566545</v>
      </c>
      <c r="AH19" s="405"/>
    </row>
    <row r="20" spans="1:34" ht="15" customHeight="1">
      <c r="A20" s="414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8"/>
      <c r="T20" s="19"/>
      <c r="U20" s="19"/>
      <c r="V20" s="30"/>
      <c r="W20" s="149">
        <f t="shared" si="18"/>
        <v>0</v>
      </c>
      <c r="X20" s="19"/>
      <c r="Y20" s="297"/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50"/>
      <c r="U21" s="150"/>
      <c r="V21" s="30"/>
      <c r="W21" s="149">
        <f t="shared" si="18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8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20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8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20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8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1">AVERAGE(J16:J25)</f>
        <v>11.5</v>
      </c>
      <c r="K26" s="155">
        <f t="shared" si="21"/>
        <v>2026.25</v>
      </c>
      <c r="L26" s="158">
        <f t="shared" si="21"/>
        <v>176.42992424242425</v>
      </c>
      <c r="M26" s="155">
        <f t="shared" si="21"/>
        <v>11.5</v>
      </c>
      <c r="N26" s="155">
        <f t="shared" si="21"/>
        <v>1966.7224238924132</v>
      </c>
      <c r="O26" s="158">
        <f t="shared" si="21"/>
        <v>171.24058577275071</v>
      </c>
      <c r="P26" s="159">
        <f t="shared" ref="P26:P30" si="22">M26-J26</f>
        <v>0</v>
      </c>
      <c r="Q26" s="160">
        <f t="shared" ref="Q26:Q30" si="23">O26-L26</f>
        <v>-5.1893384696735438</v>
      </c>
      <c r="R26" s="161">
        <f>O26/L26</f>
        <v>0.97058697104838565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6</v>
      </c>
      <c r="AE26" s="323">
        <f>SUM(AE16:AE25)</f>
        <v>6</v>
      </c>
      <c r="AF26" s="309">
        <f t="shared" ref="AF26:AF31" si="24">N26-K26</f>
        <v>-59.52757610758681</v>
      </c>
      <c r="AG26" s="124">
        <f t="shared" ref="AG26:AG31" si="25">N26/K26</f>
        <v>0.97062180081056793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1955</v>
      </c>
      <c r="H27" s="134">
        <f>F27*G27</f>
        <v>112021.5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30" si="26">K27/J27</f>
        <v>88.235294117647058</v>
      </c>
      <c r="M27" s="170">
        <v>17</v>
      </c>
      <c r="N27" s="140">
        <f>G27/W27*60</f>
        <v>1484.8101265822822</v>
      </c>
      <c r="O27" s="141">
        <f>N27/M27</f>
        <v>87.341772151898951</v>
      </c>
      <c r="P27" s="142">
        <f t="shared" si="22"/>
        <v>0</v>
      </c>
      <c r="Q27" s="143">
        <f t="shared" si="23"/>
        <v>-0.89352196574810705</v>
      </c>
      <c r="R27" s="144">
        <f>O27/L27</f>
        <v>0.98987341772152149</v>
      </c>
      <c r="S27" s="417">
        <f>R37</f>
        <v>0.88599104882943291</v>
      </c>
      <c r="T27" s="171">
        <v>0.29027777777777802</v>
      </c>
      <c r="U27" s="171">
        <v>0.34513888888888899</v>
      </c>
      <c r="V27" s="135"/>
      <c r="W27" s="146">
        <f t="shared" si="18"/>
        <v>78.999999999999801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4"/>
        <v>-15.189873417717763</v>
      </c>
      <c r="AG27" s="172">
        <f t="shared" si="25"/>
        <v>0.98987341772152149</v>
      </c>
      <c r="AH27" s="403">
        <f>AG37</f>
        <v>0.85035467285703736</v>
      </c>
    </row>
    <row r="28" spans="1:34" ht="15" customHeight="1">
      <c r="A28" s="430"/>
      <c r="B28" s="75" t="s">
        <v>81</v>
      </c>
      <c r="C28" s="173"/>
      <c r="D28" s="59" t="s">
        <v>122</v>
      </c>
      <c r="E28" s="104"/>
      <c r="F28" s="75">
        <f>VLOOKUP(D28,廠價表!$C$1:$E$41,3,0)</f>
        <v>55.13</v>
      </c>
      <c r="G28" s="90">
        <v>1500</v>
      </c>
      <c r="H28" s="91">
        <f>F28*G28</f>
        <v>82695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6"/>
        <v>81.470588235294116</v>
      </c>
      <c r="M28" s="94">
        <v>15</v>
      </c>
      <c r="N28" s="95">
        <f>G28/W28*60</f>
        <v>1111.1111111111106</v>
      </c>
      <c r="O28" s="96">
        <f>N28/M28</f>
        <v>74.074074074074048</v>
      </c>
      <c r="P28" s="97">
        <f t="shared" si="22"/>
        <v>-2</v>
      </c>
      <c r="Q28" s="98">
        <f t="shared" si="23"/>
        <v>-7.3965141612200682</v>
      </c>
      <c r="R28" s="99">
        <f t="shared" ref="R28:R30" si="27">O28/L28</f>
        <v>0.90921246155903168</v>
      </c>
      <c r="S28" s="418"/>
      <c r="T28" s="19">
        <v>0.34930555555555598</v>
      </c>
      <c r="U28" s="19">
        <v>0.405555555555556</v>
      </c>
      <c r="V28" s="92">
        <f>(T28-U27)*24*60</f>
        <v>6.0000000000004583</v>
      </c>
      <c r="W28" s="149">
        <f t="shared" si="18"/>
        <v>81.000000000000028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4"/>
        <v>-273.88888888888937</v>
      </c>
      <c r="AG28" s="99">
        <f t="shared" si="25"/>
        <v>0.80224628961091016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1959</v>
      </c>
      <c r="H29" s="91">
        <f>F29*G29</f>
        <v>97009.680000000008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6"/>
        <v>96</v>
      </c>
      <c r="M29" s="94">
        <v>15</v>
      </c>
      <c r="N29" s="95">
        <f>G29/W29*60</f>
        <v>1175.3999999999901</v>
      </c>
      <c r="O29" s="96">
        <f>N29/M29</f>
        <v>78.359999999999346</v>
      </c>
      <c r="P29" s="97">
        <f t="shared" si="22"/>
        <v>0</v>
      </c>
      <c r="Q29" s="98">
        <f t="shared" si="23"/>
        <v>-17.640000000000654</v>
      </c>
      <c r="R29" s="99">
        <f t="shared" si="27"/>
        <v>0.81624999999999315</v>
      </c>
      <c r="S29" s="418"/>
      <c r="T29" s="19">
        <v>0.40972222222222199</v>
      </c>
      <c r="U29" s="19">
        <v>0.47916666666666702</v>
      </c>
      <c r="V29" s="92">
        <f>(T29-U28)*24*60</f>
        <v>5.9999999999990195</v>
      </c>
      <c r="W29" s="149">
        <f t="shared" si="18"/>
        <v>100.00000000000084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4"/>
        <v>-264.60000000000991</v>
      </c>
      <c r="AG29" s="99">
        <f t="shared" si="25"/>
        <v>0.81624999999999315</v>
      </c>
      <c r="AH29" s="432"/>
    </row>
    <row r="30" spans="1:34" ht="15" customHeight="1">
      <c r="A30" s="430"/>
      <c r="B30" s="75" t="s">
        <v>123</v>
      </c>
      <c r="C30" s="88"/>
      <c r="D30" s="59" t="s">
        <v>128</v>
      </c>
      <c r="E30" s="89"/>
      <c r="F30" s="75">
        <f>VLOOKUP(D30,廠價表!$C$1:$E$41,3,0)</f>
        <v>44.3</v>
      </c>
      <c r="G30" s="90">
        <v>2130</v>
      </c>
      <c r="H30" s="91">
        <f>F30*G30</f>
        <v>94359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si="26"/>
        <v>84.705882352941174</v>
      </c>
      <c r="M30" s="94">
        <v>16</v>
      </c>
      <c r="N30" s="95">
        <f>G30/W30*60</f>
        <v>1130.9734513274375</v>
      </c>
      <c r="O30" s="96">
        <f>N30/M30</f>
        <v>70.685840707964843</v>
      </c>
      <c r="P30" s="97">
        <f t="shared" si="22"/>
        <v>-1</v>
      </c>
      <c r="Q30" s="98">
        <f t="shared" si="23"/>
        <v>-14.020041644976331</v>
      </c>
      <c r="R30" s="99">
        <f t="shared" si="27"/>
        <v>0.83448561946902944</v>
      </c>
      <c r="S30" s="418"/>
      <c r="T30" s="19">
        <v>0.54861111111111105</v>
      </c>
      <c r="U30" s="19">
        <v>0.62708333333333299</v>
      </c>
      <c r="V30" s="92">
        <f>(T30-U29)*24*60</f>
        <v>99.999999999999403</v>
      </c>
      <c r="W30" s="149">
        <f t="shared" si="18"/>
        <v>112.9999999999996</v>
      </c>
      <c r="X30" s="174">
        <v>0.49652777777777801</v>
      </c>
      <c r="Y30" s="301">
        <v>0.53819444444444398</v>
      </c>
      <c r="Z30" s="335"/>
      <c r="AA30" s="335"/>
      <c r="AB30" s="395"/>
      <c r="AC30" s="395"/>
      <c r="AD30" s="92"/>
      <c r="AE30" s="92"/>
      <c r="AF30" s="312">
        <f t="shared" si="24"/>
        <v>-309.02654867256251</v>
      </c>
      <c r="AG30" s="99">
        <f t="shared" si="25"/>
        <v>0.78539823008849829</v>
      </c>
      <c r="AH30" s="433"/>
    </row>
    <row r="31" spans="1:34" ht="15" customHeight="1">
      <c r="A31" s="43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8"/>
      <c r="T31" s="19"/>
      <c r="U31" s="19"/>
      <c r="V31" s="92"/>
      <c r="W31" s="149">
        <f t="shared" si="18"/>
        <v>0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4"/>
        <v>0</v>
      </c>
      <c r="AG31" s="99" t="e">
        <f t="shared" si="25"/>
        <v>#DIV/0!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50"/>
      <c r="U32" s="150"/>
      <c r="V32" s="92"/>
      <c r="W32" s="149">
        <f t="shared" si="18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8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8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8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28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8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29">AVERAGE(J27:J36)</f>
        <v>16.5</v>
      </c>
      <c r="K37" s="155">
        <f t="shared" si="29"/>
        <v>1441.25</v>
      </c>
      <c r="L37" s="158">
        <f t="shared" si="29"/>
        <v>87.60294117647058</v>
      </c>
      <c r="M37" s="155">
        <f t="shared" si="29"/>
        <v>15.75</v>
      </c>
      <c r="N37" s="155">
        <f t="shared" si="29"/>
        <v>1225.5736722552051</v>
      </c>
      <c r="O37" s="158">
        <f t="shared" si="29"/>
        <v>77.615421733484283</v>
      </c>
      <c r="P37" s="159">
        <f>M37-J37</f>
        <v>-0.75</v>
      </c>
      <c r="Q37" s="160">
        <f>N37-K37</f>
        <v>-215.67632774479489</v>
      </c>
      <c r="R37" s="161">
        <f t="shared" ref="R37:R40" si="30">O37/L37</f>
        <v>0.88599104882943291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1">N37-K37</f>
        <v>-215.67632774479489</v>
      </c>
      <c r="AG37" s="124">
        <f t="shared" ref="AG37:AG41" si="32">N37/K37</f>
        <v>0.85035467285703736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1161</v>
      </c>
      <c r="H38" s="134">
        <f>F38*G38</f>
        <v>65515.23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33">K38/J38</f>
        <v>87.875</v>
      </c>
      <c r="M38" s="190">
        <v>14</v>
      </c>
      <c r="N38" s="140">
        <f>G38/W38*60</f>
        <v>1180.6779661017008</v>
      </c>
      <c r="O38" s="141">
        <f>N38/M38</f>
        <v>84.334140435835778</v>
      </c>
      <c r="P38" s="142">
        <f t="shared" ref="P38:P40" si="34">M38-J38</f>
        <v>-2</v>
      </c>
      <c r="Q38" s="143">
        <f t="shared" ref="Q38:Q40" si="35">O38-L38</f>
        <v>-3.5408595641642222</v>
      </c>
      <c r="R38" s="144">
        <f>O38/L38</f>
        <v>0.9597057233096532</v>
      </c>
      <c r="S38" s="437">
        <f>R48</f>
        <v>0.91664536889623527</v>
      </c>
      <c r="T38" s="191">
        <v>0.33402777777777798</v>
      </c>
      <c r="U38" s="191">
        <v>0.375</v>
      </c>
      <c r="V38" s="192"/>
      <c r="W38" s="193">
        <f t="shared" si="18"/>
        <v>58.999999999999709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1"/>
        <v>-225.3220338982992</v>
      </c>
      <c r="AG38" s="195">
        <f t="shared" si="32"/>
        <v>0.83974250789594651</v>
      </c>
      <c r="AH38" s="443">
        <f>AG48</f>
        <v>0.87754942477568432</v>
      </c>
    </row>
    <row r="39" spans="1:34" ht="15" customHeight="1">
      <c r="A39" s="435"/>
      <c r="B39" s="75" t="s">
        <v>123</v>
      </c>
      <c r="C39" s="197"/>
      <c r="D39" s="198" t="s">
        <v>127</v>
      </c>
      <c r="E39" s="176"/>
      <c r="F39" s="75">
        <f>VLOOKUP(D39,廠價表!$C$1:$E$41,3,0)</f>
        <v>49.91</v>
      </c>
      <c r="G39" s="199">
        <v>2129</v>
      </c>
      <c r="H39" s="91">
        <f>F39*G39</f>
        <v>106258.39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3"/>
        <v>92.058823529411768</v>
      </c>
      <c r="M39" s="201">
        <v>17</v>
      </c>
      <c r="N39" s="202">
        <f>G39/W39*60</f>
        <v>1388.4782608695627</v>
      </c>
      <c r="O39" s="203">
        <f t="shared" ref="O39:O40" si="36">N39/M39</f>
        <v>81.675191815856635</v>
      </c>
      <c r="P39" s="97">
        <f t="shared" si="34"/>
        <v>0</v>
      </c>
      <c r="Q39" s="98">
        <f t="shared" si="35"/>
        <v>-10.383631713555133</v>
      </c>
      <c r="R39" s="99">
        <f t="shared" si="30"/>
        <v>0.8872065564661743</v>
      </c>
      <c r="S39" s="438"/>
      <c r="T39" s="20">
        <v>0.38472222222222202</v>
      </c>
      <c r="U39" s="20">
        <v>0.44861111111111102</v>
      </c>
      <c r="V39" s="92">
        <f>(T39-U38)*24*60</f>
        <v>13.99999999999971</v>
      </c>
      <c r="W39" s="205">
        <f t="shared" si="18"/>
        <v>92.000000000000156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1"/>
        <v>-176.52173913043725</v>
      </c>
      <c r="AG39" s="206">
        <f t="shared" si="32"/>
        <v>0.8872065564661743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2278</v>
      </c>
      <c r="H40" s="91">
        <f>F40*G40</f>
        <v>100915.4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3"/>
        <v>84.705882352941174</v>
      </c>
      <c r="M40" s="201">
        <v>17</v>
      </c>
      <c r="N40" s="202">
        <f>G40/W40*60</f>
        <v>1301.7142857142794</v>
      </c>
      <c r="O40" s="203">
        <f t="shared" si="36"/>
        <v>76.5714285714282</v>
      </c>
      <c r="P40" s="97">
        <f t="shared" si="34"/>
        <v>0</v>
      </c>
      <c r="Q40" s="98">
        <f t="shared" si="35"/>
        <v>-8.134453781512974</v>
      </c>
      <c r="R40" s="99">
        <f t="shared" si="30"/>
        <v>0.90396825396824965</v>
      </c>
      <c r="S40" s="425"/>
      <c r="T40" s="20">
        <v>0.45138888888888901</v>
      </c>
      <c r="U40" s="20">
        <v>0.52430555555555602</v>
      </c>
      <c r="V40" s="92">
        <f>(T40-U39)*24*60</f>
        <v>4.0000000000003055</v>
      </c>
      <c r="W40" s="205">
        <f t="shared" si="18"/>
        <v>105.00000000000051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1"/>
        <v>-138.28571428572059</v>
      </c>
      <c r="AG40" s="206">
        <f t="shared" si="32"/>
        <v>0.90396825396824965</v>
      </c>
      <c r="AH40" s="444"/>
    </row>
    <row r="41" spans="1:34" ht="15" customHeight="1">
      <c r="A41" s="43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5"/>
      <c r="T41" s="20"/>
      <c r="U41" s="210"/>
      <c r="V41" s="92"/>
      <c r="W41" s="205">
        <f t="shared" si="18"/>
        <v>0</v>
      </c>
      <c r="X41" s="208"/>
      <c r="Y41" s="209"/>
      <c r="Z41" s="337"/>
      <c r="AA41" s="337"/>
      <c r="AB41" s="395"/>
      <c r="AC41" s="395"/>
      <c r="AD41" s="92"/>
      <c r="AE41" s="92"/>
      <c r="AF41" s="314">
        <f t="shared" si="31"/>
        <v>0</v>
      </c>
      <c r="AG41" s="206" t="e">
        <f t="shared" si="32"/>
        <v>#DIV/0!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8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7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7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7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28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7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38">AVERAGE(J38:J47)</f>
        <v>16.666666666666668</v>
      </c>
      <c r="K48" s="155">
        <f t="shared" si="38"/>
        <v>1470.3333333333333</v>
      </c>
      <c r="L48" s="158">
        <f t="shared" si="38"/>
        <v>88.213235294117638</v>
      </c>
      <c r="M48" s="155">
        <f t="shared" si="38"/>
        <v>16</v>
      </c>
      <c r="N48" s="155">
        <f t="shared" si="38"/>
        <v>1290.2901708951811</v>
      </c>
      <c r="O48" s="158">
        <f t="shared" si="38"/>
        <v>80.860253607706866</v>
      </c>
      <c r="P48" s="221">
        <f>M48-J48</f>
        <v>-0.66666666666666785</v>
      </c>
      <c r="Q48" s="222">
        <f>N48-K48</f>
        <v>-180.04316243815219</v>
      </c>
      <c r="R48" s="223">
        <f>O48/L48</f>
        <v>0.91664536889623527</v>
      </c>
      <c r="S48" s="428"/>
      <c r="T48" s="224"/>
      <c r="U48" s="224"/>
      <c r="V48" s="225"/>
      <c r="W48" s="226">
        <f t="shared" si="37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39">N48-K48</f>
        <v>-180.04316243815219</v>
      </c>
      <c r="AG48" s="162">
        <f t="shared" ref="AG48:AG53" si="40">N48/K48</f>
        <v>0.87754942477568432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1088</v>
      </c>
      <c r="H49" s="134">
        <f>F49*G49</f>
        <v>61874.559999999998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1">K49/J49</f>
        <v>86.944444444444443</v>
      </c>
      <c r="M49" s="170">
        <v>18</v>
      </c>
      <c r="N49" s="140">
        <f>G49/W49*60</f>
        <v>1518.1395348837264</v>
      </c>
      <c r="O49" s="141">
        <f>N49/M49</f>
        <v>84.341085271318136</v>
      </c>
      <c r="P49" s="229">
        <f>M49-J49</f>
        <v>0</v>
      </c>
      <c r="Q49" s="230">
        <f>O49-L49</f>
        <v>-2.6033591731263073</v>
      </c>
      <c r="R49" s="52">
        <f>O49/L49</f>
        <v>0.97005721078832363</v>
      </c>
      <c r="S49" s="424">
        <f>R58</f>
        <v>0.96828734194985722</v>
      </c>
      <c r="T49" s="191">
        <v>0.29097222222222202</v>
      </c>
      <c r="U49" s="191">
        <v>0.32083333333333303</v>
      </c>
      <c r="V49" s="55"/>
      <c r="W49" s="193">
        <f t="shared" si="18"/>
        <v>42.999999999999844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39"/>
        <v>-46.860465116273645</v>
      </c>
      <c r="AG49" s="52">
        <f t="shared" si="40"/>
        <v>0.97005721078832352</v>
      </c>
      <c r="AH49" s="403">
        <f>AG58</f>
        <v>0.96738011695701254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2279</v>
      </c>
      <c r="H50" s="231">
        <f>F50*G50</f>
        <v>108731.09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1"/>
        <v>90</v>
      </c>
      <c r="M50" s="233">
        <v>16</v>
      </c>
      <c r="N50" s="234">
        <f>G50/W50*60</f>
        <v>1439.3684210526148</v>
      </c>
      <c r="O50" s="235">
        <f>N50/M50</f>
        <v>89.960526315788428</v>
      </c>
      <c r="P50" s="74">
        <f>M50-J50</f>
        <v>0</v>
      </c>
      <c r="Q50" s="83">
        <f>O50-L50</f>
        <v>-3.9473684211571936E-2</v>
      </c>
      <c r="R50" s="72">
        <f>O50/L50</f>
        <v>0.99956140350876033</v>
      </c>
      <c r="S50" s="425"/>
      <c r="T50" s="21">
        <v>0.32569444444444401</v>
      </c>
      <c r="U50" s="21">
        <v>0.391666666666667</v>
      </c>
      <c r="V50" s="30">
        <f t="shared" ref="V50:V52" si="42">(T50-U49)*24*60</f>
        <v>6.9999999999998153</v>
      </c>
      <c r="W50" s="236">
        <f t="shared" si="18"/>
        <v>95.000000000001108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39"/>
        <v>-0.63157894738515097</v>
      </c>
      <c r="AG50" s="72">
        <f t="shared" si="40"/>
        <v>0.99956140350876033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2852</v>
      </c>
      <c r="H51" s="231">
        <f>F51*G51</f>
        <v>142514.44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1"/>
        <v>88.888888888888886</v>
      </c>
      <c r="M51" s="233">
        <v>18</v>
      </c>
      <c r="N51" s="234">
        <f>G51/W51*60</f>
        <v>1599.2523364485894</v>
      </c>
      <c r="O51" s="235">
        <f>N51/M51</f>
        <v>88.847352024921634</v>
      </c>
      <c r="P51" s="74">
        <f>M51-J51</f>
        <v>0</v>
      </c>
      <c r="Q51" s="83">
        <f>O51-L51</f>
        <v>-4.1536863967252202E-2</v>
      </c>
      <c r="R51" s="72">
        <f>O51/L51</f>
        <v>0.99953271028036839</v>
      </c>
      <c r="S51" s="425"/>
      <c r="T51" s="21">
        <v>0.39861111111111103</v>
      </c>
      <c r="U51" s="19">
        <v>0.47291666666666698</v>
      </c>
      <c r="V51" s="30">
        <f t="shared" si="42"/>
        <v>9.9999999999994049</v>
      </c>
      <c r="W51" s="236">
        <f t="shared" si="18"/>
        <v>107.00000000000058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39"/>
        <v>-0.74766355141059648</v>
      </c>
      <c r="AG51" s="72">
        <f t="shared" si="40"/>
        <v>0.99953271028036839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1735</v>
      </c>
      <c r="H52" s="231">
        <f>F52*G52</f>
        <v>86697.95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1"/>
        <v>88.888888888888886</v>
      </c>
      <c r="M52" s="233">
        <v>18</v>
      </c>
      <c r="N52" s="234">
        <f>G52/W52*60</f>
        <v>1445.8333333333321</v>
      </c>
      <c r="O52" s="235">
        <f>N52/M52</f>
        <v>80.324074074074005</v>
      </c>
      <c r="P52" s="74">
        <f>M52-J52</f>
        <v>0</v>
      </c>
      <c r="Q52" s="83">
        <f>O52-L52</f>
        <v>-8.5648148148148806</v>
      </c>
      <c r="R52" s="72">
        <f>O52/L52</f>
        <v>0.90364583333333259</v>
      </c>
      <c r="S52" s="425"/>
      <c r="T52" s="21">
        <v>0.53263888888888899</v>
      </c>
      <c r="U52" s="21">
        <v>0.58263888888888904</v>
      </c>
      <c r="V52" s="30">
        <f t="shared" si="42"/>
        <v>85.999999999999687</v>
      </c>
      <c r="W52" s="236">
        <f t="shared" si="18"/>
        <v>72.000000000000057</v>
      </c>
      <c r="X52" s="22">
        <v>0.47916666666666702</v>
      </c>
      <c r="Y52" s="84">
        <v>0.52083333333333304</v>
      </c>
      <c r="Z52" s="90"/>
      <c r="AA52" s="90"/>
      <c r="AB52" s="395"/>
      <c r="AC52" s="395"/>
      <c r="AD52" s="92"/>
      <c r="AE52" s="92"/>
      <c r="AF52" s="307">
        <f t="shared" si="39"/>
        <v>-154.16666666666788</v>
      </c>
      <c r="AG52" s="72">
        <f t="shared" si="40"/>
        <v>0.90364583333333259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8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39"/>
        <v>0</v>
      </c>
      <c r="AG53" s="72" t="e">
        <f t="shared" si="40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8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8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8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8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3">AVERAGE(J49:J57)</f>
        <v>17.5</v>
      </c>
      <c r="K58" s="120">
        <f t="shared" si="43"/>
        <v>1551.25</v>
      </c>
      <c r="L58" s="117">
        <f t="shared" si="43"/>
        <v>88.680555555555571</v>
      </c>
      <c r="M58" s="120">
        <f t="shared" si="43"/>
        <v>17.5</v>
      </c>
      <c r="N58" s="120">
        <f t="shared" si="43"/>
        <v>1500.6484064295657</v>
      </c>
      <c r="O58" s="117">
        <f t="shared" si="43"/>
        <v>85.868259421525551</v>
      </c>
      <c r="P58" s="121">
        <f>M58-J58</f>
        <v>0</v>
      </c>
      <c r="Q58" s="122">
        <f>N58-K58</f>
        <v>-50.601593570434261</v>
      </c>
      <c r="R58" s="123">
        <f t="shared" ref="R58:R60" si="44">O58/L58</f>
        <v>0.96828734194985722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45">N58-K58</f>
        <v>-50.601593570434261</v>
      </c>
      <c r="AG58" s="124">
        <f t="shared" ref="AG58:AG61" si="46">N58/K58</f>
        <v>0.96738011695701254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3235</v>
      </c>
      <c r="H59" s="243">
        <f>F59*G59</f>
        <v>87312.65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47">K59/J59</f>
        <v>120.38461538461539</v>
      </c>
      <c r="M59" s="244">
        <v>13</v>
      </c>
      <c r="N59" s="137">
        <f t="shared" ref="N59:N61" si="48">G59/W59*60</f>
        <v>1437.7777777777778</v>
      </c>
      <c r="O59" s="138">
        <f t="shared" ref="O59:O61" si="49">N59/M59</f>
        <v>110.5982905982906</v>
      </c>
      <c r="P59" s="56">
        <f t="shared" ref="P59:P61" si="50">M59-J59</f>
        <v>0</v>
      </c>
      <c r="Q59" s="230">
        <f t="shared" ref="Q59:Q61" si="51">O59-L59</f>
        <v>-9.7863247863247835</v>
      </c>
      <c r="R59" s="52">
        <f t="shared" si="44"/>
        <v>0.91870784522541715</v>
      </c>
      <c r="S59" s="424">
        <f>R69</f>
        <v>0.88667115072025005</v>
      </c>
      <c r="T59" s="245">
        <v>0.29166666666666702</v>
      </c>
      <c r="U59" s="245">
        <v>0.38541666666666702</v>
      </c>
      <c r="V59" s="55"/>
      <c r="W59" s="54">
        <f t="shared" si="18"/>
        <v>135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45"/>
        <v>-127.22222222222217</v>
      </c>
      <c r="AG59" s="246">
        <f t="shared" si="46"/>
        <v>0.91870784522541715</v>
      </c>
      <c r="AH59" s="403">
        <f>AG69</f>
        <v>0.8874926044255107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1469</v>
      </c>
      <c r="H60" s="78">
        <f>F60*G60</f>
        <v>41513.94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7"/>
        <v>130.41666666666666</v>
      </c>
      <c r="M60" s="82">
        <v>12</v>
      </c>
      <c r="N60" s="80">
        <f t="shared" si="48"/>
        <v>1468.9999999999877</v>
      </c>
      <c r="O60" s="81">
        <f t="shared" si="49"/>
        <v>122.41666666666565</v>
      </c>
      <c r="P60" s="74">
        <f t="shared" si="50"/>
        <v>0</v>
      </c>
      <c r="Q60" s="83">
        <f t="shared" si="51"/>
        <v>-8.000000000001009</v>
      </c>
      <c r="R60" s="72">
        <f t="shared" si="44"/>
        <v>0.93865814696484851</v>
      </c>
      <c r="S60" s="451"/>
      <c r="T60" s="22">
        <v>0.39583333333333298</v>
      </c>
      <c r="U60" s="22">
        <v>0.4375</v>
      </c>
      <c r="V60" s="30">
        <f t="shared" ref="V60:V61" si="52">(T60-U59)*24*60</f>
        <v>14.999999999998987</v>
      </c>
      <c r="W60" s="248">
        <f t="shared" si="18"/>
        <v>60.000000000000504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45"/>
        <v>-96.000000000012278</v>
      </c>
      <c r="AG60" s="249">
        <f t="shared" si="46"/>
        <v>0.93865814696484839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2100</v>
      </c>
      <c r="H61" s="254">
        <f>F61*G61</f>
        <v>59346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7"/>
        <v>130.41666666666666</v>
      </c>
      <c r="M61" s="108">
        <v>12</v>
      </c>
      <c r="N61" s="107">
        <f t="shared" si="48"/>
        <v>1260.0000000000075</v>
      </c>
      <c r="O61" s="238">
        <f t="shared" si="49"/>
        <v>105.00000000000063</v>
      </c>
      <c r="P61" s="111">
        <f t="shared" si="50"/>
        <v>0</v>
      </c>
      <c r="Q61" s="255">
        <f t="shared" si="51"/>
        <v>-25.416666666666032</v>
      </c>
      <c r="R61" s="85">
        <f>O61/L61</f>
        <v>0.80511182108626689</v>
      </c>
      <c r="S61" s="425"/>
      <c r="T61" s="22">
        <v>0.44791666666666702</v>
      </c>
      <c r="U61" s="22">
        <v>0.51736111111111105</v>
      </c>
      <c r="V61" s="30">
        <f t="shared" si="52"/>
        <v>15.000000000000506</v>
      </c>
      <c r="W61" s="256">
        <f t="shared" si="18"/>
        <v>99.999999999999403</v>
      </c>
      <c r="X61" s="22"/>
      <c r="Y61" s="84"/>
      <c r="Z61" s="90">
        <v>1</v>
      </c>
      <c r="AA61" s="90">
        <v>5</v>
      </c>
      <c r="AB61" s="395" t="s">
        <v>158</v>
      </c>
      <c r="AC61" s="395"/>
      <c r="AD61" s="92"/>
      <c r="AE61" s="92"/>
      <c r="AF61" s="317">
        <f t="shared" si="45"/>
        <v>-304.9999999999925</v>
      </c>
      <c r="AG61" s="247">
        <f t="shared" si="46"/>
        <v>0.80511182108626678</v>
      </c>
      <c r="AH61" s="404"/>
    </row>
    <row r="62" spans="1:34" ht="15" customHeight="1">
      <c r="A62" s="44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5"/>
      <c r="T62" s="22"/>
      <c r="U62" s="22"/>
      <c r="V62" s="30"/>
      <c r="W62" s="248">
        <f t="shared" si="18"/>
        <v>0</v>
      </c>
      <c r="X62" s="22"/>
      <c r="Y62" s="84"/>
      <c r="Z62" s="90"/>
      <c r="AA62" s="90"/>
      <c r="AB62" s="395"/>
      <c r="AC62" s="395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8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8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8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8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8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8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3">AVERAGE(J59:J68)</f>
        <v>12.333333333333334</v>
      </c>
      <c r="K69" s="240">
        <f t="shared" si="53"/>
        <v>1565</v>
      </c>
      <c r="L69" s="268">
        <f t="shared" si="53"/>
        <v>127.07264957264958</v>
      </c>
      <c r="M69" s="240">
        <f t="shared" si="53"/>
        <v>12.333333333333334</v>
      </c>
      <c r="N69" s="240">
        <f t="shared" si="53"/>
        <v>1388.9259259259243</v>
      </c>
      <c r="O69" s="268">
        <f t="shared" si="53"/>
        <v>112.6716524216523</v>
      </c>
      <c r="P69" s="269">
        <f>M69-J69</f>
        <v>0</v>
      </c>
      <c r="Q69" s="222">
        <f>N69-K69</f>
        <v>-176.07407407407572</v>
      </c>
      <c r="R69" s="123">
        <f>O69/L69</f>
        <v>0.88667115072025005</v>
      </c>
      <c r="S69" s="428"/>
      <c r="T69" s="125"/>
      <c r="U69" s="125"/>
      <c r="V69" s="126"/>
      <c r="W69" s="242"/>
      <c r="X69" s="128"/>
      <c r="Y69" s="295"/>
      <c r="Z69" s="334">
        <f>SUM(Z59:Z68)</f>
        <v>1</v>
      </c>
      <c r="AA69" s="334">
        <f>SUM(AA59:AA68)</f>
        <v>5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-176.07407407407572</v>
      </c>
      <c r="AG69" s="124">
        <f>N69/K69</f>
        <v>0.8874926044255107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2450</v>
      </c>
      <c r="H70" s="243">
        <f>F70*G70</f>
        <v>124141.5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839.99999999999841</v>
      </c>
      <c r="O70" s="138">
        <f>N70/M70</f>
        <v>83.999999999999844</v>
      </c>
      <c r="P70" s="56">
        <f>M70-J70</f>
        <v>0</v>
      </c>
      <c r="Q70" s="230">
        <f>O70-L70</f>
        <v>-28.500000000000156</v>
      </c>
      <c r="R70" s="52">
        <f>O70/L70</f>
        <v>0.74666666666666526</v>
      </c>
      <c r="S70" s="424">
        <f>R79</f>
        <v>0.74666666666666526</v>
      </c>
      <c r="T70" s="245">
        <v>0.33333333333333298</v>
      </c>
      <c r="U70" s="245">
        <v>0.45486111111111099</v>
      </c>
      <c r="V70" s="55"/>
      <c r="W70" s="54">
        <f t="shared" si="18"/>
        <v>175.00000000000034</v>
      </c>
      <c r="X70" s="270"/>
      <c r="Y70" s="292"/>
      <c r="Z70" s="169"/>
      <c r="AA70" s="169"/>
      <c r="AB70" s="402" t="s">
        <v>159</v>
      </c>
      <c r="AC70" s="402"/>
      <c r="AD70" s="135"/>
      <c r="AE70" s="135"/>
      <c r="AF70" s="310">
        <f>N70-K70</f>
        <v>-285.00000000000159</v>
      </c>
      <c r="AG70" s="246">
        <f>N70/K70</f>
        <v>0.74666666666666526</v>
      </c>
      <c r="AH70" s="403">
        <f>AG79</f>
        <v>0.74666666666666526</v>
      </c>
    </row>
    <row r="71" spans="1:36" ht="15" customHeight="1">
      <c r="A71" s="45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5"/>
      <c r="T71" s="22"/>
      <c r="U71" s="22"/>
      <c r="V71" s="30"/>
      <c r="W71" s="73">
        <f t="shared" si="18"/>
        <v>0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8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8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8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54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8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54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8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54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8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54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8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55">AVERAGE(J70:J78)</f>
        <v>10</v>
      </c>
      <c r="K79" s="240">
        <f t="shared" si="55"/>
        <v>1125</v>
      </c>
      <c r="L79" s="268">
        <f t="shared" si="55"/>
        <v>112.5</v>
      </c>
      <c r="M79" s="240">
        <f t="shared" si="55"/>
        <v>10</v>
      </c>
      <c r="N79" s="240">
        <f t="shared" si="55"/>
        <v>839.99999999999841</v>
      </c>
      <c r="O79" s="268">
        <f t="shared" si="55"/>
        <v>83.999999999999844</v>
      </c>
      <c r="P79" s="269">
        <f>M79-J79</f>
        <v>0</v>
      </c>
      <c r="Q79" s="222">
        <f>N79-K79</f>
        <v>-285.00000000000159</v>
      </c>
      <c r="R79" s="223">
        <f>O79/L79</f>
        <v>0.74666666666666526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-285.00000000000159</v>
      </c>
      <c r="AG79" s="124">
        <f>N79/K79</f>
        <v>0.74666666666666526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38:AH48"/>
    <mergeCell ref="AB42:AC42"/>
    <mergeCell ref="AB43:AC43"/>
    <mergeCell ref="AB44:AC44"/>
    <mergeCell ref="AB45:AC45"/>
    <mergeCell ref="AB46:AC46"/>
    <mergeCell ref="A70:A79"/>
    <mergeCell ref="S70:S79"/>
    <mergeCell ref="AB70:AC70"/>
    <mergeCell ref="AH59:AH69"/>
    <mergeCell ref="AB66:AC66"/>
    <mergeCell ref="D79:E79"/>
    <mergeCell ref="AB79:AC7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49:A58"/>
    <mergeCell ref="S49:S58"/>
    <mergeCell ref="AB49:AC49"/>
    <mergeCell ref="AB60:AC60"/>
    <mergeCell ref="AB61:AC61"/>
    <mergeCell ref="D58:E58"/>
    <mergeCell ref="AB58:AC58"/>
    <mergeCell ref="A59:A69"/>
    <mergeCell ref="S59:S69"/>
    <mergeCell ref="AB59:AC59"/>
    <mergeCell ref="D69:E69"/>
    <mergeCell ref="AB69:AC69"/>
    <mergeCell ref="AB62:AC62"/>
    <mergeCell ref="AB63:AC63"/>
    <mergeCell ref="AB64:AC64"/>
    <mergeCell ref="AB65:AC65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B25:AC25"/>
    <mergeCell ref="AH5:AH15"/>
    <mergeCell ref="AB6:AC6"/>
    <mergeCell ref="AB7:AC7"/>
    <mergeCell ref="A16:A26"/>
    <mergeCell ref="S16:S26"/>
    <mergeCell ref="AB16:AC16"/>
    <mergeCell ref="D26:E26"/>
    <mergeCell ref="AB26:AC26"/>
    <mergeCell ref="AH16:AH26"/>
    <mergeCell ref="AB20:AC20"/>
    <mergeCell ref="AB21:AC21"/>
    <mergeCell ref="AB22:AC22"/>
    <mergeCell ref="AB23:AC23"/>
    <mergeCell ref="AB24:AC24"/>
    <mergeCell ref="AB19:AC19"/>
    <mergeCell ref="AB13:AC13"/>
    <mergeCell ref="AB8:AC8"/>
    <mergeCell ref="AB9:AC9"/>
    <mergeCell ref="AB10:AC10"/>
    <mergeCell ref="AB14:AC14"/>
    <mergeCell ref="N3:N4"/>
    <mergeCell ref="O3:O4"/>
    <mergeCell ref="AB17:AC17"/>
    <mergeCell ref="AB18:AC18"/>
    <mergeCell ref="Q3:Q4"/>
    <mergeCell ref="V3:V4"/>
    <mergeCell ref="AG3:AG4"/>
    <mergeCell ref="M3:M4"/>
    <mergeCell ref="P3:P4"/>
    <mergeCell ref="AB11:AC11"/>
    <mergeCell ref="A2:B2"/>
    <mergeCell ref="A3:A4"/>
    <mergeCell ref="B3:B4"/>
    <mergeCell ref="D3:E4"/>
    <mergeCell ref="F3:F4"/>
    <mergeCell ref="A5:A15"/>
    <mergeCell ref="S5:S15"/>
    <mergeCell ref="AB5:AC5"/>
    <mergeCell ref="D15:E15"/>
    <mergeCell ref="AB15:AC15"/>
    <mergeCell ref="AB1:AC2"/>
    <mergeCell ref="AB12:AC12"/>
    <mergeCell ref="X3:Y3"/>
    <mergeCell ref="Z3:AA3"/>
    <mergeCell ref="R3:R4"/>
    <mergeCell ref="T3:U3"/>
    <mergeCell ref="W3:W4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AD3:AE3"/>
    <mergeCell ref="AF3:AF4"/>
    <mergeCell ref="AB3:AC4"/>
    <mergeCell ref="AH3:AH4"/>
  </mergeCells>
  <phoneticPr fontId="0" type="noConversion"/>
  <conditionalFormatting sqref="P5:P79">
    <cfRule type="cellIs" dxfId="248" priority="1" operator="greaterThan">
      <formula>0</formula>
    </cfRule>
  </conditionalFormatting>
  <conditionalFormatting sqref="Q5:Q79 AF5:AF79">
    <cfRule type="cellIs" dxfId="247" priority="4" operator="lessThan">
      <formula>0</formula>
    </cfRule>
  </conditionalFormatting>
  <conditionalFormatting sqref="R5:R79 AG5:AG79">
    <cfRule type="cellIs" dxfId="246" priority="2" operator="greaterThan">
      <formula>1</formula>
    </cfRule>
    <cfRule type="cellIs" dxfId="245" priority="3" operator="lessThan">
      <formula>0.8</formula>
    </cfRule>
  </conditionalFormatting>
  <conditionalFormatting sqref="S5:S10 S37:S62 AH59:AH62 S69:S76 AH69:AH76">
    <cfRule type="cellIs" dxfId="244" priority="7" operator="lessThan">
      <formula>0.8</formula>
    </cfRule>
  </conditionalFormatting>
  <conditionalFormatting sqref="S19:S25 AH19:AH25">
    <cfRule type="cellIs" dxfId="243" priority="6" operator="lessThan">
      <formula>0.8</formula>
    </cfRule>
  </conditionalFormatting>
  <conditionalFormatting sqref="S79">
    <cfRule type="cellIs" dxfId="242" priority="5" operator="lessThan">
      <formula>0.8</formula>
    </cfRule>
  </conditionalFormatting>
  <conditionalFormatting sqref="AH5:AH8 S15:S16 AH15:AH16 AH49 AH79">
    <cfRule type="cellIs" dxfId="241" priority="9" operator="lessThan">
      <formula>0.8</formula>
    </cfRule>
  </conditionalFormatting>
  <conditionalFormatting sqref="AH27 S27:S28">
    <cfRule type="cellIs" dxfId="2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659185-9F60-4D9F-BE70-B398209DF8FF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741B-FB6B-47E9-82C7-74369C9CBA31}">
  <sheetPr codeName="工作表19"/>
  <dimension ref="B1:O26"/>
  <sheetViews>
    <sheetView zoomScale="70" zoomScaleNormal="70" workbookViewId="0">
      <selection activeCell="T74" sqref="T7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46061</v>
      </c>
      <c r="E3" s="493"/>
      <c r="F3" s="3" t="s">
        <v>72</v>
      </c>
      <c r="G3" s="494">
        <f>'0208'!E1</f>
        <v>59052</v>
      </c>
      <c r="H3" s="494"/>
      <c r="I3" s="3" t="s">
        <v>2</v>
      </c>
      <c r="J3" s="495">
        <f>'0208'!G1</f>
        <v>2821933.5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118.67038290549318</v>
      </c>
      <c r="G6" s="490"/>
      <c r="H6" s="491">
        <f>AVERAGE(D13:H13,J13)</f>
        <v>117.13067108204974</v>
      </c>
      <c r="I6" s="491"/>
      <c r="J6" s="491">
        <f>AVERAGE(I13)</f>
        <v>127.90865384615384</v>
      </c>
      <c r="K6" s="491"/>
      <c r="L6" s="497">
        <f>SUM(D18:J18)</f>
        <v>0</v>
      </c>
      <c r="M6" s="482">
        <f>SUM(D19:J19)</f>
        <v>0</v>
      </c>
      <c r="N6" s="498">
        <f>SUM(D20:J20)</f>
        <v>7</v>
      </c>
      <c r="O6" s="482">
        <f>SUM(D20:J20)</f>
        <v>7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108.77891130129812</v>
      </c>
      <c r="G7" s="479"/>
      <c r="H7" s="480">
        <f>AVERAGE(D14:H14,J14)</f>
        <v>108.01508236312179</v>
      </c>
      <c r="I7" s="480"/>
      <c r="J7" s="480">
        <f>AVERAGE(I14)</f>
        <v>113.36188493035613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0.91664751252995924</v>
      </c>
      <c r="G8" s="485"/>
      <c r="H8" s="485">
        <f>H7/H6</f>
        <v>0.92217590290640006</v>
      </c>
      <c r="I8" s="485"/>
      <c r="J8" s="485">
        <f>J7/J6</f>
        <v>0.88627220693531572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VALUE('0208'!L15)</f>
        <v>136.33484162895925</v>
      </c>
      <c r="E13" s="13">
        <f>VALUE('0208'!L26)</f>
        <v>176.42992424242425</v>
      </c>
      <c r="F13" s="13">
        <f>VALUE('0208'!L37)</f>
        <v>96.933333333333323</v>
      </c>
      <c r="G13" s="13">
        <f>VALUE('0208'!L48)</f>
        <v>88.77481617647058</v>
      </c>
      <c r="H13" s="13">
        <f>VALUE('0208'!L58)</f>
        <v>91.811111111111117</v>
      </c>
      <c r="I13" s="13">
        <f>VALUE('0208'!L69)</f>
        <v>127.90865384615384</v>
      </c>
      <c r="J13" s="13">
        <f>'0208'!L79</f>
        <v>112.5</v>
      </c>
    </row>
    <row r="14" spans="2:15" ht="39.950000000000003" customHeight="1">
      <c r="B14" s="473"/>
      <c r="C14" s="12" t="s">
        <v>100</v>
      </c>
      <c r="D14" s="13">
        <f>VALUE('0208'!O15)</f>
        <v>128.8318890040218</v>
      </c>
      <c r="E14" s="13">
        <f>VALUE('0208'!O26)</f>
        <v>160.76012720040859</v>
      </c>
      <c r="F14" s="13">
        <f>VALUE('0208'!O37)</f>
        <v>90.468224563552994</v>
      </c>
      <c r="G14" s="13">
        <f>VALUE('0208'!O48)</f>
        <v>86.30626049775438</v>
      </c>
      <c r="H14" s="13">
        <f>VALUE('0208'!O58)</f>
        <v>84.757326246326329</v>
      </c>
      <c r="I14" s="13">
        <f>VALUE('0208'!O69)</f>
        <v>113.36188493035613</v>
      </c>
      <c r="J14" s="13">
        <f>'0208'!O79</f>
        <v>96.966666666666669</v>
      </c>
    </row>
    <row r="15" spans="2:15" ht="39.950000000000003" customHeight="1">
      <c r="B15" s="474"/>
      <c r="C15" s="10" t="s">
        <v>26</v>
      </c>
      <c r="D15" s="14">
        <f>D14/D13</f>
        <v>0.94496672651473024</v>
      </c>
      <c r="E15" s="14">
        <f t="shared" ref="E15:I15" si="1">E14/E13</f>
        <v>0.91118401762455836</v>
      </c>
      <c r="F15" s="14">
        <f t="shared" si="1"/>
        <v>0.93330355464463211</v>
      </c>
      <c r="G15" s="14">
        <f t="shared" si="1"/>
        <v>0.97219306347186241</v>
      </c>
      <c r="H15" s="14">
        <f t="shared" si="1"/>
        <v>0.92317068403356761</v>
      </c>
      <c r="I15" s="14">
        <f t="shared" si="1"/>
        <v>0.88627220693531572</v>
      </c>
      <c r="J15" s="15">
        <f>'0208'!S70</f>
        <v>0.86192592592592598</v>
      </c>
    </row>
    <row r="16" spans="2:15" ht="17.25" customHeight="1">
      <c r="B16" s="475" t="s">
        <v>101</v>
      </c>
      <c r="C16" s="10" t="s">
        <v>34</v>
      </c>
      <c r="D16" s="16">
        <f>'0208'!T5</f>
        <v>0.32500000000000001</v>
      </c>
      <c r="E16" s="16">
        <f>'0208'!T16</f>
        <v>0.29027777777777802</v>
      </c>
      <c r="F16" s="16">
        <f>'0208'!T27</f>
        <v>0.29027777777777802</v>
      </c>
      <c r="G16" s="16">
        <f>'0208'!T38</f>
        <v>0.33333333333333298</v>
      </c>
      <c r="H16" s="16">
        <f>'0208'!T49</f>
        <v>0.28888888888888897</v>
      </c>
      <c r="I16" s="16">
        <f>'0208'!T59</f>
        <v>0.29027777777777802</v>
      </c>
      <c r="J16" s="16">
        <f>'0208'!T70</f>
        <v>0.33333333333333298</v>
      </c>
    </row>
    <row r="17" spans="2:10" ht="17.25" customHeight="1">
      <c r="B17" s="476"/>
      <c r="C17" s="10" t="s">
        <v>35</v>
      </c>
      <c r="D17" s="16">
        <v>0.63402777777777797</v>
      </c>
      <c r="E17" s="19">
        <v>0.64375000000000004</v>
      </c>
      <c r="F17" s="19">
        <v>0.61458333333333304</v>
      </c>
      <c r="G17" s="210">
        <v>0.69236111111111098</v>
      </c>
      <c r="H17" s="21">
        <v>0.63958333333333295</v>
      </c>
      <c r="I17" s="22">
        <v>0.59236111111111101</v>
      </c>
      <c r="J17" s="272">
        <v>0.45833333333333298</v>
      </c>
    </row>
    <row r="18" spans="2:10" ht="17.25" customHeight="1">
      <c r="B18" s="477" t="s">
        <v>102</v>
      </c>
      <c r="C18" s="330" t="s">
        <v>36</v>
      </c>
      <c r="D18" s="358">
        <f>'0208'!Z15</f>
        <v>0</v>
      </c>
      <c r="E18" s="359">
        <f>'0208'!Z26</f>
        <v>0</v>
      </c>
      <c r="F18" s="359">
        <f>'0208'!Z37</f>
        <v>0</v>
      </c>
      <c r="G18" s="360">
        <f>'0208'!Z48</f>
        <v>0</v>
      </c>
      <c r="H18" s="360">
        <f>'0208'!Z58</f>
        <v>0</v>
      </c>
      <c r="I18" s="359">
        <f>'0208'!Z69</f>
        <v>0</v>
      </c>
      <c r="J18" s="359">
        <f>'0208'!AA79</f>
        <v>0</v>
      </c>
    </row>
    <row r="19" spans="2:10" ht="17.25" customHeight="1">
      <c r="B19" s="478"/>
      <c r="C19" s="330" t="s">
        <v>37</v>
      </c>
      <c r="D19" s="358">
        <f>'0208'!AA15</f>
        <v>0</v>
      </c>
      <c r="E19" s="359">
        <f>'0208'!AA26</f>
        <v>0</v>
      </c>
      <c r="F19" s="359">
        <f>'0208'!AA37</f>
        <v>0</v>
      </c>
      <c r="G19" s="360">
        <f>'0208'!AA48</f>
        <v>0</v>
      </c>
      <c r="H19" s="360">
        <f>'0208'!AA58</f>
        <v>0</v>
      </c>
      <c r="I19" s="359">
        <f>'0208'!AA69</f>
        <v>0</v>
      </c>
      <c r="J19" s="359">
        <f>'0208'!AB79</f>
        <v>0</v>
      </c>
    </row>
    <row r="20" spans="2:10" ht="17.25" customHeight="1">
      <c r="B20" s="477" t="s">
        <v>103</v>
      </c>
      <c r="C20" s="330" t="s">
        <v>36</v>
      </c>
      <c r="D20" s="358">
        <f>'0208'!AD15</f>
        <v>3</v>
      </c>
      <c r="E20" s="359">
        <f>'0208'!AD26</f>
        <v>4</v>
      </c>
      <c r="F20" s="359">
        <f>'0208'!AD37</f>
        <v>0</v>
      </c>
      <c r="G20" s="360">
        <f>'0208'!AD48</f>
        <v>0</v>
      </c>
      <c r="H20" s="360">
        <f>'0208'!AD58</f>
        <v>0</v>
      </c>
      <c r="I20" s="359">
        <f>'0208'!AD69</f>
        <v>0</v>
      </c>
      <c r="J20" s="359">
        <f>'0208'!AD79</f>
        <v>0</v>
      </c>
    </row>
    <row r="21" spans="2:10" ht="17.25" customHeight="1">
      <c r="B21" s="478"/>
      <c r="C21" s="330" t="s">
        <v>85</v>
      </c>
      <c r="D21" s="358">
        <f>'0208'!AE15</f>
        <v>3</v>
      </c>
      <c r="E21" s="359">
        <f>'0208'!AE26</f>
        <v>4</v>
      </c>
      <c r="F21" s="359">
        <f>'0208'!AE37</f>
        <v>0</v>
      </c>
      <c r="G21" s="360">
        <f>'0208'!AE48</f>
        <v>0</v>
      </c>
      <c r="H21" s="360">
        <f>'0208'!AE58</f>
        <v>0</v>
      </c>
      <c r="I21" s="359">
        <f>'0208'!AE69</f>
        <v>0</v>
      </c>
      <c r="J21" s="359">
        <f>'0208'!AE79</f>
        <v>0</v>
      </c>
    </row>
    <row r="22" spans="2:10" ht="17.25" customHeight="1">
      <c r="B22" s="460" t="s">
        <v>104</v>
      </c>
      <c r="C22" s="461"/>
      <c r="D22" s="23">
        <f>VALUE('0208'!M15)</f>
        <v>14.5</v>
      </c>
      <c r="E22" s="23">
        <f>VALUE('0208'!M26)</f>
        <v>11.5</v>
      </c>
      <c r="F22" s="23">
        <f>VALUE('0208'!M37)</f>
        <v>14.2</v>
      </c>
      <c r="G22" s="23">
        <f>VALUE('0208'!M48)</f>
        <v>15.75</v>
      </c>
      <c r="H22" s="23">
        <f>VALUE('0208'!M58)</f>
        <v>17</v>
      </c>
      <c r="I22" s="23">
        <f>VALUE('0208'!M69)</f>
        <v>12.25</v>
      </c>
      <c r="J22" s="23">
        <f>'0208'!M79</f>
        <v>10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8EC4-97FF-420C-BD44-56DD86E1F0A5}">
  <sheetPr codeName="工作表20">
    <tabColor theme="9" tint="0.79998168889431442"/>
  </sheetPr>
  <dimension ref="A1:AJ92"/>
  <sheetViews>
    <sheetView zoomScale="69" zoomScaleNormal="69" workbookViewId="0">
      <pane xSplit="5" ySplit="4" topLeftCell="M44" activePane="bottomRight" state="frozen"/>
      <selection activeCell="T74" sqref="T74"/>
      <selection pane="topRight" activeCell="T74" sqref="T74"/>
      <selection pane="bottomLeft" activeCell="T74" sqref="T74"/>
      <selection pane="bottomRight" activeCell="Y63" sqref="Y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59052</v>
      </c>
      <c r="F1" s="30" t="s">
        <v>2</v>
      </c>
      <c r="G1" s="31">
        <f>SUM(H5:H79)</f>
        <v>2821933.5</v>
      </c>
      <c r="H1" s="32" t="s">
        <v>3</v>
      </c>
      <c r="I1" s="33">
        <f>M15+M26+M48+M58+M69+M79+M37</f>
        <v>95.2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160</v>
      </c>
      <c r="B2" s="374"/>
      <c r="C2" s="28"/>
      <c r="D2" s="28" t="s">
        <v>14</v>
      </c>
      <c r="E2" s="35">
        <f>AVERAGE(O15,O26,O37,O48,O58,O69,O79)</f>
        <v>108.77891130129812</v>
      </c>
      <c r="F2" s="36" t="s">
        <v>15</v>
      </c>
      <c r="G2" s="37">
        <f>G1/E1</f>
        <v>47.787263767526923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0</v>
      </c>
      <c r="AA2" s="339">
        <f>AA15+AA26+AA37+AA48+AA58+AA69+AA79</f>
        <v>0</v>
      </c>
      <c r="AB2" s="370"/>
      <c r="AC2" s="370"/>
      <c r="AD2" s="340">
        <f>AD15+AD26+AD37+AD48+AD58+AD69+AD79</f>
        <v>7</v>
      </c>
      <c r="AE2" s="340">
        <f>AE15+AE26+AE37+AE48+AE58+AE69+AE79</f>
        <v>7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57.21</v>
      </c>
      <c r="G5" s="42">
        <v>1361</v>
      </c>
      <c r="H5" s="43">
        <f>F5*G5</f>
        <v>77862.81</v>
      </c>
      <c r="I5" s="44"/>
      <c r="J5" s="45">
        <f>VLOOKUP(D5,產線配置圖!$A$3:$C$39,2,0)</f>
        <v>17</v>
      </c>
      <c r="K5" s="46">
        <f>VLOOKUP(D5,產線配置圖!$A$3:$C$39,3,0)</f>
        <v>2000</v>
      </c>
      <c r="L5" s="47">
        <f t="shared" ref="L5:L8" si="0">K5/J5</f>
        <v>117.64705882352941</v>
      </c>
      <c r="M5" s="48">
        <v>17</v>
      </c>
      <c r="N5" s="46">
        <f t="shared" ref="N5:N8" si="1">G5/W5*60</f>
        <v>1855.9090909090639</v>
      </c>
      <c r="O5" s="47">
        <f t="shared" ref="O5:O8" si="2">N5/M5</f>
        <v>109.17112299465082</v>
      </c>
      <c r="P5" s="49">
        <f t="shared" ref="P5:P8" si="3">M5-J5</f>
        <v>0</v>
      </c>
      <c r="Q5" s="50">
        <f t="shared" ref="Q5:Q8" si="4">O5-L5</f>
        <v>-8.4759358288785904</v>
      </c>
      <c r="R5" s="51">
        <f t="shared" ref="R5:R8" si="5">O5/L5</f>
        <v>0.92795454545453193</v>
      </c>
      <c r="S5" s="424">
        <f>R15</f>
        <v>0.94496672651473024</v>
      </c>
      <c r="T5" s="319">
        <v>0.32500000000000001</v>
      </c>
      <c r="U5" s="320">
        <v>0.35555555555555601</v>
      </c>
      <c r="V5" s="53"/>
      <c r="W5" s="54">
        <f t="shared" ref="W5:W14" si="6">(U5-T5)*24*60</f>
        <v>44.000000000000639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11" si="7">N5-K5</f>
        <v>-144.09090909093607</v>
      </c>
      <c r="AG5" s="52">
        <f t="shared" ref="AG5:AG11" si="8">N5/K5</f>
        <v>0.92795454545453193</v>
      </c>
      <c r="AH5" s="403">
        <f>AG15</f>
        <v>0.94516872481039316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2216</v>
      </c>
      <c r="H6" s="63">
        <f>F6*G6</f>
        <v>124716.48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1772.7999999999761</v>
      </c>
      <c r="O6" s="67">
        <f t="shared" si="2"/>
        <v>118.18666666666508</v>
      </c>
      <c r="P6" s="69">
        <f t="shared" si="3"/>
        <v>0</v>
      </c>
      <c r="Q6" s="70">
        <f t="shared" si="4"/>
        <v>-1.8133333333349242</v>
      </c>
      <c r="R6" s="71">
        <f t="shared" si="5"/>
        <v>0.9848888888888756</v>
      </c>
      <c r="S6" s="425"/>
      <c r="T6" s="16">
        <v>0.36319444444444399</v>
      </c>
      <c r="U6" s="16">
        <v>0.41527777777777802</v>
      </c>
      <c r="V6" s="30">
        <f>(T6-U5)*24*60</f>
        <v>10.999999999998682</v>
      </c>
      <c r="W6" s="73">
        <f t="shared" si="6"/>
        <v>75.000000000001009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-27.20000000002392</v>
      </c>
      <c r="AG6" s="72">
        <f t="shared" si="8"/>
        <v>0.9848888888888756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2278</v>
      </c>
      <c r="H7" s="78">
        <f>F7*G7</f>
        <v>111940.92</v>
      </c>
      <c r="I7" s="73"/>
      <c r="J7" s="79">
        <f>VLOOKUP(D7,產線配置圖!$A$3:$C$39,2,0)</f>
        <v>13</v>
      </c>
      <c r="K7" s="80">
        <f>VLOOKUP(D7,產線配置圖!$A$3:$C$39,3,0)</f>
        <v>2000</v>
      </c>
      <c r="L7" s="81">
        <f t="shared" si="0"/>
        <v>153.84615384615384</v>
      </c>
      <c r="M7" s="82">
        <v>13</v>
      </c>
      <c r="N7" s="80">
        <f t="shared" si="1"/>
        <v>1872.3287671233027</v>
      </c>
      <c r="O7" s="81">
        <f t="shared" si="2"/>
        <v>144.0252897787156</v>
      </c>
      <c r="P7" s="74">
        <f t="shared" si="3"/>
        <v>0</v>
      </c>
      <c r="Q7" s="83">
        <f t="shared" si="4"/>
        <v>-9.8208640674382366</v>
      </c>
      <c r="R7" s="72">
        <f t="shared" si="5"/>
        <v>0.93616438356165144</v>
      </c>
      <c r="S7" s="425"/>
      <c r="T7" s="18">
        <v>0.42777777777777798</v>
      </c>
      <c r="U7" s="18">
        <v>0.47847222222222202</v>
      </c>
      <c r="V7" s="30">
        <f>(T7-U6)*24*60</f>
        <v>17.999999999999936</v>
      </c>
      <c r="W7" s="73">
        <f t="shared" si="6"/>
        <v>72.999999999999417</v>
      </c>
      <c r="X7" s="22"/>
      <c r="Y7" s="84"/>
      <c r="Z7" s="90"/>
      <c r="AA7" s="90"/>
      <c r="AB7" s="395" t="s">
        <v>161</v>
      </c>
      <c r="AC7" s="395"/>
      <c r="AD7" s="92">
        <v>1</v>
      </c>
      <c r="AE7" s="92">
        <v>1</v>
      </c>
      <c r="AF7" s="307">
        <f t="shared" si="7"/>
        <v>-127.67123287669733</v>
      </c>
      <c r="AG7" s="72">
        <f t="shared" si="8"/>
        <v>0.93616438356165133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4148</v>
      </c>
      <c r="H8" s="78">
        <f>F8*G8</f>
        <v>203832.72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1871.2781954887237</v>
      </c>
      <c r="O8" s="81">
        <f t="shared" si="2"/>
        <v>143.94447657605568</v>
      </c>
      <c r="P8" s="74">
        <f t="shared" si="3"/>
        <v>0</v>
      </c>
      <c r="Q8" s="83">
        <f t="shared" si="4"/>
        <v>-9.9016772700981619</v>
      </c>
      <c r="R8" s="72">
        <f t="shared" si="5"/>
        <v>0.93563909774436194</v>
      </c>
      <c r="S8" s="425"/>
      <c r="T8" s="16">
        <v>0.54166666666666696</v>
      </c>
      <c r="U8" s="16">
        <v>0.63402777777777797</v>
      </c>
      <c r="V8" s="30">
        <f>(T8-U7)*24*60</f>
        <v>91.000000000000711</v>
      </c>
      <c r="W8" s="73">
        <f t="shared" si="6"/>
        <v>132.99999999999986</v>
      </c>
      <c r="X8" s="22">
        <v>0.48611111111111099</v>
      </c>
      <c r="Y8" s="84">
        <v>0.52777777777777801</v>
      </c>
      <c r="Z8" s="90"/>
      <c r="AA8" s="90"/>
      <c r="AB8" s="395" t="s">
        <v>161</v>
      </c>
      <c r="AC8" s="395"/>
      <c r="AD8" s="149">
        <v>2</v>
      </c>
      <c r="AE8" s="149">
        <v>2</v>
      </c>
      <c r="AF8" s="307">
        <f t="shared" si="7"/>
        <v>-128.72180451127633</v>
      </c>
      <c r="AG8" s="72">
        <f t="shared" si="8"/>
        <v>0.93563909774436183</v>
      </c>
      <c r="AH8" s="404"/>
    </row>
    <row r="9" spans="1:34" ht="15" customHeight="1">
      <c r="A9" s="42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6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0</v>
      </c>
      <c r="AG9" s="72" t="e">
        <f t="shared" si="8"/>
        <v>#DIV/0!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9">AVERAGE(J5:J14)</f>
        <v>14.5</v>
      </c>
      <c r="K15" s="120">
        <f t="shared" si="9"/>
        <v>1950</v>
      </c>
      <c r="L15" s="117">
        <f t="shared" si="9"/>
        <v>136.33484162895925</v>
      </c>
      <c r="M15" s="120">
        <f t="shared" si="9"/>
        <v>14.5</v>
      </c>
      <c r="N15" s="120">
        <f t="shared" si="9"/>
        <v>1843.0790133802666</v>
      </c>
      <c r="O15" s="117">
        <f t="shared" si="9"/>
        <v>128.8318890040218</v>
      </c>
      <c r="P15" s="121">
        <f>M15-J15</f>
        <v>0</v>
      </c>
      <c r="Q15" s="122">
        <f t="shared" ref="Q15:Q19" si="10">O15-L15</f>
        <v>-7.5029526249374499</v>
      </c>
      <c r="R15" s="123">
        <f>O15/L15</f>
        <v>0.94496672651473024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3</v>
      </c>
      <c r="AE15" s="323">
        <f>SUM(AE5:AE14)</f>
        <v>3</v>
      </c>
      <c r="AF15" s="309">
        <f t="shared" ref="AF15:AF19" si="11">N15-K15</f>
        <v>-106.92098661973341</v>
      </c>
      <c r="AG15" s="124">
        <f t="shared" ref="AG15:AG19" si="12">N15/K15</f>
        <v>0.94516872481039316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1919</v>
      </c>
      <c r="H16" s="134">
        <f>F16*G16</f>
        <v>109785.99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19" si="13">K16/J16</f>
        <v>175.41666666666666</v>
      </c>
      <c r="M16" s="139">
        <v>12</v>
      </c>
      <c r="N16" s="140">
        <f t="shared" ref="N16:N19" si="14">G16/W16*60</f>
        <v>1827.6190476190495</v>
      </c>
      <c r="O16" s="141">
        <f>N16/M16</f>
        <v>152.30158730158746</v>
      </c>
      <c r="P16" s="142">
        <f>M16-J16</f>
        <v>0</v>
      </c>
      <c r="Q16" s="143">
        <f t="shared" si="10"/>
        <v>-23.115079365079197</v>
      </c>
      <c r="R16" s="144">
        <f>O16/L16</f>
        <v>0.86822757606605683</v>
      </c>
      <c r="S16" s="417">
        <f>R26</f>
        <v>0.91118401762455836</v>
      </c>
      <c r="T16" s="145">
        <v>0.29027777777777802</v>
      </c>
      <c r="U16" s="145">
        <v>0.33402777777777798</v>
      </c>
      <c r="V16" s="135"/>
      <c r="W16" s="146">
        <f t="shared" ref="W16:W78" si="15">(U16-T16)*24*60</f>
        <v>62.999999999999936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1"/>
        <v>-277.38095238095048</v>
      </c>
      <c r="AG16" s="52">
        <f t="shared" si="12"/>
        <v>0.86822757606605683</v>
      </c>
      <c r="AH16" s="403">
        <f>AG26</f>
        <v>0.91169300114540397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3990</v>
      </c>
      <c r="H17" s="78">
        <f>F17*G17</f>
        <v>202173.30000000002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3"/>
        <v>166.66666666666666</v>
      </c>
      <c r="M17" s="148">
        <v>12</v>
      </c>
      <c r="N17" s="95">
        <f t="shared" si="14"/>
        <v>1962.2950819672187</v>
      </c>
      <c r="O17" s="96">
        <f t="shared" ref="O17:O19" si="16">N17/M17</f>
        <v>163.5245901639349</v>
      </c>
      <c r="P17" s="97">
        <f t="shared" ref="P17:P19" si="17">M17-J17</f>
        <v>0</v>
      </c>
      <c r="Q17" s="98">
        <f t="shared" si="10"/>
        <v>-3.1420765027317543</v>
      </c>
      <c r="R17" s="99">
        <f t="shared" ref="R17:R19" si="18">O17/L17</f>
        <v>0.98114754098360946</v>
      </c>
      <c r="S17" s="418"/>
      <c r="T17" s="19">
        <v>0.34166666666666701</v>
      </c>
      <c r="U17" s="19">
        <v>0.42638888888888898</v>
      </c>
      <c r="V17" s="30">
        <f>(T17-U16)*24*60</f>
        <v>11.000000000000201</v>
      </c>
      <c r="W17" s="149">
        <f t="shared" si="15"/>
        <v>121.99999999999964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1"/>
        <v>-37.704918032781279</v>
      </c>
      <c r="AG17" s="72">
        <f t="shared" si="12"/>
        <v>0.98114754098360935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1853</v>
      </c>
      <c r="H18" s="78">
        <f t="shared" ref="H18:H19" si="19">F18*G18</f>
        <v>93372.67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3"/>
        <v>181.81818181818181</v>
      </c>
      <c r="M18" s="148">
        <v>11</v>
      </c>
      <c r="N18" s="95">
        <f t="shared" si="14"/>
        <v>1822.6229508196761</v>
      </c>
      <c r="O18" s="96">
        <f t="shared" si="16"/>
        <v>165.69299552906148</v>
      </c>
      <c r="P18" s="97">
        <f t="shared" si="17"/>
        <v>0</v>
      </c>
      <c r="Q18" s="98">
        <f t="shared" si="10"/>
        <v>-16.125186289120336</v>
      </c>
      <c r="R18" s="99">
        <f t="shared" si="18"/>
        <v>0.91131147540983815</v>
      </c>
      <c r="S18" s="418"/>
      <c r="T18" s="19">
        <v>0.436805555555556</v>
      </c>
      <c r="U18" s="19">
        <v>0.47916666666666702</v>
      </c>
      <c r="V18" s="30">
        <f>(T18-U17)*24*60</f>
        <v>15.000000000000506</v>
      </c>
      <c r="W18" s="149">
        <f t="shared" si="15"/>
        <v>60.999999999999865</v>
      </c>
      <c r="X18" s="22"/>
      <c r="Y18" s="84"/>
      <c r="Z18" s="90"/>
      <c r="AA18" s="90"/>
      <c r="AB18" s="395" t="s">
        <v>161</v>
      </c>
      <c r="AC18" s="395"/>
      <c r="AD18" s="92">
        <v>1</v>
      </c>
      <c r="AE18" s="92">
        <v>1</v>
      </c>
      <c r="AF18" s="307">
        <f t="shared" si="11"/>
        <v>-177.37704918032387</v>
      </c>
      <c r="AG18" s="72">
        <f t="shared" si="12"/>
        <v>0.91131147540983803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4353</v>
      </c>
      <c r="H19" s="78">
        <f t="shared" si="19"/>
        <v>219347.67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3"/>
        <v>181.81818181818181</v>
      </c>
      <c r="M19" s="148">
        <v>11</v>
      </c>
      <c r="N19" s="95">
        <f t="shared" si="14"/>
        <v>1776.7346938775554</v>
      </c>
      <c r="O19" s="96">
        <f t="shared" si="16"/>
        <v>161.52133580705049</v>
      </c>
      <c r="P19" s="97">
        <f t="shared" si="17"/>
        <v>0</v>
      </c>
      <c r="Q19" s="98">
        <f t="shared" si="10"/>
        <v>-20.296846011131322</v>
      </c>
      <c r="R19" s="99">
        <f t="shared" si="18"/>
        <v>0.88836734693877772</v>
      </c>
      <c r="S19" s="418"/>
      <c r="T19" s="19">
        <v>0.54166666666666696</v>
      </c>
      <c r="U19" s="19">
        <v>0.64375000000000004</v>
      </c>
      <c r="V19" s="30">
        <f>(T19-U18)*24*60</f>
        <v>89.999999999999915</v>
      </c>
      <c r="W19" s="149">
        <f t="shared" si="15"/>
        <v>146.99999999999963</v>
      </c>
      <c r="X19" s="22">
        <v>0.48611111111111099</v>
      </c>
      <c r="Y19" s="84">
        <v>0.52777777777777801</v>
      </c>
      <c r="Z19" s="90"/>
      <c r="AA19" s="90"/>
      <c r="AB19" s="395" t="s">
        <v>161</v>
      </c>
      <c r="AC19" s="395"/>
      <c r="AD19" s="149">
        <v>3</v>
      </c>
      <c r="AE19" s="149">
        <v>3</v>
      </c>
      <c r="AF19" s="307">
        <f t="shared" si="11"/>
        <v>-223.2653061224446</v>
      </c>
      <c r="AG19" s="72">
        <f t="shared" si="12"/>
        <v>0.88836734693877772</v>
      </c>
      <c r="AH19" s="405"/>
    </row>
    <row r="20" spans="1:34" ht="15" customHeight="1">
      <c r="A20" s="414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8"/>
      <c r="T20" s="19"/>
      <c r="U20" s="19"/>
      <c r="V20" s="30"/>
      <c r="W20" s="149">
        <f t="shared" si="15"/>
        <v>0</v>
      </c>
      <c r="X20" s="19"/>
      <c r="Y20" s="297"/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50"/>
      <c r="U21" s="150"/>
      <c r="V21" s="30"/>
      <c r="W21" s="149">
        <f t="shared" si="15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5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20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5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20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5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1">AVERAGE(J16:J25)</f>
        <v>11.5</v>
      </c>
      <c r="K26" s="155">
        <f t="shared" si="21"/>
        <v>2026.25</v>
      </c>
      <c r="L26" s="158">
        <f t="shared" si="21"/>
        <v>176.42992424242425</v>
      </c>
      <c r="M26" s="155">
        <f t="shared" si="21"/>
        <v>11.5</v>
      </c>
      <c r="N26" s="155">
        <f t="shared" si="21"/>
        <v>1847.3179435708748</v>
      </c>
      <c r="O26" s="158">
        <f t="shared" si="21"/>
        <v>160.76012720040859</v>
      </c>
      <c r="P26" s="159">
        <f t="shared" ref="P26:P31" si="22">M26-J26</f>
        <v>0</v>
      </c>
      <c r="Q26" s="160">
        <f t="shared" ref="Q26:Q31" si="23">O26-L26</f>
        <v>-15.669797042015659</v>
      </c>
      <c r="R26" s="161">
        <f>O26/L26</f>
        <v>0.91118401762455836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4</v>
      </c>
      <c r="AE26" s="323">
        <f>SUM(AE16:AE25)</f>
        <v>4</v>
      </c>
      <c r="AF26" s="309">
        <f t="shared" ref="AF26:AF31" si="24">N26-K26</f>
        <v>-178.93205642912517</v>
      </c>
      <c r="AG26" s="124">
        <f t="shared" ref="AG26:AG31" si="25">N26/K26</f>
        <v>0.91169300114540397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2063</v>
      </c>
      <c r="H27" s="134">
        <f>F27*G27</f>
        <v>118209.9</v>
      </c>
      <c r="I27" s="135"/>
      <c r="J27" s="136">
        <v>15</v>
      </c>
      <c r="K27" s="137">
        <v>1440</v>
      </c>
      <c r="L27" s="138">
        <f t="shared" ref="L27:L31" si="26">K27/J27</f>
        <v>96</v>
      </c>
      <c r="M27" s="170">
        <v>15</v>
      </c>
      <c r="N27" s="140">
        <f>G27/W27*60</f>
        <v>1439.3023255814016</v>
      </c>
      <c r="O27" s="141">
        <f>N27/M27</f>
        <v>95.953488372093446</v>
      </c>
      <c r="P27" s="142">
        <f t="shared" si="22"/>
        <v>0</v>
      </c>
      <c r="Q27" s="143">
        <f t="shared" si="23"/>
        <v>-4.6511627906554054E-2</v>
      </c>
      <c r="R27" s="144">
        <f>O27/L27</f>
        <v>0.99951550387597343</v>
      </c>
      <c r="S27" s="417">
        <f>R37</f>
        <v>0.93330355464463211</v>
      </c>
      <c r="T27" s="171">
        <v>0.29027777777777802</v>
      </c>
      <c r="U27" s="171">
        <v>0.35</v>
      </c>
      <c r="V27" s="135"/>
      <c r="W27" s="146">
        <f t="shared" si="15"/>
        <v>85.999999999999616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4"/>
        <v>-0.69767441859835344</v>
      </c>
      <c r="AG27" s="172">
        <f t="shared" si="25"/>
        <v>0.99951550387597332</v>
      </c>
      <c r="AH27" s="403">
        <f>AG37</f>
        <v>0.88428187177727691</v>
      </c>
    </row>
    <row r="28" spans="1:34" ht="15" customHeight="1">
      <c r="A28" s="430"/>
      <c r="B28" s="75" t="s">
        <v>81</v>
      </c>
      <c r="C28" s="173"/>
      <c r="D28" s="59" t="s">
        <v>122</v>
      </c>
      <c r="E28" s="104"/>
      <c r="F28" s="75">
        <f>VLOOKUP(D28,廠價表!$C$1:$E$41,3,0)</f>
        <v>55.13</v>
      </c>
      <c r="G28" s="90">
        <v>1592</v>
      </c>
      <c r="H28" s="91">
        <f>F28*G28</f>
        <v>87766.96</v>
      </c>
      <c r="I28" s="92"/>
      <c r="J28" s="79">
        <v>15</v>
      </c>
      <c r="K28" s="80">
        <f>VLOOKUP(D28,產線配置圖!$A$3:$C$39,3,0)</f>
        <v>1385</v>
      </c>
      <c r="L28" s="93">
        <f t="shared" si="26"/>
        <v>92.333333333333329</v>
      </c>
      <c r="M28" s="94">
        <v>14</v>
      </c>
      <c r="N28" s="95">
        <f>G28/W28*60</f>
        <v>1290.8108108108083</v>
      </c>
      <c r="O28" s="96">
        <f>N28/M28</f>
        <v>92.200772200772022</v>
      </c>
      <c r="P28" s="97">
        <f t="shared" si="22"/>
        <v>-1</v>
      </c>
      <c r="Q28" s="98">
        <f t="shared" si="23"/>
        <v>-0.13256113256130675</v>
      </c>
      <c r="R28" s="99">
        <f t="shared" ref="R28:R31" si="27">O28/L28</f>
        <v>0.998564319863957</v>
      </c>
      <c r="S28" s="418"/>
      <c r="T28" s="19">
        <v>0.35486111111111102</v>
      </c>
      <c r="U28" s="19">
        <v>0.40625</v>
      </c>
      <c r="V28" s="92">
        <f>(T28-U27)*24*60</f>
        <v>6.9999999999998952</v>
      </c>
      <c r="W28" s="149">
        <f t="shared" si="15"/>
        <v>74.000000000000142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4"/>
        <v>-94.189189189191666</v>
      </c>
      <c r="AG28" s="99">
        <f t="shared" si="25"/>
        <v>0.93199336520635978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1325</v>
      </c>
      <c r="H29" s="91">
        <f>F29*G29</f>
        <v>65614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6"/>
        <v>96</v>
      </c>
      <c r="M29" s="94">
        <v>14</v>
      </c>
      <c r="N29" s="95">
        <f>G29/W29*60</f>
        <v>1242.1875000000121</v>
      </c>
      <c r="O29" s="96">
        <f>N29/M29</f>
        <v>88.727678571429436</v>
      </c>
      <c r="P29" s="97">
        <f t="shared" si="22"/>
        <v>-1</v>
      </c>
      <c r="Q29" s="98">
        <f t="shared" si="23"/>
        <v>-7.2723214285705637</v>
      </c>
      <c r="R29" s="99">
        <f t="shared" si="27"/>
        <v>0.92424665178572329</v>
      </c>
      <c r="S29" s="418"/>
      <c r="T29" s="19">
        <v>0.41180555555555598</v>
      </c>
      <c r="U29" s="19">
        <v>0.45624999999999999</v>
      </c>
      <c r="V29" s="92">
        <f>(T29-U28)*24*60</f>
        <v>8.0000000000006111</v>
      </c>
      <c r="W29" s="149">
        <f t="shared" si="15"/>
        <v>63.999999999999375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4"/>
        <v>-197.81249999998795</v>
      </c>
      <c r="AG29" s="99">
        <f t="shared" si="25"/>
        <v>0.8626302083333417</v>
      </c>
      <c r="AH29" s="432"/>
    </row>
    <row r="30" spans="1:34" ht="15" customHeight="1">
      <c r="A30" s="430"/>
      <c r="B30" s="75" t="s">
        <v>123</v>
      </c>
      <c r="C30" s="88"/>
      <c r="D30" s="59" t="s">
        <v>124</v>
      </c>
      <c r="E30" s="89"/>
      <c r="F30" s="75">
        <f>VLOOKUP(D30,廠價表!$C$1:$E$41,3,0)</f>
        <v>49.52</v>
      </c>
      <c r="G30" s="90">
        <v>900</v>
      </c>
      <c r="H30" s="91">
        <f t="shared" ref="H30:H31" si="28">F30*G30</f>
        <v>44568</v>
      </c>
      <c r="I30" s="92"/>
      <c r="J30" s="79">
        <f>VLOOKUP(D30,產線配置圖!$A$3:$C$39,2,0)</f>
        <v>15</v>
      </c>
      <c r="K30" s="80">
        <f>VLOOKUP(D30,產線配置圖!$A$3:$C$39,3,0)</f>
        <v>1440</v>
      </c>
      <c r="L30" s="93">
        <f t="shared" si="26"/>
        <v>96</v>
      </c>
      <c r="M30" s="94">
        <v>14</v>
      </c>
      <c r="N30" s="95">
        <f t="shared" ref="N30:N31" si="29">G30/W30*60</f>
        <v>1125.0000000000116</v>
      </c>
      <c r="O30" s="96">
        <f t="shared" ref="O30:O31" si="30">N30/M30</f>
        <v>80.357142857143685</v>
      </c>
      <c r="P30" s="97">
        <f t="shared" si="22"/>
        <v>-1</v>
      </c>
      <c r="Q30" s="98">
        <f t="shared" si="23"/>
        <v>-15.642857142856315</v>
      </c>
      <c r="R30" s="99">
        <f t="shared" si="27"/>
        <v>0.83705357142858006</v>
      </c>
      <c r="S30" s="418"/>
      <c r="T30" s="19">
        <v>0.53125</v>
      </c>
      <c r="U30" s="19">
        <v>0.56458333333333299</v>
      </c>
      <c r="V30" s="92">
        <f>(T30-U29)*24*60</f>
        <v>108.00000000000001</v>
      </c>
      <c r="W30" s="149">
        <f t="shared" si="15"/>
        <v>47.99999999999951</v>
      </c>
      <c r="X30" s="174">
        <v>0.46875</v>
      </c>
      <c r="Y30" s="301">
        <v>0.51041666666666696</v>
      </c>
      <c r="Z30" s="335"/>
      <c r="AA30" s="335"/>
      <c r="AB30" s="395"/>
      <c r="AC30" s="395"/>
      <c r="AD30" s="92"/>
      <c r="AE30" s="92"/>
      <c r="AF30" s="312">
        <f t="shared" si="24"/>
        <v>-314.9999999999884</v>
      </c>
      <c r="AG30" s="99">
        <f t="shared" si="25"/>
        <v>0.7812500000000081</v>
      </c>
      <c r="AH30" s="433"/>
    </row>
    <row r="31" spans="1:34" ht="15" customHeight="1">
      <c r="A31" s="430"/>
      <c r="B31" s="75" t="s">
        <v>81</v>
      </c>
      <c r="C31" s="88"/>
      <c r="D31" s="59" t="s">
        <v>116</v>
      </c>
      <c r="E31" s="89"/>
      <c r="F31" s="75">
        <f>VLOOKUP(D31,廠價表!$C$1:$E$41,3,0)</f>
        <v>57.21</v>
      </c>
      <c r="G31" s="90">
        <v>1398</v>
      </c>
      <c r="H31" s="91">
        <f t="shared" si="28"/>
        <v>79979.58</v>
      </c>
      <c r="I31" s="92"/>
      <c r="J31" s="79">
        <v>15</v>
      </c>
      <c r="K31" s="80">
        <v>1565</v>
      </c>
      <c r="L31" s="93">
        <f t="shared" si="26"/>
        <v>104.33333333333333</v>
      </c>
      <c r="M31" s="94">
        <v>14</v>
      </c>
      <c r="N31" s="95">
        <f t="shared" si="29"/>
        <v>1331.4285714285693</v>
      </c>
      <c r="O31" s="96">
        <f t="shared" si="30"/>
        <v>95.10204081632638</v>
      </c>
      <c r="P31" s="97">
        <f t="shared" si="22"/>
        <v>-1</v>
      </c>
      <c r="Q31" s="98">
        <f t="shared" si="23"/>
        <v>-9.2312925170069491</v>
      </c>
      <c r="R31" s="99">
        <f t="shared" si="27"/>
        <v>0.91152115798395894</v>
      </c>
      <c r="S31" s="418"/>
      <c r="T31" s="19">
        <v>0.57083333333333297</v>
      </c>
      <c r="U31" s="19">
        <v>0.61458333333333304</v>
      </c>
      <c r="V31" s="92">
        <f>(T31-U30)*24*60</f>
        <v>8.999999999999968</v>
      </c>
      <c r="W31" s="149">
        <f t="shared" si="15"/>
        <v>63.000000000000099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4"/>
        <v>-233.57142857143072</v>
      </c>
      <c r="AG31" s="99">
        <f t="shared" si="25"/>
        <v>0.85075308078502831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50"/>
      <c r="U32" s="150"/>
      <c r="V32" s="92"/>
      <c r="W32" s="149">
        <f t="shared" si="15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5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5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5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31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5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2">AVERAGE(J27:J36)</f>
        <v>15</v>
      </c>
      <c r="K37" s="155">
        <f t="shared" si="32"/>
        <v>1454</v>
      </c>
      <c r="L37" s="158">
        <f t="shared" si="32"/>
        <v>96.933333333333323</v>
      </c>
      <c r="M37" s="155">
        <f t="shared" si="32"/>
        <v>14.2</v>
      </c>
      <c r="N37" s="155">
        <f t="shared" si="32"/>
        <v>1285.7458415641606</v>
      </c>
      <c r="O37" s="158">
        <f t="shared" si="32"/>
        <v>90.468224563552994</v>
      </c>
      <c r="P37" s="159">
        <f>M37-J37</f>
        <v>-0.80000000000000071</v>
      </c>
      <c r="Q37" s="160">
        <f>N37-K37</f>
        <v>-168.25415843583937</v>
      </c>
      <c r="R37" s="161">
        <f t="shared" ref="R37:R41" si="33">O37/L37</f>
        <v>0.93330355464463211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4">N37-K37</f>
        <v>-168.25415843583937</v>
      </c>
      <c r="AG37" s="124">
        <f t="shared" ref="AG37:AG41" si="35">N37/K37</f>
        <v>0.88428187177727691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968</v>
      </c>
      <c r="H38" s="134">
        <f>F38*G38</f>
        <v>54624.24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1" si="36">K38/J38</f>
        <v>87.875</v>
      </c>
      <c r="M38" s="190">
        <v>15</v>
      </c>
      <c r="N38" s="140">
        <f>G38/W38*60</f>
        <v>1235.7446808510597</v>
      </c>
      <c r="O38" s="141">
        <f>N38/M38</f>
        <v>82.38297872340398</v>
      </c>
      <c r="P38" s="142">
        <f t="shared" ref="P38:P41" si="37">M38-J38</f>
        <v>-1</v>
      </c>
      <c r="Q38" s="143">
        <f t="shared" ref="Q38:Q41" si="38">O38-L38</f>
        <v>-5.4920212765960201</v>
      </c>
      <c r="R38" s="144">
        <f>O38/L38</f>
        <v>0.93750189158923447</v>
      </c>
      <c r="S38" s="437">
        <f>R48</f>
        <v>0.97219306347186241</v>
      </c>
      <c r="T38" s="191">
        <v>0.33333333333333298</v>
      </c>
      <c r="U38" s="191">
        <v>0.36597222222222198</v>
      </c>
      <c r="V38" s="192"/>
      <c r="W38" s="193">
        <f t="shared" si="15"/>
        <v>47.000000000000156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4"/>
        <v>-170.25531914894032</v>
      </c>
      <c r="AG38" s="195">
        <f t="shared" si="35"/>
        <v>0.87890802336490736</v>
      </c>
      <c r="AH38" s="443">
        <f>AG48</f>
        <v>0.92996371443050352</v>
      </c>
    </row>
    <row r="39" spans="1:34" ht="15" customHeight="1">
      <c r="A39" s="435"/>
      <c r="B39" s="75" t="s">
        <v>123</v>
      </c>
      <c r="C39" s="197"/>
      <c r="D39" s="198" t="s">
        <v>127</v>
      </c>
      <c r="E39" s="176"/>
      <c r="F39" s="75">
        <f>VLOOKUP(D39,廠價表!$C$1:$E$41,3,0)</f>
        <v>49.91</v>
      </c>
      <c r="G39" s="199">
        <v>2051</v>
      </c>
      <c r="H39" s="91">
        <f>F39*G39</f>
        <v>102365.40999999999</v>
      </c>
      <c r="I39" s="200"/>
      <c r="J39" s="148">
        <v>16</v>
      </c>
      <c r="K39" s="95">
        <f>VLOOKUP(D39,產線配置圖!$A$3:$C$39,3,0)</f>
        <v>1565</v>
      </c>
      <c r="L39" s="96">
        <f t="shared" si="36"/>
        <v>97.8125</v>
      </c>
      <c r="M39" s="201">
        <v>16</v>
      </c>
      <c r="N39" s="202">
        <f>G39/W39*60</f>
        <v>1538.249999999987</v>
      </c>
      <c r="O39" s="203">
        <f t="shared" ref="O39:O41" si="39">N39/M39</f>
        <v>96.14062499999919</v>
      </c>
      <c r="P39" s="97">
        <f t="shared" si="37"/>
        <v>0</v>
      </c>
      <c r="Q39" s="98">
        <f t="shared" si="38"/>
        <v>-1.67187500000081</v>
      </c>
      <c r="R39" s="99">
        <f t="shared" si="33"/>
        <v>0.98290734824280324</v>
      </c>
      <c r="S39" s="438"/>
      <c r="T39" s="20">
        <v>0.375</v>
      </c>
      <c r="U39" s="20">
        <v>0.43055555555555602</v>
      </c>
      <c r="V39" s="92">
        <f>(T39-U38)*24*60</f>
        <v>13.000000000000353</v>
      </c>
      <c r="W39" s="205">
        <f t="shared" si="15"/>
        <v>80.000000000000682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4"/>
        <v>-26.75000000001296</v>
      </c>
      <c r="AG39" s="206">
        <f t="shared" si="35"/>
        <v>0.98290734824280324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1867</v>
      </c>
      <c r="H40" s="91">
        <f>F40*G40</f>
        <v>82708.099999999991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6"/>
        <v>84.705882352941174</v>
      </c>
      <c r="M40" s="201">
        <v>16</v>
      </c>
      <c r="N40" s="202">
        <f>G40/W40*60</f>
        <v>1317.8823529411711</v>
      </c>
      <c r="O40" s="203">
        <f t="shared" si="39"/>
        <v>82.367647058823195</v>
      </c>
      <c r="P40" s="97">
        <f t="shared" si="37"/>
        <v>-1</v>
      </c>
      <c r="Q40" s="98">
        <f t="shared" si="38"/>
        <v>-2.3382352941179789</v>
      </c>
      <c r="R40" s="99">
        <f t="shared" si="33"/>
        <v>0.97239583333332946</v>
      </c>
      <c r="S40" s="425"/>
      <c r="T40" s="20">
        <v>0.44444444444444398</v>
      </c>
      <c r="U40" s="20">
        <v>0.50347222222222199</v>
      </c>
      <c r="V40" s="92">
        <f>(T40-U39)*24*60</f>
        <v>19.99999999999865</v>
      </c>
      <c r="W40" s="205">
        <f t="shared" si="15"/>
        <v>85.000000000000341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4"/>
        <v>-122.11764705882888</v>
      </c>
      <c r="AG40" s="206">
        <f t="shared" si="35"/>
        <v>0.91519607843136885</v>
      </c>
      <c r="AH40" s="444"/>
    </row>
    <row r="41" spans="1:34" ht="15" customHeight="1">
      <c r="A41" s="435"/>
      <c r="B41" s="75" t="s">
        <v>123</v>
      </c>
      <c r="C41" s="207"/>
      <c r="D41" s="198" t="s">
        <v>128</v>
      </c>
      <c r="E41" s="178"/>
      <c r="F41" s="75">
        <f>VLOOKUP(D41,廠價表!$C$1:$E$41,3,0)</f>
        <v>44.3</v>
      </c>
      <c r="G41" s="199">
        <v>4093</v>
      </c>
      <c r="H41" s="91">
        <f>F41*G41</f>
        <v>181319.9</v>
      </c>
      <c r="I41" s="200"/>
      <c r="J41" s="148">
        <f>VLOOKUP(D41,產線配置圖!$A$3:$C$39,2,0)</f>
        <v>17</v>
      </c>
      <c r="K41" s="95">
        <f>VLOOKUP(D41,產線配置圖!$A$3:$C$39,3,0)</f>
        <v>1440</v>
      </c>
      <c r="L41" s="96">
        <f t="shared" si="36"/>
        <v>84.705882352941174</v>
      </c>
      <c r="M41" s="201">
        <v>16</v>
      </c>
      <c r="N41" s="202">
        <f>G41/W41*60</f>
        <v>1349.3406593406582</v>
      </c>
      <c r="O41" s="203">
        <f t="shared" si="39"/>
        <v>84.333791208791141</v>
      </c>
      <c r="P41" s="97">
        <f t="shared" si="37"/>
        <v>-1</v>
      </c>
      <c r="Q41" s="98">
        <f t="shared" si="38"/>
        <v>-0.37209114415003341</v>
      </c>
      <c r="R41" s="99">
        <f t="shared" si="33"/>
        <v>0.99560725732600652</v>
      </c>
      <c r="S41" s="425"/>
      <c r="T41" s="20">
        <v>0.56597222222222199</v>
      </c>
      <c r="U41" s="210">
        <v>0.69236111111111098</v>
      </c>
      <c r="V41" s="92">
        <f>(T41-U40)*24*60</f>
        <v>90</v>
      </c>
      <c r="W41" s="205">
        <f t="shared" si="15"/>
        <v>182.00000000000014</v>
      </c>
      <c r="X41" s="208">
        <v>0.51041666666666696</v>
      </c>
      <c r="Y41" s="209">
        <v>0.55208333333333304</v>
      </c>
      <c r="Z41" s="337"/>
      <c r="AA41" s="337"/>
      <c r="AB41" s="395"/>
      <c r="AC41" s="395"/>
      <c r="AD41" s="92"/>
      <c r="AE41" s="92"/>
      <c r="AF41" s="314">
        <f t="shared" si="34"/>
        <v>-90.659340659341751</v>
      </c>
      <c r="AG41" s="206">
        <f t="shared" si="35"/>
        <v>0.93704212454212377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 t="s">
        <v>46</v>
      </c>
      <c r="U42" s="210"/>
      <c r="V42" s="92"/>
      <c r="W42" s="205"/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40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40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40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31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40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41">AVERAGE(J38:J47)</f>
        <v>16.5</v>
      </c>
      <c r="K48" s="155">
        <f t="shared" si="41"/>
        <v>1462.75</v>
      </c>
      <c r="L48" s="158">
        <f t="shared" si="41"/>
        <v>88.77481617647058</v>
      </c>
      <c r="M48" s="155">
        <f t="shared" si="41"/>
        <v>15.75</v>
      </c>
      <c r="N48" s="155">
        <f t="shared" si="41"/>
        <v>1360.304423283219</v>
      </c>
      <c r="O48" s="158">
        <f t="shared" si="41"/>
        <v>86.30626049775438</v>
      </c>
      <c r="P48" s="221">
        <f>M48-J48</f>
        <v>-0.75</v>
      </c>
      <c r="Q48" s="222">
        <f>N48-K48</f>
        <v>-102.44557671678103</v>
      </c>
      <c r="R48" s="223">
        <f>O48/L48</f>
        <v>0.97219306347186241</v>
      </c>
      <c r="S48" s="428"/>
      <c r="T48" s="224"/>
      <c r="U48" s="224"/>
      <c r="V48" s="225"/>
      <c r="W48" s="226">
        <f t="shared" si="40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42">N48-K48</f>
        <v>-102.44557671678103</v>
      </c>
      <c r="AG48" s="162">
        <f t="shared" ref="AG48:AG53" si="43">N48/K48</f>
        <v>0.92996371443050352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1119</v>
      </c>
      <c r="H49" s="134">
        <f>F49*G49</f>
        <v>63637.53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3" si="44">K49/J49</f>
        <v>86.944444444444443</v>
      </c>
      <c r="M49" s="170">
        <v>18</v>
      </c>
      <c r="N49" s="140">
        <f>G49/W49*60</f>
        <v>1525.9090909091185</v>
      </c>
      <c r="O49" s="141">
        <f>N49/M49</f>
        <v>84.772727272728801</v>
      </c>
      <c r="P49" s="229">
        <f>M49-J49</f>
        <v>0</v>
      </c>
      <c r="Q49" s="230">
        <f>O49-L49</f>
        <v>-2.1717171717156418</v>
      </c>
      <c r="R49" s="52">
        <f>O49/L49</f>
        <v>0.97502178332851019</v>
      </c>
      <c r="S49" s="424">
        <f>R58</f>
        <v>0.92317068403356761</v>
      </c>
      <c r="T49" s="191">
        <v>0.28888888888888897</v>
      </c>
      <c r="U49" s="191">
        <v>0.31944444444444398</v>
      </c>
      <c r="V49" s="55"/>
      <c r="W49" s="193">
        <f t="shared" si="15"/>
        <v>43.999999999999204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42"/>
        <v>-39.090909090881496</v>
      </c>
      <c r="AG49" s="52">
        <f t="shared" si="43"/>
        <v>0.97502178332851019</v>
      </c>
      <c r="AH49" s="403">
        <f>AG58</f>
        <v>0.9306875408440215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2527</v>
      </c>
      <c r="H50" s="231">
        <f>F50*G50</f>
        <v>120563.17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4"/>
        <v>90</v>
      </c>
      <c r="M50" s="233">
        <v>16</v>
      </c>
      <c r="N50" s="234">
        <f>G50/W50*60</f>
        <v>1430.377358490568</v>
      </c>
      <c r="O50" s="235">
        <f>N50/M50</f>
        <v>89.398584905660499</v>
      </c>
      <c r="P50" s="74">
        <f>M50-J50</f>
        <v>0</v>
      </c>
      <c r="Q50" s="83">
        <f>O50-L50</f>
        <v>-0.60141509433950091</v>
      </c>
      <c r="R50" s="72">
        <f>O50/L50</f>
        <v>0.99331761006289443</v>
      </c>
      <c r="S50" s="425"/>
      <c r="T50" s="21">
        <v>0.32500000000000001</v>
      </c>
      <c r="U50" s="21">
        <v>0.39861111111111103</v>
      </c>
      <c r="V50" s="30">
        <f t="shared" ref="V50:V53" si="45">(T50-U49)*24*60</f>
        <v>8.000000000000691</v>
      </c>
      <c r="W50" s="236">
        <f t="shared" si="15"/>
        <v>105.99999999999986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2"/>
        <v>-9.6226415094320146</v>
      </c>
      <c r="AG50" s="72">
        <f t="shared" si="43"/>
        <v>0.99331761006289443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2600</v>
      </c>
      <c r="H51" s="231">
        <f>F51*G51</f>
        <v>129922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4"/>
        <v>88.888888888888886</v>
      </c>
      <c r="M51" s="233">
        <v>18</v>
      </c>
      <c r="N51" s="234">
        <f>G51/W51*60</f>
        <v>1591.836734693891</v>
      </c>
      <c r="O51" s="235">
        <f>N51/M51</f>
        <v>88.435374149660618</v>
      </c>
      <c r="P51" s="74">
        <f>M51-J51</f>
        <v>0</v>
      </c>
      <c r="Q51" s="83">
        <f>O51-L51</f>
        <v>-0.45351473922826813</v>
      </c>
      <c r="R51" s="72">
        <f>O51/L51</f>
        <v>0.99489795918368196</v>
      </c>
      <c r="S51" s="425"/>
      <c r="T51" s="21">
        <v>0.40416666666666701</v>
      </c>
      <c r="U51" s="19">
        <v>0.47222222222222199</v>
      </c>
      <c r="V51" s="30">
        <f t="shared" si="45"/>
        <v>8.0000000000006111</v>
      </c>
      <c r="W51" s="236">
        <f t="shared" si="15"/>
        <v>97.999999999999176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42"/>
        <v>-8.1632653061089968</v>
      </c>
      <c r="AG51" s="72">
        <f t="shared" si="43"/>
        <v>0.99489795918368185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3214</v>
      </c>
      <c r="H52" s="231">
        <f t="shared" ref="H52:H53" si="46">F52*G52</f>
        <v>160603.57999999999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4"/>
        <v>88.888888888888886</v>
      </c>
      <c r="M52" s="233">
        <v>18</v>
      </c>
      <c r="N52" s="234">
        <f t="shared" ref="N52:N53" si="47">G52/W52*60</f>
        <v>1593.7190082644579</v>
      </c>
      <c r="O52" s="235">
        <f t="shared" ref="O52:O53" si="48">N52/M52</f>
        <v>88.539944903580988</v>
      </c>
      <c r="P52" s="74">
        <f t="shared" ref="P52:P53" si="49">M52-J52</f>
        <v>0</v>
      </c>
      <c r="Q52" s="83">
        <f t="shared" ref="Q52:Q53" si="50">O52-L52</f>
        <v>-0.34894398530789772</v>
      </c>
      <c r="R52" s="72">
        <f t="shared" ref="R52:R53" si="51">O52/L52</f>
        <v>0.99607438016528616</v>
      </c>
      <c r="S52" s="425"/>
      <c r="T52" s="21">
        <v>0.53125</v>
      </c>
      <c r="U52" s="21">
        <v>0.61527777777777803</v>
      </c>
      <c r="V52" s="30">
        <f t="shared" si="45"/>
        <v>85.000000000000341</v>
      </c>
      <c r="W52" s="236">
        <f t="shared" si="15"/>
        <v>121.00000000000037</v>
      </c>
      <c r="X52" s="22">
        <v>0.47916666666666702</v>
      </c>
      <c r="Y52" s="84">
        <v>0.52083333333333304</v>
      </c>
      <c r="Z52" s="90"/>
      <c r="AA52" s="90"/>
      <c r="AB52" s="395"/>
      <c r="AC52" s="395"/>
      <c r="AD52" s="92"/>
      <c r="AE52" s="92"/>
      <c r="AF52" s="307">
        <f t="shared" si="42"/>
        <v>-6.2809917355421021</v>
      </c>
      <c r="AG52" s="72">
        <f t="shared" si="43"/>
        <v>0.99607438016528616</v>
      </c>
      <c r="AH52" s="404"/>
    </row>
    <row r="53" spans="1:34" ht="15" customHeight="1">
      <c r="A53" s="453"/>
      <c r="B53" s="101" t="s">
        <v>123</v>
      </c>
      <c r="C53" s="102"/>
      <c r="D53" s="103" t="s">
        <v>127</v>
      </c>
      <c r="E53" s="104"/>
      <c r="F53" s="75">
        <f>VLOOKUP(D53,廠價表!$C$1:$E$41,3,0)</f>
        <v>49.91</v>
      </c>
      <c r="G53" s="202">
        <v>454</v>
      </c>
      <c r="H53" s="231">
        <f t="shared" si="46"/>
        <v>22659.14</v>
      </c>
      <c r="I53" s="232"/>
      <c r="J53" s="79">
        <v>15</v>
      </c>
      <c r="K53" s="80">
        <f>VLOOKUP(D53,產線配置圖!$A$3:$C$39,3,0)</f>
        <v>1565</v>
      </c>
      <c r="L53" s="81">
        <f t="shared" si="44"/>
        <v>104.33333333333333</v>
      </c>
      <c r="M53" s="108">
        <v>15</v>
      </c>
      <c r="N53" s="234">
        <f t="shared" si="47"/>
        <v>1089.6000000000108</v>
      </c>
      <c r="O53" s="235">
        <f t="shared" si="48"/>
        <v>72.640000000000725</v>
      </c>
      <c r="P53" s="74">
        <f t="shared" si="49"/>
        <v>0</v>
      </c>
      <c r="Q53" s="83">
        <f t="shared" si="50"/>
        <v>-31.693333333332603</v>
      </c>
      <c r="R53" s="72">
        <f t="shared" si="51"/>
        <v>0.69623003194888877</v>
      </c>
      <c r="S53" s="425"/>
      <c r="T53" s="21">
        <v>0.62222222222222201</v>
      </c>
      <c r="U53" s="21">
        <v>0.63958333333333295</v>
      </c>
      <c r="V53" s="30">
        <f t="shared" si="45"/>
        <v>9.999999999999325</v>
      </c>
      <c r="W53" s="236">
        <f t="shared" si="15"/>
        <v>24.999999999999751</v>
      </c>
      <c r="X53" s="30"/>
      <c r="Y53" s="151"/>
      <c r="Z53" s="90"/>
      <c r="AA53" s="90"/>
      <c r="AB53" s="395" t="s">
        <v>126</v>
      </c>
      <c r="AC53" s="395"/>
      <c r="AD53" s="92"/>
      <c r="AE53" s="92"/>
      <c r="AF53" s="307">
        <f t="shared" si="42"/>
        <v>-475.39999999998918</v>
      </c>
      <c r="AG53" s="72">
        <f t="shared" si="43"/>
        <v>0.69623003194888866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5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5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5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5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52">AVERAGE(J49:J57)</f>
        <v>17</v>
      </c>
      <c r="K58" s="120">
        <f t="shared" si="52"/>
        <v>1554</v>
      </c>
      <c r="L58" s="117">
        <f t="shared" si="52"/>
        <v>91.811111111111117</v>
      </c>
      <c r="M58" s="120">
        <f t="shared" si="52"/>
        <v>17</v>
      </c>
      <c r="N58" s="120">
        <f t="shared" si="52"/>
        <v>1446.2884384716094</v>
      </c>
      <c r="O58" s="117">
        <f t="shared" si="52"/>
        <v>84.757326246326329</v>
      </c>
      <c r="P58" s="121">
        <f>M58-J58</f>
        <v>0</v>
      </c>
      <c r="Q58" s="122">
        <f>N58-K58</f>
        <v>-107.71156152839058</v>
      </c>
      <c r="R58" s="123">
        <f t="shared" ref="R58:R60" si="53">O58/L58</f>
        <v>0.92317068403356761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54">N58-K58</f>
        <v>-107.71156152839058</v>
      </c>
      <c r="AG58" s="124">
        <f t="shared" ref="AG58:AG61" si="55">N58/K58</f>
        <v>0.9306875408440215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3932</v>
      </c>
      <c r="H59" s="243">
        <f>F59*G59</f>
        <v>106124.68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2" si="56">K59/J59</f>
        <v>120.38461538461539</v>
      </c>
      <c r="M59" s="244">
        <v>13</v>
      </c>
      <c r="N59" s="137">
        <f t="shared" ref="N59:N62" si="57">G59/W59*60</f>
        <v>1502.6751592356659</v>
      </c>
      <c r="O59" s="138">
        <f t="shared" ref="O59:O62" si="58">N59/M59</f>
        <v>115.59039686428198</v>
      </c>
      <c r="P59" s="56">
        <f t="shared" ref="P59:P62" si="59">M59-J59</f>
        <v>0</v>
      </c>
      <c r="Q59" s="230">
        <f t="shared" ref="Q59:Q62" si="60">O59-L59</f>
        <v>-4.794218520333402</v>
      </c>
      <c r="R59" s="52">
        <f t="shared" si="53"/>
        <v>0.96017582059786954</v>
      </c>
      <c r="S59" s="424">
        <f>R69</f>
        <v>0.88627220693531572</v>
      </c>
      <c r="T59" s="245">
        <v>0.29027777777777802</v>
      </c>
      <c r="U59" s="245">
        <v>0.39930555555555602</v>
      </c>
      <c r="V59" s="55"/>
      <c r="W59" s="54">
        <f t="shared" si="15"/>
        <v>157.00000000000031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54"/>
        <v>-62.324840764334112</v>
      </c>
      <c r="AG59" s="246">
        <f t="shared" si="55"/>
        <v>0.96017582059786954</v>
      </c>
      <c r="AH59" s="403">
        <f>AG69</f>
        <v>0.88769343027498016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1446</v>
      </c>
      <c r="H60" s="78">
        <f>F60*G60</f>
        <v>40863.96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6"/>
        <v>130.41666666666666</v>
      </c>
      <c r="M60" s="82">
        <v>12</v>
      </c>
      <c r="N60" s="80">
        <f t="shared" si="57"/>
        <v>1445.9999999999879</v>
      </c>
      <c r="O60" s="81">
        <f t="shared" si="58"/>
        <v>120.49999999999899</v>
      </c>
      <c r="P60" s="74">
        <f t="shared" si="59"/>
        <v>0</v>
      </c>
      <c r="Q60" s="83">
        <f t="shared" si="60"/>
        <v>-9.9166666666676662</v>
      </c>
      <c r="R60" s="72">
        <f t="shared" si="53"/>
        <v>0.92396166134184532</v>
      </c>
      <c r="S60" s="451"/>
      <c r="T60" s="22">
        <v>0.40625</v>
      </c>
      <c r="U60" s="22">
        <v>0.44791666666666702</v>
      </c>
      <c r="V60" s="30">
        <f t="shared" ref="V60:V62" si="61">(T60-U59)*24*60</f>
        <v>9.999999999999325</v>
      </c>
      <c r="W60" s="248">
        <f t="shared" si="15"/>
        <v>60.000000000000504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54"/>
        <v>-119.00000000001205</v>
      </c>
      <c r="AG60" s="249">
        <f t="shared" si="55"/>
        <v>0.92396166134184532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1573</v>
      </c>
      <c r="H61" s="254">
        <f>F61*G61</f>
        <v>44452.98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6"/>
        <v>130.41666666666666</v>
      </c>
      <c r="M61" s="108">
        <v>12</v>
      </c>
      <c r="N61" s="107">
        <f t="shared" si="57"/>
        <v>1348.2857142857174</v>
      </c>
      <c r="O61" s="238">
        <f t="shared" si="58"/>
        <v>112.35714285714312</v>
      </c>
      <c r="P61" s="111">
        <f t="shared" si="59"/>
        <v>0</v>
      </c>
      <c r="Q61" s="255">
        <f t="shared" si="60"/>
        <v>-18.05952380952354</v>
      </c>
      <c r="R61" s="85">
        <f>O61/L61</f>
        <v>0.86152441807394087</v>
      </c>
      <c r="S61" s="425"/>
      <c r="T61" s="22">
        <v>0.45833333333333298</v>
      </c>
      <c r="U61" s="22">
        <v>0.50694444444444398</v>
      </c>
      <c r="V61" s="30">
        <f t="shared" si="61"/>
        <v>14.999999999998987</v>
      </c>
      <c r="W61" s="256">
        <f t="shared" si="15"/>
        <v>69.999999999999829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54"/>
        <v>-216.7142857142826</v>
      </c>
      <c r="AG61" s="247">
        <f t="shared" si="55"/>
        <v>0.86152441807394087</v>
      </c>
      <c r="AH61" s="404"/>
    </row>
    <row r="62" spans="1:34" ht="15" customHeight="1">
      <c r="A62" s="449"/>
      <c r="B62" s="250" t="s">
        <v>132</v>
      </c>
      <c r="C62" s="251"/>
      <c r="D62" s="257" t="s">
        <v>135</v>
      </c>
      <c r="E62" s="253"/>
      <c r="F62" s="250">
        <f>VLOOKUP(D62,廠價表!$C$1:$E$41,3,0)</f>
        <v>28.26</v>
      </c>
      <c r="G62" s="38">
        <v>903</v>
      </c>
      <c r="H62" s="254">
        <f>F62*G62</f>
        <v>25518.780000000002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si="56"/>
        <v>130.41666666666666</v>
      </c>
      <c r="M62" s="108">
        <v>12</v>
      </c>
      <c r="N62" s="107">
        <f t="shared" si="57"/>
        <v>1260.0000000000045</v>
      </c>
      <c r="O62" s="238">
        <f t="shared" si="58"/>
        <v>105.00000000000038</v>
      </c>
      <c r="P62" s="111">
        <f t="shared" si="59"/>
        <v>0</v>
      </c>
      <c r="Q62" s="255">
        <f t="shared" si="60"/>
        <v>-25.416666666666273</v>
      </c>
      <c r="R62" s="85">
        <f>O62/L62</f>
        <v>0.805111821086265</v>
      </c>
      <c r="S62" s="425"/>
      <c r="T62" s="22">
        <v>0.5625</v>
      </c>
      <c r="U62" s="22">
        <v>0.59236111111111101</v>
      </c>
      <c r="V62" s="30">
        <f t="shared" si="61"/>
        <v>80.000000000000682</v>
      </c>
      <c r="W62" s="248">
        <f t="shared" si="15"/>
        <v>42.999999999999844</v>
      </c>
      <c r="X62" s="22">
        <v>0.51041666666666696</v>
      </c>
      <c r="Y62" s="84">
        <v>0.55208333333333304</v>
      </c>
      <c r="Z62" s="90"/>
      <c r="AA62" s="90"/>
      <c r="AB62" s="395"/>
      <c r="AC62" s="395"/>
      <c r="AD62" s="92"/>
      <c r="AE62" s="92"/>
      <c r="AF62" s="317">
        <f>N62-K62</f>
        <v>-304.99999999999545</v>
      </c>
      <c r="AG62" s="247">
        <f>N62/K62</f>
        <v>0.80511182108626489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5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5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5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5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5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5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62">AVERAGE(J59:J68)</f>
        <v>12.25</v>
      </c>
      <c r="K69" s="240">
        <f t="shared" si="62"/>
        <v>1565</v>
      </c>
      <c r="L69" s="268">
        <f t="shared" si="62"/>
        <v>127.90865384615384</v>
      </c>
      <c r="M69" s="240">
        <f t="shared" si="62"/>
        <v>12.25</v>
      </c>
      <c r="N69" s="240">
        <f t="shared" si="62"/>
        <v>1389.240218380344</v>
      </c>
      <c r="O69" s="268">
        <f t="shared" si="62"/>
        <v>113.36188493035613</v>
      </c>
      <c r="P69" s="269">
        <f>M69-J69</f>
        <v>0</v>
      </c>
      <c r="Q69" s="222">
        <f>N69-K69</f>
        <v>-175.759781619656</v>
      </c>
      <c r="R69" s="123">
        <f>O69/L69</f>
        <v>0.88627220693531572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-175.759781619656</v>
      </c>
      <c r="AG69" s="124">
        <f>N69/K69</f>
        <v>0.88769343027498016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2909</v>
      </c>
      <c r="H70" s="243">
        <f>F70*G70</f>
        <v>147399.03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969.66666666666674</v>
      </c>
      <c r="O70" s="138">
        <f>N70/M70</f>
        <v>96.966666666666669</v>
      </c>
      <c r="P70" s="56">
        <f>M70-J70</f>
        <v>0</v>
      </c>
      <c r="Q70" s="230">
        <f>O70-L70</f>
        <v>-15.533333333333331</v>
      </c>
      <c r="R70" s="52">
        <f>O70/L70</f>
        <v>0.86192592592592598</v>
      </c>
      <c r="S70" s="424">
        <f>R79</f>
        <v>0.86192592592592598</v>
      </c>
      <c r="T70" s="245">
        <v>0.33333333333333298</v>
      </c>
      <c r="U70" s="245">
        <v>0.45833333333333298</v>
      </c>
      <c r="V70" s="55"/>
      <c r="W70" s="54">
        <f t="shared" si="15"/>
        <v>180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-155.33333333333326</v>
      </c>
      <c r="AG70" s="246">
        <f>N70/K70</f>
        <v>0.86192592592592598</v>
      </c>
      <c r="AH70" s="403">
        <f>AG79</f>
        <v>0.86192592592592598</v>
      </c>
    </row>
    <row r="71" spans="1:36" ht="15" customHeight="1">
      <c r="A71" s="45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5"/>
      <c r="T71" s="22"/>
      <c r="U71" s="22"/>
      <c r="V71" s="30"/>
      <c r="W71" s="73">
        <f t="shared" si="15"/>
        <v>0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5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5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5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63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5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63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5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63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5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63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5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64">AVERAGE(J70:J78)</f>
        <v>10</v>
      </c>
      <c r="K79" s="240">
        <f t="shared" si="64"/>
        <v>1125</v>
      </c>
      <c r="L79" s="268">
        <f t="shared" si="64"/>
        <v>112.5</v>
      </c>
      <c r="M79" s="240">
        <f t="shared" si="64"/>
        <v>10</v>
      </c>
      <c r="N79" s="240">
        <f t="shared" si="64"/>
        <v>969.66666666666674</v>
      </c>
      <c r="O79" s="268">
        <f t="shared" si="64"/>
        <v>96.966666666666669</v>
      </c>
      <c r="P79" s="269">
        <f>M79-J79</f>
        <v>0</v>
      </c>
      <c r="Q79" s="222">
        <f>N79-K79</f>
        <v>-155.33333333333326</v>
      </c>
      <c r="R79" s="223">
        <f>O79/L79</f>
        <v>0.86192592592592598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-155.33333333333326</v>
      </c>
      <c r="AG79" s="124">
        <f>N79/K79</f>
        <v>0.86192592592592598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Q3:Q4"/>
    <mergeCell ref="R3:R4"/>
    <mergeCell ref="G3:G4"/>
    <mergeCell ref="J1:L2"/>
    <mergeCell ref="M1:O2"/>
    <mergeCell ref="A2:B2"/>
    <mergeCell ref="A3:A4"/>
    <mergeCell ref="B3:B4"/>
    <mergeCell ref="D3:E4"/>
    <mergeCell ref="F3:F4"/>
    <mergeCell ref="AB1:AC2"/>
    <mergeCell ref="AF1:AH2"/>
    <mergeCell ref="A38:A48"/>
    <mergeCell ref="S38:S48"/>
    <mergeCell ref="AB38:AC38"/>
    <mergeCell ref="D48:E48"/>
    <mergeCell ref="AB48:AC48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26:AC26"/>
    <mergeCell ref="AF3:AF4"/>
    <mergeCell ref="AG3:AG4"/>
    <mergeCell ref="D15:E15"/>
    <mergeCell ref="AB15:AC15"/>
    <mergeCell ref="P3:P4"/>
    <mergeCell ref="AB11:AC11"/>
    <mergeCell ref="AB12:AC12"/>
    <mergeCell ref="AB14:AC14"/>
    <mergeCell ref="AB13:AC13"/>
    <mergeCell ref="AD3:AE3"/>
    <mergeCell ref="T3:U3"/>
    <mergeCell ref="V3:V4"/>
    <mergeCell ref="W3:W4"/>
    <mergeCell ref="X3:Y3"/>
    <mergeCell ref="Z3:AA3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38" priority="1" operator="greaterThan">
      <formula>0</formula>
    </cfRule>
  </conditionalFormatting>
  <conditionalFormatting sqref="Q5:Q79 AF5:AF79">
    <cfRule type="cellIs" dxfId="237" priority="4" operator="lessThan">
      <formula>0</formula>
    </cfRule>
  </conditionalFormatting>
  <conditionalFormatting sqref="R5:R79 AG5:AG79">
    <cfRule type="cellIs" dxfId="236" priority="2" operator="greaterThan">
      <formula>1</formula>
    </cfRule>
    <cfRule type="cellIs" dxfId="235" priority="3" operator="lessThan">
      <formula>0.8</formula>
    </cfRule>
  </conditionalFormatting>
  <conditionalFormatting sqref="S5:S10 S37:S62 AH59:AH62 S69:S76 AH69:AH76">
    <cfRule type="cellIs" dxfId="234" priority="7" operator="lessThan">
      <formula>0.8</formula>
    </cfRule>
  </conditionalFormatting>
  <conditionalFormatting sqref="S19:S25 AH19:AH25">
    <cfRule type="cellIs" dxfId="233" priority="6" operator="lessThan">
      <formula>0.8</formula>
    </cfRule>
  </conditionalFormatting>
  <conditionalFormatting sqref="S79">
    <cfRule type="cellIs" dxfId="232" priority="5" operator="lessThan">
      <formula>0.8</formula>
    </cfRule>
  </conditionalFormatting>
  <conditionalFormatting sqref="AH5:AH8 S15:S16 AH15:AH16 AH49 AH79">
    <cfRule type="cellIs" dxfId="231" priority="9" operator="lessThan">
      <formula>0.8</formula>
    </cfRule>
  </conditionalFormatting>
  <conditionalFormatting sqref="AH27 S27:S28">
    <cfRule type="cellIs" dxfId="2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64E299F-2C9F-45DD-9A4D-5232B895143A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CB7A-7089-4432-BAC5-6CD3729DE78D}">
  <sheetPr codeName="工作表21"/>
  <dimension ref="B1:O26"/>
  <sheetViews>
    <sheetView zoomScale="70" zoomScaleNormal="70" workbookViewId="0">
      <selection activeCell="M40" sqref="M4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46062</v>
      </c>
      <c r="E3" s="493"/>
      <c r="F3" s="3" t="s">
        <v>72</v>
      </c>
      <c r="G3" s="494">
        <f>'0209'!E1</f>
        <v>57151</v>
      </c>
      <c r="H3" s="494"/>
      <c r="I3" s="3" t="s">
        <v>2</v>
      </c>
      <c r="J3" s="495">
        <f>'0209'!G1</f>
        <v>2740718.0799999991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119.7058598740584</v>
      </c>
      <c r="G6" s="490"/>
      <c r="H6" s="491">
        <f>AVERAGE(D13:H13,J13)</f>
        <v>118.33872754537583</v>
      </c>
      <c r="I6" s="491"/>
      <c r="J6" s="491">
        <f>AVERAGE(I13)</f>
        <v>127.90865384615384</v>
      </c>
      <c r="K6" s="491"/>
      <c r="L6" s="497">
        <f>SUM(D18:J18)</f>
        <v>0</v>
      </c>
      <c r="M6" s="482">
        <f>SUM(D19:J19)</f>
        <v>0</v>
      </c>
      <c r="N6" s="498">
        <f>SUM(D20:J20)</f>
        <v>58</v>
      </c>
      <c r="O6" s="482">
        <f>SUM(D20:J20)</f>
        <v>58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101.21037174781998</v>
      </c>
      <c r="G7" s="479"/>
      <c r="H7" s="480">
        <f>AVERAGE(D14:H14,J14)</f>
        <v>98.498145489311582</v>
      </c>
      <c r="I7" s="480"/>
      <c r="J7" s="480">
        <f>AVERAGE(I14)</f>
        <v>117.48372929887033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0.84549220776913192</v>
      </c>
      <c r="G8" s="485"/>
      <c r="H8" s="485">
        <f>H7/H6</f>
        <v>0.83234075211382874</v>
      </c>
      <c r="I8" s="485"/>
      <c r="J8" s="485">
        <f>J7/J6</f>
        <v>0.91849711310524451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VALUE('0209'!L15)</f>
        <v>145.76703117144294</v>
      </c>
      <c r="E13" s="13">
        <f>VALUE('0209'!L26)</f>
        <v>175.70075757575759</v>
      </c>
      <c r="F13" s="13">
        <f>VALUE('0209'!L37)</f>
        <v>96.083333333333329</v>
      </c>
      <c r="G13" s="13">
        <f>VALUE('0209'!L48)</f>
        <v>88.77481617647058</v>
      </c>
      <c r="H13" s="13">
        <f>VALUE('0209'!L58)</f>
        <v>91.206427015250554</v>
      </c>
      <c r="I13" s="13">
        <f>VALUE('0209'!L69)</f>
        <v>127.90865384615384</v>
      </c>
      <c r="J13" s="13">
        <f>'0209'!L79</f>
        <v>112.5</v>
      </c>
    </row>
    <row r="14" spans="2:15" ht="39.950000000000003" customHeight="1">
      <c r="B14" s="473"/>
      <c r="C14" s="12" t="s">
        <v>100</v>
      </c>
      <c r="D14" s="13">
        <f>VALUE('0209'!O15)</f>
        <v>111.28635089713138</v>
      </c>
      <c r="E14" s="13">
        <f>VALUE('0209'!O26)</f>
        <v>131.33061487345648</v>
      </c>
      <c r="F14" s="13">
        <f>VALUE('0209'!O37)</f>
        <v>84.863765008576578</v>
      </c>
      <c r="G14" s="13">
        <f>VALUE('0209'!O48)</f>
        <v>84.249954764148569</v>
      </c>
      <c r="H14" s="13">
        <f>VALUE('0209'!O58)</f>
        <v>88.519271136399297</v>
      </c>
      <c r="I14" s="13">
        <f>VALUE('0209'!O69)</f>
        <v>117.48372929887033</v>
      </c>
      <c r="J14" s="13">
        <f>'0209'!O79</f>
        <v>90.73891625615714</v>
      </c>
    </row>
    <row r="15" spans="2:15" ht="39.950000000000003" customHeight="1">
      <c r="B15" s="474"/>
      <c r="C15" s="10" t="s">
        <v>26</v>
      </c>
      <c r="D15" s="14">
        <f>D14/D13</f>
        <v>0.76345350524593369</v>
      </c>
      <c r="E15" s="14">
        <f t="shared" ref="E15:I15" si="1">E14/E13</f>
        <v>0.74746755042777857</v>
      </c>
      <c r="F15" s="14">
        <f t="shared" si="1"/>
        <v>0.88323085871892371</v>
      </c>
      <c r="G15" s="14">
        <f t="shared" si="1"/>
        <v>0.94902989826160511</v>
      </c>
      <c r="H15" s="14">
        <f t="shared" si="1"/>
        <v>0.97053764776464779</v>
      </c>
      <c r="I15" s="14">
        <f t="shared" si="1"/>
        <v>0.91849711310524451</v>
      </c>
      <c r="J15" s="15">
        <f>'0209'!S70</f>
        <v>0.80656814449917458</v>
      </c>
    </row>
    <row r="16" spans="2:15" ht="17.25" customHeight="1">
      <c r="B16" s="475" t="s">
        <v>101</v>
      </c>
      <c r="C16" s="10" t="s">
        <v>34</v>
      </c>
      <c r="D16" s="16">
        <f>'0209'!T5</f>
        <v>0.29861111111111099</v>
      </c>
      <c r="E16" s="16">
        <f>'0209'!T16</f>
        <v>0.29861111111111099</v>
      </c>
      <c r="F16" s="16">
        <f>'0209'!T27</f>
        <v>0.29027777777777802</v>
      </c>
      <c r="G16" s="16">
        <f>'0209'!T38</f>
        <v>0.33333333333333298</v>
      </c>
      <c r="H16" s="16">
        <f>'0209'!T49</f>
        <v>0.29027777777777802</v>
      </c>
      <c r="I16" s="16">
        <f>'0209'!T59</f>
        <v>0.29027777777777802</v>
      </c>
      <c r="J16" s="16">
        <f>'0209'!T70</f>
        <v>0.33819444444444402</v>
      </c>
    </row>
    <row r="17" spans="2:10" ht="17.25" customHeight="1">
      <c r="B17" s="476"/>
      <c r="C17" s="10" t="s">
        <v>35</v>
      </c>
      <c r="D17" s="22">
        <v>0.68541666666666701</v>
      </c>
      <c r="E17" s="19">
        <v>0.70555555555555605</v>
      </c>
      <c r="F17" s="19">
        <v>0.57152777777777797</v>
      </c>
      <c r="G17" s="210">
        <v>0.66180555555555598</v>
      </c>
      <c r="H17" s="21">
        <v>0.64305555555555605</v>
      </c>
      <c r="I17" s="22">
        <v>0.58680555555555602</v>
      </c>
      <c r="J17" s="272">
        <v>0.47916666666666702</v>
      </c>
    </row>
    <row r="18" spans="2:10" ht="17.25" customHeight="1">
      <c r="B18" s="477" t="s">
        <v>102</v>
      </c>
      <c r="C18" s="330" t="s">
        <v>36</v>
      </c>
      <c r="D18" s="358">
        <f>'0209'!Z15</f>
        <v>0</v>
      </c>
      <c r="E18" s="359">
        <f>'0209'!Z26</f>
        <v>0</v>
      </c>
      <c r="F18" s="359">
        <f>'0209'!Z37</f>
        <v>0</v>
      </c>
      <c r="G18" s="360">
        <f>'0209'!Z48</f>
        <v>0</v>
      </c>
      <c r="H18" s="360">
        <f>'0209'!Z58</f>
        <v>0</v>
      </c>
      <c r="I18" s="359">
        <f>'0209'!Z69</f>
        <v>0</v>
      </c>
      <c r="J18" s="359">
        <f>'0209'!AA79</f>
        <v>0</v>
      </c>
    </row>
    <row r="19" spans="2:10" ht="17.25" customHeight="1">
      <c r="B19" s="478"/>
      <c r="C19" s="330" t="s">
        <v>37</v>
      </c>
      <c r="D19" s="358">
        <f>'0209'!AA15</f>
        <v>0</v>
      </c>
      <c r="E19" s="359">
        <f>'0209'!AA26</f>
        <v>0</v>
      </c>
      <c r="F19" s="359">
        <f>'0209'!AA37</f>
        <v>0</v>
      </c>
      <c r="G19" s="360">
        <f>'0209'!AA48</f>
        <v>0</v>
      </c>
      <c r="H19" s="360">
        <f>'0209'!AA58</f>
        <v>0</v>
      </c>
      <c r="I19" s="359">
        <f>'0209'!AA69</f>
        <v>0</v>
      </c>
      <c r="J19" s="359">
        <f>'0209'!AB79</f>
        <v>0</v>
      </c>
    </row>
    <row r="20" spans="2:10" ht="17.25" customHeight="1">
      <c r="B20" s="477" t="s">
        <v>103</v>
      </c>
      <c r="C20" s="330" t="s">
        <v>36</v>
      </c>
      <c r="D20" s="358">
        <f>'0209'!AD15</f>
        <v>23</v>
      </c>
      <c r="E20" s="359">
        <f>'0209'!AD26</f>
        <v>35</v>
      </c>
      <c r="F20" s="359">
        <f>'0209'!AD37</f>
        <v>0</v>
      </c>
      <c r="G20" s="360">
        <f>'0209'!AD48</f>
        <v>0</v>
      </c>
      <c r="H20" s="360">
        <f>'0209'!AD58</f>
        <v>0</v>
      </c>
      <c r="I20" s="359">
        <f>'0209'!AD69</f>
        <v>0</v>
      </c>
      <c r="J20" s="359">
        <f>'0209'!AD79</f>
        <v>0</v>
      </c>
    </row>
    <row r="21" spans="2:10" ht="17.25" customHeight="1">
      <c r="B21" s="478"/>
      <c r="C21" s="330" t="s">
        <v>85</v>
      </c>
      <c r="D21" s="358">
        <f>'0209'!AE15</f>
        <v>23</v>
      </c>
      <c r="E21" s="359">
        <f>'0209'!AE26</f>
        <v>35</v>
      </c>
      <c r="F21" s="359">
        <f>'0209'!AE37</f>
        <v>0</v>
      </c>
      <c r="G21" s="360">
        <f>'0209'!AE48</f>
        <v>0</v>
      </c>
      <c r="H21" s="360">
        <f>'0209'!AE58</f>
        <v>0</v>
      </c>
      <c r="I21" s="359">
        <f>'0209'!AE69</f>
        <v>0</v>
      </c>
      <c r="J21" s="359">
        <f>'0209'!AE79</f>
        <v>0</v>
      </c>
    </row>
    <row r="22" spans="2:10" ht="17.25" customHeight="1">
      <c r="B22" s="460" t="s">
        <v>104</v>
      </c>
      <c r="C22" s="461"/>
      <c r="D22" s="23">
        <f>VALUE('0209'!M15)</f>
        <v>14.666666666666666</v>
      </c>
      <c r="E22" s="23">
        <f>VALUE('0209'!M26)</f>
        <v>11.666666666666666</v>
      </c>
      <c r="F22" s="23">
        <f>VALUE('0209'!M37)</f>
        <v>15</v>
      </c>
      <c r="G22" s="23">
        <f>VALUE('0209'!M48)</f>
        <v>16.5</v>
      </c>
      <c r="H22" s="23">
        <f>VALUE('0209'!M58)</f>
        <v>16.666666666666668</v>
      </c>
      <c r="I22" s="23">
        <f>VALUE('0209'!M69)</f>
        <v>12.25</v>
      </c>
      <c r="J22" s="23">
        <f>'0209'!M79</f>
        <v>9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53B0C-9561-4E6D-B2F5-E7C517863948}">
  <sheetPr codeName="工作表22">
    <tabColor theme="9" tint="0.79998168889431442"/>
  </sheetPr>
  <dimension ref="A1:AJ92"/>
  <sheetViews>
    <sheetView zoomScale="69" zoomScaleNormal="69" workbookViewId="0">
      <pane xSplit="5" ySplit="4" topLeftCell="M38" activePane="bottomRight" state="frozen"/>
      <selection activeCell="M40" sqref="M40"/>
      <selection pane="topRight" activeCell="M40" sqref="M40"/>
      <selection pane="bottomLeft" activeCell="M40" sqref="M40"/>
      <selection pane="bottomRight" activeCell="Y42" sqref="Y4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57151</v>
      </c>
      <c r="F1" s="30" t="s">
        <v>2</v>
      </c>
      <c r="G1" s="31">
        <f>SUM(H5:H79)</f>
        <v>2740718.0799999991</v>
      </c>
      <c r="H1" s="32" t="s">
        <v>3</v>
      </c>
      <c r="I1" s="33">
        <f>M15+M26+M48+M58+M69+M79+M37</f>
        <v>95.75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162</v>
      </c>
      <c r="B2" s="374"/>
      <c r="C2" s="28"/>
      <c r="D2" s="28" t="s">
        <v>14</v>
      </c>
      <c r="E2" s="35">
        <f>AVERAGE(O15,O26,O37,O48,O58,O69,O79)</f>
        <v>101.21037174781998</v>
      </c>
      <c r="F2" s="36" t="s">
        <v>15</v>
      </c>
      <c r="G2" s="37">
        <f>G1/E1</f>
        <v>47.95573270808908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0</v>
      </c>
      <c r="AA2" s="339">
        <f>AA15+AA26+AA37+AA48+AA58+AA69+AA79</f>
        <v>0</v>
      </c>
      <c r="AB2" s="370"/>
      <c r="AC2" s="370"/>
      <c r="AD2" s="340">
        <f>AD15+AD26+AD37+AD48+AD58+AD69+AD79</f>
        <v>58</v>
      </c>
      <c r="AE2" s="340">
        <f>AE15+AE26+AE37+AE48+AE58+AE69+AE79</f>
        <v>58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1617</v>
      </c>
      <c r="H5" s="43">
        <f>F5*G5</f>
        <v>92508.57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10" si="0">K5/J5</f>
        <v>175.41666666666666</v>
      </c>
      <c r="M5" s="48">
        <v>12</v>
      </c>
      <c r="N5" s="46">
        <f t="shared" ref="N5:N10" si="1">G5/W5*60</f>
        <v>1763.9999999999729</v>
      </c>
      <c r="O5" s="47">
        <f t="shared" ref="O5:O10" si="2">N5/M5</f>
        <v>146.99999999999775</v>
      </c>
      <c r="P5" s="49">
        <f t="shared" ref="P5:P10" si="3">M5-J5</f>
        <v>0</v>
      </c>
      <c r="Q5" s="50">
        <f t="shared" ref="Q5:Q10" si="4">O5-L5</f>
        <v>-28.416666666668903</v>
      </c>
      <c r="R5" s="51">
        <f t="shared" ref="R5:R10" si="5">O5/L5</f>
        <v>0.83800475059381152</v>
      </c>
      <c r="S5" s="424">
        <f>R15</f>
        <v>0.76345350524593369</v>
      </c>
      <c r="T5" s="319">
        <v>0.29861111111111099</v>
      </c>
      <c r="U5" s="320">
        <v>0.33680555555555602</v>
      </c>
      <c r="V5" s="53"/>
      <c r="W5" s="54">
        <f t="shared" ref="W5:W14" si="6">(U5-T5)*24*60</f>
        <v>55.000000000000846</v>
      </c>
      <c r="X5" s="55"/>
      <c r="Y5" s="290"/>
      <c r="Z5" s="169"/>
      <c r="AA5" s="169"/>
      <c r="AB5" s="402" t="s">
        <v>163</v>
      </c>
      <c r="AC5" s="402"/>
      <c r="AD5" s="135">
        <v>5</v>
      </c>
      <c r="AE5" s="135">
        <v>5</v>
      </c>
      <c r="AF5" s="229">
        <f t="shared" ref="AF5:AF11" si="7">N5-K5</f>
        <v>-341.00000000002706</v>
      </c>
      <c r="AG5" s="52">
        <f t="shared" ref="AG5:AG11" si="8">N5/K5</f>
        <v>0.83800475059381141</v>
      </c>
      <c r="AH5" s="403">
        <f>AG15</f>
        <v>0.8094376162655289</v>
      </c>
    </row>
    <row r="6" spans="1:34" ht="15" customHeight="1">
      <c r="A6" s="421"/>
      <c r="B6" s="57" t="s">
        <v>81</v>
      </c>
      <c r="C6" s="58"/>
      <c r="D6" s="59" t="s">
        <v>113</v>
      </c>
      <c r="E6" s="60"/>
      <c r="F6" s="61">
        <f>VLOOKUP(D6,廠價表!$C$1:$E$41,3,0)</f>
        <v>57.21</v>
      </c>
      <c r="G6" s="62">
        <v>1586</v>
      </c>
      <c r="H6" s="63">
        <f>F6*G6</f>
        <v>90735.06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17</v>
      </c>
      <c r="N6" s="66">
        <f t="shared" si="1"/>
        <v>1612.8813559322114</v>
      </c>
      <c r="O6" s="67">
        <f t="shared" si="2"/>
        <v>94.87537387836538</v>
      </c>
      <c r="P6" s="69">
        <f t="shared" si="3"/>
        <v>0</v>
      </c>
      <c r="Q6" s="70">
        <f t="shared" si="4"/>
        <v>-22.771684945164026</v>
      </c>
      <c r="R6" s="71">
        <f t="shared" si="5"/>
        <v>0.80644067796610575</v>
      </c>
      <c r="S6" s="425"/>
      <c r="T6" s="16">
        <v>0.34861111111111098</v>
      </c>
      <c r="U6" s="16">
        <v>0.389583333333333</v>
      </c>
      <c r="V6" s="30">
        <f>(T6-U5)*24*60</f>
        <v>16.99999999999914</v>
      </c>
      <c r="W6" s="73">
        <f t="shared" si="6"/>
        <v>58.999999999999709</v>
      </c>
      <c r="X6" s="22"/>
      <c r="Y6" s="84"/>
      <c r="Z6" s="90"/>
      <c r="AA6" s="90"/>
      <c r="AB6" s="407" t="s">
        <v>164</v>
      </c>
      <c r="AC6" s="407"/>
      <c r="AD6" s="149">
        <v>4</v>
      </c>
      <c r="AE6" s="149">
        <v>4</v>
      </c>
      <c r="AF6" s="307">
        <f t="shared" si="7"/>
        <v>-387.11864406778864</v>
      </c>
      <c r="AG6" s="72">
        <f t="shared" si="8"/>
        <v>0.80644067796610563</v>
      </c>
      <c r="AH6" s="404"/>
    </row>
    <row r="7" spans="1:34" ht="15" customHeight="1">
      <c r="A7" s="421"/>
      <c r="B7" s="75" t="s">
        <v>81</v>
      </c>
      <c r="C7" s="76"/>
      <c r="D7" s="59" t="s">
        <v>114</v>
      </c>
      <c r="E7" s="77"/>
      <c r="F7" s="75">
        <f>VLOOKUP(D7,廠價表!$C$1:$E$41,3,0)</f>
        <v>56.28</v>
      </c>
      <c r="G7" s="66">
        <v>2069</v>
      </c>
      <c r="H7" s="78">
        <f>F7*G7</f>
        <v>116443.32</v>
      </c>
      <c r="I7" s="73"/>
      <c r="J7" s="79">
        <f>VLOOKUP(D7,產線配置圖!$A$3:$C$39,2,0)</f>
        <v>15</v>
      </c>
      <c r="K7" s="80">
        <f>VLOOKUP(D7,產線配置圖!$A$3:$C$39,3,0)</f>
        <v>1800</v>
      </c>
      <c r="L7" s="81">
        <f t="shared" si="0"/>
        <v>120</v>
      </c>
      <c r="M7" s="82">
        <v>15</v>
      </c>
      <c r="N7" s="80">
        <f t="shared" si="1"/>
        <v>1633.4210526316037</v>
      </c>
      <c r="O7" s="81">
        <f t="shared" si="2"/>
        <v>108.89473684210692</v>
      </c>
      <c r="P7" s="74">
        <f t="shared" si="3"/>
        <v>0</v>
      </c>
      <c r="Q7" s="83">
        <f t="shared" si="4"/>
        <v>-11.105263157893077</v>
      </c>
      <c r="R7" s="72">
        <f t="shared" si="5"/>
        <v>0.90745614035089106</v>
      </c>
      <c r="S7" s="425"/>
      <c r="T7" s="18">
        <v>0.39930555555555602</v>
      </c>
      <c r="U7" s="18">
        <v>0.452083333333333</v>
      </c>
      <c r="V7" s="30">
        <f>(T7-U6)*24*60</f>
        <v>14.000000000001149</v>
      </c>
      <c r="W7" s="73">
        <f t="shared" si="6"/>
        <v>75.999999999998849</v>
      </c>
      <c r="X7" s="22"/>
      <c r="Y7" s="84"/>
      <c r="Z7" s="90"/>
      <c r="AA7" s="90"/>
      <c r="AB7" s="395" t="s">
        <v>165</v>
      </c>
      <c r="AC7" s="395"/>
      <c r="AD7" s="92">
        <v>7</v>
      </c>
      <c r="AE7" s="92">
        <v>7</v>
      </c>
      <c r="AF7" s="307">
        <f t="shared" si="7"/>
        <v>-166.57894736839626</v>
      </c>
      <c r="AG7" s="72">
        <f t="shared" si="8"/>
        <v>0.90745614035089095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1337</v>
      </c>
      <c r="H8" s="78">
        <f t="shared" ref="H8:H10" si="9">F8*G8</f>
        <v>65700.180000000008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14</v>
      </c>
      <c r="N8" s="80">
        <f t="shared" si="1"/>
        <v>1706.8085106382921</v>
      </c>
      <c r="O8" s="81">
        <f t="shared" si="2"/>
        <v>121.91489361702087</v>
      </c>
      <c r="P8" s="74">
        <f t="shared" si="3"/>
        <v>1</v>
      </c>
      <c r="Q8" s="83">
        <f t="shared" si="4"/>
        <v>-31.931260229132974</v>
      </c>
      <c r="R8" s="72">
        <f t="shared" si="5"/>
        <v>0.79244680851063565</v>
      </c>
      <c r="S8" s="425"/>
      <c r="T8" s="16">
        <v>0.46666666666666701</v>
      </c>
      <c r="U8" s="16">
        <v>0.499305555555556</v>
      </c>
      <c r="V8" s="30">
        <f t="shared" ref="V8:V10" si="10">(T8-U7)*24*60</f>
        <v>21.000000000000966</v>
      </c>
      <c r="W8" s="73">
        <f t="shared" si="6"/>
        <v>47.000000000000156</v>
      </c>
      <c r="X8" s="22"/>
      <c r="Y8" s="84"/>
      <c r="Z8" s="90"/>
      <c r="AA8" s="90"/>
      <c r="AB8" s="407" t="s">
        <v>166</v>
      </c>
      <c r="AC8" s="407"/>
      <c r="AD8" s="149">
        <v>4</v>
      </c>
      <c r="AE8" s="149">
        <v>4</v>
      </c>
      <c r="AF8" s="307">
        <f t="shared" si="7"/>
        <v>-293.19148936170791</v>
      </c>
      <c r="AG8" s="72">
        <f t="shared" si="8"/>
        <v>0.8534042553191461</v>
      </c>
      <c r="AH8" s="404"/>
    </row>
    <row r="9" spans="1:34" ht="15" customHeight="1">
      <c r="A9" s="422"/>
      <c r="B9" s="75" t="s">
        <v>81</v>
      </c>
      <c r="C9" s="76"/>
      <c r="D9" s="59" t="s">
        <v>115</v>
      </c>
      <c r="E9" s="77"/>
      <c r="F9" s="75">
        <f>VLOOKUP(D9,廠價表!$C$1:$E$41,3,0)</f>
        <v>49.14</v>
      </c>
      <c r="G9" s="66">
        <v>1409</v>
      </c>
      <c r="H9" s="78">
        <f t="shared" si="9"/>
        <v>69238.259999999995</v>
      </c>
      <c r="I9" s="73"/>
      <c r="J9" s="79">
        <f>VLOOKUP(D9,產線配置圖!$A$3:$C$39,2,0)</f>
        <v>13</v>
      </c>
      <c r="K9" s="80">
        <f>VLOOKUP(D9,產線配置圖!$A$3:$C$39,3,0)</f>
        <v>2000</v>
      </c>
      <c r="L9" s="81">
        <f t="shared" si="0"/>
        <v>153.84615384615384</v>
      </c>
      <c r="M9" s="82">
        <v>14</v>
      </c>
      <c r="N9" s="80">
        <f t="shared" si="1"/>
        <v>1409.0000000000236</v>
      </c>
      <c r="O9" s="81">
        <f t="shared" si="2"/>
        <v>100.64285714285883</v>
      </c>
      <c r="P9" s="74">
        <f t="shared" si="3"/>
        <v>1</v>
      </c>
      <c r="Q9" s="83">
        <f t="shared" si="4"/>
        <v>-53.20329670329501</v>
      </c>
      <c r="R9" s="72">
        <f t="shared" si="5"/>
        <v>0.65417857142858238</v>
      </c>
      <c r="S9" s="426"/>
      <c r="T9" s="16">
        <v>0.55555555555555602</v>
      </c>
      <c r="U9" s="16">
        <v>0.59722222222222199</v>
      </c>
      <c r="V9" s="30">
        <f t="shared" si="10"/>
        <v>81.000000000000028</v>
      </c>
      <c r="W9" s="73">
        <f t="shared" si="6"/>
        <v>59.999999999998991</v>
      </c>
      <c r="X9" s="22">
        <v>0.50694444444444398</v>
      </c>
      <c r="Y9" s="84">
        <v>0.54861111111111105</v>
      </c>
      <c r="Z9" s="90"/>
      <c r="AA9" s="90"/>
      <c r="AB9" s="407" t="s">
        <v>167</v>
      </c>
      <c r="AC9" s="407"/>
      <c r="AD9" s="149">
        <v>3</v>
      </c>
      <c r="AE9" s="149">
        <v>3</v>
      </c>
      <c r="AF9" s="307">
        <f t="shared" si="7"/>
        <v>-590.99999999997635</v>
      </c>
      <c r="AG9" s="72">
        <f t="shared" si="8"/>
        <v>0.70450000000001178</v>
      </c>
      <c r="AH9" s="405"/>
    </row>
    <row r="10" spans="1:34" ht="15" customHeight="1">
      <c r="A10" s="422"/>
      <c r="B10" s="75" t="s">
        <v>81</v>
      </c>
      <c r="C10" s="86"/>
      <c r="D10" s="59" t="s">
        <v>115</v>
      </c>
      <c r="E10" s="87"/>
      <c r="F10" s="75">
        <f>VLOOKUP(D10,廠價表!$C$1:$E$41,3,0)</f>
        <v>49.14</v>
      </c>
      <c r="G10" s="62">
        <v>3096</v>
      </c>
      <c r="H10" s="78">
        <f t="shared" si="9"/>
        <v>152137.44</v>
      </c>
      <c r="I10" s="73"/>
      <c r="J10" s="79">
        <f>VLOOKUP(D10,產線配置圖!$A$3:$C$39,2,0)</f>
        <v>13</v>
      </c>
      <c r="K10" s="80">
        <f>VLOOKUP(D10,產線配置圖!$A$3:$C$39,3,0)</f>
        <v>2000</v>
      </c>
      <c r="L10" s="81">
        <f t="shared" si="0"/>
        <v>153.84615384615384</v>
      </c>
      <c r="M10" s="82">
        <v>16</v>
      </c>
      <c r="N10" s="80">
        <f t="shared" si="1"/>
        <v>1510.2439024390178</v>
      </c>
      <c r="O10" s="81">
        <f t="shared" si="2"/>
        <v>94.390243902438613</v>
      </c>
      <c r="P10" s="74">
        <f t="shared" si="3"/>
        <v>3</v>
      </c>
      <c r="Q10" s="83">
        <f t="shared" si="4"/>
        <v>-59.455909943715227</v>
      </c>
      <c r="R10" s="72">
        <f t="shared" si="5"/>
        <v>0.61353658536585098</v>
      </c>
      <c r="S10" s="426"/>
      <c r="T10" s="22">
        <v>0.6</v>
      </c>
      <c r="U10" s="22">
        <v>0.68541666666666701</v>
      </c>
      <c r="V10" s="30">
        <f t="shared" si="10"/>
        <v>4.0000000000003055</v>
      </c>
      <c r="W10" s="73">
        <f t="shared" si="6"/>
        <v>123.00000000000053</v>
      </c>
      <c r="X10" s="22"/>
      <c r="Y10" s="84"/>
      <c r="Z10" s="90"/>
      <c r="AA10" s="90"/>
      <c r="AB10" s="395" t="s">
        <v>168</v>
      </c>
      <c r="AC10" s="395"/>
      <c r="AD10" s="92"/>
      <c r="AE10" s="92"/>
      <c r="AF10" s="307">
        <f t="shared" si="7"/>
        <v>-489.7560975609822</v>
      </c>
      <c r="AG10" s="72">
        <f t="shared" si="8"/>
        <v>0.75512195121950887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1">AVERAGE(J5:J14)</f>
        <v>13.833333333333334</v>
      </c>
      <c r="K15" s="120">
        <f t="shared" si="11"/>
        <v>1984.1666666666667</v>
      </c>
      <c r="L15" s="117">
        <f t="shared" si="11"/>
        <v>145.76703117144294</v>
      </c>
      <c r="M15" s="120">
        <f t="shared" si="11"/>
        <v>14.666666666666666</v>
      </c>
      <c r="N15" s="120">
        <f t="shared" si="11"/>
        <v>1606.059136940187</v>
      </c>
      <c r="O15" s="117">
        <f t="shared" si="11"/>
        <v>111.28635089713138</v>
      </c>
      <c r="P15" s="121">
        <f t="shared" ref="P15:P21" si="12">M15-J15</f>
        <v>0.83333333333333215</v>
      </c>
      <c r="Q15" s="122">
        <f t="shared" ref="Q15:Q21" si="13">O15-L15</f>
        <v>-34.480680274311553</v>
      </c>
      <c r="R15" s="123">
        <f t="shared" ref="R15:R21" si="14">O15/L15</f>
        <v>0.76345350524593369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23</v>
      </c>
      <c r="AE15" s="323">
        <f>SUM(AE5:AE14)</f>
        <v>23</v>
      </c>
      <c r="AF15" s="309">
        <f t="shared" ref="AF15:AF19" si="15">N15-K15</f>
        <v>-378.1075297264797</v>
      </c>
      <c r="AG15" s="124">
        <f t="shared" ref="AG15:AG19" si="16">N15/K15</f>
        <v>0.8094376162655289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1803</v>
      </c>
      <c r="H16" s="134">
        <f>F16*G16</f>
        <v>103149.63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21" si="17">K16/J16</f>
        <v>175.41666666666666</v>
      </c>
      <c r="M16" s="139">
        <v>12</v>
      </c>
      <c r="N16" s="140">
        <f t="shared" ref="N16:N21" si="18">G16/W16*60</f>
        <v>1590.8823529411843</v>
      </c>
      <c r="O16" s="141">
        <f>N16/M16</f>
        <v>132.57352941176535</v>
      </c>
      <c r="P16" s="142">
        <f>M16-J16</f>
        <v>0</v>
      </c>
      <c r="Q16" s="143">
        <f t="shared" si="13"/>
        <v>-42.843137254901308</v>
      </c>
      <c r="R16" s="144">
        <f>O16/L16</f>
        <v>0.75576358809557453</v>
      </c>
      <c r="S16" s="417">
        <f>R26</f>
        <v>0.74746755042777857</v>
      </c>
      <c r="T16" s="145">
        <v>0.29861111111111099</v>
      </c>
      <c r="U16" s="145">
        <v>0.34583333333333299</v>
      </c>
      <c r="V16" s="135"/>
      <c r="W16" s="146">
        <f t="shared" ref="W16:W78" si="19">(U16-T16)*24*60</f>
        <v>67.999999999999673</v>
      </c>
      <c r="X16" s="141"/>
      <c r="Y16" s="296"/>
      <c r="Z16" s="169"/>
      <c r="AA16" s="169"/>
      <c r="AB16" s="402" t="s">
        <v>169</v>
      </c>
      <c r="AC16" s="402"/>
      <c r="AD16" s="135">
        <v>7</v>
      </c>
      <c r="AE16" s="135">
        <v>7</v>
      </c>
      <c r="AF16" s="229">
        <f t="shared" si="15"/>
        <v>-514.11764705881569</v>
      </c>
      <c r="AG16" s="52">
        <f t="shared" si="16"/>
        <v>0.75576358809557453</v>
      </c>
      <c r="AH16" s="403">
        <f>AG26</f>
        <v>0.75834893352059951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2784</v>
      </c>
      <c r="H17" s="78">
        <f>F17*G17</f>
        <v>141065.28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7"/>
        <v>166.66666666666666</v>
      </c>
      <c r="M17" s="148">
        <v>12</v>
      </c>
      <c r="N17" s="95">
        <f>G17/W17*60</f>
        <v>1740.0000000000177</v>
      </c>
      <c r="O17" s="96">
        <f t="shared" ref="O17:O21" si="20">N17/M17</f>
        <v>145.00000000000148</v>
      </c>
      <c r="P17" s="97">
        <f t="shared" si="12"/>
        <v>0</v>
      </c>
      <c r="Q17" s="98">
        <f t="shared" si="13"/>
        <v>-21.666666666665179</v>
      </c>
      <c r="R17" s="99">
        <f t="shared" si="14"/>
        <v>0.87000000000000888</v>
      </c>
      <c r="S17" s="418"/>
      <c r="T17" s="19">
        <v>0.35416666666666702</v>
      </c>
      <c r="U17" s="19">
        <v>0.420833333333333</v>
      </c>
      <c r="V17" s="30">
        <f>(T17-U16)*24*60</f>
        <v>12.000000000000997</v>
      </c>
      <c r="W17" s="149">
        <f t="shared" si="19"/>
        <v>95.999999999999019</v>
      </c>
      <c r="X17" s="19"/>
      <c r="Y17" s="297"/>
      <c r="Z17" s="90"/>
      <c r="AA17" s="90"/>
      <c r="AB17" s="395" t="s">
        <v>170</v>
      </c>
      <c r="AC17" s="395"/>
      <c r="AD17" s="92">
        <v>10</v>
      </c>
      <c r="AE17" s="92">
        <v>10</v>
      </c>
      <c r="AF17" s="307">
        <f t="shared" si="15"/>
        <v>-259.99999999998226</v>
      </c>
      <c r="AG17" s="72">
        <f t="shared" si="16"/>
        <v>0.87000000000000888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1841</v>
      </c>
      <c r="H18" s="78">
        <f>F18*G18</f>
        <v>92767.99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7"/>
        <v>181.81818181818181</v>
      </c>
      <c r="M18" s="148">
        <v>11</v>
      </c>
      <c r="N18" s="95">
        <f t="shared" si="18"/>
        <v>1578.000000000002</v>
      </c>
      <c r="O18" s="96">
        <f t="shared" si="20"/>
        <v>143.45454545454564</v>
      </c>
      <c r="P18" s="97">
        <f t="shared" si="12"/>
        <v>0</v>
      </c>
      <c r="Q18" s="98">
        <f t="shared" si="13"/>
        <v>-38.363636363636175</v>
      </c>
      <c r="R18" s="99">
        <f t="shared" si="14"/>
        <v>0.78900000000000103</v>
      </c>
      <c r="S18" s="418"/>
      <c r="T18" s="19">
        <v>0.42916666666666697</v>
      </c>
      <c r="U18" s="19">
        <v>0.47777777777777802</v>
      </c>
      <c r="V18" s="30">
        <f>(T18-U17)*24*60</f>
        <v>12.000000000000917</v>
      </c>
      <c r="W18" s="149">
        <f t="shared" si="19"/>
        <v>69.999999999999915</v>
      </c>
      <c r="X18" s="22"/>
      <c r="Y18" s="84"/>
      <c r="Z18" s="90"/>
      <c r="AA18" s="90"/>
      <c r="AB18" s="395" t="s">
        <v>170</v>
      </c>
      <c r="AC18" s="395"/>
      <c r="AD18" s="92">
        <v>11</v>
      </c>
      <c r="AE18" s="92">
        <v>11</v>
      </c>
      <c r="AF18" s="307">
        <f t="shared" si="15"/>
        <v>-421.99999999999795</v>
      </c>
      <c r="AG18" s="72">
        <f t="shared" si="16"/>
        <v>0.78900000000000103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1385</v>
      </c>
      <c r="H19" s="78">
        <f t="shared" ref="H19:H21" si="21">F19*G19</f>
        <v>69790.149999999994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7"/>
        <v>181.81818181818181</v>
      </c>
      <c r="M19" s="148">
        <v>11</v>
      </c>
      <c r="N19" s="95">
        <f t="shared" si="18"/>
        <v>1457.8947368421188</v>
      </c>
      <c r="O19" s="96">
        <f t="shared" si="20"/>
        <v>132.53588516746535</v>
      </c>
      <c r="P19" s="97">
        <f t="shared" si="12"/>
        <v>0</v>
      </c>
      <c r="Q19" s="98">
        <f t="shared" si="13"/>
        <v>-49.282296650716461</v>
      </c>
      <c r="R19" s="99">
        <f t="shared" si="14"/>
        <v>0.72894736842105945</v>
      </c>
      <c r="S19" s="418"/>
      <c r="T19" s="19">
        <v>0.55555555555555602</v>
      </c>
      <c r="U19" s="19">
        <v>0.59513888888888899</v>
      </c>
      <c r="V19" s="30">
        <f>(T19-U18)*24*60</f>
        <v>112.00000000000033</v>
      </c>
      <c r="W19" s="149">
        <f t="shared" si="19"/>
        <v>56.999999999999474</v>
      </c>
      <c r="X19" s="22">
        <v>0.48611111111111099</v>
      </c>
      <c r="Y19" s="84">
        <v>0.52777777777777801</v>
      </c>
      <c r="Z19" s="90"/>
      <c r="AA19" s="90"/>
      <c r="AB19" s="395" t="s">
        <v>165</v>
      </c>
      <c r="AC19" s="395"/>
      <c r="AD19" s="149">
        <v>7</v>
      </c>
      <c r="AE19" s="149">
        <v>7</v>
      </c>
      <c r="AF19" s="307">
        <f t="shared" si="15"/>
        <v>-542.10526315788115</v>
      </c>
      <c r="AG19" s="72">
        <f t="shared" si="16"/>
        <v>0.72894736842105945</v>
      </c>
      <c r="AH19" s="405"/>
    </row>
    <row r="20" spans="1:34" ht="15" customHeight="1">
      <c r="A20" s="414"/>
      <c r="B20" s="75" t="s">
        <v>81</v>
      </c>
      <c r="C20" s="76"/>
      <c r="D20" s="59" t="s">
        <v>119</v>
      </c>
      <c r="E20" s="77"/>
      <c r="F20" s="75">
        <f>VLOOKUP(D20,廠價表!$C$1:$E$41,3,0)</f>
        <v>50.39</v>
      </c>
      <c r="G20" s="147">
        <v>2275</v>
      </c>
      <c r="H20" s="78">
        <f t="shared" si="21"/>
        <v>114637.25</v>
      </c>
      <c r="I20" s="30"/>
      <c r="J20" s="79">
        <f>VLOOKUP(D20,產線配置圖!$A$3:$C$39,2,0)</f>
        <v>11</v>
      </c>
      <c r="K20" s="80">
        <f>VLOOKUP(D20,產線配置圖!$A$3:$C$39,3,0)</f>
        <v>2000</v>
      </c>
      <c r="L20" s="81">
        <f t="shared" si="17"/>
        <v>181.81818181818181</v>
      </c>
      <c r="M20" s="148">
        <v>12</v>
      </c>
      <c r="N20" s="95">
        <f t="shared" si="18"/>
        <v>1452.1276595744632</v>
      </c>
      <c r="O20" s="96">
        <f t="shared" si="20"/>
        <v>121.01063829787194</v>
      </c>
      <c r="P20" s="97">
        <f t="shared" si="12"/>
        <v>1</v>
      </c>
      <c r="Q20" s="98">
        <f t="shared" si="13"/>
        <v>-60.807543520309878</v>
      </c>
      <c r="R20" s="99">
        <f t="shared" si="14"/>
        <v>0.66555851063829563</v>
      </c>
      <c r="S20" s="418"/>
      <c r="T20" s="19">
        <v>0.60138888888888897</v>
      </c>
      <c r="U20" s="19">
        <v>0.66666666666666696</v>
      </c>
      <c r="V20" s="30">
        <f>(T20-U19)*24*60</f>
        <v>8.999999999999968</v>
      </c>
      <c r="W20" s="149">
        <f t="shared" si="19"/>
        <v>94.000000000000313</v>
      </c>
      <c r="X20" s="19"/>
      <c r="Y20" s="297"/>
      <c r="Z20" s="90"/>
      <c r="AA20" s="90"/>
      <c r="AB20" s="395" t="s">
        <v>171</v>
      </c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 t="s">
        <v>81</v>
      </c>
      <c r="C21" s="76"/>
      <c r="D21" s="59" t="s">
        <v>118</v>
      </c>
      <c r="E21" s="77"/>
      <c r="F21" s="75">
        <f>VLOOKUP(D21,廠價表!$C$1:$E$41,3,0)</f>
        <v>50.67</v>
      </c>
      <c r="G21" s="147">
        <v>998</v>
      </c>
      <c r="H21" s="78">
        <f t="shared" si="21"/>
        <v>50568.66</v>
      </c>
      <c r="I21" s="30"/>
      <c r="J21" s="79">
        <f>VLOOKUP(D21,產線配置圖!$A$3:$C$39,2,0)</f>
        <v>12</v>
      </c>
      <c r="K21" s="80">
        <f>VLOOKUP(D21,產線配置圖!$A$3:$C$39,3,0)</f>
        <v>2000</v>
      </c>
      <c r="L21" s="81">
        <f t="shared" si="17"/>
        <v>166.66666666666666</v>
      </c>
      <c r="M21" s="148">
        <v>12</v>
      </c>
      <c r="N21" s="95">
        <f t="shared" si="18"/>
        <v>1360.9090909090712</v>
      </c>
      <c r="O21" s="96">
        <f t="shared" si="20"/>
        <v>113.40909090908927</v>
      </c>
      <c r="P21" s="97">
        <f t="shared" si="12"/>
        <v>0</v>
      </c>
      <c r="Q21" s="98">
        <f t="shared" si="13"/>
        <v>-53.257575757577385</v>
      </c>
      <c r="R21" s="99">
        <f t="shared" si="14"/>
        <v>0.68045454545453565</v>
      </c>
      <c r="S21" s="418"/>
      <c r="T21" s="19">
        <v>0.67500000000000004</v>
      </c>
      <c r="U21" s="19">
        <v>0.70555555555555605</v>
      </c>
      <c r="V21" s="30">
        <f>(T21-U20)*24*60</f>
        <v>11.999999999999638</v>
      </c>
      <c r="W21" s="149">
        <f t="shared" si="19"/>
        <v>44.000000000000639</v>
      </c>
      <c r="X21" s="92"/>
      <c r="Y21" s="298"/>
      <c r="Z21" s="90"/>
      <c r="AA21" s="90"/>
      <c r="AB21" s="395" t="s">
        <v>171</v>
      </c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30"/>
      <c r="J22" s="79"/>
      <c r="K22" s="80"/>
      <c r="L22" s="81"/>
      <c r="M22" s="148"/>
      <c r="N22" s="95"/>
      <c r="O22" s="96"/>
      <c r="P22" s="97"/>
      <c r="Q22" s="98"/>
      <c r="R22" s="99"/>
      <c r="S22" s="418"/>
      <c r="T22" s="19"/>
      <c r="U22" s="19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9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22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9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22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9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3">AVERAGE(J16:J25)</f>
        <v>11.5</v>
      </c>
      <c r="K26" s="155">
        <f t="shared" si="23"/>
        <v>2017.5</v>
      </c>
      <c r="L26" s="158">
        <f t="shared" si="23"/>
        <v>175.70075757575759</v>
      </c>
      <c r="M26" s="155">
        <f t="shared" si="23"/>
        <v>11.666666666666666</v>
      </c>
      <c r="N26" s="155">
        <f t="shared" si="23"/>
        <v>1529.9689733778096</v>
      </c>
      <c r="O26" s="158">
        <f t="shared" si="23"/>
        <v>131.33061487345648</v>
      </c>
      <c r="P26" s="159">
        <f t="shared" ref="P26:P30" si="24">M26-J26</f>
        <v>0.16666666666666607</v>
      </c>
      <c r="Q26" s="160">
        <f t="shared" ref="Q26:Q30" si="25">O26-L26</f>
        <v>-44.370142702301109</v>
      </c>
      <c r="R26" s="161">
        <f>O26/L26</f>
        <v>0.74746755042777857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35</v>
      </c>
      <c r="AE26" s="323">
        <f>SUM(AE16:AE25)</f>
        <v>35</v>
      </c>
      <c r="AF26" s="309">
        <f t="shared" ref="AF26:AF31" si="26">N26-K26</f>
        <v>-487.53102662219044</v>
      </c>
      <c r="AG26" s="124">
        <f t="shared" ref="AG26:AG31" si="27">N26/K26</f>
        <v>0.75834893352059951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2191</v>
      </c>
      <c r="H27" s="134">
        <f>F27*G27</f>
        <v>125544.29999999999</v>
      </c>
      <c r="I27" s="135"/>
      <c r="J27" s="136">
        <v>15</v>
      </c>
      <c r="K27" s="137">
        <f>VLOOKUP(D27,產線配置圖!$A$3:$C$39,3,0)</f>
        <v>1500</v>
      </c>
      <c r="L27" s="138">
        <f t="shared" ref="L27:L30" si="28">K27/J27</f>
        <v>100</v>
      </c>
      <c r="M27" s="170">
        <v>15</v>
      </c>
      <c r="N27" s="140">
        <f>G27/W27*60</f>
        <v>1493.8636363636401</v>
      </c>
      <c r="O27" s="141">
        <f>N27/M27</f>
        <v>99.590909090909335</v>
      </c>
      <c r="P27" s="142">
        <f t="shared" si="24"/>
        <v>0</v>
      </c>
      <c r="Q27" s="143">
        <f t="shared" si="25"/>
        <v>-0.40909090909066492</v>
      </c>
      <c r="R27" s="144">
        <f>O27/L27</f>
        <v>0.9959090909090933</v>
      </c>
      <c r="S27" s="417">
        <f>R37</f>
        <v>0.88323085871892371</v>
      </c>
      <c r="T27" s="171">
        <v>0.29027777777777802</v>
      </c>
      <c r="U27" s="171">
        <v>0.35138888888888897</v>
      </c>
      <c r="V27" s="135"/>
      <c r="W27" s="146">
        <f t="shared" si="19"/>
        <v>87.999999999999773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6"/>
        <v>-6.1363636363598744</v>
      </c>
      <c r="AG27" s="172">
        <f t="shared" si="27"/>
        <v>0.99590909090909341</v>
      </c>
      <c r="AH27" s="403">
        <f>AG37</f>
        <v>0.88323085871892359</v>
      </c>
    </row>
    <row r="28" spans="1:34" ht="15" customHeight="1">
      <c r="A28" s="430"/>
      <c r="B28" s="75" t="s">
        <v>81</v>
      </c>
      <c r="C28" s="173"/>
      <c r="D28" s="59" t="s">
        <v>122</v>
      </c>
      <c r="E28" s="104"/>
      <c r="F28" s="75">
        <f>VLOOKUP(D28,廠價表!$C$1:$E$41,3,0)</f>
        <v>55.13</v>
      </c>
      <c r="G28" s="90">
        <v>1734</v>
      </c>
      <c r="H28" s="91">
        <f>F28*G28</f>
        <v>95595.42</v>
      </c>
      <c r="I28" s="92"/>
      <c r="J28" s="79">
        <v>15</v>
      </c>
      <c r="K28" s="80">
        <f>VLOOKUP(D28,產線配置圖!$A$3:$C$39,3,0)</f>
        <v>1385</v>
      </c>
      <c r="L28" s="93">
        <f t="shared" si="28"/>
        <v>92.333333333333329</v>
      </c>
      <c r="M28" s="94">
        <v>15</v>
      </c>
      <c r="N28" s="95">
        <f>G28/W28*60</f>
        <v>1223.999999999995</v>
      </c>
      <c r="O28" s="96">
        <f>N28/M28</f>
        <v>81.599999999999667</v>
      </c>
      <c r="P28" s="97">
        <f t="shared" si="24"/>
        <v>0</v>
      </c>
      <c r="Q28" s="98">
        <f t="shared" si="25"/>
        <v>-10.733333333333661</v>
      </c>
      <c r="R28" s="99">
        <f t="shared" ref="R28:R30" si="29">O28/L28</f>
        <v>0.88375451263537552</v>
      </c>
      <c r="S28" s="418"/>
      <c r="T28" s="19">
        <v>0.35763888888888901</v>
      </c>
      <c r="U28" s="19">
        <v>0.41666666666666702</v>
      </c>
      <c r="V28" s="92">
        <f>(T28-U27)*24*60</f>
        <v>9.000000000000048</v>
      </c>
      <c r="W28" s="149">
        <f t="shared" si="19"/>
        <v>85.000000000000341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6"/>
        <v>-161.000000000005</v>
      </c>
      <c r="AG28" s="99">
        <f t="shared" si="27"/>
        <v>0.88375451263537541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1037</v>
      </c>
      <c r="H29" s="91">
        <f>F29*G29</f>
        <v>51352.240000000005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8"/>
        <v>96</v>
      </c>
      <c r="M29" s="94">
        <v>15</v>
      </c>
      <c r="N29" s="95">
        <f>G29/W29*60</f>
        <v>1173.9622641509616</v>
      </c>
      <c r="O29" s="96">
        <f>N29/M29</f>
        <v>78.264150943397439</v>
      </c>
      <c r="P29" s="97">
        <f t="shared" si="24"/>
        <v>0</v>
      </c>
      <c r="Q29" s="98">
        <f t="shared" si="25"/>
        <v>-17.735849056602561</v>
      </c>
      <c r="R29" s="99">
        <f t="shared" si="29"/>
        <v>0.81525157232705669</v>
      </c>
      <c r="S29" s="418"/>
      <c r="T29" s="19">
        <v>0.422916666666667</v>
      </c>
      <c r="U29" s="19">
        <v>0.45972222222222198</v>
      </c>
      <c r="V29" s="92">
        <f>(T29-U28)*24*60</f>
        <v>8.999999999999968</v>
      </c>
      <c r="W29" s="149">
        <f t="shared" si="19"/>
        <v>52.999999999999176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6"/>
        <v>-266.03773584903843</v>
      </c>
      <c r="AG29" s="99">
        <f t="shared" si="27"/>
        <v>0.81525157232705669</v>
      </c>
      <c r="AH29" s="432"/>
    </row>
    <row r="30" spans="1:34" ht="15" customHeight="1">
      <c r="A30" s="430"/>
      <c r="B30" s="75" t="s">
        <v>123</v>
      </c>
      <c r="C30" s="88"/>
      <c r="D30" s="59" t="s">
        <v>124</v>
      </c>
      <c r="E30" s="89"/>
      <c r="F30" s="75">
        <f>VLOOKUP(D30,廠價表!$C$1:$E$41,3,0)</f>
        <v>49.52</v>
      </c>
      <c r="G30" s="90">
        <v>1300</v>
      </c>
      <c r="H30" s="91">
        <f>F30*G30</f>
        <v>64376.000000000007</v>
      </c>
      <c r="I30" s="92"/>
      <c r="J30" s="79">
        <f>VLOOKUP(D30,產線配置圖!$A$3:$C$39,2,0)</f>
        <v>15</v>
      </c>
      <c r="K30" s="80">
        <f>VLOOKUP(D30,產線配置圖!$A$3:$C$39,3,0)</f>
        <v>1440</v>
      </c>
      <c r="L30" s="93">
        <f t="shared" si="28"/>
        <v>96</v>
      </c>
      <c r="M30" s="94">
        <v>15</v>
      </c>
      <c r="N30" s="95">
        <f>G30/W30*60</f>
        <v>1199.9999999999984</v>
      </c>
      <c r="O30" s="96">
        <f>N30/M30</f>
        <v>79.999999999999901</v>
      </c>
      <c r="P30" s="97">
        <f t="shared" si="24"/>
        <v>0</v>
      </c>
      <c r="Q30" s="98">
        <f t="shared" si="25"/>
        <v>-16.000000000000099</v>
      </c>
      <c r="R30" s="99">
        <f t="shared" si="29"/>
        <v>0.83333333333333226</v>
      </c>
      <c r="S30" s="418"/>
      <c r="T30" s="19">
        <v>0.52638888888888902</v>
      </c>
      <c r="U30" s="19">
        <v>0.57152777777777797</v>
      </c>
      <c r="V30" s="92">
        <f>(T30-U29)*24*60</f>
        <v>96.00000000000054</v>
      </c>
      <c r="W30" s="149">
        <f t="shared" si="19"/>
        <v>65.000000000000085</v>
      </c>
      <c r="X30" s="174">
        <v>0.46875</v>
      </c>
      <c r="Y30" s="301">
        <v>0.51041666666666696</v>
      </c>
      <c r="Z30" s="335"/>
      <c r="AA30" s="335"/>
      <c r="AB30" s="395"/>
      <c r="AC30" s="395"/>
      <c r="AD30" s="92"/>
      <c r="AE30" s="92"/>
      <c r="AF30" s="312">
        <f t="shared" si="26"/>
        <v>-240.00000000000159</v>
      </c>
      <c r="AG30" s="99">
        <f t="shared" si="27"/>
        <v>0.83333333333333226</v>
      </c>
      <c r="AH30" s="433"/>
    </row>
    <row r="31" spans="1:34" ht="15" customHeight="1">
      <c r="A31" s="43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8"/>
      <c r="T31" s="19"/>
      <c r="U31" s="19"/>
      <c r="V31" s="92"/>
      <c r="W31" s="149">
        <f t="shared" si="19"/>
        <v>0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6"/>
        <v>0</v>
      </c>
      <c r="AG31" s="99" t="e">
        <f t="shared" si="27"/>
        <v>#DIV/0!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50"/>
      <c r="U32" s="150"/>
      <c r="V32" s="92"/>
      <c r="W32" s="149">
        <f t="shared" si="19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9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9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9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30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9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1">AVERAGE(J27:J36)</f>
        <v>15</v>
      </c>
      <c r="K37" s="155">
        <f t="shared" si="31"/>
        <v>1441.25</v>
      </c>
      <c r="L37" s="158">
        <f t="shared" si="31"/>
        <v>96.083333333333329</v>
      </c>
      <c r="M37" s="155">
        <f t="shared" si="31"/>
        <v>15</v>
      </c>
      <c r="N37" s="155">
        <f t="shared" si="31"/>
        <v>1272.9564751286487</v>
      </c>
      <c r="O37" s="158">
        <f t="shared" si="31"/>
        <v>84.863765008576578</v>
      </c>
      <c r="P37" s="159">
        <f>M37-J37</f>
        <v>0</v>
      </c>
      <c r="Q37" s="160">
        <f>N37-K37</f>
        <v>-168.29352487135134</v>
      </c>
      <c r="R37" s="161">
        <f t="shared" ref="R37:R41" si="32">O37/L37</f>
        <v>0.88323085871892371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3">N37-K37</f>
        <v>-168.29352487135134</v>
      </c>
      <c r="AG37" s="124">
        <f t="shared" ref="AG37:AG41" si="34">N37/K37</f>
        <v>0.88323085871892359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1237</v>
      </c>
      <c r="H38" s="134">
        <f>F38*G38</f>
        <v>69803.91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1" si="35">K38/J38</f>
        <v>87.875</v>
      </c>
      <c r="M38" s="190">
        <v>16</v>
      </c>
      <c r="N38" s="140">
        <f>G38/W38*60</f>
        <v>1141.8461538461509</v>
      </c>
      <c r="O38" s="141">
        <f>N38/M38</f>
        <v>71.365384615384428</v>
      </c>
      <c r="P38" s="142">
        <f t="shared" ref="P38:P41" si="36">M38-J38</f>
        <v>0</v>
      </c>
      <c r="Q38" s="143">
        <f t="shared" ref="Q38:Q41" si="37">O38-L38</f>
        <v>-16.509615384615572</v>
      </c>
      <c r="R38" s="144">
        <f>O38/L38</f>
        <v>0.81212386475544163</v>
      </c>
      <c r="S38" s="437">
        <f>R48</f>
        <v>0.94902989826160511</v>
      </c>
      <c r="T38" s="191">
        <v>0.33333333333333298</v>
      </c>
      <c r="U38" s="191">
        <v>0.37847222222222199</v>
      </c>
      <c r="V38" s="192"/>
      <c r="W38" s="193">
        <f t="shared" si="19"/>
        <v>65.000000000000171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3"/>
        <v>-264.15384615384914</v>
      </c>
      <c r="AG38" s="195">
        <f t="shared" si="34"/>
        <v>0.81212386475544163</v>
      </c>
      <c r="AH38" s="443">
        <f>AG48</f>
        <v>0.95028739349627744</v>
      </c>
    </row>
    <row r="39" spans="1:34" ht="15" customHeight="1">
      <c r="A39" s="435"/>
      <c r="B39" s="75" t="s">
        <v>123</v>
      </c>
      <c r="C39" s="197"/>
      <c r="D39" s="198" t="s">
        <v>127</v>
      </c>
      <c r="E39" s="176"/>
      <c r="F39" s="75">
        <f>VLOOKUP(D39,廠價表!$C$1:$E$41,3,0)</f>
        <v>49.91</v>
      </c>
      <c r="G39" s="199">
        <v>2028</v>
      </c>
      <c r="H39" s="91">
        <f>F39*G39</f>
        <v>101217.48</v>
      </c>
      <c r="I39" s="200"/>
      <c r="J39" s="148">
        <v>16</v>
      </c>
      <c r="K39" s="95">
        <f>VLOOKUP(D39,產線配置圖!$A$3:$C$39,3,0)</f>
        <v>1565</v>
      </c>
      <c r="L39" s="96">
        <f t="shared" si="35"/>
        <v>97.8125</v>
      </c>
      <c r="M39" s="201">
        <v>16</v>
      </c>
      <c r="N39" s="202">
        <f>G39/W39*60</f>
        <v>1559.9999999999914</v>
      </c>
      <c r="O39" s="203">
        <f t="shared" ref="O39:O41" si="38">N39/M39</f>
        <v>97.49999999999946</v>
      </c>
      <c r="P39" s="97">
        <f t="shared" si="36"/>
        <v>0</v>
      </c>
      <c r="Q39" s="98">
        <f t="shared" si="37"/>
        <v>-0.31250000000054001</v>
      </c>
      <c r="R39" s="99">
        <f t="shared" si="32"/>
        <v>0.99680511182108078</v>
      </c>
      <c r="S39" s="438"/>
      <c r="T39" s="20">
        <v>0.38472222222222202</v>
      </c>
      <c r="U39" s="20">
        <v>0.43888888888888899</v>
      </c>
      <c r="V39" s="92">
        <f>(T39-U38)*24*60</f>
        <v>9.000000000000048</v>
      </c>
      <c r="W39" s="205">
        <f t="shared" si="19"/>
        <v>78.000000000000441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3"/>
        <v>-5.0000000000086402</v>
      </c>
      <c r="AG39" s="206">
        <f t="shared" si="34"/>
        <v>0.99680511182108078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1581</v>
      </c>
      <c r="H40" s="91">
        <f>F40*G40</f>
        <v>70038.299999999988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5"/>
        <v>84.705882352941174</v>
      </c>
      <c r="M40" s="201">
        <v>17</v>
      </c>
      <c r="N40" s="202">
        <f>G40/W40*60</f>
        <v>1437.2727272727375</v>
      </c>
      <c r="O40" s="203">
        <f t="shared" si="38"/>
        <v>84.545454545455144</v>
      </c>
      <c r="P40" s="97">
        <f t="shared" si="36"/>
        <v>0</v>
      </c>
      <c r="Q40" s="98">
        <f t="shared" si="37"/>
        <v>-0.16042780748603036</v>
      </c>
      <c r="R40" s="99">
        <f t="shared" si="32"/>
        <v>0.99810606060606766</v>
      </c>
      <c r="S40" s="425"/>
      <c r="T40" s="20">
        <v>0.44513888888888897</v>
      </c>
      <c r="U40" s="20">
        <v>0.49097222222222198</v>
      </c>
      <c r="V40" s="92">
        <f>(T40-U39)*24*60</f>
        <v>8.999999999999968</v>
      </c>
      <c r="W40" s="205">
        <f t="shared" si="19"/>
        <v>65.999999999999531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3"/>
        <v>-2.7272727272625161</v>
      </c>
      <c r="AG40" s="206">
        <f t="shared" si="34"/>
        <v>0.99810606060606766</v>
      </c>
      <c r="AH40" s="444"/>
    </row>
    <row r="41" spans="1:34" ht="15" customHeight="1">
      <c r="A41" s="435"/>
      <c r="B41" s="75" t="s">
        <v>123</v>
      </c>
      <c r="C41" s="207"/>
      <c r="D41" s="198" t="s">
        <v>128</v>
      </c>
      <c r="E41" s="178"/>
      <c r="F41" s="75">
        <f>VLOOKUP(D41,廠價表!$C$1:$E$41,3,0)</f>
        <v>44.3</v>
      </c>
      <c r="G41" s="199">
        <v>3742</v>
      </c>
      <c r="H41" s="91">
        <f>F41*G41</f>
        <v>165770.59999999998</v>
      </c>
      <c r="I41" s="200"/>
      <c r="J41" s="148">
        <f>VLOOKUP(D41,產線配置圖!$A$3:$C$39,2,0)</f>
        <v>17</v>
      </c>
      <c r="K41" s="95">
        <f>VLOOKUP(D41,產線配置圖!$A$3:$C$39,3,0)</f>
        <v>1440</v>
      </c>
      <c r="L41" s="96">
        <f t="shared" si="35"/>
        <v>84.705882352941174</v>
      </c>
      <c r="M41" s="201">
        <v>17</v>
      </c>
      <c r="N41" s="202">
        <f>G41/W41*60</f>
        <v>1421.012658227839</v>
      </c>
      <c r="O41" s="203">
        <f t="shared" si="38"/>
        <v>83.58897989575523</v>
      </c>
      <c r="P41" s="97">
        <f t="shared" si="36"/>
        <v>0</v>
      </c>
      <c r="Q41" s="98">
        <f t="shared" si="37"/>
        <v>-1.1169024571859438</v>
      </c>
      <c r="R41" s="99">
        <f t="shared" si="32"/>
        <v>0.98681434599155482</v>
      </c>
      <c r="S41" s="425"/>
      <c r="T41" s="20">
        <v>0.55208333333333304</v>
      </c>
      <c r="U41" s="210">
        <v>0.66180555555555598</v>
      </c>
      <c r="V41" s="92">
        <f>(T41-U40)*24*60</f>
        <v>87.999999999999929</v>
      </c>
      <c r="W41" s="205">
        <f t="shared" si="19"/>
        <v>158.00000000000102</v>
      </c>
      <c r="X41" s="208">
        <v>0.5</v>
      </c>
      <c r="Y41" s="209">
        <v>0.54166666666666696</v>
      </c>
      <c r="Z41" s="337"/>
      <c r="AA41" s="337"/>
      <c r="AB41" s="395"/>
      <c r="AC41" s="395"/>
      <c r="AD41" s="92"/>
      <c r="AE41" s="92"/>
      <c r="AF41" s="314">
        <f t="shared" si="33"/>
        <v>-18.987341772161017</v>
      </c>
      <c r="AG41" s="206">
        <f t="shared" si="34"/>
        <v>0.98681434599155482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9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9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9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9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30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9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40">AVERAGE(J38:J47)</f>
        <v>16.5</v>
      </c>
      <c r="K48" s="155">
        <f t="shared" si="40"/>
        <v>1462.75</v>
      </c>
      <c r="L48" s="158">
        <f t="shared" si="40"/>
        <v>88.77481617647058</v>
      </c>
      <c r="M48" s="155">
        <f t="shared" si="40"/>
        <v>16.5</v>
      </c>
      <c r="N48" s="155">
        <f t="shared" si="40"/>
        <v>1390.0328848366798</v>
      </c>
      <c r="O48" s="158">
        <f t="shared" si="40"/>
        <v>84.249954764148569</v>
      </c>
      <c r="P48" s="221">
        <f>M48-J48</f>
        <v>0</v>
      </c>
      <c r="Q48" s="222">
        <f>N48-K48</f>
        <v>-72.717115163320159</v>
      </c>
      <c r="R48" s="223">
        <f>O48/L48</f>
        <v>0.94902989826160511</v>
      </c>
      <c r="S48" s="428"/>
      <c r="T48" s="224"/>
      <c r="U48" s="224"/>
      <c r="V48" s="225"/>
      <c r="W48" s="226">
        <f t="shared" si="39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41">N48-K48</f>
        <v>-72.717115163320159</v>
      </c>
      <c r="AG48" s="162">
        <f t="shared" ref="AG48:AG53" si="42">N48/K48</f>
        <v>0.95028739349627744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1211</v>
      </c>
      <c r="H49" s="134">
        <f>F49*G49</f>
        <v>68869.569999999992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4" si="43">K49/J49</f>
        <v>86.944444444444443</v>
      </c>
      <c r="M49" s="170">
        <v>17</v>
      </c>
      <c r="N49" s="140">
        <f>G49/W49*60</f>
        <v>1453.20000000001</v>
      </c>
      <c r="O49" s="141">
        <f>N49/M49</f>
        <v>85.482352941177055</v>
      </c>
      <c r="P49" s="229">
        <f>M49-J49</f>
        <v>-1</v>
      </c>
      <c r="Q49" s="230">
        <f>O49-L49</f>
        <v>-1.4620915032673878</v>
      </c>
      <c r="R49" s="52">
        <f>O49/L49</f>
        <v>0.98318361210299487</v>
      </c>
      <c r="S49" s="424">
        <f>R58</f>
        <v>0.97053764776464779</v>
      </c>
      <c r="T49" s="191">
        <v>0.29027777777777802</v>
      </c>
      <c r="U49" s="191">
        <v>0.32500000000000001</v>
      </c>
      <c r="V49" s="55"/>
      <c r="W49" s="193">
        <f t="shared" si="19"/>
        <v>49.999999999999659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41"/>
        <v>-111.79999999998995</v>
      </c>
      <c r="AG49" s="52">
        <f t="shared" si="42"/>
        <v>0.92856230031949527</v>
      </c>
      <c r="AH49" s="403">
        <f>AG58</f>
        <v>0.96123425487671654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2097</v>
      </c>
      <c r="H50" s="231">
        <f>F50*G50</f>
        <v>100047.87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3"/>
        <v>90</v>
      </c>
      <c r="M50" s="233">
        <v>16</v>
      </c>
      <c r="N50" s="234">
        <f>G50/W50*60</f>
        <v>1382.6373626373725</v>
      </c>
      <c r="O50" s="235">
        <f>N50/M50</f>
        <v>86.414835164835779</v>
      </c>
      <c r="P50" s="74">
        <f>M50-J50</f>
        <v>0</v>
      </c>
      <c r="Q50" s="83">
        <f>O50-L50</f>
        <v>-3.5851648351642211</v>
      </c>
      <c r="R50" s="72">
        <f>O50/L50</f>
        <v>0.96016483516484197</v>
      </c>
      <c r="S50" s="425"/>
      <c r="T50" s="21">
        <v>0.33055555555555599</v>
      </c>
      <c r="U50" s="21">
        <v>0.39374999999999999</v>
      </c>
      <c r="V50" s="30">
        <f t="shared" ref="V50:V54" si="44">(T50-U49)*24*60</f>
        <v>8.0000000000006111</v>
      </c>
      <c r="W50" s="236">
        <f t="shared" si="19"/>
        <v>90.999999999999361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1"/>
        <v>-57.362637362627538</v>
      </c>
      <c r="AG50" s="72">
        <f t="shared" si="42"/>
        <v>0.96016483516484197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2558</v>
      </c>
      <c r="H51" s="231">
        <f>F51*G51</f>
        <v>127823.26</v>
      </c>
      <c r="I51" s="232"/>
      <c r="J51" s="79">
        <v>17</v>
      </c>
      <c r="K51" s="80">
        <f>VLOOKUP(D51,產線配置圖!$A$3:$C$39,3,0)</f>
        <v>1600</v>
      </c>
      <c r="L51" s="81">
        <f t="shared" si="43"/>
        <v>94.117647058823536</v>
      </c>
      <c r="M51" s="233">
        <v>17</v>
      </c>
      <c r="N51" s="234">
        <f>G51/W51*60</f>
        <v>1504.7058823529487</v>
      </c>
      <c r="O51" s="235">
        <f>N51/M51</f>
        <v>88.512110726644039</v>
      </c>
      <c r="P51" s="74">
        <f>M51-J51</f>
        <v>0</v>
      </c>
      <c r="Q51" s="83">
        <f>O51-L51</f>
        <v>-5.6055363321794971</v>
      </c>
      <c r="R51" s="72">
        <f>O51/L51</f>
        <v>0.94044117647059289</v>
      </c>
      <c r="S51" s="425"/>
      <c r="T51" s="21">
        <v>0.40138888888888902</v>
      </c>
      <c r="U51" s="19">
        <v>0.47222222222222199</v>
      </c>
      <c r="V51" s="30">
        <f t="shared" si="44"/>
        <v>11.000000000000201</v>
      </c>
      <c r="W51" s="236">
        <f t="shared" si="19"/>
        <v>101.99999999999947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41"/>
        <v>-95.29411764705128</v>
      </c>
      <c r="AG51" s="72">
        <f t="shared" si="42"/>
        <v>0.940441176470593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2895</v>
      </c>
      <c r="H52" s="231">
        <f t="shared" ref="H52:H54" si="45">F52*G52</f>
        <v>144663.15</v>
      </c>
      <c r="I52" s="232"/>
      <c r="J52" s="79">
        <v>17</v>
      </c>
      <c r="K52" s="80">
        <f>VLOOKUP(D52,產線配置圖!$A$3:$C$39,3,0)</f>
        <v>1600</v>
      </c>
      <c r="L52" s="81">
        <f t="shared" si="43"/>
        <v>94.117647058823536</v>
      </c>
      <c r="M52" s="233">
        <v>17</v>
      </c>
      <c r="N52" s="234">
        <f t="shared" ref="N52:N54" si="46">G52/W52*60</f>
        <v>1579.0909090909079</v>
      </c>
      <c r="O52" s="235">
        <f t="shared" ref="O52:O54" si="47">N52/M52</f>
        <v>92.88770053475929</v>
      </c>
      <c r="P52" s="74">
        <f t="shared" ref="P52:P54" si="48">M52-J52</f>
        <v>0</v>
      </c>
      <c r="Q52" s="83">
        <f t="shared" ref="Q52:Q54" si="49">O52-L52</f>
        <v>-1.2299465240642462</v>
      </c>
      <c r="R52" s="72">
        <f t="shared" ref="R52:R54" si="50">O52/L52</f>
        <v>0.98693181818181741</v>
      </c>
      <c r="S52" s="425"/>
      <c r="T52" s="21">
        <v>0.52708333333333302</v>
      </c>
      <c r="U52" s="21">
        <v>0.60347222222222197</v>
      </c>
      <c r="V52" s="30">
        <f t="shared" si="44"/>
        <v>78.999999999999886</v>
      </c>
      <c r="W52" s="236">
        <f t="shared" si="19"/>
        <v>110.00000000000009</v>
      </c>
      <c r="X52" s="22">
        <v>0.47916666666666702</v>
      </c>
      <c r="Y52" s="84">
        <v>0.52083333333333304</v>
      </c>
      <c r="Z52" s="90"/>
      <c r="AA52" s="90"/>
      <c r="AB52" s="395"/>
      <c r="AC52" s="395"/>
      <c r="AD52" s="92"/>
      <c r="AE52" s="92"/>
      <c r="AF52" s="307">
        <f t="shared" si="41"/>
        <v>-20.909090909092129</v>
      </c>
      <c r="AG52" s="72">
        <f t="shared" si="42"/>
        <v>0.98693181818181741</v>
      </c>
      <c r="AH52" s="404"/>
    </row>
    <row r="53" spans="1:34" ht="15" customHeight="1">
      <c r="A53" s="453"/>
      <c r="B53" s="101" t="s">
        <v>81</v>
      </c>
      <c r="C53" s="102"/>
      <c r="D53" s="103" t="s">
        <v>130</v>
      </c>
      <c r="E53" s="104"/>
      <c r="F53" s="75">
        <f>VLOOKUP(D53,廠價表!$C$1:$E$41,3,0)</f>
        <v>47.71</v>
      </c>
      <c r="G53" s="202">
        <v>430</v>
      </c>
      <c r="H53" s="231">
        <f t="shared" si="45"/>
        <v>20515.3</v>
      </c>
      <c r="I53" s="232"/>
      <c r="J53" s="79">
        <f>VLOOKUP(D53,產線配置圖!$A$3:$C$39,2,0)</f>
        <v>16</v>
      </c>
      <c r="K53" s="80">
        <f>VLOOKUP(D53,產線配置圖!$A$3:$C$39,3,0)</f>
        <v>1440</v>
      </c>
      <c r="L53" s="81">
        <f t="shared" si="43"/>
        <v>90</v>
      </c>
      <c r="M53" s="108">
        <v>16</v>
      </c>
      <c r="N53" s="234">
        <f t="shared" si="46"/>
        <v>1433.3333333333385</v>
      </c>
      <c r="O53" s="235">
        <f t="shared" si="47"/>
        <v>89.583333333333655</v>
      </c>
      <c r="P53" s="74">
        <f t="shared" si="48"/>
        <v>0</v>
      </c>
      <c r="Q53" s="83">
        <f t="shared" si="49"/>
        <v>-0.41666666666634455</v>
      </c>
      <c r="R53" s="72">
        <f t="shared" si="50"/>
        <v>0.9953703703703739</v>
      </c>
      <c r="S53" s="425"/>
      <c r="T53" s="21">
        <v>0.61041666666666705</v>
      </c>
      <c r="U53" s="21">
        <v>0.62291666666666701</v>
      </c>
      <c r="V53" s="30">
        <f t="shared" si="44"/>
        <v>10.000000000000924</v>
      </c>
      <c r="W53" s="236">
        <f t="shared" si="19"/>
        <v>17.999999999999936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41"/>
        <v>-6.6666666666615129</v>
      </c>
      <c r="AG53" s="72">
        <f t="shared" si="42"/>
        <v>0.9953703703703739</v>
      </c>
      <c r="AH53" s="404"/>
    </row>
    <row r="54" spans="1:34" ht="15" customHeight="1">
      <c r="A54" s="453"/>
      <c r="B54" s="101" t="s">
        <v>123</v>
      </c>
      <c r="C54" s="102"/>
      <c r="D54" s="103" t="s">
        <v>127</v>
      </c>
      <c r="E54" s="104"/>
      <c r="F54" s="75">
        <f>VLOOKUP(D54,廠價表!$C$1:$E$41,3,0)</f>
        <v>49.91</v>
      </c>
      <c r="G54" s="202">
        <v>500</v>
      </c>
      <c r="H54" s="231">
        <f t="shared" si="45"/>
        <v>24955</v>
      </c>
      <c r="I54" s="232"/>
      <c r="J54" s="79">
        <f>VLOOKUP(D54,產線配置圖!$A$3:$C$39,2,0)</f>
        <v>17</v>
      </c>
      <c r="K54" s="80">
        <f>VLOOKUP(D54,產線配置圖!$A$3:$C$39,3,0)</f>
        <v>1565</v>
      </c>
      <c r="L54" s="81">
        <f t="shared" si="43"/>
        <v>92.058823529411768</v>
      </c>
      <c r="M54" s="108">
        <v>17</v>
      </c>
      <c r="N54" s="234">
        <f t="shared" si="46"/>
        <v>1499.9999999999814</v>
      </c>
      <c r="O54" s="235">
        <f t="shared" si="47"/>
        <v>88.235294117645964</v>
      </c>
      <c r="P54" s="74">
        <f t="shared" si="48"/>
        <v>0</v>
      </c>
      <c r="Q54" s="83">
        <f t="shared" si="49"/>
        <v>-3.8235294117658043</v>
      </c>
      <c r="R54" s="72">
        <f t="shared" si="50"/>
        <v>0.95846645367410943</v>
      </c>
      <c r="S54" s="425"/>
      <c r="T54" s="21">
        <v>0.62916666666666698</v>
      </c>
      <c r="U54" s="21">
        <v>0.64305555555555605</v>
      </c>
      <c r="V54" s="30">
        <f t="shared" si="44"/>
        <v>8.999999999999968</v>
      </c>
      <c r="W54" s="236">
        <f t="shared" si="19"/>
        <v>20.000000000000249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9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9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9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51">AVERAGE(J49:J57)</f>
        <v>16.833333333333332</v>
      </c>
      <c r="K58" s="120">
        <f t="shared" si="51"/>
        <v>1535</v>
      </c>
      <c r="L58" s="117">
        <f t="shared" si="51"/>
        <v>91.206427015250554</v>
      </c>
      <c r="M58" s="120">
        <f t="shared" si="51"/>
        <v>16.666666666666668</v>
      </c>
      <c r="N58" s="120">
        <f t="shared" si="51"/>
        <v>1475.4945812357598</v>
      </c>
      <c r="O58" s="117">
        <f t="shared" si="51"/>
        <v>88.519271136399297</v>
      </c>
      <c r="P58" s="121">
        <f>M58-J58</f>
        <v>-0.1666666666666643</v>
      </c>
      <c r="Q58" s="122">
        <f>N58-K58</f>
        <v>-59.505418764240176</v>
      </c>
      <c r="R58" s="123">
        <f t="shared" ref="R58:R60" si="52">O58/L58</f>
        <v>0.97053764776464779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53">N58-K58</f>
        <v>-59.505418764240176</v>
      </c>
      <c r="AG58" s="124">
        <f t="shared" ref="AG58:AG61" si="54">N58/K58</f>
        <v>0.96123425487671654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3702</v>
      </c>
      <c r="H59" s="243">
        <f>F59*G59</f>
        <v>99916.98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2" si="55">K59/J59</f>
        <v>120.38461538461539</v>
      </c>
      <c r="M59" s="244">
        <v>13</v>
      </c>
      <c r="N59" s="137">
        <f t="shared" ref="N59:N62" si="56">G59/W59*60</f>
        <v>1564.2253521126779</v>
      </c>
      <c r="O59" s="138">
        <f t="shared" ref="O59:O62" si="57">N59/M59</f>
        <v>120.32502708559061</v>
      </c>
      <c r="P59" s="56">
        <f t="shared" ref="P59:P62" si="58">M59-J59</f>
        <v>0</v>
      </c>
      <c r="Q59" s="230">
        <f t="shared" ref="Q59:Q62" si="59">O59-L59</f>
        <v>-5.9588299024781577E-2</v>
      </c>
      <c r="R59" s="52">
        <f t="shared" si="52"/>
        <v>0.99950501732439478</v>
      </c>
      <c r="S59" s="424">
        <f>R69</f>
        <v>0.91849711310524451</v>
      </c>
      <c r="T59" s="245">
        <v>0.29027777777777802</v>
      </c>
      <c r="U59" s="245">
        <v>0.38888888888888901</v>
      </c>
      <c r="V59" s="55"/>
      <c r="W59" s="54">
        <f t="shared" si="19"/>
        <v>141.99999999999983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53"/>
        <v>-0.77464788732208945</v>
      </c>
      <c r="AG59" s="246">
        <f t="shared" si="54"/>
        <v>0.99950501732439478</v>
      </c>
      <c r="AH59" s="403">
        <f>AG69</f>
        <v>0.92005495741715126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1619</v>
      </c>
      <c r="H60" s="78">
        <f>F60*G60</f>
        <v>45752.94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5"/>
        <v>130.41666666666666</v>
      </c>
      <c r="M60" s="82">
        <v>12</v>
      </c>
      <c r="N60" s="80">
        <f t="shared" si="56"/>
        <v>1494.4615384615695</v>
      </c>
      <c r="O60" s="81">
        <f t="shared" si="57"/>
        <v>124.53846153846412</v>
      </c>
      <c r="P60" s="74">
        <f t="shared" si="58"/>
        <v>0</v>
      </c>
      <c r="Q60" s="83">
        <f t="shared" si="59"/>
        <v>-5.8782051282025378</v>
      </c>
      <c r="R60" s="72">
        <f t="shared" si="52"/>
        <v>0.95492750061442144</v>
      </c>
      <c r="S60" s="451"/>
      <c r="T60" s="22">
        <v>0.39930555555555602</v>
      </c>
      <c r="U60" s="22">
        <v>0.44444444444444398</v>
      </c>
      <c r="V60" s="30">
        <f t="shared" ref="V60:V62" si="60">(T60-U59)*24*60</f>
        <v>15.000000000000506</v>
      </c>
      <c r="W60" s="248">
        <f t="shared" si="19"/>
        <v>64.99999999999865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53"/>
        <v>-70.538461538430511</v>
      </c>
      <c r="AG60" s="249">
        <f t="shared" si="54"/>
        <v>0.95492750061442144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1501</v>
      </c>
      <c r="H61" s="254">
        <f>F61*G61</f>
        <v>42418.26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5"/>
        <v>130.41666666666666</v>
      </c>
      <c r="M61" s="108">
        <v>12</v>
      </c>
      <c r="N61" s="107">
        <f t="shared" si="56"/>
        <v>1286.5714285714319</v>
      </c>
      <c r="O61" s="238">
        <f t="shared" si="57"/>
        <v>107.21428571428599</v>
      </c>
      <c r="P61" s="111">
        <f t="shared" si="58"/>
        <v>0</v>
      </c>
      <c r="Q61" s="255">
        <f t="shared" si="59"/>
        <v>-23.202380952380665</v>
      </c>
      <c r="R61" s="85">
        <f>O61/L61</f>
        <v>0.82209036969420579</v>
      </c>
      <c r="S61" s="425"/>
      <c r="T61" s="22">
        <v>0.45486111111111099</v>
      </c>
      <c r="U61" s="22">
        <v>0.50347222222222199</v>
      </c>
      <c r="V61" s="30">
        <f t="shared" si="60"/>
        <v>15.000000000000506</v>
      </c>
      <c r="W61" s="256">
        <f t="shared" si="19"/>
        <v>69.999999999999829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53"/>
        <v>-278.42857142856815</v>
      </c>
      <c r="AG61" s="247">
        <f t="shared" si="54"/>
        <v>0.82209036969420568</v>
      </c>
      <c r="AH61" s="404"/>
    </row>
    <row r="62" spans="1:34" ht="15" customHeight="1">
      <c r="A62" s="449"/>
      <c r="B62" s="250" t="s">
        <v>132</v>
      </c>
      <c r="C62" s="251"/>
      <c r="D62" s="257" t="s">
        <v>135</v>
      </c>
      <c r="E62" s="253"/>
      <c r="F62" s="250">
        <f>VLOOKUP(D62,廠價表!$C$1:$E$41,3,0)</f>
        <v>28.26</v>
      </c>
      <c r="G62" s="38">
        <v>825</v>
      </c>
      <c r="H62" s="254">
        <f>F62*G62</f>
        <v>23314.5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si="55"/>
        <v>130.41666666666666</v>
      </c>
      <c r="M62" s="108">
        <v>12</v>
      </c>
      <c r="N62" s="107">
        <f t="shared" si="56"/>
        <v>1414.2857142856872</v>
      </c>
      <c r="O62" s="238">
        <f t="shared" si="57"/>
        <v>117.8571428571406</v>
      </c>
      <c r="P62" s="111">
        <f t="shared" si="58"/>
        <v>0</v>
      </c>
      <c r="Q62" s="255">
        <f t="shared" si="59"/>
        <v>-12.559523809526056</v>
      </c>
      <c r="R62" s="85">
        <f>O62/L62</f>
        <v>0.90369694203558293</v>
      </c>
      <c r="S62" s="425"/>
      <c r="T62" s="22">
        <v>0.5625</v>
      </c>
      <c r="U62" s="22">
        <v>0.58680555555555602</v>
      </c>
      <c r="V62" s="30">
        <f t="shared" si="60"/>
        <v>85.000000000000341</v>
      </c>
      <c r="W62" s="248">
        <f t="shared" si="19"/>
        <v>35.000000000000675</v>
      </c>
      <c r="X62" s="22">
        <v>0.50347222222222199</v>
      </c>
      <c r="Y62" s="84">
        <v>0.54513888888888895</v>
      </c>
      <c r="Z62" s="90"/>
      <c r="AA62" s="90"/>
      <c r="AB62" s="395"/>
      <c r="AC62" s="395"/>
      <c r="AD62" s="92"/>
      <c r="AE62" s="92"/>
      <c r="AF62" s="317">
        <f>N62-K62</f>
        <v>-150.71428571431284</v>
      </c>
      <c r="AG62" s="247">
        <f>N62/K62</f>
        <v>0.90369694203558282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9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9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9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9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9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9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61">AVERAGE(J59:J68)</f>
        <v>12.25</v>
      </c>
      <c r="K69" s="240">
        <f t="shared" si="61"/>
        <v>1565</v>
      </c>
      <c r="L69" s="268">
        <f t="shared" si="61"/>
        <v>127.90865384615384</v>
      </c>
      <c r="M69" s="240">
        <f t="shared" si="61"/>
        <v>12.25</v>
      </c>
      <c r="N69" s="240">
        <f t="shared" si="61"/>
        <v>1439.8860083578418</v>
      </c>
      <c r="O69" s="268">
        <f t="shared" si="61"/>
        <v>117.48372929887033</v>
      </c>
      <c r="P69" s="269">
        <f>M69-J69</f>
        <v>0</v>
      </c>
      <c r="Q69" s="222">
        <f>N69-K69</f>
        <v>-125.11399164215823</v>
      </c>
      <c r="R69" s="123">
        <f>O69/L69</f>
        <v>0.91849711310524451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-125.11399164215823</v>
      </c>
      <c r="AG69" s="124">
        <f>N69/K69</f>
        <v>0.92005495741715126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2763</v>
      </c>
      <c r="H70" s="243">
        <f>F70*G70</f>
        <v>140001.21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9</v>
      </c>
      <c r="N70" s="137">
        <f>G70/W70*60</f>
        <v>816.65024630541427</v>
      </c>
      <c r="O70" s="138">
        <f>N70/M70</f>
        <v>90.73891625615714</v>
      </c>
      <c r="P70" s="56">
        <f>M70-J70</f>
        <v>-1</v>
      </c>
      <c r="Q70" s="230">
        <f>O70-L70</f>
        <v>-21.76108374384286</v>
      </c>
      <c r="R70" s="52">
        <f>O70/L70</f>
        <v>0.80656814449917458</v>
      </c>
      <c r="S70" s="424">
        <f>R79</f>
        <v>0.80656814449917458</v>
      </c>
      <c r="T70" s="245">
        <v>0.33819444444444402</v>
      </c>
      <c r="U70" s="245">
        <v>0.47916666666666702</v>
      </c>
      <c r="V70" s="55"/>
      <c r="W70" s="54">
        <f t="shared" si="19"/>
        <v>203.00000000000111</v>
      </c>
      <c r="X70" s="270">
        <v>0.44097222222222199</v>
      </c>
      <c r="Y70" s="292">
        <v>0.44791666666666702</v>
      </c>
      <c r="Z70" s="169"/>
      <c r="AA70" s="169"/>
      <c r="AB70" s="402"/>
      <c r="AC70" s="402"/>
      <c r="AD70" s="135"/>
      <c r="AE70" s="135"/>
      <c r="AF70" s="310">
        <f>N70-K70</f>
        <v>-308.34975369458573</v>
      </c>
      <c r="AG70" s="246">
        <f>N70/K70</f>
        <v>0.72591133004925712</v>
      </c>
      <c r="AH70" s="403">
        <f>AG79</f>
        <v>0.72591133004925712</v>
      </c>
    </row>
    <row r="71" spans="1:36" ht="15" customHeight="1">
      <c r="A71" s="45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5"/>
      <c r="T71" s="22"/>
      <c r="U71" s="22"/>
      <c r="V71" s="30"/>
      <c r="W71" s="73">
        <f t="shared" si="19"/>
        <v>0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9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9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9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62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9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62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9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62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9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62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9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63">AVERAGE(J70:J78)</f>
        <v>10</v>
      </c>
      <c r="K79" s="240">
        <f t="shared" si="63"/>
        <v>1125</v>
      </c>
      <c r="L79" s="268">
        <f t="shared" si="63"/>
        <v>112.5</v>
      </c>
      <c r="M79" s="240">
        <f t="shared" si="63"/>
        <v>9</v>
      </c>
      <c r="N79" s="240">
        <f t="shared" si="63"/>
        <v>816.65024630541427</v>
      </c>
      <c r="O79" s="268">
        <f t="shared" si="63"/>
        <v>90.73891625615714</v>
      </c>
      <c r="P79" s="269">
        <f>M79-J79</f>
        <v>-1</v>
      </c>
      <c r="Q79" s="222">
        <f>N79-K79</f>
        <v>-308.34975369458573</v>
      </c>
      <c r="R79" s="223">
        <f>O79/L79</f>
        <v>0.80656814449917458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-308.34975369458573</v>
      </c>
      <c r="AG79" s="124">
        <f>N79/K79</f>
        <v>0.72591133004925712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Q3:Q4"/>
    <mergeCell ref="R3:R4"/>
    <mergeCell ref="G3:G4"/>
    <mergeCell ref="J1:L2"/>
    <mergeCell ref="M1:O2"/>
    <mergeCell ref="A2:B2"/>
    <mergeCell ref="A3:A4"/>
    <mergeCell ref="B3:B4"/>
    <mergeCell ref="D3:E4"/>
    <mergeCell ref="F3:F4"/>
    <mergeCell ref="AB1:AC2"/>
    <mergeCell ref="AF1:AH2"/>
    <mergeCell ref="A38:A48"/>
    <mergeCell ref="S38:S48"/>
    <mergeCell ref="AB38:AC38"/>
    <mergeCell ref="D48:E48"/>
    <mergeCell ref="AB48:AC48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26:AC26"/>
    <mergeCell ref="AF3:AF4"/>
    <mergeCell ref="AG3:AG4"/>
    <mergeCell ref="D15:E15"/>
    <mergeCell ref="AB15:AC15"/>
    <mergeCell ref="P3:P4"/>
    <mergeCell ref="AB11:AC11"/>
    <mergeCell ref="AB12:AC12"/>
    <mergeCell ref="AB14:AC14"/>
    <mergeCell ref="AB13:AC13"/>
    <mergeCell ref="AD3:AE3"/>
    <mergeCell ref="T3:U3"/>
    <mergeCell ref="V3:V4"/>
    <mergeCell ref="W3:W4"/>
    <mergeCell ref="X3:Y3"/>
    <mergeCell ref="Z3:AA3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28" priority="1" operator="greaterThan">
      <formula>0</formula>
    </cfRule>
  </conditionalFormatting>
  <conditionalFormatting sqref="Q5:Q79 AF5:AF79">
    <cfRule type="cellIs" dxfId="227" priority="4" operator="lessThan">
      <formula>0</formula>
    </cfRule>
  </conditionalFormatting>
  <conditionalFormatting sqref="R5:R79 AG5:AG79">
    <cfRule type="cellIs" dxfId="226" priority="2" operator="greaterThan">
      <formula>1</formula>
    </cfRule>
    <cfRule type="cellIs" dxfId="225" priority="3" operator="lessThan">
      <formula>0.8</formula>
    </cfRule>
  </conditionalFormatting>
  <conditionalFormatting sqref="S5:S10 S37:S62 AH59:AH62 S69:S76 AH69:AH76">
    <cfRule type="cellIs" dxfId="224" priority="7" operator="lessThan">
      <formula>0.8</formula>
    </cfRule>
  </conditionalFormatting>
  <conditionalFormatting sqref="S19:S25 AH19:AH25">
    <cfRule type="cellIs" dxfId="223" priority="6" operator="lessThan">
      <formula>0.8</formula>
    </cfRule>
  </conditionalFormatting>
  <conditionalFormatting sqref="S79">
    <cfRule type="cellIs" dxfId="222" priority="5" operator="lessThan">
      <formula>0.8</formula>
    </cfRule>
  </conditionalFormatting>
  <conditionalFormatting sqref="AH5:AH8 S15:S16 AH15:AH16 AH49 AH79">
    <cfRule type="cellIs" dxfId="221" priority="9" operator="lessThan">
      <formula>0.8</formula>
    </cfRule>
  </conditionalFormatting>
  <conditionalFormatting sqref="AH27 S27:S28">
    <cfRule type="cellIs" dxfId="2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B8A5E1-FAAC-42B2-A5E5-FA4CDC9A4D0A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83E2-482B-4453-881B-D41C2511B3F4}">
  <sheetPr codeName="工作表23"/>
  <dimension ref="B1:O26"/>
  <sheetViews>
    <sheetView zoomScale="70" zoomScaleNormal="70" workbookViewId="0">
      <selection activeCell="L60" sqref="L6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46063</v>
      </c>
      <c r="E3" s="493"/>
      <c r="F3" s="3" t="s">
        <v>72</v>
      </c>
      <c r="G3" s="494">
        <f>'0210'!E1</f>
        <v>51897</v>
      </c>
      <c r="H3" s="494"/>
      <c r="I3" s="3" t="s">
        <v>2</v>
      </c>
      <c r="J3" s="495">
        <f>'0210'!G1</f>
        <v>2475156.9400000004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119.24492503003532</v>
      </c>
      <c r="G6" s="490"/>
      <c r="H6" s="491">
        <f>AVERAGE(D13:H13,J13)</f>
        <v>117.8009702273489</v>
      </c>
      <c r="I6" s="491"/>
      <c r="J6" s="491">
        <f>AVERAGE(I13)</f>
        <v>127.90865384615384</v>
      </c>
      <c r="K6" s="491"/>
      <c r="L6" s="497">
        <f>SUM(D18:J18)</f>
        <v>0</v>
      </c>
      <c r="M6" s="482">
        <f>SUM(D19:J19)</f>
        <v>0</v>
      </c>
      <c r="N6" s="498">
        <f>SUM(D20:J20)</f>
        <v>0</v>
      </c>
      <c r="O6" s="482">
        <f>SUM(D20:J20)</f>
        <v>0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106.69062644836488</v>
      </c>
      <c r="G7" s="479"/>
      <c r="H7" s="480">
        <f>AVERAGE(D14:H14,J14)</f>
        <v>105.13249610506585</v>
      </c>
      <c r="I7" s="480"/>
      <c r="J7" s="480">
        <f>AVERAGE(I14)</f>
        <v>116.03940850815897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0.89471838253486868</v>
      </c>
      <c r="G8" s="485"/>
      <c r="H8" s="485">
        <f>H7/H6</f>
        <v>0.89245866058799317</v>
      </c>
      <c r="I8" s="485"/>
      <c r="J8" s="485">
        <f>J7/J6</f>
        <v>0.90720529861669108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VALUE('0210'!L15)</f>
        <v>141.72746983408746</v>
      </c>
      <c r="E13" s="13">
        <f>VALUE('0210'!L26)</f>
        <v>176.42992424242425</v>
      </c>
      <c r="F13" s="13">
        <f>VALUE('0210'!L37)</f>
        <v>96.86666666666666</v>
      </c>
      <c r="G13" s="13">
        <f>VALUE('0210'!L48)</f>
        <v>88.77481617647058</v>
      </c>
      <c r="H13" s="13">
        <f>VALUE('0210'!L58)</f>
        <v>90.506944444444457</v>
      </c>
      <c r="I13" s="13">
        <f>VALUE('0210'!L69)</f>
        <v>127.90865384615384</v>
      </c>
      <c r="J13" s="13">
        <f>'0210'!L79</f>
        <v>112.5</v>
      </c>
    </row>
    <row r="14" spans="2:15" ht="39.950000000000003" customHeight="1">
      <c r="B14" s="473"/>
      <c r="C14" s="12" t="s">
        <v>100</v>
      </c>
      <c r="D14" s="13">
        <f>VALUE('0210'!O15)</f>
        <v>115.85356000870338</v>
      </c>
      <c r="E14" s="13">
        <f>VALUE('0210'!O26)</f>
        <v>166.8446727087443</v>
      </c>
      <c r="F14" s="13">
        <f>VALUE('0210'!O37)</f>
        <v>85.931564151882839</v>
      </c>
      <c r="G14" s="13">
        <f>VALUE('0210'!O48)</f>
        <v>85.241166284695652</v>
      </c>
      <c r="H14" s="13">
        <f>VALUE('0210'!O58)</f>
        <v>86.560377112733093</v>
      </c>
      <c r="I14" s="13">
        <f>VALUE('0210'!O69)</f>
        <v>116.03940850815897</v>
      </c>
      <c r="J14" s="13">
        <f>'0210'!O79</f>
        <v>90.363636363635791</v>
      </c>
    </row>
    <row r="15" spans="2:15" ht="39.950000000000003" customHeight="1">
      <c r="B15" s="474"/>
      <c r="C15" s="10" t="s">
        <v>26</v>
      </c>
      <c r="D15" s="14">
        <f>D14/D13</f>
        <v>0.81743899149774402</v>
      </c>
      <c r="E15" s="14">
        <f t="shared" ref="E15:I15" si="1">E14/E13</f>
        <v>0.94567105566225096</v>
      </c>
      <c r="F15" s="14">
        <f t="shared" si="1"/>
        <v>0.88711181161613395</v>
      </c>
      <c r="G15" s="14">
        <f t="shared" si="1"/>
        <v>0.96019535670171841</v>
      </c>
      <c r="H15" s="14">
        <f t="shared" si="1"/>
        <v>0.95639486720122491</v>
      </c>
      <c r="I15" s="14">
        <f t="shared" si="1"/>
        <v>0.90720529861669108</v>
      </c>
      <c r="J15" s="15">
        <f>'0210'!S70</f>
        <v>0.80323232323231819</v>
      </c>
    </row>
    <row r="16" spans="2:15" ht="17.25" customHeight="1">
      <c r="B16" s="475" t="s">
        <v>101</v>
      </c>
      <c r="C16" s="10" t="s">
        <v>34</v>
      </c>
      <c r="D16" s="16">
        <f>'0210'!T5</f>
        <v>0.29444444444444401</v>
      </c>
      <c r="E16" s="16">
        <f>'0210'!T16</f>
        <v>0.29027777777777802</v>
      </c>
      <c r="F16" s="16">
        <f>'0210'!T27</f>
        <v>0.29027777777777802</v>
      </c>
      <c r="G16" s="16">
        <f>'0210'!T38</f>
        <v>0.33333333333333298</v>
      </c>
      <c r="H16" s="16">
        <f>'0210'!T49</f>
        <v>0.28749999999999998</v>
      </c>
      <c r="I16" s="16">
        <f>'0210'!T59</f>
        <v>0.29166666666666702</v>
      </c>
      <c r="J16" s="16">
        <f>'0210'!T70</f>
        <v>0.33333333333333298</v>
      </c>
    </row>
    <row r="17" spans="2:10" ht="17.25" customHeight="1">
      <c r="B17" s="476"/>
      <c r="C17" s="10" t="s">
        <v>35</v>
      </c>
      <c r="D17" s="16">
        <v>0.58680555555555602</v>
      </c>
      <c r="E17" s="19">
        <v>0.63472222222222197</v>
      </c>
      <c r="F17" s="19">
        <v>0.58819444444444402</v>
      </c>
      <c r="G17" s="210">
        <v>0.66319444444444398</v>
      </c>
      <c r="H17" s="21">
        <v>0.61458333333333304</v>
      </c>
      <c r="I17" s="22">
        <v>0.58680555555555602</v>
      </c>
      <c r="J17" s="272">
        <v>0.44791666666666702</v>
      </c>
    </row>
    <row r="18" spans="2:10" ht="17.25" customHeight="1">
      <c r="B18" s="477" t="s">
        <v>102</v>
      </c>
      <c r="C18" s="330" t="s">
        <v>36</v>
      </c>
      <c r="D18" s="358">
        <f>'0210'!Z15</f>
        <v>0</v>
      </c>
      <c r="E18" s="359">
        <f>'0210'!Z26</f>
        <v>0</v>
      </c>
      <c r="F18" s="359">
        <f>'0210'!Z37</f>
        <v>0</v>
      </c>
      <c r="G18" s="360">
        <f>'0210'!Z48</f>
        <v>0</v>
      </c>
      <c r="H18" s="360">
        <f>'0210'!Z58</f>
        <v>0</v>
      </c>
      <c r="I18" s="359">
        <f>'0210'!Z69</f>
        <v>0</v>
      </c>
      <c r="J18" s="359">
        <f>'0210'!AA79</f>
        <v>0</v>
      </c>
    </row>
    <row r="19" spans="2:10" ht="17.25" customHeight="1">
      <c r="B19" s="478"/>
      <c r="C19" s="330" t="s">
        <v>37</v>
      </c>
      <c r="D19" s="358">
        <f>'0210'!AA15</f>
        <v>0</v>
      </c>
      <c r="E19" s="359">
        <f>'0210'!AA26</f>
        <v>0</v>
      </c>
      <c r="F19" s="359">
        <f>'0210'!AA37</f>
        <v>0</v>
      </c>
      <c r="G19" s="360">
        <f>'0210'!AA48</f>
        <v>0</v>
      </c>
      <c r="H19" s="360">
        <f>'0210'!AA58</f>
        <v>0</v>
      </c>
      <c r="I19" s="359">
        <f>'0210'!AA69</f>
        <v>0</v>
      </c>
      <c r="J19" s="359">
        <f>'0210'!AB79</f>
        <v>0</v>
      </c>
    </row>
    <row r="20" spans="2:10" ht="17.25" customHeight="1">
      <c r="B20" s="477" t="s">
        <v>103</v>
      </c>
      <c r="C20" s="330" t="s">
        <v>36</v>
      </c>
      <c r="D20" s="358">
        <f>'0210'!AD15</f>
        <v>0</v>
      </c>
      <c r="E20" s="359">
        <f>'0210'!AD26</f>
        <v>0</v>
      </c>
      <c r="F20" s="359">
        <f>'0210'!AD37</f>
        <v>0</v>
      </c>
      <c r="G20" s="360">
        <f>'0210'!AD48</f>
        <v>0</v>
      </c>
      <c r="H20" s="360">
        <f>'0210'!AD58</f>
        <v>0</v>
      </c>
      <c r="I20" s="359">
        <f>'0210'!AD69</f>
        <v>0</v>
      </c>
      <c r="J20" s="359">
        <f>'0210'!AD79</f>
        <v>0</v>
      </c>
    </row>
    <row r="21" spans="2:10" ht="17.25" customHeight="1">
      <c r="B21" s="478"/>
      <c r="C21" s="330" t="s">
        <v>85</v>
      </c>
      <c r="D21" s="358">
        <f>'0210'!AE15</f>
        <v>0</v>
      </c>
      <c r="E21" s="359">
        <f>'0210'!AE26</f>
        <v>0</v>
      </c>
      <c r="F21" s="359">
        <f>'0210'!AE37</f>
        <v>0</v>
      </c>
      <c r="G21" s="360">
        <f>'0210'!AE48</f>
        <v>0</v>
      </c>
      <c r="H21" s="360">
        <f>'0210'!AE58</f>
        <v>0</v>
      </c>
      <c r="I21" s="359">
        <f>'0210'!AE69</f>
        <v>0</v>
      </c>
      <c r="J21" s="359">
        <f>'0210'!AE79</f>
        <v>0</v>
      </c>
    </row>
    <row r="22" spans="2:10" ht="17.25" customHeight="1">
      <c r="B22" s="460" t="s">
        <v>104</v>
      </c>
      <c r="C22" s="461"/>
      <c r="D22" s="23">
        <f>VALUE('0210'!M15)</f>
        <v>14.5</v>
      </c>
      <c r="E22" s="23">
        <f>VALUE('0210'!M26)</f>
        <v>11.5</v>
      </c>
      <c r="F22" s="23">
        <f>VALUE('0210'!M37)</f>
        <v>13.4</v>
      </c>
      <c r="G22" s="23">
        <f>VALUE('0210'!M48)</f>
        <v>15</v>
      </c>
      <c r="H22" s="23">
        <f>VALUE('0210'!M58)</f>
        <v>15.6</v>
      </c>
      <c r="I22" s="23">
        <f>VALUE('0210'!M69)</f>
        <v>11.75</v>
      </c>
      <c r="J22" s="23">
        <f>'0210'!M79</f>
        <v>10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89FB-43D5-47EE-9900-6A23451FCE56}">
  <sheetPr codeName="工作表24">
    <tabColor theme="9" tint="0.79998168889431442"/>
  </sheetPr>
  <dimension ref="A1:AJ92"/>
  <sheetViews>
    <sheetView zoomScale="69" zoomScaleNormal="69" workbookViewId="0">
      <pane xSplit="5" ySplit="4" topLeftCell="N41" activePane="bottomRight" state="frozen"/>
      <selection activeCell="L60" sqref="L60"/>
      <selection pane="topRight" activeCell="L60" sqref="L60"/>
      <selection pane="bottomLeft" activeCell="L60" sqref="L60"/>
      <selection pane="bottomRight" activeCell="Y63" sqref="Y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51897</v>
      </c>
      <c r="F1" s="30" t="s">
        <v>2</v>
      </c>
      <c r="G1" s="31">
        <f>SUM(H5:H79)</f>
        <v>2475156.9400000004</v>
      </c>
      <c r="H1" s="32" t="s">
        <v>3</v>
      </c>
      <c r="I1" s="33">
        <f>M15+M26+M48+M58+M69+M79+M37</f>
        <v>91.75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172</v>
      </c>
      <c r="B2" s="374"/>
      <c r="C2" s="28"/>
      <c r="D2" s="28" t="s">
        <v>14</v>
      </c>
      <c r="E2" s="35">
        <f>AVERAGE(O15,O26,O37,O48,O58,O69,O79)</f>
        <v>106.69062644836488</v>
      </c>
      <c r="F2" s="36" t="s">
        <v>15</v>
      </c>
      <c r="G2" s="37">
        <f>G1/E1</f>
        <v>47.693642021696832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0</v>
      </c>
      <c r="AA2" s="339">
        <f>AA15+AA26+AA37+AA48+AA58+AA69+AA79</f>
        <v>0</v>
      </c>
      <c r="AB2" s="370"/>
      <c r="AC2" s="370"/>
      <c r="AD2" s="340">
        <f>AD15+AD26+AD37+AD48+AD58+AD69+AD79</f>
        <v>0</v>
      </c>
      <c r="AE2" s="340">
        <f>AE15+AE26+AE37+AE48+AE58+AE69+AE79</f>
        <v>0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57.21</v>
      </c>
      <c r="G5" s="42">
        <v>1387</v>
      </c>
      <c r="H5" s="43">
        <f>F5*G5</f>
        <v>79350.27</v>
      </c>
      <c r="I5" s="44"/>
      <c r="J5" s="45">
        <f>VLOOKUP(D5,產線配置圖!$A$3:$C$39,2,0)</f>
        <v>17</v>
      </c>
      <c r="K5" s="46">
        <f>VLOOKUP(D5,產線配置圖!$A$3:$C$39,3,0)</f>
        <v>2000</v>
      </c>
      <c r="L5" s="47">
        <f t="shared" ref="L5:L8" si="0">K5/J5</f>
        <v>117.64705882352941</v>
      </c>
      <c r="M5" s="48">
        <v>16</v>
      </c>
      <c r="N5" s="46">
        <f t="shared" ref="N5:N8" si="1">G5/W5*60</f>
        <v>1849.3333333333335</v>
      </c>
      <c r="O5" s="47">
        <f t="shared" ref="O5:O8" si="2">N5/M5</f>
        <v>115.58333333333334</v>
      </c>
      <c r="P5" s="49">
        <f t="shared" ref="P5:P8" si="3">M5-J5</f>
        <v>-1</v>
      </c>
      <c r="Q5" s="50">
        <f t="shared" ref="Q5:Q8" si="4">O5-L5</f>
        <v>-2.0637254901960631</v>
      </c>
      <c r="R5" s="51">
        <f t="shared" ref="R5:R8" si="5">O5/L5</f>
        <v>0.98245833333333343</v>
      </c>
      <c r="S5" s="424">
        <f>R15</f>
        <v>0.81743899149774402</v>
      </c>
      <c r="T5" s="319">
        <v>0.29444444444444401</v>
      </c>
      <c r="U5" s="320">
        <v>0.32569444444444401</v>
      </c>
      <c r="V5" s="53"/>
      <c r="W5" s="54">
        <f t="shared" ref="W5:W14" si="6">(U5-T5)*24*60</f>
        <v>45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11" si="7">N5-K5</f>
        <v>-150.66666666666652</v>
      </c>
      <c r="AG5" s="52">
        <f t="shared" ref="AG5:AG11" si="8">N5/K5</f>
        <v>0.92466666666666675</v>
      </c>
      <c r="AH5" s="403">
        <f>AG15</f>
        <v>0.84595445887126919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1789</v>
      </c>
      <c r="H6" s="63">
        <f>F6*G6</f>
        <v>100684.92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1731.290322580667</v>
      </c>
      <c r="O6" s="67">
        <f t="shared" si="2"/>
        <v>115.41935483871113</v>
      </c>
      <c r="P6" s="69">
        <f t="shared" si="3"/>
        <v>0</v>
      </c>
      <c r="Q6" s="70">
        <f t="shared" si="4"/>
        <v>-4.5806451612888708</v>
      </c>
      <c r="R6" s="71">
        <f t="shared" si="5"/>
        <v>0.96182795698925938</v>
      </c>
      <c r="S6" s="425"/>
      <c r="T6" s="16">
        <v>0.33402777777777798</v>
      </c>
      <c r="U6" s="16">
        <v>0.37708333333333299</v>
      </c>
      <c r="V6" s="30">
        <f>(T6-U5)*24*60</f>
        <v>12.000000000000917</v>
      </c>
      <c r="W6" s="73">
        <f t="shared" si="6"/>
        <v>61.999999999999218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-68.709677419333048</v>
      </c>
      <c r="AG6" s="72">
        <f t="shared" si="8"/>
        <v>0.96182795698925938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4590</v>
      </c>
      <c r="H7" s="78">
        <f>F7*G7</f>
        <v>225552.6</v>
      </c>
      <c r="I7" s="73"/>
      <c r="J7" s="79">
        <f>VLOOKUP(D7,產線配置圖!$A$3:$C$39,2,0)</f>
        <v>13</v>
      </c>
      <c r="K7" s="80">
        <f>VLOOKUP(D7,產線配置圖!$A$3:$C$39,3,0)</f>
        <v>2000</v>
      </c>
      <c r="L7" s="81">
        <f t="shared" si="0"/>
        <v>153.84615384615384</v>
      </c>
      <c r="M7" s="82">
        <v>13</v>
      </c>
      <c r="N7" s="80">
        <f t="shared" si="1"/>
        <v>1912.5000000000005</v>
      </c>
      <c r="O7" s="81">
        <f t="shared" si="2"/>
        <v>147.11538461538464</v>
      </c>
      <c r="P7" s="74">
        <f t="shared" si="3"/>
        <v>0</v>
      </c>
      <c r="Q7" s="83">
        <f t="shared" si="4"/>
        <v>-6.730769230769198</v>
      </c>
      <c r="R7" s="72">
        <f t="shared" si="5"/>
        <v>0.95625000000000027</v>
      </c>
      <c r="S7" s="425"/>
      <c r="T7" s="18">
        <v>0.390972222222222</v>
      </c>
      <c r="U7" s="18">
        <v>0.49097222222222198</v>
      </c>
      <c r="V7" s="30">
        <f>(T7-U6)*24*60</f>
        <v>20.000000000000171</v>
      </c>
      <c r="W7" s="73">
        <f t="shared" si="6"/>
        <v>143.99999999999997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-87.499999999999545</v>
      </c>
      <c r="AG7" s="72">
        <f t="shared" si="8"/>
        <v>0.95625000000000027</v>
      </c>
      <c r="AH7" s="404"/>
    </row>
    <row r="8" spans="1:34" ht="15" customHeight="1">
      <c r="A8" s="421"/>
      <c r="B8" s="75" t="s">
        <v>81</v>
      </c>
      <c r="C8" s="76"/>
      <c r="D8" s="59" t="s">
        <v>116</v>
      </c>
      <c r="E8" s="77"/>
      <c r="F8" s="75">
        <f>VLOOKUP(D8,廠價表!$C$1:$E$41,3,0)</f>
        <v>57.21</v>
      </c>
      <c r="G8" s="66">
        <v>816</v>
      </c>
      <c r="H8" s="78">
        <f>F8*G8</f>
        <v>46683.360000000001</v>
      </c>
      <c r="I8" s="73"/>
      <c r="J8" s="79">
        <f>VLOOKUP(D8,產線配置圖!$A$3:$C$39,2,0)</f>
        <v>12</v>
      </c>
      <c r="K8" s="80">
        <f>VLOOKUP(D8,產線配置圖!$A$3:$C$39,3,0)</f>
        <v>2105</v>
      </c>
      <c r="L8" s="81">
        <f t="shared" si="0"/>
        <v>175.41666666666666</v>
      </c>
      <c r="M8" s="82">
        <v>14</v>
      </c>
      <c r="N8" s="80">
        <f t="shared" si="1"/>
        <v>1194.1463414633815</v>
      </c>
      <c r="O8" s="81">
        <f t="shared" si="2"/>
        <v>85.296167247384389</v>
      </c>
      <c r="P8" s="74">
        <f t="shared" si="3"/>
        <v>2</v>
      </c>
      <c r="Q8" s="83">
        <f t="shared" si="4"/>
        <v>-90.120499419282268</v>
      </c>
      <c r="R8" s="72">
        <f t="shared" si="5"/>
        <v>0.48624893442689443</v>
      </c>
      <c r="S8" s="425"/>
      <c r="T8" s="16">
        <v>0.55833333333333302</v>
      </c>
      <c r="U8" s="16">
        <v>0.58680555555555602</v>
      </c>
      <c r="V8" s="30"/>
      <c r="W8" s="73">
        <f t="shared" si="6"/>
        <v>41.000000000001137</v>
      </c>
      <c r="X8" s="22">
        <v>0.5</v>
      </c>
      <c r="Y8" s="84">
        <v>0.54166666666666696</v>
      </c>
      <c r="Z8" s="90"/>
      <c r="AA8" s="90"/>
      <c r="AB8" s="407" t="s">
        <v>173</v>
      </c>
      <c r="AC8" s="407"/>
      <c r="AD8" s="149"/>
      <c r="AE8" s="149"/>
      <c r="AF8" s="307">
        <f t="shared" si="7"/>
        <v>-910.85365853661847</v>
      </c>
      <c r="AG8" s="72">
        <f t="shared" si="8"/>
        <v>0.56729042349804348</v>
      </c>
      <c r="AH8" s="404"/>
    </row>
    <row r="9" spans="1:34" ht="15" customHeight="1">
      <c r="A9" s="42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6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0</v>
      </c>
      <c r="AG9" s="72" t="e">
        <f t="shared" si="8"/>
        <v>#DIV/0!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9">AVERAGE(J5:J14)</f>
        <v>14.25</v>
      </c>
      <c r="K15" s="120">
        <f t="shared" si="9"/>
        <v>1976.25</v>
      </c>
      <c r="L15" s="117">
        <f t="shared" si="9"/>
        <v>141.72746983408746</v>
      </c>
      <c r="M15" s="120">
        <f t="shared" si="9"/>
        <v>14.5</v>
      </c>
      <c r="N15" s="120">
        <f t="shared" si="9"/>
        <v>1671.8174993443458</v>
      </c>
      <c r="O15" s="117">
        <f t="shared" si="9"/>
        <v>115.85356000870338</v>
      </c>
      <c r="P15" s="121">
        <f t="shared" ref="P15:P19" si="10">M15-J15</f>
        <v>0.25</v>
      </c>
      <c r="Q15" s="122">
        <f t="shared" ref="Q15:Q19" si="11">O15-L15</f>
        <v>-25.873909825384075</v>
      </c>
      <c r="R15" s="123">
        <f t="shared" ref="R15:R19" si="12">O15/L15</f>
        <v>0.81743899149774402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3">N15-K15</f>
        <v>-304.43250065565417</v>
      </c>
      <c r="AG15" s="124">
        <f t="shared" ref="AG15:AG19" si="14">N15/K15</f>
        <v>0.84595445887126919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2303</v>
      </c>
      <c r="H16" s="134">
        <f>F16*G16</f>
        <v>131754.63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19" si="15">K16/J16</f>
        <v>175.41666666666666</v>
      </c>
      <c r="M16" s="139">
        <v>12</v>
      </c>
      <c r="N16" s="140">
        <f t="shared" ref="N16:N19" si="16">G16/W16*60</f>
        <v>1919.166666666667</v>
      </c>
      <c r="O16" s="141">
        <f>N16/M16</f>
        <v>159.93055555555557</v>
      </c>
      <c r="P16" s="142">
        <f>M16-J16</f>
        <v>0</v>
      </c>
      <c r="Q16" s="143">
        <f t="shared" si="11"/>
        <v>-15.486111111111086</v>
      </c>
      <c r="R16" s="144">
        <f>O16/L16</f>
        <v>0.91171813143309599</v>
      </c>
      <c r="S16" s="417">
        <f>R26</f>
        <v>0.94567105566225096</v>
      </c>
      <c r="T16" s="145">
        <v>0.29027777777777802</v>
      </c>
      <c r="U16" s="145">
        <v>0.34027777777777801</v>
      </c>
      <c r="V16" s="135"/>
      <c r="W16" s="146">
        <f t="shared" ref="W16:W78" si="17">(U16-T16)*24*60</f>
        <v>71.999999999999986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3"/>
        <v>-185.83333333333303</v>
      </c>
      <c r="AG16" s="52">
        <f t="shared" si="14"/>
        <v>0.91171813143309599</v>
      </c>
      <c r="AH16" s="403">
        <f>AG26</f>
        <v>0.94510978980001092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3403</v>
      </c>
      <c r="H17" s="78">
        <f>F17*G17</f>
        <v>172430.01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5"/>
        <v>166.66666666666666</v>
      </c>
      <c r="M17" s="148">
        <v>12</v>
      </c>
      <c r="N17" s="95">
        <f>G17/W17*60</f>
        <v>1908.2242990654088</v>
      </c>
      <c r="O17" s="96">
        <f t="shared" ref="O17:O19" si="18">N17/M17</f>
        <v>159.01869158878407</v>
      </c>
      <c r="P17" s="97">
        <f t="shared" si="10"/>
        <v>0</v>
      </c>
      <c r="Q17" s="98">
        <f t="shared" si="11"/>
        <v>-7.6479750778825917</v>
      </c>
      <c r="R17" s="99">
        <f t="shared" si="12"/>
        <v>0.9541121495327044</v>
      </c>
      <c r="S17" s="418"/>
      <c r="T17" s="19">
        <v>0.34861111111111098</v>
      </c>
      <c r="U17" s="19">
        <v>0.422916666666667</v>
      </c>
      <c r="V17" s="30">
        <f>(T17-U16)*24*60</f>
        <v>11.999999999999478</v>
      </c>
      <c r="W17" s="149">
        <f t="shared" si="17"/>
        <v>107.00000000000065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3"/>
        <v>-91.775700934591214</v>
      </c>
      <c r="AG17" s="72">
        <f t="shared" si="14"/>
        <v>0.9541121495327044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2094</v>
      </c>
      <c r="H18" s="78">
        <f>F18*G18</f>
        <v>105516.66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5"/>
        <v>181.81818181818181</v>
      </c>
      <c r="M18" s="148">
        <v>11</v>
      </c>
      <c r="N18" s="95">
        <f t="shared" si="16"/>
        <v>1875.2238805970057</v>
      </c>
      <c r="O18" s="96">
        <f t="shared" si="18"/>
        <v>170.47489823609143</v>
      </c>
      <c r="P18" s="97">
        <f t="shared" si="10"/>
        <v>0</v>
      </c>
      <c r="Q18" s="98">
        <f t="shared" si="11"/>
        <v>-11.343283582090379</v>
      </c>
      <c r="R18" s="99">
        <f t="shared" si="12"/>
        <v>0.93761194029850292</v>
      </c>
      <c r="S18" s="418"/>
      <c r="T18" s="19">
        <v>0.43125000000000002</v>
      </c>
      <c r="U18" s="19">
        <v>0.47777777777777802</v>
      </c>
      <c r="V18" s="30">
        <f>(T18-U17)*24*60</f>
        <v>11.999999999999558</v>
      </c>
      <c r="W18" s="149">
        <f t="shared" si="17"/>
        <v>67.000000000000327</v>
      </c>
      <c r="X18" s="22"/>
      <c r="Y18" s="84"/>
      <c r="Z18" s="90"/>
      <c r="AA18" s="90"/>
      <c r="AB18" s="395"/>
      <c r="AC18" s="395"/>
      <c r="AD18" s="92"/>
      <c r="AE18" s="92"/>
      <c r="AF18" s="307">
        <f t="shared" si="13"/>
        <v>-124.77611940299425</v>
      </c>
      <c r="AG18" s="72">
        <f t="shared" si="14"/>
        <v>0.93761194029850292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3393</v>
      </c>
      <c r="H19" s="78">
        <f>F19*G19</f>
        <v>170973.27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5"/>
        <v>181.81818181818181</v>
      </c>
      <c r="M19" s="148">
        <v>11</v>
      </c>
      <c r="N19" s="95">
        <f t="shared" si="16"/>
        <v>1957.5000000000068</v>
      </c>
      <c r="O19" s="96">
        <f t="shared" si="18"/>
        <v>177.95454545454606</v>
      </c>
      <c r="P19" s="97">
        <f t="shared" si="10"/>
        <v>0</v>
      </c>
      <c r="Q19" s="98">
        <f t="shared" si="11"/>
        <v>-3.8636363636357487</v>
      </c>
      <c r="R19" s="99">
        <f t="shared" si="12"/>
        <v>0.97875000000000334</v>
      </c>
      <c r="S19" s="418"/>
      <c r="T19" s="19">
        <v>0.5625</v>
      </c>
      <c r="U19" s="19">
        <v>0.63472222222222197</v>
      </c>
      <c r="V19" s="30">
        <f>(T19-U18)*24*60</f>
        <v>121.99999999999964</v>
      </c>
      <c r="W19" s="149">
        <f t="shared" si="17"/>
        <v>103.99999999999963</v>
      </c>
      <c r="X19" s="22">
        <v>0.48611111111111099</v>
      </c>
      <c r="Y19" s="84">
        <v>0.52777777777777801</v>
      </c>
      <c r="Z19" s="90"/>
      <c r="AA19" s="90"/>
      <c r="AB19" s="407"/>
      <c r="AC19" s="407"/>
      <c r="AD19" s="149"/>
      <c r="AE19" s="149"/>
      <c r="AF19" s="307">
        <f t="shared" si="13"/>
        <v>-42.499999999993179</v>
      </c>
      <c r="AG19" s="72">
        <f t="shared" si="14"/>
        <v>0.97875000000000345</v>
      </c>
      <c r="AH19" s="405"/>
    </row>
    <row r="20" spans="1:34" ht="15" customHeight="1">
      <c r="A20" s="414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8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7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0">AVERAGE(J16:J25)</f>
        <v>11.5</v>
      </c>
      <c r="K26" s="155">
        <f t="shared" si="20"/>
        <v>2026.25</v>
      </c>
      <c r="L26" s="158">
        <f t="shared" si="20"/>
        <v>176.42992424242425</v>
      </c>
      <c r="M26" s="155">
        <f t="shared" si="20"/>
        <v>11.5</v>
      </c>
      <c r="N26" s="155">
        <f t="shared" si="20"/>
        <v>1915.0287115822721</v>
      </c>
      <c r="O26" s="158">
        <f t="shared" si="20"/>
        <v>166.8446727087443</v>
      </c>
      <c r="P26" s="159">
        <f t="shared" ref="P26:P31" si="21">M26-J26</f>
        <v>0</v>
      </c>
      <c r="Q26" s="160">
        <f t="shared" ref="Q26:Q31" si="22">O26-L26</f>
        <v>-9.5852515336799513</v>
      </c>
      <c r="R26" s="161">
        <f>O26/L26</f>
        <v>0.94567105566225096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0</v>
      </c>
      <c r="AE26" s="323">
        <f>SUM(AE16:AE25)</f>
        <v>0</v>
      </c>
      <c r="AF26" s="309">
        <f t="shared" ref="AF26:AF31" si="23">N26-K26</f>
        <v>-111.22128841772792</v>
      </c>
      <c r="AG26" s="124">
        <f t="shared" ref="AG26:AG31" si="24">N26/K26</f>
        <v>0.94510978980001092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907</v>
      </c>
      <c r="H27" s="134">
        <f>F27*G27</f>
        <v>51971.1</v>
      </c>
      <c r="I27" s="135"/>
      <c r="J27" s="136">
        <v>15</v>
      </c>
      <c r="K27" s="137">
        <f>VLOOKUP(D27,產線配置圖!$A$3:$C$39,3,0)</f>
        <v>1500</v>
      </c>
      <c r="L27" s="138">
        <f t="shared" ref="L27:L31" si="25">K27/J27</f>
        <v>100</v>
      </c>
      <c r="M27" s="170">
        <v>13</v>
      </c>
      <c r="N27" s="140">
        <f>G27/W27*60</f>
        <v>1295.7142857143174</v>
      </c>
      <c r="O27" s="141">
        <f>N27/M27</f>
        <v>99.670329670332109</v>
      </c>
      <c r="P27" s="142">
        <f t="shared" si="21"/>
        <v>-2</v>
      </c>
      <c r="Q27" s="143">
        <f t="shared" si="22"/>
        <v>-0.32967032966789134</v>
      </c>
      <c r="R27" s="144">
        <f>O27/L27</f>
        <v>0.99670329670332114</v>
      </c>
      <c r="S27" s="417">
        <f>R37</f>
        <v>0.88711181161613395</v>
      </c>
      <c r="T27" s="171">
        <v>0.29027777777777802</v>
      </c>
      <c r="U27" s="171">
        <v>0.31944444444444398</v>
      </c>
      <c r="V27" s="135"/>
      <c r="W27" s="146">
        <f t="shared" si="17"/>
        <v>41.99999999999897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3"/>
        <v>-204.28571428568262</v>
      </c>
      <c r="AG27" s="172">
        <f t="shared" si="24"/>
        <v>0.8638095238095449</v>
      </c>
      <c r="AH27" s="403">
        <f>AG37</f>
        <v>0.7904062265788897</v>
      </c>
    </row>
    <row r="28" spans="1:34" ht="15" customHeight="1">
      <c r="A28" s="430"/>
      <c r="B28" s="75" t="s">
        <v>81</v>
      </c>
      <c r="C28" s="173"/>
      <c r="D28" s="59" t="s">
        <v>122</v>
      </c>
      <c r="E28" s="104"/>
      <c r="F28" s="75">
        <f>VLOOKUP(D28,廠價表!$C$1:$E$41,3,0)</f>
        <v>55.13</v>
      </c>
      <c r="G28" s="90">
        <v>1512</v>
      </c>
      <c r="H28" s="91">
        <f>F28*G28</f>
        <v>83356.56</v>
      </c>
      <c r="I28" s="92"/>
      <c r="J28" s="79">
        <v>15</v>
      </c>
      <c r="K28" s="80">
        <f>VLOOKUP(D28,產線配置圖!$A$3:$C$39,3,0)</f>
        <v>1385</v>
      </c>
      <c r="L28" s="93">
        <f t="shared" si="25"/>
        <v>92.333333333333329</v>
      </c>
      <c r="M28" s="94">
        <v>13</v>
      </c>
      <c r="N28" s="95">
        <f>G28/W28*60</f>
        <v>1080.0000000000057</v>
      </c>
      <c r="O28" s="96">
        <f>N28/M28</f>
        <v>83.076923076923521</v>
      </c>
      <c r="P28" s="97">
        <f t="shared" si="21"/>
        <v>-2</v>
      </c>
      <c r="Q28" s="98">
        <f t="shared" si="22"/>
        <v>-9.2564102564098079</v>
      </c>
      <c r="R28" s="99">
        <f t="shared" ref="R28:R31" si="26">O28/L28</f>
        <v>0.89975006942516456</v>
      </c>
      <c r="S28" s="418"/>
      <c r="T28" s="19">
        <v>0.32500000000000001</v>
      </c>
      <c r="U28" s="19">
        <v>0.38333333333333303</v>
      </c>
      <c r="V28" s="92">
        <f>(T28-U27)*24*60</f>
        <v>8.000000000000691</v>
      </c>
      <c r="W28" s="149">
        <f t="shared" si="17"/>
        <v>83.999999999999545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3"/>
        <v>-304.99999999999432</v>
      </c>
      <c r="AG28" s="99">
        <f t="shared" si="24"/>
        <v>0.77978339350180914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1416</v>
      </c>
      <c r="H29" s="91">
        <f>F29*G29</f>
        <v>70120.320000000007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5"/>
        <v>96</v>
      </c>
      <c r="M29" s="94">
        <v>14</v>
      </c>
      <c r="N29" s="95">
        <f>G29/W29*60</f>
        <v>1089.230769230762</v>
      </c>
      <c r="O29" s="96">
        <f>N29/M29</f>
        <v>77.802197802197284</v>
      </c>
      <c r="P29" s="97">
        <f t="shared" si="21"/>
        <v>-1</v>
      </c>
      <c r="Q29" s="98">
        <f t="shared" si="22"/>
        <v>-18.197802197802716</v>
      </c>
      <c r="R29" s="99">
        <f t="shared" si="26"/>
        <v>0.81043956043955501</v>
      </c>
      <c r="S29" s="418"/>
      <c r="T29" s="19">
        <v>0.39583333333333298</v>
      </c>
      <c r="U29" s="19">
        <v>0.45</v>
      </c>
      <c r="V29" s="92">
        <f>(T29-U28)*24*60</f>
        <v>17.999999999999936</v>
      </c>
      <c r="W29" s="149">
        <f t="shared" si="17"/>
        <v>78.000000000000526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3"/>
        <v>-350.76923076923799</v>
      </c>
      <c r="AG29" s="99">
        <f t="shared" si="24"/>
        <v>0.75641025641025139</v>
      </c>
      <c r="AH29" s="432"/>
    </row>
    <row r="30" spans="1:34" ht="15" customHeight="1">
      <c r="A30" s="430"/>
      <c r="B30" s="75" t="s">
        <v>123</v>
      </c>
      <c r="C30" s="88"/>
      <c r="D30" s="59" t="s">
        <v>124</v>
      </c>
      <c r="E30" s="89"/>
      <c r="F30" s="75">
        <f>VLOOKUP(D30,廠價表!$C$1:$E$41,3,0)</f>
        <v>49.52</v>
      </c>
      <c r="G30" s="90">
        <v>700</v>
      </c>
      <c r="H30" s="91">
        <f t="shared" ref="H30:H31" si="27">F30*G30</f>
        <v>34664</v>
      </c>
      <c r="I30" s="92"/>
      <c r="J30" s="79">
        <f>VLOOKUP(D30,產線配置圖!$A$3:$C$39,2,0)</f>
        <v>15</v>
      </c>
      <c r="K30" s="80">
        <f>VLOOKUP(D30,產線配置圖!$A$3:$C$39,3,0)</f>
        <v>1440</v>
      </c>
      <c r="L30" s="93">
        <f t="shared" si="25"/>
        <v>96</v>
      </c>
      <c r="M30" s="94">
        <v>14</v>
      </c>
      <c r="N30" s="95">
        <f t="shared" ref="N30:N31" si="28">G30/W30*60</f>
        <v>1105.2631578947314</v>
      </c>
      <c r="O30" s="96">
        <f t="shared" ref="O30:O31" si="29">N30/M30</f>
        <v>78.947368421052246</v>
      </c>
      <c r="P30" s="97">
        <f t="shared" si="21"/>
        <v>-1</v>
      </c>
      <c r="Q30" s="98">
        <f t="shared" si="22"/>
        <v>-17.052631578947754</v>
      </c>
      <c r="R30" s="99">
        <f t="shared" si="26"/>
        <v>0.82236842105262753</v>
      </c>
      <c r="S30" s="418"/>
      <c r="T30" s="19">
        <v>0.52361111111111103</v>
      </c>
      <c r="U30" s="19">
        <v>0.55000000000000004</v>
      </c>
      <c r="V30" s="92">
        <f>(T30-U29)*24*60</f>
        <v>105.99999999999986</v>
      </c>
      <c r="W30" s="149">
        <f t="shared" si="17"/>
        <v>38.000000000000185</v>
      </c>
      <c r="X30" s="174">
        <v>0.45833333333333298</v>
      </c>
      <c r="Y30" s="301">
        <v>0.5</v>
      </c>
      <c r="Z30" s="335"/>
      <c r="AA30" s="335"/>
      <c r="AB30" s="395"/>
      <c r="AC30" s="395"/>
      <c r="AD30" s="92"/>
      <c r="AE30" s="92"/>
      <c r="AF30" s="312">
        <f t="shared" si="23"/>
        <v>-334.73684210526858</v>
      </c>
      <c r="AG30" s="99">
        <f t="shared" si="24"/>
        <v>0.76754385964911909</v>
      </c>
      <c r="AH30" s="433"/>
    </row>
    <row r="31" spans="1:34" ht="15" customHeight="1">
      <c r="A31" s="430"/>
      <c r="B31" s="75" t="s">
        <v>81</v>
      </c>
      <c r="C31" s="88"/>
      <c r="D31" s="59" t="s">
        <v>121</v>
      </c>
      <c r="E31" s="89"/>
      <c r="F31" s="75">
        <f>VLOOKUP(D31,廠價表!$C$1:$E$41,3,0)</f>
        <v>57.3</v>
      </c>
      <c r="G31" s="90">
        <v>840</v>
      </c>
      <c r="H31" s="91">
        <f t="shared" si="27"/>
        <v>48132</v>
      </c>
      <c r="I31" s="92"/>
      <c r="J31" s="79">
        <v>15</v>
      </c>
      <c r="K31" s="80">
        <f>VLOOKUP(D31,產線配置圖!$A$3:$C$39,3,0)</f>
        <v>1500</v>
      </c>
      <c r="L31" s="93">
        <f t="shared" si="25"/>
        <v>100</v>
      </c>
      <c r="M31" s="94">
        <v>13</v>
      </c>
      <c r="N31" s="95">
        <f t="shared" si="28"/>
        <v>1172.0930232558183</v>
      </c>
      <c r="O31" s="96">
        <f t="shared" si="29"/>
        <v>90.16100178890909</v>
      </c>
      <c r="P31" s="97">
        <f t="shared" si="21"/>
        <v>-2</v>
      </c>
      <c r="Q31" s="98">
        <f t="shared" si="22"/>
        <v>-9.8389982110909102</v>
      </c>
      <c r="R31" s="99">
        <f t="shared" si="26"/>
        <v>0.9016100178890909</v>
      </c>
      <c r="S31" s="418"/>
      <c r="T31" s="19">
        <v>0.55833333333333302</v>
      </c>
      <c r="U31" s="19">
        <v>0.58819444444444402</v>
      </c>
      <c r="V31" s="92">
        <f>(T31-U30)*24*60</f>
        <v>11.999999999999478</v>
      </c>
      <c r="W31" s="149">
        <f t="shared" si="17"/>
        <v>42.999999999999844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3"/>
        <v>-327.90697674418175</v>
      </c>
      <c r="AG31" s="99">
        <f t="shared" si="24"/>
        <v>0.78139534883721218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9"/>
      <c r="U32" s="19"/>
      <c r="V32" s="92"/>
      <c r="W32" s="149">
        <f t="shared" si="17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30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1">AVERAGE(J27:J36)</f>
        <v>15</v>
      </c>
      <c r="K37" s="155">
        <f t="shared" si="31"/>
        <v>1453</v>
      </c>
      <c r="L37" s="158">
        <f t="shared" si="31"/>
        <v>96.86666666666666</v>
      </c>
      <c r="M37" s="155">
        <f t="shared" si="31"/>
        <v>13.4</v>
      </c>
      <c r="N37" s="155">
        <f t="shared" si="31"/>
        <v>1148.4602472191268</v>
      </c>
      <c r="O37" s="158">
        <f t="shared" si="31"/>
        <v>85.931564151882839</v>
      </c>
      <c r="P37" s="159">
        <f>M37-J37</f>
        <v>-1.5999999999999996</v>
      </c>
      <c r="Q37" s="160">
        <f>N37-K37</f>
        <v>-304.53975278087319</v>
      </c>
      <c r="R37" s="161">
        <f t="shared" ref="R37:R41" si="32">O37/L37</f>
        <v>0.88711181161613395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3">N37-K37</f>
        <v>-304.53975278087319</v>
      </c>
      <c r="AG37" s="124">
        <f t="shared" ref="AG37:AG41" si="34">N37/K37</f>
        <v>0.7904062265788897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1119</v>
      </c>
      <c r="H38" s="134">
        <f>F38*G38</f>
        <v>63145.17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1" si="35">K38/J38</f>
        <v>87.875</v>
      </c>
      <c r="M38" s="190">
        <v>14</v>
      </c>
      <c r="N38" s="140">
        <f>G38/W38*60</f>
        <v>1220.7272727272539</v>
      </c>
      <c r="O38" s="141">
        <f>N38/M38</f>
        <v>87.194805194803848</v>
      </c>
      <c r="P38" s="142">
        <f t="shared" ref="P38:P41" si="36">M38-J38</f>
        <v>-2</v>
      </c>
      <c r="Q38" s="143">
        <f t="shared" ref="Q38:Q41" si="37">O38-L38</f>
        <v>-0.68019480519615172</v>
      </c>
      <c r="R38" s="144">
        <f>O38/L38</f>
        <v>0.99225951857529271</v>
      </c>
      <c r="S38" s="437">
        <f>R48</f>
        <v>0.96019535670171841</v>
      </c>
      <c r="T38" s="191">
        <v>0.33333333333333298</v>
      </c>
      <c r="U38" s="191">
        <v>0.37152777777777801</v>
      </c>
      <c r="V38" s="192"/>
      <c r="W38" s="193">
        <f t="shared" si="17"/>
        <v>55.000000000000846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3"/>
        <v>-185.27272727274612</v>
      </c>
      <c r="AG38" s="195">
        <f t="shared" si="34"/>
        <v>0.86822707875338112</v>
      </c>
      <c r="AH38" s="443">
        <f>AG48</f>
        <v>0.87343370467622705</v>
      </c>
    </row>
    <row r="39" spans="1:34" ht="15" customHeight="1">
      <c r="A39" s="435"/>
      <c r="B39" s="75" t="s">
        <v>123</v>
      </c>
      <c r="C39" s="197"/>
      <c r="D39" s="198" t="s">
        <v>127</v>
      </c>
      <c r="E39" s="176"/>
      <c r="F39" s="75">
        <f>VLOOKUP(D39,廠價表!$C$1:$E$41,3,0)</f>
        <v>49.91</v>
      </c>
      <c r="G39" s="199">
        <v>1790</v>
      </c>
      <c r="H39" s="91">
        <f>F39*G39</f>
        <v>89338.9</v>
      </c>
      <c r="I39" s="200"/>
      <c r="J39" s="148">
        <v>16</v>
      </c>
      <c r="K39" s="95">
        <f>VLOOKUP(D39,產線配置圖!$A$3:$C$39,3,0)</f>
        <v>1565</v>
      </c>
      <c r="L39" s="96">
        <f t="shared" si="35"/>
        <v>97.8125</v>
      </c>
      <c r="M39" s="201">
        <v>14</v>
      </c>
      <c r="N39" s="202">
        <f>G39/W39*60</f>
        <v>1193.3333333333333</v>
      </c>
      <c r="O39" s="203">
        <f t="shared" ref="O39:O41" si="38">N39/M39</f>
        <v>85.238095238095227</v>
      </c>
      <c r="P39" s="97">
        <f t="shared" si="36"/>
        <v>-2</v>
      </c>
      <c r="Q39" s="98">
        <f t="shared" si="37"/>
        <v>-12.574404761904773</v>
      </c>
      <c r="R39" s="99">
        <f t="shared" si="32"/>
        <v>0.87144378518180421</v>
      </c>
      <c r="S39" s="438"/>
      <c r="T39" s="20">
        <v>0.38194444444444398</v>
      </c>
      <c r="U39" s="20">
        <v>0.44444444444444398</v>
      </c>
      <c r="V39" s="92">
        <f>(T39-U38)*24*60</f>
        <v>14.999999999998987</v>
      </c>
      <c r="W39" s="205">
        <f t="shared" si="17"/>
        <v>90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3"/>
        <v>-371.66666666666674</v>
      </c>
      <c r="AG39" s="206">
        <f t="shared" si="34"/>
        <v>0.76251331203407879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1581</v>
      </c>
      <c r="H40" s="91">
        <f>F40*G40</f>
        <v>70038.299999999988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5"/>
        <v>84.705882352941174</v>
      </c>
      <c r="M40" s="201">
        <v>15</v>
      </c>
      <c r="N40" s="202">
        <f>G40/W40*60</f>
        <v>1264.8000000000086</v>
      </c>
      <c r="O40" s="203">
        <f t="shared" si="38"/>
        <v>84.320000000000576</v>
      </c>
      <c r="P40" s="97">
        <f t="shared" si="36"/>
        <v>-2</v>
      </c>
      <c r="Q40" s="98">
        <f t="shared" si="37"/>
        <v>-0.38588235294059814</v>
      </c>
      <c r="R40" s="99">
        <f t="shared" si="32"/>
        <v>0.99544444444445124</v>
      </c>
      <c r="S40" s="425"/>
      <c r="T40" s="20">
        <v>0.44791666666666702</v>
      </c>
      <c r="U40" s="20">
        <v>0.5</v>
      </c>
      <c r="V40" s="92">
        <f>(T40-U39)*24*60</f>
        <v>5.0000000000011813</v>
      </c>
      <c r="W40" s="205">
        <f t="shared" si="17"/>
        <v>74.999999999999488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3"/>
        <v>-175.19999999999141</v>
      </c>
      <c r="AG40" s="206">
        <f t="shared" si="34"/>
        <v>0.87833333333333929</v>
      </c>
      <c r="AH40" s="444"/>
    </row>
    <row r="41" spans="1:34" ht="15" customHeight="1">
      <c r="A41" s="435"/>
      <c r="B41" s="75" t="s">
        <v>123</v>
      </c>
      <c r="C41" s="207"/>
      <c r="D41" s="198" t="s">
        <v>128</v>
      </c>
      <c r="E41" s="178"/>
      <c r="F41" s="75">
        <f>VLOOKUP(D41,廠價表!$C$1:$E$41,3,0)</f>
        <v>44.3</v>
      </c>
      <c r="G41" s="199">
        <v>3579</v>
      </c>
      <c r="H41" s="91">
        <f>F41*G41</f>
        <v>158549.69999999998</v>
      </c>
      <c r="I41" s="200"/>
      <c r="J41" s="148">
        <f>VLOOKUP(D41,產線配置圖!$A$3:$C$39,2,0)</f>
        <v>17</v>
      </c>
      <c r="K41" s="95">
        <f>VLOOKUP(D41,產線配置圖!$A$3:$C$39,3,0)</f>
        <v>1440</v>
      </c>
      <c r="L41" s="96">
        <f t="shared" si="35"/>
        <v>84.705882352941174</v>
      </c>
      <c r="M41" s="201">
        <v>17</v>
      </c>
      <c r="N41" s="202">
        <f>G41/W41*60</f>
        <v>1431.6000000000097</v>
      </c>
      <c r="O41" s="203">
        <f t="shared" si="38"/>
        <v>84.211764705882928</v>
      </c>
      <c r="P41" s="97">
        <f t="shared" si="36"/>
        <v>0</v>
      </c>
      <c r="Q41" s="98">
        <f t="shared" si="37"/>
        <v>-0.49411764705824623</v>
      </c>
      <c r="R41" s="99">
        <f t="shared" si="32"/>
        <v>0.99416666666667353</v>
      </c>
      <c r="S41" s="425"/>
      <c r="T41" s="20">
        <v>0.55902777777777801</v>
      </c>
      <c r="U41" s="210">
        <v>0.66319444444444398</v>
      </c>
      <c r="V41" s="92">
        <f>(T41-U40)*24*60</f>
        <v>85.000000000000341</v>
      </c>
      <c r="W41" s="205">
        <f t="shared" si="17"/>
        <v>149.99999999999898</v>
      </c>
      <c r="X41" s="208">
        <v>0.51041666666666696</v>
      </c>
      <c r="Y41" s="209">
        <v>0.55208333333333304</v>
      </c>
      <c r="Z41" s="337"/>
      <c r="AA41" s="337"/>
      <c r="AB41" s="395"/>
      <c r="AC41" s="395"/>
      <c r="AD41" s="92"/>
      <c r="AE41" s="92"/>
      <c r="AF41" s="314">
        <f t="shared" si="33"/>
        <v>-8.3999999999903139</v>
      </c>
      <c r="AG41" s="206">
        <f t="shared" si="34"/>
        <v>0.99416666666667342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9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9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9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30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9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40">AVERAGE(J38:J47)</f>
        <v>16.5</v>
      </c>
      <c r="K48" s="155">
        <f t="shared" si="40"/>
        <v>1462.75</v>
      </c>
      <c r="L48" s="158">
        <f t="shared" si="40"/>
        <v>88.77481617647058</v>
      </c>
      <c r="M48" s="155">
        <f t="shared" si="40"/>
        <v>15</v>
      </c>
      <c r="N48" s="155">
        <f t="shared" si="40"/>
        <v>1277.6151515151512</v>
      </c>
      <c r="O48" s="158">
        <f t="shared" si="40"/>
        <v>85.241166284695652</v>
      </c>
      <c r="P48" s="221">
        <f>M48-J48</f>
        <v>-1.5</v>
      </c>
      <c r="Q48" s="222">
        <f>N48-K48</f>
        <v>-185.13484848484882</v>
      </c>
      <c r="R48" s="223">
        <f>O48/L48</f>
        <v>0.96019535670171841</v>
      </c>
      <c r="S48" s="428"/>
      <c r="T48" s="224"/>
      <c r="U48" s="224"/>
      <c r="V48" s="225"/>
      <c r="W48" s="226">
        <f t="shared" si="39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41">N48-K48</f>
        <v>-185.13484848484882</v>
      </c>
      <c r="AG48" s="162">
        <f t="shared" ref="AG48:AG53" si="42">N48/K48</f>
        <v>0.87343370467622705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1107</v>
      </c>
      <c r="H49" s="134">
        <f>F49*G49</f>
        <v>62955.09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3" si="43">K49/J49</f>
        <v>86.944444444444443</v>
      </c>
      <c r="M49" s="170">
        <v>16</v>
      </c>
      <c r="N49" s="140">
        <f>G49/W49*60</f>
        <v>1383.7500000000118</v>
      </c>
      <c r="O49" s="141">
        <f>N49/M49</f>
        <v>86.484375000000739</v>
      </c>
      <c r="P49" s="229">
        <f>M49-J49</f>
        <v>-2</v>
      </c>
      <c r="Q49" s="230">
        <f>O49-L49</f>
        <v>-0.4600694444437039</v>
      </c>
      <c r="R49" s="52">
        <f>O49/L49</f>
        <v>0.9947084664536826</v>
      </c>
      <c r="S49" s="424">
        <f>R58</f>
        <v>0.95639486720122491</v>
      </c>
      <c r="T49" s="191">
        <v>0.28749999999999998</v>
      </c>
      <c r="U49" s="191">
        <v>0.32083333333333303</v>
      </c>
      <c r="V49" s="55"/>
      <c r="W49" s="193">
        <f t="shared" si="17"/>
        <v>47.999999999999588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41"/>
        <v>-181.24999999998818</v>
      </c>
      <c r="AG49" s="52">
        <f t="shared" si="42"/>
        <v>0.88418530351438451</v>
      </c>
      <c r="AH49" s="403">
        <f>AG58</f>
        <v>0.87043022746864174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2214</v>
      </c>
      <c r="H50" s="231">
        <f>F50*G50</f>
        <v>105629.94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3"/>
        <v>90</v>
      </c>
      <c r="M50" s="233">
        <v>16</v>
      </c>
      <c r="N50" s="234">
        <f>G50/W50*60</f>
        <v>1428.3870967741789</v>
      </c>
      <c r="O50" s="235">
        <f>N50/M50</f>
        <v>89.274193548386179</v>
      </c>
      <c r="P50" s="74">
        <f>M50-J50</f>
        <v>0</v>
      </c>
      <c r="Q50" s="83">
        <f>O50-L50</f>
        <v>-0.72580645161382051</v>
      </c>
      <c r="R50" s="72">
        <f>O50/L50</f>
        <v>0.99193548387095754</v>
      </c>
      <c r="S50" s="425"/>
      <c r="T50" s="21">
        <v>0.32569444444444401</v>
      </c>
      <c r="U50" s="21">
        <v>0.390277777777778</v>
      </c>
      <c r="V50" s="30">
        <f t="shared" ref="V50:V53" si="44">(T50-U49)*24*60</f>
        <v>6.9999999999998153</v>
      </c>
      <c r="W50" s="236">
        <f t="shared" si="17"/>
        <v>93.000000000000952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1"/>
        <v>-11.612903225821128</v>
      </c>
      <c r="AG50" s="72">
        <f t="shared" si="42"/>
        <v>0.99193548387095754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2467</v>
      </c>
      <c r="H51" s="231">
        <f>F51*G51</f>
        <v>123275.98999999999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3"/>
        <v>88.888888888888886</v>
      </c>
      <c r="M51" s="233">
        <v>16</v>
      </c>
      <c r="N51" s="234">
        <f>G51/W51*60</f>
        <v>1409.7142857142787</v>
      </c>
      <c r="O51" s="235">
        <f>N51/M51</f>
        <v>88.107142857142421</v>
      </c>
      <c r="P51" s="74">
        <f>M51-J51</f>
        <v>-2</v>
      </c>
      <c r="Q51" s="83">
        <f>O51-L51</f>
        <v>-0.78174603174646506</v>
      </c>
      <c r="R51" s="72">
        <f>O51/L51</f>
        <v>0.99120535714285229</v>
      </c>
      <c r="S51" s="425"/>
      <c r="T51" s="21">
        <v>0.39583333333333298</v>
      </c>
      <c r="U51" s="19">
        <v>0.46875</v>
      </c>
      <c r="V51" s="30">
        <f t="shared" si="44"/>
        <v>7.9999999999991722</v>
      </c>
      <c r="W51" s="236">
        <f t="shared" si="17"/>
        <v>105.00000000000051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41"/>
        <v>-190.28571428572127</v>
      </c>
      <c r="AG51" s="72">
        <f t="shared" si="42"/>
        <v>0.88107142857142418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2515</v>
      </c>
      <c r="H52" s="231">
        <f t="shared" ref="H52:H53" si="45">F52*G52</f>
        <v>125674.55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3"/>
        <v>88.888888888888886</v>
      </c>
      <c r="M52" s="233">
        <v>16</v>
      </c>
      <c r="N52" s="234">
        <f t="shared" ref="N52:N53" si="46">G52/W52*60</f>
        <v>1410.280373831768</v>
      </c>
      <c r="O52" s="235">
        <f t="shared" ref="O52:O53" si="47">N52/M52</f>
        <v>88.142523364485498</v>
      </c>
      <c r="P52" s="74">
        <f t="shared" ref="P52:P53" si="48">M52-J52</f>
        <v>-2</v>
      </c>
      <c r="Q52" s="83">
        <f t="shared" ref="Q52:Q53" si="49">O52-L52</f>
        <v>-0.74636552440338733</v>
      </c>
      <c r="R52" s="72">
        <f t="shared" ref="R52:R53" si="50">O52/L52</f>
        <v>0.99160338785046187</v>
      </c>
      <c r="S52" s="425"/>
      <c r="T52" s="21">
        <v>0.51736111111111105</v>
      </c>
      <c r="U52" s="21">
        <v>0.59166666666666701</v>
      </c>
      <c r="V52" s="30">
        <f t="shared" si="44"/>
        <v>69.999999999999915</v>
      </c>
      <c r="W52" s="236">
        <f t="shared" si="17"/>
        <v>107.00000000000058</v>
      </c>
      <c r="X52" s="22">
        <v>0.47222222222222199</v>
      </c>
      <c r="Y52" s="209">
        <v>0.5</v>
      </c>
      <c r="AA52" s="90"/>
      <c r="AB52" s="395"/>
      <c r="AC52" s="395"/>
      <c r="AD52" s="92"/>
      <c r="AE52" s="92"/>
      <c r="AF52" s="307">
        <f t="shared" si="41"/>
        <v>-189.71962616823203</v>
      </c>
      <c r="AG52" s="72">
        <f t="shared" si="42"/>
        <v>0.88142523364485503</v>
      </c>
      <c r="AH52" s="404"/>
    </row>
    <row r="53" spans="1:34" ht="15" customHeight="1">
      <c r="A53" s="453"/>
      <c r="B53" s="101" t="s">
        <v>123</v>
      </c>
      <c r="C53" s="102"/>
      <c r="D53" s="103" t="s">
        <v>127</v>
      </c>
      <c r="E53" s="104"/>
      <c r="F53" s="75">
        <f>VLOOKUP(D53,廠價表!$C$1:$E$41,3,0)</f>
        <v>49.91</v>
      </c>
      <c r="G53" s="202">
        <v>509</v>
      </c>
      <c r="H53" s="231">
        <f t="shared" si="45"/>
        <v>25404.19</v>
      </c>
      <c r="I53" s="232"/>
      <c r="J53" s="79">
        <v>16</v>
      </c>
      <c r="K53" s="80">
        <f>VLOOKUP(D53,產線配置圖!$A$3:$C$39,3,0)</f>
        <v>1565</v>
      </c>
      <c r="L53" s="81">
        <f t="shared" si="43"/>
        <v>97.8125</v>
      </c>
      <c r="M53" s="108">
        <v>14</v>
      </c>
      <c r="N53" s="234">
        <f t="shared" si="46"/>
        <v>1131.1111111111086</v>
      </c>
      <c r="O53" s="235">
        <f t="shared" si="47"/>
        <v>80.793650793650613</v>
      </c>
      <c r="P53" s="74">
        <f t="shared" si="48"/>
        <v>-2</v>
      </c>
      <c r="Q53" s="83">
        <f t="shared" si="49"/>
        <v>-17.018849206349387</v>
      </c>
      <c r="R53" s="72">
        <f t="shared" si="50"/>
        <v>0.82600537552614051</v>
      </c>
      <c r="S53" s="425"/>
      <c r="T53" s="21">
        <v>0.59583333333333299</v>
      </c>
      <c r="U53" s="21">
        <v>0.61458333333333304</v>
      </c>
      <c r="V53" s="30">
        <f t="shared" si="44"/>
        <v>5.9999999999990195</v>
      </c>
      <c r="W53" s="236">
        <f t="shared" si="17"/>
        <v>27.000000000000064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41"/>
        <v>-433.88888888889142</v>
      </c>
      <c r="AG53" s="72">
        <f t="shared" si="42"/>
        <v>0.72275470358537286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51">AVERAGE(J49:J57)</f>
        <v>17.2</v>
      </c>
      <c r="K58" s="120">
        <f t="shared" si="51"/>
        <v>1554</v>
      </c>
      <c r="L58" s="117">
        <f t="shared" si="51"/>
        <v>90.506944444444457</v>
      </c>
      <c r="M58" s="120">
        <f t="shared" si="51"/>
        <v>15.6</v>
      </c>
      <c r="N58" s="120">
        <f t="shared" si="51"/>
        <v>1352.6485734862692</v>
      </c>
      <c r="O58" s="117">
        <f t="shared" si="51"/>
        <v>86.560377112733093</v>
      </c>
      <c r="P58" s="121">
        <f>M58-J58</f>
        <v>-1.5999999999999996</v>
      </c>
      <c r="Q58" s="122">
        <f>N58-K58</f>
        <v>-201.35142651373076</v>
      </c>
      <c r="R58" s="123">
        <f t="shared" ref="R58:R60" si="52">O58/L58</f>
        <v>0.95639486720122491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53">N58-K58</f>
        <v>-201.35142651373076</v>
      </c>
      <c r="AG58" s="124">
        <f t="shared" ref="AG58:AG61" si="54">N58/K58</f>
        <v>0.87043022746864174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3580</v>
      </c>
      <c r="H59" s="243">
        <f>F59*G59</f>
        <v>96624.2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2" si="55">K59/J59</f>
        <v>120.38461538461539</v>
      </c>
      <c r="M59" s="244">
        <v>12</v>
      </c>
      <c r="N59" s="137">
        <f t="shared" ref="N59:N62" si="56">G59/W59*60</f>
        <v>1432.0000000000098</v>
      </c>
      <c r="O59" s="138">
        <f t="shared" ref="O59:O62" si="57">N59/M59</f>
        <v>119.33333333333415</v>
      </c>
      <c r="P59" s="56">
        <f t="shared" ref="P59:P62" si="58">M59-J59</f>
        <v>-1</v>
      </c>
      <c r="Q59" s="230">
        <f t="shared" ref="Q59:Q62" si="59">O59-L59</f>
        <v>-1.051282051281234</v>
      </c>
      <c r="R59" s="52">
        <f t="shared" si="52"/>
        <v>0.9912673056443092</v>
      </c>
      <c r="S59" s="424">
        <f>R69</f>
        <v>0.90720529861669108</v>
      </c>
      <c r="T59" s="245">
        <v>0.29166666666666702</v>
      </c>
      <c r="U59" s="245">
        <v>0.39583333333333298</v>
      </c>
      <c r="V59" s="55"/>
      <c r="W59" s="54">
        <f t="shared" si="17"/>
        <v>149.99999999999898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53"/>
        <v>-132.99999999999022</v>
      </c>
      <c r="AG59" s="246">
        <f t="shared" si="54"/>
        <v>0.91501597444090077</v>
      </c>
      <c r="AH59" s="403">
        <f>AG69</f>
        <v>0.86969157041042389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1497</v>
      </c>
      <c r="H60" s="78">
        <f>F60*G60</f>
        <v>42305.22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5"/>
        <v>130.41666666666666</v>
      </c>
      <c r="M60" s="82">
        <v>11</v>
      </c>
      <c r="N60" s="80">
        <f t="shared" si="56"/>
        <v>1381.8461538461502</v>
      </c>
      <c r="O60" s="81">
        <f t="shared" si="57"/>
        <v>125.62237762237729</v>
      </c>
      <c r="P60" s="74">
        <f t="shared" si="58"/>
        <v>-1</v>
      </c>
      <c r="Q60" s="83">
        <f t="shared" si="59"/>
        <v>-4.7942890442893713</v>
      </c>
      <c r="R60" s="72">
        <f t="shared" si="52"/>
        <v>0.96323867825465015</v>
      </c>
      <c r="S60" s="451"/>
      <c r="T60" s="22">
        <v>0.40625</v>
      </c>
      <c r="U60" s="22">
        <v>0.45138888888888901</v>
      </c>
      <c r="V60" s="30">
        <f t="shared" ref="V60:V62" si="60">(T60-U59)*24*60</f>
        <v>15.000000000000506</v>
      </c>
      <c r="W60" s="248">
        <f t="shared" si="17"/>
        <v>65.000000000000171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53"/>
        <v>-183.15384615384983</v>
      </c>
      <c r="AG60" s="249">
        <f t="shared" si="54"/>
        <v>0.88296878840009596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1431</v>
      </c>
      <c r="H61" s="254">
        <f>F61*G61</f>
        <v>40440.060000000005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5"/>
        <v>130.41666666666666</v>
      </c>
      <c r="M61" s="108">
        <v>12</v>
      </c>
      <c r="N61" s="107">
        <f t="shared" si="56"/>
        <v>1320.9230769231044</v>
      </c>
      <c r="O61" s="238">
        <f t="shared" si="57"/>
        <v>110.07692307692537</v>
      </c>
      <c r="P61" s="111">
        <f t="shared" si="58"/>
        <v>0</v>
      </c>
      <c r="Q61" s="255">
        <f t="shared" si="59"/>
        <v>-20.339743589741289</v>
      </c>
      <c r="R61" s="85">
        <f>O61/L61</f>
        <v>0.8440403047431978</v>
      </c>
      <c r="S61" s="425"/>
      <c r="T61" s="22">
        <v>0.46180555555555602</v>
      </c>
      <c r="U61" s="22">
        <v>0.50694444444444398</v>
      </c>
      <c r="V61" s="30">
        <f t="shared" si="60"/>
        <v>15.000000000000506</v>
      </c>
      <c r="W61" s="256">
        <f t="shared" si="17"/>
        <v>64.99999999999865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53"/>
        <v>-244.07692307689558</v>
      </c>
      <c r="AG61" s="247">
        <f t="shared" si="54"/>
        <v>0.84404030474319769</v>
      </c>
      <c r="AH61" s="404"/>
    </row>
    <row r="62" spans="1:34" ht="15" customHeight="1">
      <c r="A62" s="449"/>
      <c r="B62" s="250" t="s">
        <v>132</v>
      </c>
      <c r="C62" s="251"/>
      <c r="D62" s="257" t="s">
        <v>135</v>
      </c>
      <c r="E62" s="253"/>
      <c r="F62" s="250">
        <f>VLOOKUP(D62,廠價表!$C$1:$E$41,3,0)</f>
        <v>28.26</v>
      </c>
      <c r="G62" s="38">
        <v>873</v>
      </c>
      <c r="H62" s="254">
        <f>F62*G62</f>
        <v>24670.98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si="55"/>
        <v>130.41666666666666</v>
      </c>
      <c r="M62" s="108">
        <v>12</v>
      </c>
      <c r="N62" s="80">
        <f t="shared" si="56"/>
        <v>1309.4999999999889</v>
      </c>
      <c r="O62" s="81">
        <f t="shared" si="57"/>
        <v>109.12499999999908</v>
      </c>
      <c r="P62" s="74">
        <f t="shared" si="58"/>
        <v>0</v>
      </c>
      <c r="Q62" s="83">
        <f t="shared" si="59"/>
        <v>-21.291666666667581</v>
      </c>
      <c r="R62" s="72">
        <f>O62/L62</f>
        <v>0.83674121405750101</v>
      </c>
      <c r="S62" s="425"/>
      <c r="T62" s="22">
        <v>0.55902777777777801</v>
      </c>
      <c r="U62" s="22">
        <v>0.58680555555555602</v>
      </c>
      <c r="V62" s="30">
        <f t="shared" si="60"/>
        <v>75.000000000001009</v>
      </c>
      <c r="W62" s="248">
        <f t="shared" si="17"/>
        <v>40.000000000000341</v>
      </c>
      <c r="X62" s="22">
        <v>0.51041666666666696</v>
      </c>
      <c r="Y62" s="84">
        <v>0.55208333333333304</v>
      </c>
      <c r="Z62" s="90"/>
      <c r="AA62" s="90"/>
      <c r="AB62" s="395"/>
      <c r="AC62" s="395"/>
      <c r="AD62" s="92"/>
      <c r="AE62" s="92"/>
      <c r="AF62" s="317">
        <f>N62-K62</f>
        <v>-255.50000000001114</v>
      </c>
      <c r="AG62" s="247">
        <f>N62/K62</f>
        <v>0.8367412140575009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61">AVERAGE(J59:J68)</f>
        <v>12.25</v>
      </c>
      <c r="K69" s="240">
        <f t="shared" si="61"/>
        <v>1565</v>
      </c>
      <c r="L69" s="268">
        <f t="shared" si="61"/>
        <v>127.90865384615384</v>
      </c>
      <c r="M69" s="240">
        <f t="shared" si="61"/>
        <v>11.75</v>
      </c>
      <c r="N69" s="240">
        <f t="shared" si="61"/>
        <v>1361.0673076923133</v>
      </c>
      <c r="O69" s="268">
        <f t="shared" si="61"/>
        <v>116.03940850815897</v>
      </c>
      <c r="P69" s="269">
        <f>M69-J69</f>
        <v>-0.5</v>
      </c>
      <c r="Q69" s="222">
        <f>N69-K69</f>
        <v>-203.93269230768669</v>
      </c>
      <c r="R69" s="123">
        <f>O69/L69</f>
        <v>0.90720529861669108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-203.93269230768669</v>
      </c>
      <c r="AG69" s="124">
        <f>N69/K69</f>
        <v>0.86969157041042389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2485</v>
      </c>
      <c r="H70" s="243">
        <f>F70*G70</f>
        <v>125914.95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903.63636363635794</v>
      </c>
      <c r="O70" s="138">
        <f>N70/M70</f>
        <v>90.363636363635791</v>
      </c>
      <c r="P70" s="56">
        <f>M70-J70</f>
        <v>0</v>
      </c>
      <c r="Q70" s="230">
        <f>O70-L70</f>
        <v>-22.136363636364209</v>
      </c>
      <c r="R70" s="52">
        <f>O70/L70</f>
        <v>0.80323232323231819</v>
      </c>
      <c r="S70" s="424">
        <f>R79</f>
        <v>0.80323232323231819</v>
      </c>
      <c r="T70" s="245">
        <v>0.33333333333333298</v>
      </c>
      <c r="U70" s="245">
        <v>0.44791666666666702</v>
      </c>
      <c r="V70" s="55"/>
      <c r="W70" s="54">
        <f t="shared" si="17"/>
        <v>165.00000000000102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-221.36363636364206</v>
      </c>
      <c r="AG70" s="246">
        <f>N70/K70</f>
        <v>0.80323232323231819</v>
      </c>
      <c r="AH70" s="403">
        <f>AG79</f>
        <v>0.80323232323231819</v>
      </c>
    </row>
    <row r="71" spans="1:36" ht="15" customHeight="1">
      <c r="A71" s="45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5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62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62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62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62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63">AVERAGE(J70:J78)</f>
        <v>10</v>
      </c>
      <c r="K79" s="240">
        <f t="shared" si="63"/>
        <v>1125</v>
      </c>
      <c r="L79" s="268">
        <f t="shared" si="63"/>
        <v>112.5</v>
      </c>
      <c r="M79" s="240">
        <f t="shared" si="63"/>
        <v>10</v>
      </c>
      <c r="N79" s="240">
        <f t="shared" si="63"/>
        <v>903.63636363635794</v>
      </c>
      <c r="O79" s="268">
        <f t="shared" si="63"/>
        <v>90.363636363635791</v>
      </c>
      <c r="P79" s="269">
        <f>M79-J79</f>
        <v>0</v>
      </c>
      <c r="Q79" s="222">
        <f>N79-K79</f>
        <v>-221.36363636364206</v>
      </c>
      <c r="R79" s="223">
        <f>O79/L79</f>
        <v>0.80323232323231819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-221.36363636364206</v>
      </c>
      <c r="AG79" s="124">
        <f>N79/K79</f>
        <v>0.80323232323231819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5:AH15"/>
    <mergeCell ref="AB6:AC6"/>
    <mergeCell ref="AB7:AC7"/>
    <mergeCell ref="AB14:AC1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15:AC15"/>
    <mergeCell ref="AB8:AC8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S5:S15"/>
    <mergeCell ref="AB5:AC5"/>
    <mergeCell ref="S16:S26"/>
    <mergeCell ref="AB16:AC16"/>
    <mergeCell ref="D26:E26"/>
    <mergeCell ref="AB26:AC26"/>
    <mergeCell ref="AB9:AC9"/>
    <mergeCell ref="AB10:AC10"/>
    <mergeCell ref="AB11:AC11"/>
    <mergeCell ref="AB12:AC12"/>
    <mergeCell ref="AB13:AC13"/>
    <mergeCell ref="A2:B2"/>
    <mergeCell ref="A3:A4"/>
    <mergeCell ref="B3:B4"/>
    <mergeCell ref="D3:E4"/>
    <mergeCell ref="F3:F4"/>
    <mergeCell ref="H3:H4"/>
    <mergeCell ref="I3:I4"/>
    <mergeCell ref="G3:G4"/>
    <mergeCell ref="A16:A26"/>
    <mergeCell ref="A5:A15"/>
    <mergeCell ref="D15:E15"/>
    <mergeCell ref="P3:P4"/>
    <mergeCell ref="Q3:Q4"/>
    <mergeCell ref="R3:R4"/>
    <mergeCell ref="P1:S2"/>
    <mergeCell ref="W3:W4"/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N3:N4"/>
    <mergeCell ref="O3:O4"/>
    <mergeCell ref="X3:Y3"/>
    <mergeCell ref="Z3:AA3"/>
    <mergeCell ref="AB3:AC4"/>
    <mergeCell ref="T1:Y2"/>
    <mergeCell ref="AB1:AC2"/>
  </mergeCells>
  <phoneticPr fontId="0" type="noConversion"/>
  <conditionalFormatting sqref="P5:P79">
    <cfRule type="cellIs" dxfId="218" priority="1" operator="greaterThan">
      <formula>0</formula>
    </cfRule>
  </conditionalFormatting>
  <conditionalFormatting sqref="Q5:Q79 AF5:AF79">
    <cfRule type="cellIs" dxfId="217" priority="4" operator="lessThan">
      <formula>0</formula>
    </cfRule>
  </conditionalFormatting>
  <conditionalFormatting sqref="R5:R79 AG5:AG79">
    <cfRule type="cellIs" dxfId="216" priority="2" operator="greaterThan">
      <formula>1</formula>
    </cfRule>
    <cfRule type="cellIs" dxfId="215" priority="3" operator="lessThan">
      <formula>0.8</formula>
    </cfRule>
  </conditionalFormatting>
  <conditionalFormatting sqref="S5:S10 S37:S62 AH59:AH62 S69:S76 AH69:AH76">
    <cfRule type="cellIs" dxfId="214" priority="7" operator="lessThan">
      <formula>0.8</formula>
    </cfRule>
  </conditionalFormatting>
  <conditionalFormatting sqref="S19:S25 AH19:AH25">
    <cfRule type="cellIs" dxfId="213" priority="6" operator="lessThan">
      <formula>0.8</formula>
    </cfRule>
  </conditionalFormatting>
  <conditionalFormatting sqref="S79">
    <cfRule type="cellIs" dxfId="212" priority="5" operator="lessThan">
      <formula>0.8</formula>
    </cfRule>
  </conditionalFormatting>
  <conditionalFormatting sqref="AH5:AH8 S15:S16 AH15:AH16 AH49 AH79">
    <cfRule type="cellIs" dxfId="211" priority="9" operator="lessThan">
      <formula>0.8</formula>
    </cfRule>
  </conditionalFormatting>
  <conditionalFormatting sqref="AH27 S27:S28">
    <cfRule type="cellIs" dxfId="2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7BA8A4-1A15-4E20-A43F-1B396D911B2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FFCE-E7EE-47B7-A823-48EBD8910C74}">
  <sheetPr codeName="工作表25"/>
  <dimension ref="B1:O26"/>
  <sheetViews>
    <sheetView zoomScale="70" zoomScaleNormal="70" workbookViewId="0">
      <selection activeCell="Q15" sqref="Q15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46064</v>
      </c>
      <c r="E3" s="493"/>
      <c r="F3" s="3" t="s">
        <v>72</v>
      </c>
      <c r="G3" s="494">
        <f>'0211'!E1</f>
        <v>48615</v>
      </c>
      <c r="H3" s="494"/>
      <c r="I3" s="3" t="s">
        <v>2</v>
      </c>
      <c r="J3" s="495">
        <f>'0211'!G1</f>
        <v>2331770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116.04326396642573</v>
      </c>
      <c r="G6" s="490"/>
      <c r="H6" s="491">
        <f>AVERAGE(D13:H13,J13)</f>
        <v>114.2050330320551</v>
      </c>
      <c r="I6" s="491"/>
      <c r="J6" s="491">
        <f>AVERAGE(I13)</f>
        <v>127.07264957264958</v>
      </c>
      <c r="K6" s="491"/>
      <c r="L6" s="497">
        <f>SUM(D18:J18)</f>
        <v>2</v>
      </c>
      <c r="M6" s="482">
        <f>SUM(D19:J19)</f>
        <v>24</v>
      </c>
      <c r="N6" s="498">
        <f>SUM(D20:J20)</f>
        <v>0</v>
      </c>
      <c r="O6" s="482">
        <f>SUM(D20:J20)</f>
        <v>0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105.8397601921926</v>
      </c>
      <c r="G7" s="479"/>
      <c r="H7" s="480">
        <f>AVERAGE(D14:H14,J14)</f>
        <v>103.19652190961706</v>
      </c>
      <c r="I7" s="480"/>
      <c r="J7" s="480">
        <f>AVERAGE(I14)</f>
        <v>121.69918988764583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0.91207155481954338</v>
      </c>
      <c r="G8" s="485"/>
      <c r="H8" s="485">
        <f>H7/H6</f>
        <v>0.90360747832060817</v>
      </c>
      <c r="I8" s="485"/>
      <c r="J8" s="485">
        <f>J7/J6</f>
        <v>0.95771348356176633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VALUE('0211'!L15)</f>
        <v>130.49773755656108</v>
      </c>
      <c r="E13" s="13">
        <f>VALUE('0211'!L26)</f>
        <v>176.22727272727272</v>
      </c>
      <c r="F13" s="13">
        <f>VALUE('0211'!L37)</f>
        <v>89.988235294117644</v>
      </c>
      <c r="G13" s="13">
        <f>VALUE('0211'!L48)</f>
        <v>87.336397058823522</v>
      </c>
      <c r="H13" s="13">
        <f>VALUE('0211'!L58)</f>
        <v>88.680555555555571</v>
      </c>
      <c r="I13" s="13">
        <f>VALUE('0211'!L69)</f>
        <v>127.07264957264958</v>
      </c>
      <c r="J13" s="13">
        <f>'0211'!L79</f>
        <v>112.5</v>
      </c>
    </row>
    <row r="14" spans="2:15" ht="39.950000000000003" customHeight="1">
      <c r="B14" s="473"/>
      <c r="C14" s="12" t="s">
        <v>100</v>
      </c>
      <c r="D14" s="13">
        <f>VALUE('0211'!O15)</f>
        <v>121.16087713191719</v>
      </c>
      <c r="E14" s="13">
        <f>VALUE('0211'!O26)</f>
        <v>162.16203825586044</v>
      </c>
      <c r="F14" s="13">
        <f>VALUE('0211'!O37)</f>
        <v>79.797854526424743</v>
      </c>
      <c r="G14" s="13">
        <f>VALUE('0211'!O48)</f>
        <v>80.319219289837932</v>
      </c>
      <c r="H14" s="13">
        <f>VALUE('0211'!O58)</f>
        <v>83.120960435480896</v>
      </c>
      <c r="I14" s="13">
        <f>VALUE('0211'!O69)</f>
        <v>121.69918988764583</v>
      </c>
      <c r="J14" s="13">
        <f>'0211'!O79</f>
        <v>92.618181818181242</v>
      </c>
    </row>
    <row r="15" spans="2:15" ht="39.950000000000003" customHeight="1">
      <c r="B15" s="474"/>
      <c r="C15" s="10" t="s">
        <v>26</v>
      </c>
      <c r="D15" s="14">
        <f>D14/D13</f>
        <v>0.92845193641309642</v>
      </c>
      <c r="E15" s="14">
        <f t="shared" ref="E15:I15" si="1">E14/E13</f>
        <v>0.92018695940906103</v>
      </c>
      <c r="F15" s="14">
        <f t="shared" si="1"/>
        <v>0.88675874424710466</v>
      </c>
      <c r="G15" s="14">
        <f t="shared" si="1"/>
        <v>0.91965345485617733</v>
      </c>
      <c r="H15" s="14">
        <f t="shared" si="1"/>
        <v>0.93730761963267395</v>
      </c>
      <c r="I15" s="14">
        <f t="shared" si="1"/>
        <v>0.95771348356176633</v>
      </c>
      <c r="J15" s="15">
        <f>'0211'!S70</f>
        <v>0.82327272727272216</v>
      </c>
    </row>
    <row r="16" spans="2:15" ht="17.25" customHeight="1">
      <c r="B16" s="475" t="s">
        <v>101</v>
      </c>
      <c r="C16" s="10" t="s">
        <v>34</v>
      </c>
      <c r="D16" s="16">
        <f>'0211'!T5</f>
        <v>0.29166666666666702</v>
      </c>
      <c r="E16" s="16">
        <f>'0211'!T16</f>
        <v>0.29166666666666702</v>
      </c>
      <c r="F16" s="16">
        <f>'0211'!T27</f>
        <v>0.29166666666666702</v>
      </c>
      <c r="G16" s="16">
        <f>'0211'!T38</f>
        <v>0.33263888888888898</v>
      </c>
      <c r="H16" s="16">
        <f>'0211'!T49</f>
        <v>0.28888888888888897</v>
      </c>
      <c r="I16" s="16">
        <f>'0211'!T59</f>
        <v>0.29027777777777802</v>
      </c>
      <c r="J16" s="16">
        <f>'0211'!T70</f>
        <v>0.33333333333333298</v>
      </c>
    </row>
    <row r="17" spans="2:10" ht="17.25" customHeight="1">
      <c r="B17" s="476"/>
      <c r="C17" s="10" t="s">
        <v>35</v>
      </c>
      <c r="D17" s="16">
        <v>0.49166666666666697</v>
      </c>
      <c r="E17" s="19">
        <v>0.61805555555555602</v>
      </c>
      <c r="F17" s="19">
        <v>0.57430555555555596</v>
      </c>
      <c r="G17" s="210">
        <v>0.64236111111111105</v>
      </c>
      <c r="H17" s="21">
        <v>0.61458333333333304</v>
      </c>
      <c r="I17" s="22">
        <v>0.50347222222222199</v>
      </c>
      <c r="J17" s="272">
        <v>0.44791666666666702</v>
      </c>
    </row>
    <row r="18" spans="2:10" ht="17.25" customHeight="1">
      <c r="B18" s="477" t="s">
        <v>102</v>
      </c>
      <c r="C18" s="330" t="s">
        <v>36</v>
      </c>
      <c r="D18" s="358">
        <f>'0211'!Z15</f>
        <v>0</v>
      </c>
      <c r="E18" s="359">
        <f>'0211'!Z26</f>
        <v>0</v>
      </c>
      <c r="F18" s="359">
        <f>'0211'!Z37</f>
        <v>1</v>
      </c>
      <c r="G18" s="360">
        <f>'0211'!Z48</f>
        <v>1</v>
      </c>
      <c r="H18" s="360">
        <f>'0211'!Z58</f>
        <v>0</v>
      </c>
      <c r="I18" s="359">
        <f>'0211'!Z69</f>
        <v>0</v>
      </c>
      <c r="J18" s="359">
        <f>'0211'!AA79</f>
        <v>0</v>
      </c>
    </row>
    <row r="19" spans="2:10" ht="17.25" customHeight="1">
      <c r="B19" s="478"/>
      <c r="C19" s="330" t="s">
        <v>37</v>
      </c>
      <c r="D19" s="358">
        <f>'0211'!AA15</f>
        <v>0</v>
      </c>
      <c r="E19" s="359">
        <f>'0211'!AA26</f>
        <v>0</v>
      </c>
      <c r="F19" s="359">
        <f>'0211'!AA37</f>
        <v>15</v>
      </c>
      <c r="G19" s="360">
        <f>'0211'!AA48</f>
        <v>9</v>
      </c>
      <c r="H19" s="360">
        <f>'0211'!AA58</f>
        <v>0</v>
      </c>
      <c r="I19" s="359">
        <f>'0211'!AA69</f>
        <v>0</v>
      </c>
      <c r="J19" s="359">
        <f>'0211'!AB79</f>
        <v>0</v>
      </c>
    </row>
    <row r="20" spans="2:10" ht="17.25" customHeight="1">
      <c r="B20" s="477" t="s">
        <v>103</v>
      </c>
      <c r="C20" s="330" t="s">
        <v>36</v>
      </c>
      <c r="D20" s="358">
        <f>'0211'!AD15</f>
        <v>0</v>
      </c>
      <c r="E20" s="359">
        <f>'0211'!AD26</f>
        <v>0</v>
      </c>
      <c r="F20" s="359">
        <f>'0211'!AD37</f>
        <v>0</v>
      </c>
      <c r="G20" s="360">
        <f>'0211'!AD48</f>
        <v>0</v>
      </c>
      <c r="H20" s="360">
        <f>'0211'!AD58</f>
        <v>0</v>
      </c>
      <c r="I20" s="359">
        <f>'0211'!AD69</f>
        <v>0</v>
      </c>
      <c r="J20" s="359">
        <f>'0211'!AD79</f>
        <v>0</v>
      </c>
    </row>
    <row r="21" spans="2:10" ht="17.25" customHeight="1">
      <c r="B21" s="478"/>
      <c r="C21" s="330" t="s">
        <v>85</v>
      </c>
      <c r="D21" s="358">
        <f>'0211'!AE15</f>
        <v>0</v>
      </c>
      <c r="E21" s="359">
        <f>'0211'!AE26</f>
        <v>0</v>
      </c>
      <c r="F21" s="359">
        <f>'0211'!AE37</f>
        <v>0</v>
      </c>
      <c r="G21" s="360">
        <f>'0211'!AE48</f>
        <v>0</v>
      </c>
      <c r="H21" s="360">
        <f>'0211'!AE58</f>
        <v>0</v>
      </c>
      <c r="I21" s="359">
        <f>'0211'!AE69</f>
        <v>0</v>
      </c>
      <c r="J21" s="359">
        <f>'0211'!AE79</f>
        <v>0</v>
      </c>
    </row>
    <row r="22" spans="2:10" ht="17.25" customHeight="1">
      <c r="B22" s="460" t="s">
        <v>104</v>
      </c>
      <c r="C22" s="461"/>
      <c r="D22" s="23">
        <f>VALUE('0211'!M15)</f>
        <v>15</v>
      </c>
      <c r="E22" s="23">
        <f>VALUE('0211'!M26)</f>
        <v>12.4</v>
      </c>
      <c r="F22" s="23">
        <f>VALUE('0211'!M37)</f>
        <v>14</v>
      </c>
      <c r="G22" s="23">
        <f>VALUE('0211'!M48)</f>
        <v>15.75</v>
      </c>
      <c r="H22" s="23">
        <f>VALUE('0211'!M58)</f>
        <v>15.5</v>
      </c>
      <c r="I22" s="23">
        <f>VALUE('0211'!M69)</f>
        <v>11.666666666666666</v>
      </c>
      <c r="J22" s="23">
        <f>'0211'!M79</f>
        <v>10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3A5CB-5FCC-407B-B6DA-7B72484F9596}">
  <sheetPr codeName="工作表26">
    <tabColor theme="9" tint="0.79998168889431442"/>
  </sheetPr>
  <dimension ref="A1:AJ92"/>
  <sheetViews>
    <sheetView zoomScale="69" zoomScaleNormal="69" workbookViewId="0">
      <pane xSplit="5" ySplit="4" topLeftCell="O41" activePane="bottomRight" state="frozen"/>
      <selection activeCell="Q15" sqref="Q15"/>
      <selection pane="topRight" activeCell="Q15" sqref="Q15"/>
      <selection pane="bottomLeft" activeCell="Q15" sqref="Q15"/>
      <selection pane="bottomRight" activeCell="X62" sqref="X62:Z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48615</v>
      </c>
      <c r="F1" s="30" t="s">
        <v>2</v>
      </c>
      <c r="G1" s="31">
        <f>SUM(H5:H79)</f>
        <v>2331770</v>
      </c>
      <c r="H1" s="32" t="s">
        <v>3</v>
      </c>
      <c r="I1" s="33">
        <f>M15+M26+M48+M58+M69+M79+M37</f>
        <v>94.316666666666663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174</v>
      </c>
      <c r="B2" s="374"/>
      <c r="C2" s="28"/>
      <c r="D2" s="28" t="s">
        <v>14</v>
      </c>
      <c r="E2" s="35">
        <f>AVERAGE(O15,O26,O37,O48,O58,O69,O79)</f>
        <v>105.8397601921926</v>
      </c>
      <c r="F2" s="36" t="s">
        <v>15</v>
      </c>
      <c r="G2" s="37">
        <f>G1/E1</f>
        <v>47.964002879769616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2</v>
      </c>
      <c r="AA2" s="339">
        <f>AA15+AA26+AA37+AA48+AA58+AA69+AA79</f>
        <v>24</v>
      </c>
      <c r="AB2" s="370"/>
      <c r="AC2" s="370"/>
      <c r="AD2" s="340">
        <f>AD15+AD26+AD37+AD48+AD58+AD69+AD79</f>
        <v>0</v>
      </c>
      <c r="AE2" s="340">
        <f>AE15+AE26+AE37+AE48+AE58+AE69+AE79</f>
        <v>0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113</v>
      </c>
      <c r="E5" s="41"/>
      <c r="F5" s="39">
        <f>VLOOKUP(D5,廠價表!$C$1:$E$41,3,0)</f>
        <v>57.21</v>
      </c>
      <c r="G5" s="42">
        <v>1352</v>
      </c>
      <c r="H5" s="43">
        <f>F5*G5</f>
        <v>77347.92</v>
      </c>
      <c r="I5" s="44"/>
      <c r="J5" s="45">
        <f>VLOOKUP(D5,產線配置圖!$A$3:$C$39,2,0)</f>
        <v>17</v>
      </c>
      <c r="K5" s="46">
        <f>VLOOKUP(D5,產線配置圖!$A$3:$C$39,3,0)</f>
        <v>2000</v>
      </c>
      <c r="L5" s="47">
        <f t="shared" ref="L5:L7" si="0">K5/J5</f>
        <v>117.64705882352941</v>
      </c>
      <c r="M5" s="48">
        <v>17</v>
      </c>
      <c r="N5" s="46">
        <f t="shared" ref="N5:N7" si="1">G5/W5*60</f>
        <v>1622.400000000011</v>
      </c>
      <c r="O5" s="47">
        <f t="shared" ref="O5:O7" si="2">N5/M5</f>
        <v>95.4352941176477</v>
      </c>
      <c r="P5" s="49">
        <f t="shared" ref="P5:P7" si="3">M5-J5</f>
        <v>0</v>
      </c>
      <c r="Q5" s="50">
        <f t="shared" ref="Q5:Q7" si="4">O5-L5</f>
        <v>-22.211764705881706</v>
      </c>
      <c r="R5" s="51">
        <f t="shared" ref="R5:R7" si="5">O5/L5</f>
        <v>0.81120000000000547</v>
      </c>
      <c r="S5" s="424">
        <f>R15</f>
        <v>0.92845193641309642</v>
      </c>
      <c r="T5" s="319">
        <v>0.29166666666666702</v>
      </c>
      <c r="U5" s="320">
        <v>0.32638888888888901</v>
      </c>
      <c r="V5" s="53"/>
      <c r="W5" s="54">
        <f t="shared" ref="W5:W14" si="6">(U5-T5)*24*60</f>
        <v>49.999999999999659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11" si="7">N5-K5</f>
        <v>-377.599999999989</v>
      </c>
      <c r="AG5" s="52">
        <f t="shared" ref="AG5:AG11" si="8">N5/K5</f>
        <v>0.81120000000000547</v>
      </c>
      <c r="AH5" s="403">
        <f>AG15</f>
        <v>0.92189920424402705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1650</v>
      </c>
      <c r="H6" s="63">
        <f>F6*G6</f>
        <v>92862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1799.9999999999723</v>
      </c>
      <c r="O6" s="67">
        <f t="shared" si="2"/>
        <v>119.99999999999815</v>
      </c>
      <c r="P6" s="69">
        <f t="shared" si="3"/>
        <v>0</v>
      </c>
      <c r="Q6" s="70">
        <f t="shared" si="4"/>
        <v>-1.8474111129762605E-12</v>
      </c>
      <c r="R6" s="71">
        <f t="shared" si="5"/>
        <v>0.99999999999998457</v>
      </c>
      <c r="S6" s="425"/>
      <c r="T6" s="16">
        <v>0.33333333333333298</v>
      </c>
      <c r="U6" s="16">
        <v>0.37152777777777801</v>
      </c>
      <c r="V6" s="30">
        <f>(T6-U5)*24*60</f>
        <v>9.999999999999325</v>
      </c>
      <c r="W6" s="73">
        <f t="shared" si="6"/>
        <v>55.000000000000846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-2.7739588404074311E-11</v>
      </c>
      <c r="AG6" s="72">
        <f t="shared" si="8"/>
        <v>0.99999999999998457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5004</v>
      </c>
      <c r="H7" s="78">
        <f>F7*G7</f>
        <v>245896.56</v>
      </c>
      <c r="I7" s="73"/>
      <c r="J7" s="79">
        <f>VLOOKUP(D7,產線配置圖!$A$3:$C$39,2,0)</f>
        <v>13</v>
      </c>
      <c r="K7" s="80">
        <f>VLOOKUP(D7,產線配置圖!$A$3:$C$39,3,0)</f>
        <v>2000</v>
      </c>
      <c r="L7" s="81">
        <f t="shared" si="0"/>
        <v>153.84615384615384</v>
      </c>
      <c r="M7" s="82">
        <v>13</v>
      </c>
      <c r="N7" s="80">
        <f t="shared" si="1"/>
        <v>1924.6153846153738</v>
      </c>
      <c r="O7" s="81">
        <f t="shared" si="2"/>
        <v>148.04733727810569</v>
      </c>
      <c r="P7" s="74">
        <f t="shared" si="3"/>
        <v>0</v>
      </c>
      <c r="Q7" s="83">
        <f t="shared" si="4"/>
        <v>-5.7988165680481529</v>
      </c>
      <c r="R7" s="72">
        <f t="shared" si="5"/>
        <v>0.96230769230768698</v>
      </c>
      <c r="S7" s="425"/>
      <c r="T7" s="18">
        <v>0.38333333333333303</v>
      </c>
      <c r="U7" s="18">
        <v>0.49166666666666697</v>
      </c>
      <c r="V7" s="30">
        <f>(T7-U6)*24*60</f>
        <v>16.999999999999218</v>
      </c>
      <c r="W7" s="73">
        <f t="shared" si="6"/>
        <v>156.00000000000088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-75.384615384626159</v>
      </c>
      <c r="AG7" s="72">
        <f t="shared" si="8"/>
        <v>0.96230769230768687</v>
      </c>
      <c r="AH7" s="404"/>
    </row>
    <row r="8" spans="1:34" ht="15" customHeight="1">
      <c r="A8" s="42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5"/>
      <c r="T8" s="16"/>
      <c r="U8" s="16"/>
      <c r="V8" s="30"/>
      <c r="W8" s="73">
        <f t="shared" si="6"/>
        <v>0</v>
      </c>
      <c r="X8" s="22"/>
      <c r="Y8" s="84"/>
      <c r="Z8" s="90"/>
      <c r="AA8" s="90"/>
      <c r="AB8" s="407"/>
      <c r="AC8" s="407"/>
      <c r="AD8" s="149"/>
      <c r="AE8" s="149"/>
      <c r="AF8" s="307">
        <f t="shared" si="7"/>
        <v>0</v>
      </c>
      <c r="AG8" s="72" t="e">
        <f t="shared" si="8"/>
        <v>#DIV/0!</v>
      </c>
      <c r="AH8" s="404"/>
    </row>
    <row r="9" spans="1:34" ht="15" customHeight="1">
      <c r="A9" s="42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6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0</v>
      </c>
      <c r="AG9" s="72" t="e">
        <f t="shared" si="8"/>
        <v>#DIV/0!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9">AVERAGE(J5:J14)</f>
        <v>15</v>
      </c>
      <c r="K15" s="120">
        <f t="shared" si="9"/>
        <v>1933.3333333333333</v>
      </c>
      <c r="L15" s="117">
        <f t="shared" si="9"/>
        <v>130.49773755656108</v>
      </c>
      <c r="M15" s="120">
        <f t="shared" si="9"/>
        <v>15</v>
      </c>
      <c r="N15" s="120">
        <f t="shared" si="9"/>
        <v>1782.3384615384523</v>
      </c>
      <c r="O15" s="117">
        <f t="shared" si="9"/>
        <v>121.16087713191719</v>
      </c>
      <c r="P15" s="121">
        <f t="shared" ref="P15:P20" si="10">M15-J15</f>
        <v>0</v>
      </c>
      <c r="Q15" s="122">
        <f t="shared" ref="Q15:Q20" si="11">O15-L15</f>
        <v>-9.3368604246438878</v>
      </c>
      <c r="R15" s="123">
        <f t="shared" ref="R15:R20" si="12">O15/L15</f>
        <v>0.92845193641309642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3">N15-K15</f>
        <v>-150.99487179488096</v>
      </c>
      <c r="AG15" s="124">
        <f t="shared" ref="AG15:AG19" si="14">N15/K15</f>
        <v>0.92189920424402705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2639</v>
      </c>
      <c r="H16" s="134">
        <f>F16*G16</f>
        <v>150977.19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20" si="15">K16/J16</f>
        <v>175.41666666666666</v>
      </c>
      <c r="M16" s="139">
        <v>16</v>
      </c>
      <c r="N16" s="140">
        <f t="shared" ref="N16:N20" si="16">G16/W16*60</f>
        <v>2262.0000000000059</v>
      </c>
      <c r="O16" s="141">
        <f>N16/M16</f>
        <v>141.37500000000037</v>
      </c>
      <c r="P16" s="142">
        <f>M16-J16</f>
        <v>4</v>
      </c>
      <c r="Q16" s="143">
        <f t="shared" si="11"/>
        <v>-34.041666666666288</v>
      </c>
      <c r="R16" s="144">
        <f>O16/L16</f>
        <v>0.80593824228028721</v>
      </c>
      <c r="S16" s="417">
        <f>R26</f>
        <v>0.92018695940906103</v>
      </c>
      <c r="T16" s="145">
        <v>0.29166666666666702</v>
      </c>
      <c r="U16" s="145">
        <v>0.34027777777777801</v>
      </c>
      <c r="V16" s="135"/>
      <c r="W16" s="146">
        <f t="shared" ref="W16:W78" si="17">(U16-T16)*24*60</f>
        <v>69.999999999999829</v>
      </c>
      <c r="X16" s="141"/>
      <c r="Y16" s="296"/>
      <c r="Z16" s="169"/>
      <c r="AA16" s="169"/>
      <c r="AB16" s="402" t="s">
        <v>139</v>
      </c>
      <c r="AC16" s="402"/>
      <c r="AD16" s="135"/>
      <c r="AE16" s="135"/>
      <c r="AF16" s="229">
        <f t="shared" si="13"/>
        <v>157.00000000000591</v>
      </c>
      <c r="AG16" s="52">
        <f t="shared" si="14"/>
        <v>1.0745843230403829</v>
      </c>
      <c r="AH16" s="403">
        <f>AG26</f>
        <v>0.97446004937045227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3321</v>
      </c>
      <c r="H17" s="78">
        <f>F17*G17</f>
        <v>168275.07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5"/>
        <v>166.66666666666666</v>
      </c>
      <c r="M17" s="148">
        <v>12</v>
      </c>
      <c r="N17" s="95">
        <f>G17/W17*60</f>
        <v>1992.600000000012</v>
      </c>
      <c r="O17" s="96">
        <f t="shared" ref="O17:O20" si="18">N17/M17</f>
        <v>166.05000000000101</v>
      </c>
      <c r="P17" s="97">
        <f t="shared" si="10"/>
        <v>0</v>
      </c>
      <c r="Q17" s="98">
        <f t="shared" si="11"/>
        <v>-0.61666666666565106</v>
      </c>
      <c r="R17" s="99">
        <f t="shared" si="12"/>
        <v>0.99630000000000607</v>
      </c>
      <c r="S17" s="418"/>
      <c r="T17" s="19">
        <v>0.34652777777777799</v>
      </c>
      <c r="U17" s="19">
        <v>0.41597222222222202</v>
      </c>
      <c r="V17" s="30">
        <f>(T17-U16)*24*60</f>
        <v>8.999999999999968</v>
      </c>
      <c r="W17" s="149">
        <f t="shared" si="17"/>
        <v>99.999999999999403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3"/>
        <v>-7.3999999999880401</v>
      </c>
      <c r="AG17" s="72">
        <f t="shared" si="14"/>
        <v>0.99630000000000596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2447</v>
      </c>
      <c r="H18" s="78">
        <f>F18*G18</f>
        <v>123304.33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5"/>
        <v>181.81818181818181</v>
      </c>
      <c r="M18" s="148">
        <v>11</v>
      </c>
      <c r="N18" s="95">
        <f t="shared" si="16"/>
        <v>1882.3076923077142</v>
      </c>
      <c r="O18" s="96">
        <f t="shared" si="18"/>
        <v>171.11888111888311</v>
      </c>
      <c r="P18" s="97">
        <f t="shared" si="10"/>
        <v>0</v>
      </c>
      <c r="Q18" s="98">
        <f t="shared" si="11"/>
        <v>-10.699300699298703</v>
      </c>
      <c r="R18" s="99">
        <f t="shared" si="12"/>
        <v>0.94115384615385711</v>
      </c>
      <c r="S18" s="418"/>
      <c r="T18" s="19">
        <v>0.422916666666667</v>
      </c>
      <c r="U18" s="19">
        <v>0.47708333333333303</v>
      </c>
      <c r="V18" s="30">
        <f>(T18-U17)*24*60</f>
        <v>10.000000000000764</v>
      </c>
      <c r="W18" s="149">
        <f t="shared" si="17"/>
        <v>77.999999999999091</v>
      </c>
      <c r="X18" s="22"/>
      <c r="Y18" s="84"/>
      <c r="Z18" s="90"/>
      <c r="AA18" s="90"/>
      <c r="AB18" s="395"/>
      <c r="AC18" s="395"/>
      <c r="AD18" s="92"/>
      <c r="AE18" s="92"/>
      <c r="AF18" s="307">
        <f t="shared" si="13"/>
        <v>-117.69230769228579</v>
      </c>
      <c r="AG18" s="72">
        <f t="shared" si="14"/>
        <v>0.94115384615385711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1635</v>
      </c>
      <c r="H19" s="78">
        <f t="shared" ref="H19:H20" si="19">F19*G19</f>
        <v>82387.649999999994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5"/>
        <v>181.81818181818181</v>
      </c>
      <c r="M19" s="148">
        <v>11</v>
      </c>
      <c r="N19" s="95">
        <f t="shared" si="16"/>
        <v>1923.5294117646886</v>
      </c>
      <c r="O19" s="96">
        <f t="shared" si="18"/>
        <v>174.86631016042622</v>
      </c>
      <c r="P19" s="97">
        <f t="shared" si="10"/>
        <v>0</v>
      </c>
      <c r="Q19" s="98">
        <f t="shared" si="11"/>
        <v>-6.9518716577555892</v>
      </c>
      <c r="R19" s="99">
        <f t="shared" si="12"/>
        <v>0.96176470588234431</v>
      </c>
      <c r="S19" s="418"/>
      <c r="T19" s="19">
        <v>0.55694444444444402</v>
      </c>
      <c r="U19" s="19">
        <v>0.59236111111111101</v>
      </c>
      <c r="V19" s="30">
        <f>(T19-U18)*24*60</f>
        <v>114.99999999999983</v>
      </c>
      <c r="W19" s="149">
        <f t="shared" si="17"/>
        <v>51.000000000000455</v>
      </c>
      <c r="X19" s="22">
        <v>0.5</v>
      </c>
      <c r="Y19" s="84">
        <v>0.54166666666666696</v>
      </c>
      <c r="Z19" s="90"/>
      <c r="AA19" s="90"/>
      <c r="AB19" s="407"/>
      <c r="AC19" s="407"/>
      <c r="AD19" s="149"/>
      <c r="AE19" s="149"/>
      <c r="AF19" s="307">
        <f t="shared" si="13"/>
        <v>-76.470588235311425</v>
      </c>
      <c r="AG19" s="72">
        <f t="shared" si="14"/>
        <v>0.96176470588234431</v>
      </c>
      <c r="AH19" s="405"/>
    </row>
    <row r="20" spans="1:34" ht="15" customHeight="1">
      <c r="A20" s="414"/>
      <c r="B20" s="75" t="s">
        <v>81</v>
      </c>
      <c r="C20" s="76"/>
      <c r="D20" s="59" t="s">
        <v>116</v>
      </c>
      <c r="E20" s="77"/>
      <c r="F20" s="75">
        <f>VLOOKUP(D20,廠價表!$C$1:$E$41,3,0)</f>
        <v>57.21</v>
      </c>
      <c r="G20" s="147">
        <v>787</v>
      </c>
      <c r="H20" s="78">
        <f t="shared" si="19"/>
        <v>45024.270000000004</v>
      </c>
      <c r="I20" s="30"/>
      <c r="J20" s="79">
        <f>VLOOKUP(D20,產線配置圖!$A$3:$C$39,2,0)</f>
        <v>12</v>
      </c>
      <c r="K20" s="80">
        <f>VLOOKUP(D20,產線配置圖!$A$3:$C$39,3,0)</f>
        <v>2105</v>
      </c>
      <c r="L20" s="81">
        <f t="shared" si="15"/>
        <v>175.41666666666666</v>
      </c>
      <c r="M20" s="148">
        <v>12</v>
      </c>
      <c r="N20" s="95">
        <f t="shared" si="16"/>
        <v>1888.7999999998979</v>
      </c>
      <c r="O20" s="96">
        <f t="shared" si="18"/>
        <v>157.39999999999148</v>
      </c>
      <c r="P20" s="97">
        <f t="shared" si="10"/>
        <v>0</v>
      </c>
      <c r="Q20" s="98">
        <f t="shared" si="11"/>
        <v>-18.016666666675178</v>
      </c>
      <c r="R20" s="99">
        <f t="shared" si="12"/>
        <v>0.89729216152014146</v>
      </c>
      <c r="S20" s="418"/>
      <c r="T20" s="19">
        <v>0.60069444444444398</v>
      </c>
      <c r="U20" s="19">
        <v>0.61805555555555602</v>
      </c>
      <c r="V20" s="30">
        <f>(T20-U19)*24*60</f>
        <v>11.999999999999478</v>
      </c>
      <c r="W20" s="149">
        <f t="shared" si="17"/>
        <v>25.00000000000135</v>
      </c>
      <c r="X20" s="19"/>
      <c r="Y20" s="297"/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7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20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20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1">AVERAGE(J16:J25)</f>
        <v>11.6</v>
      </c>
      <c r="K26" s="155">
        <f t="shared" si="21"/>
        <v>2042</v>
      </c>
      <c r="L26" s="158">
        <f t="shared" si="21"/>
        <v>176.22727272727272</v>
      </c>
      <c r="M26" s="155">
        <f t="shared" si="21"/>
        <v>12.4</v>
      </c>
      <c r="N26" s="155">
        <f t="shared" si="21"/>
        <v>1989.8474208144635</v>
      </c>
      <c r="O26" s="158">
        <f t="shared" si="21"/>
        <v>162.16203825586044</v>
      </c>
      <c r="P26" s="159">
        <f t="shared" ref="P26:P31" si="22">M26-J26</f>
        <v>0.80000000000000071</v>
      </c>
      <c r="Q26" s="160">
        <f t="shared" ref="Q26:Q31" si="23">O26-L26</f>
        <v>-14.065234471412282</v>
      </c>
      <c r="R26" s="161">
        <f>O26/L26</f>
        <v>0.92018695940906103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0</v>
      </c>
      <c r="AE26" s="323">
        <f>SUM(AE16:AE25)</f>
        <v>0</v>
      </c>
      <c r="AF26" s="309">
        <f t="shared" ref="AF26:AF31" si="24">N26-K26</f>
        <v>-52.152579185536524</v>
      </c>
      <c r="AG26" s="124">
        <f t="shared" ref="AG26:AG31" si="25">N26/K26</f>
        <v>0.97446004937045227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1156</v>
      </c>
      <c r="H27" s="134">
        <f>F27*G27</f>
        <v>66238.8</v>
      </c>
      <c r="I27" s="135"/>
      <c r="J27" s="136">
        <f>VLOOKUP(D27,產線配置圖!$A$3:$C$39,2,0)</f>
        <v>17</v>
      </c>
      <c r="K27" s="137">
        <f>VLOOKUP(D27,產線配置圖!$A$3:$C$39,3,0)</f>
        <v>1500</v>
      </c>
      <c r="L27" s="138">
        <f t="shared" ref="L27:L31" si="26">K27/J27</f>
        <v>88.235294117647058</v>
      </c>
      <c r="M27" s="170">
        <v>15</v>
      </c>
      <c r="N27" s="140">
        <f>G27/W27*60</f>
        <v>1238.5714285714259</v>
      </c>
      <c r="O27" s="141">
        <f>N27/M27</f>
        <v>82.571428571428399</v>
      </c>
      <c r="P27" s="142">
        <f t="shared" si="22"/>
        <v>-2</v>
      </c>
      <c r="Q27" s="143">
        <f t="shared" si="23"/>
        <v>-5.6638655462186591</v>
      </c>
      <c r="R27" s="144">
        <f>O27/L27</f>
        <v>0.93580952380952187</v>
      </c>
      <c r="S27" s="417">
        <f>R37</f>
        <v>0.88675874424710466</v>
      </c>
      <c r="T27" s="171">
        <v>0.29166666666666702</v>
      </c>
      <c r="U27" s="171">
        <v>0.33055555555555599</v>
      </c>
      <c r="V27" s="135"/>
      <c r="W27" s="146">
        <f t="shared" si="17"/>
        <v>56.000000000000121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4"/>
        <v>-261.42857142857406</v>
      </c>
      <c r="AG27" s="172">
        <f t="shared" si="25"/>
        <v>0.82571428571428396</v>
      </c>
      <c r="AH27" s="403">
        <f>AG37</f>
        <v>0.77257663190215298</v>
      </c>
    </row>
    <row r="28" spans="1:34" ht="15" customHeight="1">
      <c r="A28" s="430"/>
      <c r="B28" s="75" t="s">
        <v>81</v>
      </c>
      <c r="C28" s="173"/>
      <c r="D28" s="59" t="s">
        <v>122</v>
      </c>
      <c r="E28" s="104"/>
      <c r="F28" s="75">
        <f>VLOOKUP(D28,廠價表!$C$1:$E$41,3,0)</f>
        <v>55.13</v>
      </c>
      <c r="G28" s="90">
        <v>1492</v>
      </c>
      <c r="H28" s="91">
        <f>F28*G28</f>
        <v>82253.960000000006</v>
      </c>
      <c r="I28" s="92"/>
      <c r="J28" s="79">
        <f>VLOOKUP(D28,產線配置圖!$A$3:$C$39,2,0)</f>
        <v>17</v>
      </c>
      <c r="K28" s="80">
        <f>VLOOKUP(D28,產線配置圖!$A$3:$C$39,3,0)</f>
        <v>1385</v>
      </c>
      <c r="L28" s="93">
        <f t="shared" si="26"/>
        <v>81.470588235294116</v>
      </c>
      <c r="M28" s="94">
        <v>12</v>
      </c>
      <c r="N28" s="95">
        <f>G28/W28*60</f>
        <v>860.76923076923379</v>
      </c>
      <c r="O28" s="96">
        <f>N28/M28</f>
        <v>71.730769230769482</v>
      </c>
      <c r="P28" s="97">
        <f t="shared" si="22"/>
        <v>-5</v>
      </c>
      <c r="Q28" s="98">
        <f t="shared" si="23"/>
        <v>-9.7398190045246338</v>
      </c>
      <c r="R28" s="99">
        <f t="shared" ref="R28:R31" si="27">O28/L28</f>
        <v>0.88044987503471572</v>
      </c>
      <c r="S28" s="418"/>
      <c r="T28" s="19">
        <v>0.33611111111111103</v>
      </c>
      <c r="U28" s="19">
        <v>0.40833333333333299</v>
      </c>
      <c r="V28" s="92">
        <f>(T28-U27)*24*60</f>
        <v>7.9999999999992522</v>
      </c>
      <c r="W28" s="149">
        <f t="shared" si="17"/>
        <v>103.99999999999963</v>
      </c>
      <c r="X28" s="174"/>
      <c r="Y28" s="301"/>
      <c r="Z28" s="335">
        <v>1</v>
      </c>
      <c r="AA28" s="335">
        <v>15</v>
      </c>
      <c r="AB28" s="395" t="s">
        <v>140</v>
      </c>
      <c r="AC28" s="395"/>
      <c r="AD28" s="92"/>
      <c r="AE28" s="92"/>
      <c r="AF28" s="311">
        <f t="shared" si="24"/>
        <v>-524.23076923076621</v>
      </c>
      <c r="AG28" s="99">
        <f t="shared" si="25"/>
        <v>0.62149402943626986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1304</v>
      </c>
      <c r="H29" s="91">
        <f>F29*G29</f>
        <v>64574.080000000002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6"/>
        <v>96</v>
      </c>
      <c r="M29" s="94">
        <v>14</v>
      </c>
      <c r="N29" s="95">
        <f>G29/W29*60</f>
        <v>1117.7142857142642</v>
      </c>
      <c r="O29" s="96">
        <f>N29/M29</f>
        <v>79.836734693876011</v>
      </c>
      <c r="P29" s="97">
        <f t="shared" si="22"/>
        <v>-1</v>
      </c>
      <c r="Q29" s="98">
        <f t="shared" si="23"/>
        <v>-16.163265306123989</v>
      </c>
      <c r="R29" s="99">
        <f t="shared" si="27"/>
        <v>0.83163265306120848</v>
      </c>
      <c r="S29" s="418"/>
      <c r="T29" s="19">
        <v>0.41319444444444398</v>
      </c>
      <c r="U29" s="19">
        <v>0.46180555555555602</v>
      </c>
      <c r="V29" s="92">
        <f>(T29-U28)*24*60</f>
        <v>6.9999999999998153</v>
      </c>
      <c r="W29" s="149">
        <f t="shared" si="17"/>
        <v>70.00000000000135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4"/>
        <v>-322.28571428573582</v>
      </c>
      <c r="AG29" s="99">
        <f t="shared" si="25"/>
        <v>0.77619047619046122</v>
      </c>
      <c r="AH29" s="432"/>
    </row>
    <row r="30" spans="1:34" ht="15" customHeight="1">
      <c r="A30" s="430"/>
      <c r="B30" s="75" t="s">
        <v>123</v>
      </c>
      <c r="C30" s="88"/>
      <c r="D30" s="59" t="s">
        <v>124</v>
      </c>
      <c r="E30" s="89"/>
      <c r="F30" s="75">
        <f>VLOOKUP(D30,廠價表!$C$1:$E$41,3,0)</f>
        <v>49.52</v>
      </c>
      <c r="G30" s="90">
        <v>755</v>
      </c>
      <c r="H30" s="91">
        <f t="shared" ref="H30:H31" si="28">F30*G30</f>
        <v>37387.600000000006</v>
      </c>
      <c r="I30" s="92"/>
      <c r="J30" s="79">
        <f>VLOOKUP(D30,產線配置圖!$A$3:$C$39,2,0)</f>
        <v>15</v>
      </c>
      <c r="K30" s="80">
        <f>VLOOKUP(D30,產線配置圖!$A$3:$C$39,3,0)</f>
        <v>1440</v>
      </c>
      <c r="L30" s="93">
        <f t="shared" si="26"/>
        <v>96</v>
      </c>
      <c r="M30" s="94">
        <v>14</v>
      </c>
      <c r="N30" s="95">
        <f t="shared" ref="N30:N31" si="29">G30/W30*60</f>
        <v>1078.5714285714159</v>
      </c>
      <c r="O30" s="96">
        <f t="shared" ref="O30:O31" si="30">N30/M30</f>
        <v>77.040816326529708</v>
      </c>
      <c r="P30" s="97">
        <f t="shared" si="22"/>
        <v>-1</v>
      </c>
      <c r="Q30" s="98">
        <f t="shared" si="23"/>
        <v>-18.959183673470292</v>
      </c>
      <c r="R30" s="99">
        <f t="shared" si="27"/>
        <v>0.80250850340135116</v>
      </c>
      <c r="S30" s="418"/>
      <c r="T30" s="19">
        <v>0.52500000000000002</v>
      </c>
      <c r="U30" s="19">
        <v>0.55416666666666703</v>
      </c>
      <c r="V30" s="92">
        <f>(T30-U29)*24*60</f>
        <v>90.999999999999361</v>
      </c>
      <c r="W30" s="149">
        <f t="shared" si="17"/>
        <v>42.00000000000049</v>
      </c>
      <c r="X30" s="174">
        <v>0.46875</v>
      </c>
      <c r="Y30" s="301">
        <v>0.51041666666666696</v>
      </c>
      <c r="Z30" s="335"/>
      <c r="AA30" s="335"/>
      <c r="AB30" s="395"/>
      <c r="AC30" s="395"/>
      <c r="AD30" s="92"/>
      <c r="AE30" s="92"/>
      <c r="AF30" s="312">
        <f t="shared" si="24"/>
        <v>-361.42857142858406</v>
      </c>
      <c r="AG30" s="99">
        <f t="shared" si="25"/>
        <v>0.74900793650792774</v>
      </c>
      <c r="AH30" s="433"/>
    </row>
    <row r="31" spans="1:34" ht="15" customHeight="1">
      <c r="A31" s="430"/>
      <c r="B31" s="75" t="s">
        <v>81</v>
      </c>
      <c r="C31" s="88"/>
      <c r="D31" s="59" t="s">
        <v>121</v>
      </c>
      <c r="E31" s="89"/>
      <c r="F31" s="75">
        <f>VLOOKUP(D31,廠價表!$C$1:$E$41,3,0)</f>
        <v>57.3</v>
      </c>
      <c r="G31" s="90">
        <v>461</v>
      </c>
      <c r="H31" s="91">
        <f t="shared" si="28"/>
        <v>26415.3</v>
      </c>
      <c r="I31" s="92"/>
      <c r="J31" s="79">
        <f>VLOOKUP(D31,產線配置圖!$A$3:$C$39,2,0)</f>
        <v>17</v>
      </c>
      <c r="K31" s="80">
        <f>VLOOKUP(D31,產線配置圖!$A$3:$C$39,3,0)</f>
        <v>1500</v>
      </c>
      <c r="L31" s="93">
        <f t="shared" si="26"/>
        <v>88.235294117647058</v>
      </c>
      <c r="M31" s="94">
        <v>15</v>
      </c>
      <c r="N31" s="95">
        <f t="shared" si="29"/>
        <v>1317.1428571428016</v>
      </c>
      <c r="O31" s="96">
        <f t="shared" si="30"/>
        <v>87.809523809520115</v>
      </c>
      <c r="P31" s="97">
        <f t="shared" si="22"/>
        <v>-2</v>
      </c>
      <c r="Q31" s="98">
        <f t="shared" si="23"/>
        <v>-0.42577030812694261</v>
      </c>
      <c r="R31" s="99">
        <f t="shared" si="27"/>
        <v>0.9951746031745613</v>
      </c>
      <c r="S31" s="418"/>
      <c r="T31" s="19">
        <v>0.55972222222222201</v>
      </c>
      <c r="U31" s="19">
        <v>0.57430555555555596</v>
      </c>
      <c r="V31" s="92">
        <f>(T31-U30)*24*60</f>
        <v>7.9999999999991722</v>
      </c>
      <c r="W31" s="149">
        <f t="shared" si="17"/>
        <v>21.000000000000885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4"/>
        <v>-182.85714285719837</v>
      </c>
      <c r="AG31" s="99">
        <f t="shared" si="25"/>
        <v>0.87809523809520107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9"/>
      <c r="U32" s="19"/>
      <c r="V32" s="92"/>
      <c r="W32" s="149">
        <f t="shared" si="17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31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2">AVERAGE(J27:J36)</f>
        <v>16.2</v>
      </c>
      <c r="K37" s="155">
        <f t="shared" si="32"/>
        <v>1453</v>
      </c>
      <c r="L37" s="158">
        <f t="shared" si="32"/>
        <v>89.988235294117644</v>
      </c>
      <c r="M37" s="155">
        <f t="shared" si="32"/>
        <v>14</v>
      </c>
      <c r="N37" s="155">
        <f t="shared" si="32"/>
        <v>1122.5538461538283</v>
      </c>
      <c r="O37" s="158">
        <f t="shared" si="32"/>
        <v>79.797854526424743</v>
      </c>
      <c r="P37" s="159">
        <f>M37-J37</f>
        <v>-2.1999999999999993</v>
      </c>
      <c r="Q37" s="160">
        <f>N37-K37</f>
        <v>-330.44615384617168</v>
      </c>
      <c r="R37" s="161">
        <f t="shared" ref="R37:R41" si="33">O37/L37</f>
        <v>0.88675874424710466</v>
      </c>
      <c r="S37" s="419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15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4">N37-K37</f>
        <v>-330.44615384617168</v>
      </c>
      <c r="AG37" s="124">
        <f t="shared" ref="AG37:AG41" si="35">N37/K37</f>
        <v>0.77257663190215298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1023</v>
      </c>
      <c r="H38" s="134">
        <f>F38*G38</f>
        <v>57727.89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1" si="36">K38/J38</f>
        <v>87.875</v>
      </c>
      <c r="M38" s="190">
        <v>15</v>
      </c>
      <c r="N38" s="140">
        <f>G38/W38*60</f>
        <v>1096.0714285714248</v>
      </c>
      <c r="O38" s="141">
        <f>N38/M38</f>
        <v>73.071428571428314</v>
      </c>
      <c r="P38" s="142">
        <f t="shared" ref="P38:P41" si="37">M38-J38</f>
        <v>-1</v>
      </c>
      <c r="Q38" s="143">
        <f t="shared" ref="Q38:Q41" si="38">O38-L38</f>
        <v>-14.803571428571686</v>
      </c>
      <c r="R38" s="144">
        <f>O38/L38</f>
        <v>0.83153830522251282</v>
      </c>
      <c r="S38" s="437">
        <f>R48</f>
        <v>0.91965345485617733</v>
      </c>
      <c r="T38" s="191">
        <v>0.33263888888888898</v>
      </c>
      <c r="U38" s="191">
        <v>0.37152777777777801</v>
      </c>
      <c r="V38" s="192"/>
      <c r="W38" s="193">
        <f t="shared" si="17"/>
        <v>56.000000000000199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4"/>
        <v>-309.9285714285752</v>
      </c>
      <c r="AG38" s="195">
        <f t="shared" si="35"/>
        <v>0.7795671611461058</v>
      </c>
      <c r="AH38" s="443">
        <f>AG48</f>
        <v>0.86758677292980291</v>
      </c>
    </row>
    <row r="39" spans="1:34" ht="15" customHeight="1">
      <c r="A39" s="435"/>
      <c r="B39" s="75" t="s">
        <v>123</v>
      </c>
      <c r="C39" s="197"/>
      <c r="D39" s="198" t="s">
        <v>127</v>
      </c>
      <c r="E39" s="176"/>
      <c r="F39" s="75">
        <f>VLOOKUP(D39,廠價表!$C$1:$E$41,3,0)</f>
        <v>49.91</v>
      </c>
      <c r="G39" s="199">
        <v>2212</v>
      </c>
      <c r="H39" s="91">
        <f>F39*G39</f>
        <v>110400.92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6"/>
        <v>92.058823529411768</v>
      </c>
      <c r="M39" s="201">
        <v>16</v>
      </c>
      <c r="N39" s="202">
        <f>G39/W39*60</f>
        <v>1458.4615384615486</v>
      </c>
      <c r="O39" s="203">
        <f t="shared" ref="O39:O41" si="39">N39/M39</f>
        <v>91.153846153846786</v>
      </c>
      <c r="P39" s="97">
        <f t="shared" si="37"/>
        <v>-1</v>
      </c>
      <c r="Q39" s="98">
        <f t="shared" si="38"/>
        <v>-0.90497737556498237</v>
      </c>
      <c r="R39" s="99">
        <f t="shared" si="33"/>
        <v>0.99016957483411838</v>
      </c>
      <c r="S39" s="438"/>
      <c r="T39" s="20">
        <v>0.37638888888888899</v>
      </c>
      <c r="U39" s="20">
        <v>0.43958333333333299</v>
      </c>
      <c r="V39" s="92">
        <f>(T39-U38)*24*60</f>
        <v>6.9999999999998153</v>
      </c>
      <c r="W39" s="205">
        <f t="shared" si="17"/>
        <v>90.999999999999361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4"/>
        <v>-106.53846153845143</v>
      </c>
      <c r="AG39" s="206">
        <f t="shared" si="35"/>
        <v>0.93192430572622909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1389</v>
      </c>
      <c r="H40" s="91">
        <f>F40*G40</f>
        <v>61532.7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6"/>
        <v>84.705882352941174</v>
      </c>
      <c r="M40" s="201">
        <v>15</v>
      </c>
      <c r="N40" s="202">
        <f>G40/W40*60</f>
        <v>1111.199999999985</v>
      </c>
      <c r="O40" s="203">
        <f t="shared" si="39"/>
        <v>74.079999999999004</v>
      </c>
      <c r="P40" s="97">
        <f t="shared" si="37"/>
        <v>-2</v>
      </c>
      <c r="Q40" s="98">
        <f t="shared" si="38"/>
        <v>-10.62588235294217</v>
      </c>
      <c r="R40" s="99">
        <f t="shared" si="33"/>
        <v>0.87455555555554376</v>
      </c>
      <c r="S40" s="425"/>
      <c r="T40" s="20">
        <v>0.44444444444444398</v>
      </c>
      <c r="U40" s="20">
        <v>0.49652777777777801</v>
      </c>
      <c r="V40" s="92">
        <f>(T40-U39)*24*60</f>
        <v>6.9999999999998153</v>
      </c>
      <c r="W40" s="205">
        <f t="shared" si="17"/>
        <v>75.000000000001009</v>
      </c>
      <c r="X40" s="208"/>
      <c r="Y40" s="209"/>
      <c r="Z40" s="337">
        <v>1</v>
      </c>
      <c r="AA40" s="337">
        <v>9</v>
      </c>
      <c r="AB40" s="395" t="s">
        <v>140</v>
      </c>
      <c r="AC40" s="395"/>
      <c r="AD40" s="92"/>
      <c r="AE40" s="92"/>
      <c r="AF40" s="314">
        <f t="shared" si="34"/>
        <v>-328.80000000001496</v>
      </c>
      <c r="AG40" s="206">
        <f t="shared" si="35"/>
        <v>0.77166666666665629</v>
      </c>
      <c r="AH40" s="444"/>
    </row>
    <row r="41" spans="1:34" ht="15" customHeight="1">
      <c r="A41" s="435"/>
      <c r="B41" s="75" t="s">
        <v>123</v>
      </c>
      <c r="C41" s="207"/>
      <c r="D41" s="198" t="s">
        <v>128</v>
      </c>
      <c r="E41" s="178"/>
      <c r="F41" s="75">
        <f>VLOOKUP(D41,廠價表!$C$1:$E$41,3,0)</f>
        <v>44.3</v>
      </c>
      <c r="G41" s="199">
        <v>2727</v>
      </c>
      <c r="H41" s="91">
        <f>F41*G41</f>
        <v>120806.09999999999</v>
      </c>
      <c r="I41" s="200"/>
      <c r="J41" s="148">
        <f>VLOOKUP(D41,產線配置圖!$A$3:$C$39,2,0)</f>
        <v>17</v>
      </c>
      <c r="K41" s="95">
        <f>VLOOKUP(D41,產線配置圖!$A$3:$C$39,3,0)</f>
        <v>1440</v>
      </c>
      <c r="L41" s="96">
        <f t="shared" si="36"/>
        <v>84.705882352941174</v>
      </c>
      <c r="M41" s="201">
        <v>17</v>
      </c>
      <c r="N41" s="202">
        <f>G41/W41*60</f>
        <v>1410.5172413793193</v>
      </c>
      <c r="O41" s="203">
        <f t="shared" si="39"/>
        <v>82.97160243407761</v>
      </c>
      <c r="P41" s="97">
        <f t="shared" si="37"/>
        <v>0</v>
      </c>
      <c r="Q41" s="98">
        <f t="shared" si="38"/>
        <v>-1.7342799188635638</v>
      </c>
      <c r="R41" s="99">
        <f t="shared" si="33"/>
        <v>0.97952586206897185</v>
      </c>
      <c r="S41" s="425"/>
      <c r="T41" s="20">
        <v>0.561805555555556</v>
      </c>
      <c r="U41" s="210">
        <v>0.64236111111111105</v>
      </c>
      <c r="V41" s="92">
        <f>(T41-U40)*24*60</f>
        <v>94.000000000000313</v>
      </c>
      <c r="W41" s="205">
        <f t="shared" si="17"/>
        <v>115.99999999999926</v>
      </c>
      <c r="X41" s="208">
        <v>0.5</v>
      </c>
      <c r="Y41" s="209">
        <v>0.54166666666666696</v>
      </c>
      <c r="Z41" s="337"/>
      <c r="AA41" s="337"/>
      <c r="AB41" s="395"/>
      <c r="AC41" s="395"/>
      <c r="AD41" s="92"/>
      <c r="AE41" s="92"/>
      <c r="AF41" s="314">
        <f t="shared" si="34"/>
        <v>-29.48275862068067</v>
      </c>
      <c r="AG41" s="206">
        <f t="shared" si="35"/>
        <v>0.97952586206897174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40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40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40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31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40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41">AVERAGE(J38:J47)</f>
        <v>16.75</v>
      </c>
      <c r="K48" s="155">
        <f t="shared" si="41"/>
        <v>1462.75</v>
      </c>
      <c r="L48" s="158">
        <f t="shared" si="41"/>
        <v>87.336397058823522</v>
      </c>
      <c r="M48" s="155">
        <f t="shared" si="41"/>
        <v>15.75</v>
      </c>
      <c r="N48" s="155">
        <f t="shared" si="41"/>
        <v>1269.0625521030693</v>
      </c>
      <c r="O48" s="158">
        <f t="shared" si="41"/>
        <v>80.319219289837932</v>
      </c>
      <c r="P48" s="221">
        <f>M48-J48</f>
        <v>-1</v>
      </c>
      <c r="Q48" s="222">
        <f>N48-K48</f>
        <v>-193.68744789693073</v>
      </c>
      <c r="R48" s="223">
        <f>O48/L48</f>
        <v>0.91965345485617733</v>
      </c>
      <c r="S48" s="428"/>
      <c r="T48" s="224"/>
      <c r="U48" s="224"/>
      <c r="V48" s="225"/>
      <c r="W48" s="226">
        <f t="shared" si="40"/>
        <v>0</v>
      </c>
      <c r="X48" s="227"/>
      <c r="Y48" s="303"/>
      <c r="Z48" s="334">
        <f>SUM(Z38:Z47)</f>
        <v>1</v>
      </c>
      <c r="AA48" s="334">
        <f>SUM(AA38:AA47)</f>
        <v>9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42">N48-K48</f>
        <v>-193.68744789693073</v>
      </c>
      <c r="AG48" s="162">
        <f t="shared" ref="AG48:AG53" si="43">N48/K48</f>
        <v>0.86758677292980291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1070</v>
      </c>
      <c r="H49" s="134">
        <f>F49*G49</f>
        <v>60850.899999999994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4">K49/J49</f>
        <v>86.944444444444443</v>
      </c>
      <c r="M49" s="170">
        <v>14</v>
      </c>
      <c r="N49" s="140">
        <f>G49/W49*60</f>
        <v>1035.4838709677549</v>
      </c>
      <c r="O49" s="141">
        <f>N49/M49</f>
        <v>73.96313364055392</v>
      </c>
      <c r="P49" s="229">
        <f>M49-J49</f>
        <v>-4</v>
      </c>
      <c r="Q49" s="230">
        <f>O49-L49</f>
        <v>-12.981310803890523</v>
      </c>
      <c r="R49" s="52">
        <f>O49/L49</f>
        <v>0.85069418883704195</v>
      </c>
      <c r="S49" s="424">
        <f>R58</f>
        <v>0.93730761963267395</v>
      </c>
      <c r="T49" s="191">
        <v>0.28888888888888897</v>
      </c>
      <c r="U49" s="191">
        <v>0.33194444444444399</v>
      </c>
      <c r="V49" s="55"/>
      <c r="W49" s="193">
        <f t="shared" si="17"/>
        <v>61.999999999999218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42"/>
        <v>-529.51612903224509</v>
      </c>
      <c r="AG49" s="52">
        <f t="shared" si="43"/>
        <v>0.66165103576214368</v>
      </c>
      <c r="AH49" s="403">
        <f>AG58</f>
        <v>0.83349157140848829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2207</v>
      </c>
      <c r="H50" s="231">
        <f>F50*G50</f>
        <v>105295.97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4"/>
        <v>90</v>
      </c>
      <c r="M50" s="233">
        <v>16</v>
      </c>
      <c r="N50" s="234">
        <f>G50/W50*60</f>
        <v>1439.347826086954</v>
      </c>
      <c r="O50" s="235">
        <f>N50/M50</f>
        <v>89.959239130434625</v>
      </c>
      <c r="P50" s="74">
        <f>M50-J50</f>
        <v>0</v>
      </c>
      <c r="Q50" s="83">
        <f>O50-L50</f>
        <v>-4.0760869565374946E-2</v>
      </c>
      <c r="R50" s="72">
        <f>O50/L50</f>
        <v>0.99954710144927361</v>
      </c>
      <c r="S50" s="425"/>
      <c r="T50" s="21">
        <v>0.33819444444444402</v>
      </c>
      <c r="U50" s="21">
        <v>0.40208333333333302</v>
      </c>
      <c r="V50" s="30">
        <f t="shared" ref="V50:V52" si="45">(T50-U49)*24*60</f>
        <v>9.000000000000048</v>
      </c>
      <c r="W50" s="236">
        <f t="shared" si="17"/>
        <v>92.000000000000156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2"/>
        <v>-0.65217391304599914</v>
      </c>
      <c r="AG50" s="72">
        <f t="shared" si="43"/>
        <v>0.99954710144927361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1616</v>
      </c>
      <c r="H51" s="231">
        <f>F51*G51</f>
        <v>80751.520000000004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4"/>
        <v>88.888888888888886</v>
      </c>
      <c r="M51" s="233">
        <v>16</v>
      </c>
      <c r="N51" s="234">
        <f>G51/W51*60</f>
        <v>1275.7894736842059</v>
      </c>
      <c r="O51" s="235">
        <f>N51/M51</f>
        <v>79.736842105262866</v>
      </c>
      <c r="P51" s="74">
        <f>M51-J51</f>
        <v>-2</v>
      </c>
      <c r="Q51" s="83">
        <f>O51-L51</f>
        <v>-9.1520467836260195</v>
      </c>
      <c r="R51" s="72">
        <f>O51/L51</f>
        <v>0.89703947368420722</v>
      </c>
      <c r="S51" s="425"/>
      <c r="T51" s="21">
        <v>0.40763888888888899</v>
      </c>
      <c r="U51" s="19">
        <v>0.46041666666666697</v>
      </c>
      <c r="V51" s="30">
        <f t="shared" si="45"/>
        <v>8.0000000000006111</v>
      </c>
      <c r="W51" s="236">
        <f t="shared" si="17"/>
        <v>76.000000000000284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42"/>
        <v>-324.21052631579414</v>
      </c>
      <c r="AG51" s="72">
        <f t="shared" si="43"/>
        <v>0.79736842105262862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3174</v>
      </c>
      <c r="H52" s="231">
        <f>F52*G52</f>
        <v>158604.78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4"/>
        <v>88.888888888888886</v>
      </c>
      <c r="M52" s="233">
        <v>16</v>
      </c>
      <c r="N52" s="234">
        <f>G52/W52*60</f>
        <v>1421.1940298507548</v>
      </c>
      <c r="O52" s="235">
        <f>N52/M52</f>
        <v>88.824626865672172</v>
      </c>
      <c r="P52" s="74">
        <f>M52-J52</f>
        <v>-2</v>
      </c>
      <c r="Q52" s="83">
        <f>O52-L52</f>
        <v>-6.426202321671326E-2</v>
      </c>
      <c r="R52" s="72">
        <f>O52/L52</f>
        <v>0.99927705223881202</v>
      </c>
      <c r="S52" s="425"/>
      <c r="T52" s="21">
        <v>0.52152777777777803</v>
      </c>
      <c r="U52" s="21">
        <v>0.61458333333333304</v>
      </c>
      <c r="V52" s="30">
        <f t="shared" si="45"/>
        <v>87.999999999999929</v>
      </c>
      <c r="W52" s="236">
        <f t="shared" si="17"/>
        <v>133.9999999999992</v>
      </c>
      <c r="X52" s="22">
        <v>0.46875</v>
      </c>
      <c r="Y52" s="84">
        <v>0.51041666666666696</v>
      </c>
      <c r="Z52" s="90"/>
      <c r="AA52" s="90"/>
      <c r="AB52" s="395"/>
      <c r="AC52" s="395"/>
      <c r="AD52" s="92"/>
      <c r="AE52" s="92"/>
      <c r="AF52" s="307">
        <f t="shared" si="42"/>
        <v>-178.80597014924524</v>
      </c>
      <c r="AG52" s="72">
        <f t="shared" si="43"/>
        <v>0.88824626865672174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42"/>
        <v>0</v>
      </c>
      <c r="AG53" s="72" t="e">
        <f t="shared" si="43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6">AVERAGE(J49:J57)</f>
        <v>17.5</v>
      </c>
      <c r="K58" s="120">
        <f t="shared" si="46"/>
        <v>1551.25</v>
      </c>
      <c r="L58" s="117">
        <f t="shared" si="46"/>
        <v>88.680555555555571</v>
      </c>
      <c r="M58" s="120">
        <f t="shared" si="46"/>
        <v>15.5</v>
      </c>
      <c r="N58" s="120">
        <f t="shared" si="46"/>
        <v>1292.9538001474175</v>
      </c>
      <c r="O58" s="117">
        <f t="shared" si="46"/>
        <v>83.120960435480896</v>
      </c>
      <c r="P58" s="121">
        <f>M58-J58</f>
        <v>-2</v>
      </c>
      <c r="Q58" s="122">
        <f>N58-K58</f>
        <v>-258.2961998525825</v>
      </c>
      <c r="R58" s="123">
        <f t="shared" ref="R58:R60" si="47">O58/L58</f>
        <v>0.93730761963267395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48">N58-K58</f>
        <v>-258.2961998525825</v>
      </c>
      <c r="AG58" s="124">
        <f t="shared" ref="AG58:AG61" si="49">N58/K58</f>
        <v>0.83349157140848829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3186</v>
      </c>
      <c r="H59" s="243">
        <f>F59*G59</f>
        <v>85990.14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50">K59/J59</f>
        <v>120.38461538461539</v>
      </c>
      <c r="M59" s="244">
        <v>13</v>
      </c>
      <c r="N59" s="137">
        <f t="shared" ref="N59:N61" si="51">G59/W59*60</f>
        <v>1541.6129032258089</v>
      </c>
      <c r="O59" s="138">
        <f t="shared" ref="O59:O61" si="52">N59/M59</f>
        <v>118.58560794044683</v>
      </c>
      <c r="P59" s="56">
        <f t="shared" ref="P59:P61" si="53">M59-J59</f>
        <v>0</v>
      </c>
      <c r="Q59" s="230">
        <f t="shared" ref="Q59:Q61" si="54">O59-L59</f>
        <v>-1.7990074441685522</v>
      </c>
      <c r="R59" s="52">
        <f t="shared" si="47"/>
        <v>0.98505616819540498</v>
      </c>
      <c r="S59" s="424">
        <f>R69</f>
        <v>0.95771348356176633</v>
      </c>
      <c r="T59" s="245">
        <v>0.29027777777777802</v>
      </c>
      <c r="U59" s="245">
        <v>0.37638888888888899</v>
      </c>
      <c r="V59" s="55"/>
      <c r="W59" s="54">
        <f t="shared" si="17"/>
        <v>123.9999999999998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48"/>
        <v>-23.38709677419115</v>
      </c>
      <c r="AG59" s="246">
        <f t="shared" si="49"/>
        <v>0.98505616819540498</v>
      </c>
      <c r="AH59" s="403">
        <f>AG69</f>
        <v>0.90590936787501719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1427</v>
      </c>
      <c r="H60" s="78">
        <f>F60*G60</f>
        <v>40327.020000000004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0"/>
        <v>130.41666666666666</v>
      </c>
      <c r="M60" s="82">
        <v>11</v>
      </c>
      <c r="N60" s="80">
        <f t="shared" si="51"/>
        <v>1427.0000000000239</v>
      </c>
      <c r="O60" s="81">
        <f t="shared" si="52"/>
        <v>129.72727272727491</v>
      </c>
      <c r="P60" s="74">
        <f t="shared" si="53"/>
        <v>-1</v>
      </c>
      <c r="Q60" s="83">
        <f t="shared" si="54"/>
        <v>-0.6893939393917492</v>
      </c>
      <c r="R60" s="72">
        <f t="shared" si="47"/>
        <v>0.99471391228581407</v>
      </c>
      <c r="S60" s="451"/>
      <c r="T60" s="22">
        <v>0.38541666666666702</v>
      </c>
      <c r="U60" s="22">
        <v>0.42708333333333298</v>
      </c>
      <c r="V60" s="30">
        <f t="shared" ref="V60:V61" si="55">(T60-U59)*24*60</f>
        <v>13.000000000000353</v>
      </c>
      <c r="W60" s="248">
        <f t="shared" si="17"/>
        <v>59.999999999998991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48"/>
        <v>-137.99999999997613</v>
      </c>
      <c r="AG60" s="249">
        <f t="shared" si="49"/>
        <v>0.91182108626199609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2034</v>
      </c>
      <c r="H61" s="254">
        <f>F61*G61</f>
        <v>57480.840000000004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0"/>
        <v>130.41666666666666</v>
      </c>
      <c r="M61" s="108">
        <v>11</v>
      </c>
      <c r="N61" s="107">
        <f t="shared" si="51"/>
        <v>1284.6315789473731</v>
      </c>
      <c r="O61" s="238">
        <f t="shared" si="52"/>
        <v>116.78468899521573</v>
      </c>
      <c r="P61" s="111">
        <f t="shared" si="53"/>
        <v>-1</v>
      </c>
      <c r="Q61" s="255">
        <f t="shared" si="54"/>
        <v>-13.631977671450926</v>
      </c>
      <c r="R61" s="85">
        <f>O61/L61</f>
        <v>0.89547365363743703</v>
      </c>
      <c r="S61" s="425"/>
      <c r="T61" s="22">
        <v>0.4375</v>
      </c>
      <c r="U61" s="22">
        <v>0.50347222222222199</v>
      </c>
      <c r="V61" s="30">
        <f t="shared" si="55"/>
        <v>15.000000000000506</v>
      </c>
      <c r="W61" s="256">
        <f t="shared" si="17"/>
        <v>94.999999999999659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48"/>
        <v>-280.3684210526269</v>
      </c>
      <c r="AG61" s="247">
        <f t="shared" si="49"/>
        <v>0.8208508491676505</v>
      </c>
      <c r="AH61" s="404"/>
    </row>
    <row r="62" spans="1:34" ht="15" customHeight="1">
      <c r="A62" s="44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5"/>
      <c r="T62" s="22"/>
      <c r="U62" s="22"/>
      <c r="V62" s="30"/>
      <c r="W62" s="248">
        <f t="shared" si="17"/>
        <v>0</v>
      </c>
      <c r="X62" s="22"/>
      <c r="Y62" s="84"/>
      <c r="Z62" s="90"/>
      <c r="AA62" s="90"/>
      <c r="AB62" s="395"/>
      <c r="AC62" s="395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6">AVERAGE(J59:J68)</f>
        <v>12.333333333333334</v>
      </c>
      <c r="K69" s="240">
        <f t="shared" si="56"/>
        <v>1565</v>
      </c>
      <c r="L69" s="268">
        <f t="shared" si="56"/>
        <v>127.07264957264958</v>
      </c>
      <c r="M69" s="240">
        <f t="shared" si="56"/>
        <v>11.666666666666666</v>
      </c>
      <c r="N69" s="240">
        <f t="shared" si="56"/>
        <v>1417.7481607244019</v>
      </c>
      <c r="O69" s="268">
        <f t="shared" si="56"/>
        <v>121.69918988764583</v>
      </c>
      <c r="P69" s="269">
        <f>M69-J69</f>
        <v>-0.66666666666666785</v>
      </c>
      <c r="Q69" s="222">
        <f>N69-K69</f>
        <v>-147.25183927559806</v>
      </c>
      <c r="R69" s="123">
        <f>O69/L69</f>
        <v>0.95771348356176633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-147.25183927559806</v>
      </c>
      <c r="AG69" s="124">
        <f>N69/K69</f>
        <v>0.90590936787501719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2547</v>
      </c>
      <c r="H70" s="243">
        <f>F70*G70</f>
        <v>129056.49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926.18181818181245</v>
      </c>
      <c r="O70" s="138">
        <f>N70/M70</f>
        <v>92.618181818181242</v>
      </c>
      <c r="P70" s="56">
        <f>M70-J70</f>
        <v>0</v>
      </c>
      <c r="Q70" s="230">
        <f>O70-L70</f>
        <v>-19.881818181818758</v>
      </c>
      <c r="R70" s="52">
        <f>O70/L70</f>
        <v>0.82327272727272216</v>
      </c>
      <c r="S70" s="424">
        <f>R79</f>
        <v>0.82327272727272216</v>
      </c>
      <c r="T70" s="245">
        <v>0.33333333333333298</v>
      </c>
      <c r="U70" s="245">
        <v>0.44791666666666702</v>
      </c>
      <c r="V70" s="55"/>
      <c r="W70" s="54">
        <f t="shared" si="17"/>
        <v>165.00000000000102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-198.81818181818755</v>
      </c>
      <c r="AG70" s="246">
        <f>N70/K70</f>
        <v>0.82327272727272216</v>
      </c>
      <c r="AH70" s="403">
        <f>AG79</f>
        <v>0.82327272727272216</v>
      </c>
    </row>
    <row r="71" spans="1:36" ht="15" customHeight="1">
      <c r="A71" s="45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5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57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57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57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57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58">AVERAGE(J70:J78)</f>
        <v>10</v>
      </c>
      <c r="K79" s="240">
        <f t="shared" si="58"/>
        <v>1125</v>
      </c>
      <c r="L79" s="268">
        <f t="shared" si="58"/>
        <v>112.5</v>
      </c>
      <c r="M79" s="240">
        <f t="shared" si="58"/>
        <v>10</v>
      </c>
      <c r="N79" s="240">
        <f t="shared" si="58"/>
        <v>926.18181818181245</v>
      </c>
      <c r="O79" s="268">
        <f t="shared" si="58"/>
        <v>92.618181818181242</v>
      </c>
      <c r="P79" s="269">
        <f>M79-J79</f>
        <v>0</v>
      </c>
      <c r="Q79" s="222">
        <f>N79-K79</f>
        <v>-198.81818181818755</v>
      </c>
      <c r="R79" s="223">
        <f>O79/L79</f>
        <v>0.82327272727272216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-198.81818181818755</v>
      </c>
      <c r="AG79" s="124">
        <f>N79/K79</f>
        <v>0.82327272727272216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70:A79"/>
    <mergeCell ref="S70:S79"/>
    <mergeCell ref="AB70:AC70"/>
    <mergeCell ref="D69:E69"/>
    <mergeCell ref="AB69:AC69"/>
    <mergeCell ref="D79:E79"/>
    <mergeCell ref="AH49:AH58"/>
    <mergeCell ref="AB50:AC50"/>
    <mergeCell ref="AB51:AC51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5:AC55"/>
    <mergeCell ref="AB56:AC56"/>
    <mergeCell ref="A38:A48"/>
    <mergeCell ref="S38:S48"/>
    <mergeCell ref="AB38:AC38"/>
    <mergeCell ref="D48:E48"/>
    <mergeCell ref="AB48:AC48"/>
    <mergeCell ref="A49:A58"/>
    <mergeCell ref="S49:S58"/>
    <mergeCell ref="AB49:AC49"/>
    <mergeCell ref="AB57:AC57"/>
    <mergeCell ref="D58:E58"/>
    <mergeCell ref="AB58:AC58"/>
    <mergeCell ref="AB52:AC52"/>
    <mergeCell ref="AB53:AC53"/>
    <mergeCell ref="AB54:AC54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B20:AC20"/>
    <mergeCell ref="AB21:AC21"/>
    <mergeCell ref="AB22:AC22"/>
    <mergeCell ref="AB23:AC23"/>
    <mergeCell ref="AB24:AC24"/>
    <mergeCell ref="AG3:AG4"/>
    <mergeCell ref="AH3:AH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P3:P4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B1:AC2"/>
    <mergeCell ref="V3:V4"/>
    <mergeCell ref="W3:W4"/>
    <mergeCell ref="X3:Y3"/>
    <mergeCell ref="Z3:AA3"/>
    <mergeCell ref="T3:U3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208" priority="1" operator="greaterThan">
      <formula>0</formula>
    </cfRule>
  </conditionalFormatting>
  <conditionalFormatting sqref="Q5:Q79 AF5:AF79">
    <cfRule type="cellIs" dxfId="207" priority="4" operator="lessThan">
      <formula>0</formula>
    </cfRule>
  </conditionalFormatting>
  <conditionalFormatting sqref="R5:R79 AG5:AG79">
    <cfRule type="cellIs" dxfId="206" priority="2" operator="greaterThan">
      <formula>1</formula>
    </cfRule>
    <cfRule type="cellIs" dxfId="205" priority="3" operator="lessThan">
      <formula>0.8</formula>
    </cfRule>
  </conditionalFormatting>
  <conditionalFormatting sqref="S5:S10 S37:S62 AH59:AH62 S69:S76 AH69:AH76">
    <cfRule type="cellIs" dxfId="204" priority="7" operator="lessThan">
      <formula>0.8</formula>
    </cfRule>
  </conditionalFormatting>
  <conditionalFormatting sqref="S19:S25 AH19:AH25">
    <cfRule type="cellIs" dxfId="203" priority="6" operator="lessThan">
      <formula>0.8</formula>
    </cfRule>
  </conditionalFormatting>
  <conditionalFormatting sqref="S79">
    <cfRule type="cellIs" dxfId="202" priority="5" operator="lessThan">
      <formula>0.8</formula>
    </cfRule>
  </conditionalFormatting>
  <conditionalFormatting sqref="AH5:AH8 S15:S16 AH15:AH16 AH49 AH79">
    <cfRule type="cellIs" dxfId="201" priority="9" operator="lessThan">
      <formula>0.8</formula>
    </cfRule>
  </conditionalFormatting>
  <conditionalFormatting sqref="AH27 S27:S28">
    <cfRule type="cellIs" dxfId="2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F98F79-2045-4E8F-9293-F6C160D51A4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9FBE-DA28-4DDB-8E67-237142C2C19E}">
  <sheetPr codeName="工作表61"/>
  <dimension ref="B1:O26"/>
  <sheetViews>
    <sheetView zoomScale="70" zoomScaleNormal="70" workbookViewId="0">
      <selection activeCell="U10" sqref="U10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46065</v>
      </c>
      <c r="E3" s="493"/>
      <c r="F3" s="3" t="s">
        <v>72</v>
      </c>
      <c r="G3" s="494">
        <f>'0212'!E1</f>
        <v>49527</v>
      </c>
      <c r="H3" s="494"/>
      <c r="I3" s="3" t="s">
        <v>2</v>
      </c>
      <c r="J3" s="495">
        <f>'0212'!G1</f>
        <v>2395354.5999999996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117.57539356068767</v>
      </c>
      <c r="G6" s="490"/>
      <c r="H6" s="491">
        <f>AVERAGE(D13:H13,J13)</f>
        <v>115.99251755869403</v>
      </c>
      <c r="I6" s="491"/>
      <c r="J6" s="491">
        <f>AVERAGE(I13)</f>
        <v>127.07264957264958</v>
      </c>
      <c r="K6" s="491"/>
      <c r="L6" s="497">
        <f>SUM(D18:J18)</f>
        <v>1</v>
      </c>
      <c r="M6" s="482">
        <f>SUM(D19:J19)</f>
        <v>12</v>
      </c>
      <c r="N6" s="498">
        <f>SUM(D20:J20)</f>
        <v>4</v>
      </c>
      <c r="O6" s="482">
        <f>SUM(D20:J20)</f>
        <v>4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107.85042811433945</v>
      </c>
      <c r="G7" s="479"/>
      <c r="H7" s="480">
        <f>AVERAGE(D14:H14,J14)</f>
        <v>106.41708809948342</v>
      </c>
      <c r="I7" s="480"/>
      <c r="J7" s="480">
        <f>AVERAGE(I14)</f>
        <v>116.45046820347557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0.91728740893962146</v>
      </c>
      <c r="G8" s="485"/>
      <c r="H8" s="485">
        <f>H7/H6</f>
        <v>0.91744786939066747</v>
      </c>
      <c r="I8" s="485"/>
      <c r="J8" s="485">
        <f>J7/J6</f>
        <v>0.91640859457249979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VALUE('0212'!L15)</f>
        <v>140.12600553041727</v>
      </c>
      <c r="E13" s="13">
        <f>VALUE('0212'!L26)</f>
        <v>173.17550505050505</v>
      </c>
      <c r="F13" s="13">
        <f>VALUE('0212'!L37)</f>
        <v>93.259803921568619</v>
      </c>
      <c r="G13" s="13">
        <f>VALUE('0212'!L48)</f>
        <v>88.213235294117638</v>
      </c>
      <c r="H13" s="13">
        <f>VALUE('0212'!L58)</f>
        <v>88.680555555555571</v>
      </c>
      <c r="I13" s="13">
        <f>VALUE('0212'!L69)</f>
        <v>127.07264957264958</v>
      </c>
      <c r="J13" s="13">
        <f>'0212'!L79</f>
        <v>112.5</v>
      </c>
    </row>
    <row r="14" spans="2:15" ht="39.950000000000003" customHeight="1">
      <c r="B14" s="473"/>
      <c r="C14" s="12" t="s">
        <v>100</v>
      </c>
      <c r="D14" s="13">
        <f>VALUE('0212'!O15)</f>
        <v>127.41445635921718</v>
      </c>
      <c r="E14" s="13">
        <f>VALUE('0212'!O26)</f>
        <v>153.9351465094216</v>
      </c>
      <c r="F14" s="13">
        <f>VALUE('0212'!O37)</f>
        <v>86.809133274155343</v>
      </c>
      <c r="G14" s="13">
        <f>VALUE('0212'!O48)</f>
        <v>84.438563928678775</v>
      </c>
      <c r="H14" s="13">
        <f>VALUE('0212'!O58)</f>
        <v>86.072970460911606</v>
      </c>
      <c r="I14" s="13">
        <f>VALUE('0212'!O69)</f>
        <v>116.45046820347557</v>
      </c>
      <c r="J14" s="13">
        <f>'0212'!O79</f>
        <v>99.832258064516012</v>
      </c>
    </row>
    <row r="15" spans="2:15" ht="39.950000000000003" customHeight="1">
      <c r="B15" s="474"/>
      <c r="C15" s="10" t="s">
        <v>26</v>
      </c>
      <c r="D15" s="14">
        <f>D14/D13</f>
        <v>0.90928486740856407</v>
      </c>
      <c r="E15" s="14">
        <f t="shared" ref="E15:I15" si="1">E14/E13</f>
        <v>0.88889676669069229</v>
      </c>
      <c r="F15" s="14">
        <f t="shared" si="1"/>
        <v>0.93083117939173154</v>
      </c>
      <c r="G15" s="14">
        <f t="shared" si="1"/>
        <v>0.95720969361509667</v>
      </c>
      <c r="H15" s="14">
        <f t="shared" si="1"/>
        <v>0.97059575147778143</v>
      </c>
      <c r="I15" s="14">
        <f t="shared" si="1"/>
        <v>0.91640859457249979</v>
      </c>
      <c r="J15" s="15">
        <f>'0212'!S70</f>
        <v>0.88739784946236455</v>
      </c>
    </row>
    <row r="16" spans="2:15" ht="17.25" customHeight="1">
      <c r="B16" s="475" t="s">
        <v>101</v>
      </c>
      <c r="C16" s="10" t="s">
        <v>34</v>
      </c>
      <c r="D16" s="16">
        <f>'0212'!T5</f>
        <v>0.29027777777777802</v>
      </c>
      <c r="E16" s="16">
        <f>'0212'!T16</f>
        <v>0.29097222222222202</v>
      </c>
      <c r="F16" s="16">
        <f>'0212'!T27</f>
        <v>0.29166666666666702</v>
      </c>
      <c r="G16" s="16">
        <f>'0212'!T38</f>
        <v>0.33333333333333298</v>
      </c>
      <c r="H16" s="16">
        <f>'0212'!T49</f>
        <v>0.28958333333333303</v>
      </c>
      <c r="I16" s="16">
        <f>'0212'!T59</f>
        <v>0.29166666666666702</v>
      </c>
      <c r="J16" s="16">
        <f>'0212'!T70</f>
        <v>0.33333333333333298</v>
      </c>
    </row>
    <row r="17" spans="2:10" ht="17.25" customHeight="1">
      <c r="B17" s="476"/>
      <c r="C17" s="10" t="s">
        <v>35</v>
      </c>
      <c r="D17" s="22">
        <v>0.61458333333333304</v>
      </c>
      <c r="E17" s="19">
        <v>0.61666666666666703</v>
      </c>
      <c r="F17" s="19">
        <v>0.63472222222222197</v>
      </c>
      <c r="G17" s="210">
        <v>0.48749999999999999</v>
      </c>
      <c r="H17" s="21">
        <v>0.61319444444444404</v>
      </c>
      <c r="I17" s="22">
        <v>0.48611111111111099</v>
      </c>
      <c r="J17" s="272">
        <v>0.44097222222222199</v>
      </c>
    </row>
    <row r="18" spans="2:10" ht="17.25" customHeight="1">
      <c r="B18" s="477" t="s">
        <v>102</v>
      </c>
      <c r="C18" s="330" t="s">
        <v>36</v>
      </c>
      <c r="D18" s="358">
        <f>'0212'!Z15</f>
        <v>1</v>
      </c>
      <c r="E18" s="359">
        <f>'0212'!Z26</f>
        <v>0</v>
      </c>
      <c r="F18" s="359">
        <f>'0212'!Z37</f>
        <v>0</v>
      </c>
      <c r="G18" s="360">
        <f>'0212'!Z48</f>
        <v>0</v>
      </c>
      <c r="H18" s="360">
        <f>'0212'!Z58</f>
        <v>0</v>
      </c>
      <c r="I18" s="359">
        <f>'0212'!Z69</f>
        <v>0</v>
      </c>
      <c r="J18" s="359">
        <f>'0212'!AA79</f>
        <v>0</v>
      </c>
    </row>
    <row r="19" spans="2:10" ht="17.25" customHeight="1">
      <c r="B19" s="478"/>
      <c r="C19" s="330" t="s">
        <v>37</v>
      </c>
      <c r="D19" s="358">
        <f>'0212'!AA15</f>
        <v>12</v>
      </c>
      <c r="E19" s="359">
        <f>'0212'!AA26</f>
        <v>0</v>
      </c>
      <c r="F19" s="359">
        <f>'0212'!AA37</f>
        <v>0</v>
      </c>
      <c r="G19" s="360">
        <f>'0212'!AA48</f>
        <v>0</v>
      </c>
      <c r="H19" s="360">
        <f>'0212'!AA58</f>
        <v>0</v>
      </c>
      <c r="I19" s="359">
        <f>'0212'!AA69</f>
        <v>0</v>
      </c>
      <c r="J19" s="359">
        <f>'0212'!AB79</f>
        <v>0</v>
      </c>
    </row>
    <row r="20" spans="2:10" ht="17.25" customHeight="1">
      <c r="B20" s="477" t="s">
        <v>103</v>
      </c>
      <c r="C20" s="330" t="s">
        <v>36</v>
      </c>
      <c r="D20" s="358">
        <f>'0212'!AD15</f>
        <v>0</v>
      </c>
      <c r="E20" s="359">
        <f>'0212'!AD26</f>
        <v>4</v>
      </c>
      <c r="F20" s="359">
        <f>'0212'!AD37</f>
        <v>0</v>
      </c>
      <c r="G20" s="360">
        <f>'0212'!AD48</f>
        <v>0</v>
      </c>
      <c r="H20" s="360">
        <f>'0212'!AD58</f>
        <v>0</v>
      </c>
      <c r="I20" s="359">
        <f>'0212'!AD69</f>
        <v>0</v>
      </c>
      <c r="J20" s="359">
        <f>'0212'!AD79</f>
        <v>0</v>
      </c>
    </row>
    <row r="21" spans="2:10" ht="17.25" customHeight="1">
      <c r="B21" s="478"/>
      <c r="C21" s="330" t="s">
        <v>85</v>
      </c>
      <c r="D21" s="358">
        <f>'0212'!AE15</f>
        <v>0</v>
      </c>
      <c r="E21" s="359">
        <f>'0212'!AE26</f>
        <v>4</v>
      </c>
      <c r="F21" s="359">
        <f>'0212'!AE37</f>
        <v>0</v>
      </c>
      <c r="G21" s="360">
        <f>'0212'!AE48</f>
        <v>0</v>
      </c>
      <c r="H21" s="360">
        <f>'0212'!AE58</f>
        <v>0</v>
      </c>
      <c r="I21" s="359">
        <f>'0212'!AE69</f>
        <v>0</v>
      </c>
      <c r="J21" s="359">
        <f>'0212'!AE79</f>
        <v>0</v>
      </c>
    </row>
    <row r="22" spans="2:10" ht="17.25" customHeight="1">
      <c r="B22" s="460" t="s">
        <v>104</v>
      </c>
      <c r="C22" s="461"/>
      <c r="D22" s="23">
        <f>VALUE('0212'!M15)</f>
        <v>14</v>
      </c>
      <c r="E22" s="23">
        <f>VALUE('0212'!M26)</f>
        <v>12</v>
      </c>
      <c r="F22" s="23">
        <f>VALUE('0212'!M37)</f>
        <v>14.5</v>
      </c>
      <c r="G22" s="23">
        <f>VALUE('0212'!M48)</f>
        <v>16.333333333333332</v>
      </c>
      <c r="H22" s="23">
        <f>VALUE('0212'!M58)</f>
        <v>16.75</v>
      </c>
      <c r="I22" s="23">
        <f>VALUE('0212'!M69)</f>
        <v>12.333333333333334</v>
      </c>
      <c r="J22" s="23">
        <f>'0212'!M79</f>
        <v>10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8F3D-897F-4AFE-A961-CD6A662C1388}">
  <sheetPr codeName="工作表62">
    <tabColor theme="9" tint="0.79998168889431442"/>
  </sheetPr>
  <dimension ref="A1:AJ92"/>
  <sheetViews>
    <sheetView zoomScale="69" zoomScaleNormal="69" workbookViewId="0">
      <pane xSplit="5" ySplit="4" topLeftCell="K32" activePane="bottomRight" state="frozen"/>
      <selection activeCell="U10" sqref="U10"/>
      <selection pane="topRight" activeCell="U10" sqref="U10"/>
      <selection pane="bottomLeft" activeCell="U10" sqref="U10"/>
      <selection pane="bottomRight" activeCell="X62" sqref="X62:Y6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49527</v>
      </c>
      <c r="F1" s="30" t="s">
        <v>2</v>
      </c>
      <c r="G1" s="31">
        <f>SUM(H5:H79)</f>
        <v>2395354.5999999996</v>
      </c>
      <c r="H1" s="32" t="s">
        <v>3</v>
      </c>
      <c r="I1" s="33">
        <f>M15+M26+M48+M58+M69+M79+M37</f>
        <v>95.916666666666657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175</v>
      </c>
      <c r="B2" s="374"/>
      <c r="C2" s="28"/>
      <c r="D2" s="28" t="s">
        <v>14</v>
      </c>
      <c r="E2" s="35">
        <f>AVERAGE(O15,O26,O37,O48,O58,O69,O79)</f>
        <v>107.85042811433945</v>
      </c>
      <c r="F2" s="36" t="s">
        <v>15</v>
      </c>
      <c r="G2" s="37">
        <f>G1/E1</f>
        <v>48.364621317665105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1</v>
      </c>
      <c r="AA2" s="339">
        <f>AA15+AA26+AA37+AA48+AA58+AA69+AA79</f>
        <v>12</v>
      </c>
      <c r="AB2" s="370"/>
      <c r="AC2" s="370"/>
      <c r="AD2" s="340">
        <f>AD15+AD26+AD37+AD48+AD58+AD69+AD79</f>
        <v>4</v>
      </c>
      <c r="AE2" s="340">
        <f>AE15+AE26+AE37+AE48+AE58+AE69+AE79</f>
        <v>4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1599</v>
      </c>
      <c r="H5" s="43">
        <f>F5*G5</f>
        <v>91478.790000000008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10" si="0">K5/J5</f>
        <v>175.41666666666666</v>
      </c>
      <c r="M5" s="48">
        <v>14</v>
      </c>
      <c r="N5" s="46">
        <f t="shared" ref="N5:N10" si="1">G5/W5*60</f>
        <v>1957.9591836734573</v>
      </c>
      <c r="O5" s="47">
        <f t="shared" ref="O5:O10" si="2">N5/M5</f>
        <v>139.85422740524695</v>
      </c>
      <c r="P5" s="49">
        <f t="shared" ref="P5:P10" si="3">M5-J5</f>
        <v>2</v>
      </c>
      <c r="Q5" s="50">
        <f t="shared" ref="Q5:Q10" si="4">O5-L5</f>
        <v>-35.562439261419712</v>
      </c>
      <c r="R5" s="51">
        <f t="shared" ref="R5:R10" si="5">O5/L5</f>
        <v>0.79726875480425818</v>
      </c>
      <c r="S5" s="424">
        <f>R15</f>
        <v>0.90928486740856407</v>
      </c>
      <c r="T5" s="319">
        <v>0.29027777777777802</v>
      </c>
      <c r="U5" s="320">
        <v>0.32430555555555601</v>
      </c>
      <c r="V5" s="53"/>
      <c r="W5" s="54">
        <f t="shared" ref="W5:W14" si="6">(U5-T5)*24*60</f>
        <v>49.000000000000306</v>
      </c>
      <c r="X5" s="55"/>
      <c r="Y5" s="290"/>
      <c r="Z5" s="169"/>
      <c r="AA5" s="169"/>
      <c r="AB5" s="402" t="s">
        <v>176</v>
      </c>
      <c r="AC5" s="402"/>
      <c r="AD5" s="135"/>
      <c r="AE5" s="135"/>
      <c r="AF5" s="229">
        <f t="shared" ref="AF5:AF11" si="7">N5-K5</f>
        <v>-147.04081632654265</v>
      </c>
      <c r="AG5" s="52">
        <f t="shared" ref="AG5:AG11" si="8">N5/K5</f>
        <v>0.93014688060496786</v>
      </c>
      <c r="AH5" s="403">
        <f>AG15</f>
        <v>0.9068579197261637</v>
      </c>
    </row>
    <row r="6" spans="1:34" ht="15" customHeight="1">
      <c r="A6" s="421"/>
      <c r="B6" s="57" t="s">
        <v>81</v>
      </c>
      <c r="C6" s="58"/>
      <c r="D6" s="59" t="s">
        <v>113</v>
      </c>
      <c r="E6" s="60"/>
      <c r="F6" s="61">
        <f>VLOOKUP(D6,廠價表!$C$1:$E$41,3,0)</f>
        <v>57.21</v>
      </c>
      <c r="G6" s="62">
        <v>1487</v>
      </c>
      <c r="H6" s="63">
        <f>F6*G6</f>
        <v>85071.27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14</v>
      </c>
      <c r="N6" s="66">
        <f t="shared" si="1"/>
        <v>1351.818181818162</v>
      </c>
      <c r="O6" s="67">
        <f t="shared" si="2"/>
        <v>96.558441558440137</v>
      </c>
      <c r="P6" s="69">
        <f t="shared" si="3"/>
        <v>-3</v>
      </c>
      <c r="Q6" s="70">
        <f t="shared" si="4"/>
        <v>-21.088617265089269</v>
      </c>
      <c r="R6" s="71">
        <f t="shared" si="5"/>
        <v>0.82074675324674118</v>
      </c>
      <c r="S6" s="425"/>
      <c r="T6" s="16">
        <v>0.33194444444444399</v>
      </c>
      <c r="U6" s="16">
        <v>0.37777777777777799</v>
      </c>
      <c r="V6" s="30">
        <f>(T6-U5)*24*60</f>
        <v>10.999999999998682</v>
      </c>
      <c r="W6" s="73">
        <f t="shared" si="6"/>
        <v>66.000000000000966</v>
      </c>
      <c r="X6" s="22"/>
      <c r="Y6" s="84"/>
      <c r="Z6" s="90">
        <v>1</v>
      </c>
      <c r="AA6" s="90">
        <v>12</v>
      </c>
      <c r="AB6" s="407" t="s">
        <v>177</v>
      </c>
      <c r="AC6" s="407"/>
      <c r="AD6" s="149"/>
      <c r="AE6" s="149"/>
      <c r="AF6" s="307">
        <f t="shared" si="7"/>
        <v>-648.18181818183803</v>
      </c>
      <c r="AG6" s="72">
        <f t="shared" si="8"/>
        <v>0.67590909090908102</v>
      </c>
      <c r="AH6" s="404"/>
    </row>
    <row r="7" spans="1:34" ht="15" customHeight="1">
      <c r="A7" s="421"/>
      <c r="B7" s="75" t="s">
        <v>81</v>
      </c>
      <c r="C7" s="76"/>
      <c r="D7" s="59" t="s">
        <v>114</v>
      </c>
      <c r="E7" s="77"/>
      <c r="F7" s="75">
        <f>VLOOKUP(D7,廠價表!$C$1:$E$41,3,0)</f>
        <v>56.28</v>
      </c>
      <c r="G7" s="66">
        <v>1055</v>
      </c>
      <c r="H7" s="78">
        <f>F7*G7</f>
        <v>59375.4</v>
      </c>
      <c r="I7" s="73"/>
      <c r="J7" s="79">
        <f>VLOOKUP(D7,產線配置圖!$A$3:$C$39,2,0)</f>
        <v>15</v>
      </c>
      <c r="K7" s="80">
        <f>VLOOKUP(D7,產線配置圖!$A$3:$C$39,3,0)</f>
        <v>1800</v>
      </c>
      <c r="L7" s="81">
        <f t="shared" si="0"/>
        <v>120</v>
      </c>
      <c r="M7" s="82">
        <v>16</v>
      </c>
      <c r="N7" s="80">
        <f t="shared" si="1"/>
        <v>1710.810810810839</v>
      </c>
      <c r="O7" s="81">
        <f t="shared" si="2"/>
        <v>106.92567567567744</v>
      </c>
      <c r="P7" s="74">
        <f t="shared" si="3"/>
        <v>1</v>
      </c>
      <c r="Q7" s="83">
        <f t="shared" si="4"/>
        <v>-13.074324324322561</v>
      </c>
      <c r="R7" s="72">
        <f t="shared" si="5"/>
        <v>0.89104729729731202</v>
      </c>
      <c r="S7" s="425"/>
      <c r="T7" s="18">
        <v>0.38888888888888901</v>
      </c>
      <c r="U7" s="18">
        <v>0.41458333333333303</v>
      </c>
      <c r="V7" s="30">
        <f>(T7-U6)*24*60</f>
        <v>15.999999999999863</v>
      </c>
      <c r="W7" s="73">
        <f t="shared" si="6"/>
        <v>36.999999999999389</v>
      </c>
      <c r="X7" s="22"/>
      <c r="Y7" s="84"/>
      <c r="Z7" s="90"/>
      <c r="AA7" s="90"/>
      <c r="AB7" s="395" t="s">
        <v>176</v>
      </c>
      <c r="AC7" s="395"/>
      <c r="AD7" s="92"/>
      <c r="AE7" s="92"/>
      <c r="AF7" s="307">
        <f t="shared" si="7"/>
        <v>-89.18918918916097</v>
      </c>
      <c r="AG7" s="72">
        <f t="shared" si="8"/>
        <v>0.95045045045046617</v>
      </c>
      <c r="AH7" s="404"/>
    </row>
    <row r="8" spans="1:34" ht="15" customHeight="1">
      <c r="A8" s="421"/>
      <c r="B8" s="75" t="s">
        <v>81</v>
      </c>
      <c r="C8" s="76"/>
      <c r="D8" s="59" t="s">
        <v>114</v>
      </c>
      <c r="E8" s="77"/>
      <c r="F8" s="75">
        <f>VLOOKUP(D8,廠價表!$C$1:$E$41,3,0)</f>
        <v>56.28</v>
      </c>
      <c r="G8" s="66">
        <v>640</v>
      </c>
      <c r="H8" s="78">
        <f t="shared" ref="H8:H10" si="9">F8*G8</f>
        <v>36019.199999999997</v>
      </c>
      <c r="I8" s="73"/>
      <c r="J8" s="79">
        <f>VLOOKUP(D8,產線配置圖!$A$3:$C$39,2,0)</f>
        <v>15</v>
      </c>
      <c r="K8" s="80">
        <f>VLOOKUP(D8,產線配置圖!$A$3:$C$39,3,0)</f>
        <v>1800</v>
      </c>
      <c r="L8" s="81">
        <f t="shared" si="0"/>
        <v>120</v>
      </c>
      <c r="M8" s="82">
        <v>14</v>
      </c>
      <c r="N8" s="80">
        <f t="shared" si="1"/>
        <v>1669.5652173912233</v>
      </c>
      <c r="O8" s="81">
        <f t="shared" si="2"/>
        <v>119.25465838508738</v>
      </c>
      <c r="P8" s="74">
        <f t="shared" si="3"/>
        <v>-1</v>
      </c>
      <c r="Q8" s="83">
        <f t="shared" si="4"/>
        <v>-0.74534161491261841</v>
      </c>
      <c r="R8" s="72">
        <f t="shared" si="5"/>
        <v>0.9937888198757282</v>
      </c>
      <c r="S8" s="425"/>
      <c r="T8" s="16">
        <v>0.41458333333333303</v>
      </c>
      <c r="U8" s="16">
        <v>0.43055555555555602</v>
      </c>
      <c r="V8" s="30">
        <f t="shared" ref="V8:V10" si="10">(T8-U7)*24*60</f>
        <v>0</v>
      </c>
      <c r="W8" s="73">
        <f t="shared" si="6"/>
        <v>23.000000000001116</v>
      </c>
      <c r="X8" s="22"/>
      <c r="Y8" s="84"/>
      <c r="Z8" s="90"/>
      <c r="AA8" s="90"/>
      <c r="AB8" s="407"/>
      <c r="AC8" s="407"/>
      <c r="AD8" s="149"/>
      <c r="AE8" s="149"/>
      <c r="AF8" s="307">
        <f t="shared" si="7"/>
        <v>-130.43478260877669</v>
      </c>
      <c r="AG8" s="72">
        <f t="shared" si="8"/>
        <v>0.92753623188401291</v>
      </c>
      <c r="AH8" s="404"/>
    </row>
    <row r="9" spans="1:34" ht="15" customHeight="1">
      <c r="A9" s="422"/>
      <c r="B9" s="75" t="s">
        <v>81</v>
      </c>
      <c r="C9" s="76"/>
      <c r="D9" s="59" t="s">
        <v>115</v>
      </c>
      <c r="E9" s="77"/>
      <c r="F9" s="75">
        <f>VLOOKUP(D9,廠價表!$C$1:$E$41,3,0)</f>
        <v>49.14</v>
      </c>
      <c r="G9" s="66">
        <v>1944</v>
      </c>
      <c r="H9" s="78">
        <f t="shared" si="9"/>
        <v>95528.16</v>
      </c>
      <c r="I9" s="73"/>
      <c r="J9" s="79">
        <f>VLOOKUP(D9,產線配置圖!$A$3:$C$39,2,0)</f>
        <v>13</v>
      </c>
      <c r="K9" s="80">
        <f>VLOOKUP(D9,產線配置圖!$A$3:$C$39,3,0)</f>
        <v>2000</v>
      </c>
      <c r="L9" s="81">
        <f t="shared" si="0"/>
        <v>153.84615384615384</v>
      </c>
      <c r="M9" s="82">
        <v>13</v>
      </c>
      <c r="N9" s="80">
        <f t="shared" si="1"/>
        <v>1944.0000000000302</v>
      </c>
      <c r="O9" s="81">
        <f t="shared" si="2"/>
        <v>149.53846153846388</v>
      </c>
      <c r="P9" s="74">
        <f t="shared" si="3"/>
        <v>0</v>
      </c>
      <c r="Q9" s="83">
        <f t="shared" si="4"/>
        <v>-4.3076923076899618</v>
      </c>
      <c r="R9" s="72">
        <f t="shared" si="5"/>
        <v>0.9720000000000153</v>
      </c>
      <c r="S9" s="426"/>
      <c r="T9" s="16">
        <v>0.44166666666666698</v>
      </c>
      <c r="U9" s="16">
        <v>0.483333333333333</v>
      </c>
      <c r="V9" s="30">
        <f t="shared" si="10"/>
        <v>15.999999999999783</v>
      </c>
      <c r="W9" s="73">
        <f t="shared" si="6"/>
        <v>59.999999999999069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-55.999999999969759</v>
      </c>
      <c r="AG9" s="72">
        <f t="shared" si="8"/>
        <v>0.97200000000001507</v>
      </c>
      <c r="AH9" s="405"/>
    </row>
    <row r="10" spans="1:34" ht="15" customHeight="1">
      <c r="A10" s="422"/>
      <c r="B10" s="75" t="s">
        <v>81</v>
      </c>
      <c r="C10" s="86"/>
      <c r="D10" s="59" t="s">
        <v>115</v>
      </c>
      <c r="E10" s="87"/>
      <c r="F10" s="75">
        <f>VLOOKUP(D10,廠價表!$C$1:$E$41,3,0)</f>
        <v>49.14</v>
      </c>
      <c r="G10" s="62">
        <v>3202</v>
      </c>
      <c r="H10" s="78">
        <f t="shared" si="9"/>
        <v>157346.28</v>
      </c>
      <c r="I10" s="73"/>
      <c r="J10" s="79">
        <f>VLOOKUP(D10,產線配置圖!$A$3:$C$39,2,0)</f>
        <v>13</v>
      </c>
      <c r="K10" s="80">
        <f>VLOOKUP(D10,產線配置圖!$A$3:$C$39,3,0)</f>
        <v>2000</v>
      </c>
      <c r="L10" s="81">
        <f t="shared" si="0"/>
        <v>153.84615384615384</v>
      </c>
      <c r="M10" s="82">
        <v>13</v>
      </c>
      <c r="N10" s="80">
        <f t="shared" si="1"/>
        <v>1980.6185567010345</v>
      </c>
      <c r="O10" s="81">
        <f t="shared" si="2"/>
        <v>152.35527359238728</v>
      </c>
      <c r="P10" s="74">
        <f t="shared" si="3"/>
        <v>0</v>
      </c>
      <c r="Q10" s="83">
        <f t="shared" si="4"/>
        <v>-1.4908802537665622</v>
      </c>
      <c r="R10" s="72">
        <f t="shared" si="5"/>
        <v>0.9903092783505173</v>
      </c>
      <c r="S10" s="426"/>
      <c r="T10" s="22">
        <v>0.54722222222222205</v>
      </c>
      <c r="U10" s="22">
        <v>0.61458333333333304</v>
      </c>
      <c r="V10" s="30">
        <f t="shared" si="10"/>
        <v>92.000000000000227</v>
      </c>
      <c r="W10" s="73">
        <f t="shared" si="6"/>
        <v>96.999999999999815</v>
      </c>
      <c r="X10" s="22">
        <v>0.49305555555555602</v>
      </c>
      <c r="Y10" s="84">
        <v>0.53472222222222199</v>
      </c>
      <c r="Z10" s="90"/>
      <c r="AA10" s="90"/>
      <c r="AB10" s="395"/>
      <c r="AC10" s="395"/>
      <c r="AD10" s="92"/>
      <c r="AE10" s="92"/>
      <c r="AF10" s="307">
        <f t="shared" si="7"/>
        <v>-19.381443298965451</v>
      </c>
      <c r="AG10" s="72">
        <f t="shared" si="8"/>
        <v>0.9903092783505173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1">AVERAGE(J5:J14)</f>
        <v>14.166666666666666</v>
      </c>
      <c r="K15" s="120">
        <f t="shared" si="11"/>
        <v>1950.8333333333333</v>
      </c>
      <c r="L15" s="117">
        <f t="shared" si="11"/>
        <v>140.12600553041727</v>
      </c>
      <c r="M15" s="120">
        <f t="shared" si="11"/>
        <v>14</v>
      </c>
      <c r="N15" s="120">
        <f t="shared" si="11"/>
        <v>1769.1286583991243</v>
      </c>
      <c r="O15" s="117">
        <f t="shared" si="11"/>
        <v>127.41445635921718</v>
      </c>
      <c r="P15" s="121">
        <f t="shared" ref="P15:P21" si="12">M15-J15</f>
        <v>-0.16666666666666607</v>
      </c>
      <c r="Q15" s="122">
        <f t="shared" ref="Q15:Q21" si="13">O15-L15</f>
        <v>-12.71154917120009</v>
      </c>
      <c r="R15" s="123">
        <f t="shared" ref="R15:R21" si="14">O15/L15</f>
        <v>0.90928486740856407</v>
      </c>
      <c r="S15" s="428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12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5">N15-K15</f>
        <v>-181.70467493420892</v>
      </c>
      <c r="AG15" s="124">
        <f t="shared" ref="AG15:AG19" si="16">N15/K15</f>
        <v>0.9068579197261637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1759</v>
      </c>
      <c r="H16" s="134">
        <f>F16*G16</f>
        <v>100632.39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21" si="17">K16/J16</f>
        <v>175.41666666666666</v>
      </c>
      <c r="M16" s="139">
        <v>12</v>
      </c>
      <c r="N16" s="140">
        <f t="shared" ref="N16:N21" si="18">G16/W16*60</f>
        <v>2029.6153846153916</v>
      </c>
      <c r="O16" s="141">
        <f>N16/M16</f>
        <v>169.13461538461596</v>
      </c>
      <c r="P16" s="142">
        <f>M16-J16</f>
        <v>0</v>
      </c>
      <c r="Q16" s="143">
        <f t="shared" si="13"/>
        <v>-6.282051282050702</v>
      </c>
      <c r="R16" s="144">
        <f>O16/L16</f>
        <v>0.96418783117120743</v>
      </c>
      <c r="S16" s="417">
        <f>R26</f>
        <v>0.88889676669069229</v>
      </c>
      <c r="T16" s="145">
        <v>0.29097222222222202</v>
      </c>
      <c r="U16" s="145">
        <v>0.327083333333333</v>
      </c>
      <c r="V16" s="135"/>
      <c r="W16" s="146">
        <f t="shared" ref="W16:W78" si="19">(U16-T16)*24*60</f>
        <v>51.999999999999815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5"/>
        <v>-75.384615384608423</v>
      </c>
      <c r="AG16" s="52">
        <f t="shared" si="16"/>
        <v>0.96418783117120743</v>
      </c>
      <c r="AH16" s="403">
        <f>AG26</f>
        <v>0.90957926904625019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980</v>
      </c>
      <c r="H17" s="78">
        <f>F17*G17</f>
        <v>49656.6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7"/>
        <v>166.66666666666666</v>
      </c>
      <c r="M17" s="148">
        <v>12</v>
      </c>
      <c r="N17" s="95">
        <f>G17/W17*60</f>
        <v>1470.0000000000405</v>
      </c>
      <c r="O17" s="96">
        <f t="shared" ref="O17:O21" si="20">N17/M17</f>
        <v>122.50000000000337</v>
      </c>
      <c r="P17" s="97">
        <f t="shared" si="12"/>
        <v>0</v>
      </c>
      <c r="Q17" s="98">
        <f t="shared" si="13"/>
        <v>-44.166666666663289</v>
      </c>
      <c r="R17" s="99">
        <f t="shared" si="14"/>
        <v>0.7350000000000203</v>
      </c>
      <c r="S17" s="418"/>
      <c r="T17" s="19">
        <v>0.33541666666666697</v>
      </c>
      <c r="U17" s="19">
        <v>0.36319444444444399</v>
      </c>
      <c r="V17" s="30">
        <f>(T17-U16)*24*60</f>
        <v>12.000000000000917</v>
      </c>
      <c r="W17" s="149">
        <f t="shared" si="19"/>
        <v>39.999999999998899</v>
      </c>
      <c r="X17" s="19"/>
      <c r="Y17" s="297"/>
      <c r="Z17" s="90"/>
      <c r="AA17" s="90"/>
      <c r="AB17" s="395" t="s">
        <v>161</v>
      </c>
      <c r="AC17" s="395"/>
      <c r="AD17" s="92">
        <v>4</v>
      </c>
      <c r="AE17" s="92">
        <v>4</v>
      </c>
      <c r="AF17" s="307">
        <f t="shared" si="15"/>
        <v>-529.99999999995953</v>
      </c>
      <c r="AG17" s="72">
        <f t="shared" si="16"/>
        <v>0.73500000000002019</v>
      </c>
      <c r="AH17" s="404"/>
    </row>
    <row r="18" spans="1:34" ht="15" customHeight="1">
      <c r="A18" s="414"/>
      <c r="B18" s="75" t="s">
        <v>81</v>
      </c>
      <c r="C18" s="76"/>
      <c r="D18" s="59" t="s">
        <v>118</v>
      </c>
      <c r="E18" s="77"/>
      <c r="F18" s="75">
        <f>VLOOKUP(D18,廠價表!$C$1:$E$41,3,0)</f>
        <v>50.67</v>
      </c>
      <c r="G18" s="147">
        <v>1764</v>
      </c>
      <c r="H18" s="78">
        <f>F18*G18</f>
        <v>89381.88</v>
      </c>
      <c r="I18" s="30"/>
      <c r="J18" s="79">
        <f>VLOOKUP(D18,產線配置圖!$A$3:$C$39,2,0)</f>
        <v>12</v>
      </c>
      <c r="K18" s="80">
        <f>VLOOKUP(D18,產線配置圖!$A$3:$C$39,3,0)</f>
        <v>2000</v>
      </c>
      <c r="L18" s="81">
        <f t="shared" si="17"/>
        <v>166.66666666666666</v>
      </c>
      <c r="M18" s="148">
        <v>14</v>
      </c>
      <c r="N18" s="95">
        <f t="shared" si="18"/>
        <v>1924.3636363636601</v>
      </c>
      <c r="O18" s="96">
        <f t="shared" si="20"/>
        <v>137.45454545454714</v>
      </c>
      <c r="P18" s="97">
        <f t="shared" si="12"/>
        <v>2</v>
      </c>
      <c r="Q18" s="98">
        <f t="shared" si="13"/>
        <v>-29.212121212119513</v>
      </c>
      <c r="R18" s="99">
        <f t="shared" si="14"/>
        <v>0.82472727272728297</v>
      </c>
      <c r="S18" s="418"/>
      <c r="T18" s="19">
        <v>0.37152777777777801</v>
      </c>
      <c r="U18" s="19">
        <v>0.40972222222222199</v>
      </c>
      <c r="V18" s="30">
        <f>(T18-U17)*24*60</f>
        <v>12.000000000000997</v>
      </c>
      <c r="W18" s="149">
        <f t="shared" si="19"/>
        <v>54.999999999999325</v>
      </c>
      <c r="X18" s="22"/>
      <c r="Y18" s="84"/>
      <c r="Z18" s="90"/>
      <c r="AA18" s="90"/>
      <c r="AB18" s="395" t="s">
        <v>176</v>
      </c>
      <c r="AC18" s="395"/>
      <c r="AD18" s="92"/>
      <c r="AE18" s="92"/>
      <c r="AF18" s="307">
        <f t="shared" si="15"/>
        <v>-75.636363636339865</v>
      </c>
      <c r="AG18" s="72">
        <f t="shared" si="16"/>
        <v>0.96218181818183002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2606</v>
      </c>
      <c r="H19" s="78">
        <f t="shared" ref="H19:H21" si="21">F19*G19</f>
        <v>131316.34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7"/>
        <v>181.81818181818181</v>
      </c>
      <c r="M19" s="148">
        <v>11</v>
      </c>
      <c r="N19" s="95">
        <f t="shared" si="18"/>
        <v>1930.3703703703713</v>
      </c>
      <c r="O19" s="96">
        <f t="shared" si="20"/>
        <v>175.48821548821559</v>
      </c>
      <c r="P19" s="97">
        <f t="shared" si="12"/>
        <v>0</v>
      </c>
      <c r="Q19" s="98">
        <f t="shared" si="13"/>
        <v>-6.3299663299662257</v>
      </c>
      <c r="R19" s="99">
        <f t="shared" si="14"/>
        <v>0.96518518518518581</v>
      </c>
      <c r="S19" s="418"/>
      <c r="T19" s="19">
        <v>0.42013888888888901</v>
      </c>
      <c r="U19" s="19">
        <v>0.47638888888888897</v>
      </c>
      <c r="V19" s="30">
        <f>(T19-U18)*24*60</f>
        <v>15.000000000000506</v>
      </c>
      <c r="W19" s="149">
        <f t="shared" si="19"/>
        <v>80.999999999999957</v>
      </c>
      <c r="X19" s="22"/>
      <c r="Y19" s="84"/>
      <c r="Z19" s="90"/>
      <c r="AA19" s="90"/>
      <c r="AB19" s="407"/>
      <c r="AC19" s="407"/>
      <c r="AD19" s="149"/>
      <c r="AE19" s="149"/>
      <c r="AF19" s="307">
        <f t="shared" si="15"/>
        <v>-69.629629629628653</v>
      </c>
      <c r="AG19" s="72">
        <f t="shared" si="16"/>
        <v>0.9651851851851857</v>
      </c>
      <c r="AH19" s="405"/>
    </row>
    <row r="20" spans="1:34" ht="15" customHeight="1">
      <c r="A20" s="414"/>
      <c r="B20" s="75" t="s">
        <v>81</v>
      </c>
      <c r="C20" s="76"/>
      <c r="D20" s="59" t="s">
        <v>119</v>
      </c>
      <c r="E20" s="77"/>
      <c r="F20" s="75">
        <f>VLOOKUP(D20,廠價表!$C$1:$E$41,3,0)</f>
        <v>50.39</v>
      </c>
      <c r="G20" s="147">
        <v>1990</v>
      </c>
      <c r="H20" s="78">
        <f t="shared" si="21"/>
        <v>100276.1</v>
      </c>
      <c r="I20" s="30"/>
      <c r="J20" s="79">
        <f>VLOOKUP(D20,產線配置圖!$A$3:$C$39,2,0)</f>
        <v>11</v>
      </c>
      <c r="K20" s="80">
        <f>VLOOKUP(D20,產線配置圖!$A$3:$C$39,3,0)</f>
        <v>2000</v>
      </c>
      <c r="L20" s="81">
        <f t="shared" si="17"/>
        <v>181.81818181818181</v>
      </c>
      <c r="M20" s="148">
        <v>11</v>
      </c>
      <c r="N20" s="95">
        <f t="shared" si="18"/>
        <v>1895.2380952380972</v>
      </c>
      <c r="O20" s="96">
        <f t="shared" si="20"/>
        <v>172.29437229437247</v>
      </c>
      <c r="P20" s="97">
        <f t="shared" si="12"/>
        <v>0</v>
      </c>
      <c r="Q20" s="98">
        <f t="shared" si="13"/>
        <v>-9.5238095238093479</v>
      </c>
      <c r="R20" s="99">
        <f t="shared" si="14"/>
        <v>0.94761904761904858</v>
      </c>
      <c r="S20" s="418"/>
      <c r="T20" s="19">
        <v>0.54861111111111105</v>
      </c>
      <c r="U20" s="19">
        <v>0.59236111111111101</v>
      </c>
      <c r="V20" s="30">
        <f>(T20-U19)*24*60</f>
        <v>103.99999999999979</v>
      </c>
      <c r="W20" s="149">
        <f t="shared" si="19"/>
        <v>62.999999999999936</v>
      </c>
      <c r="X20" s="19">
        <v>0.48611111111111099</v>
      </c>
      <c r="Y20" s="297">
        <v>0.52777777777777801</v>
      </c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 t="s">
        <v>81</v>
      </c>
      <c r="C21" s="76"/>
      <c r="D21" s="59" t="s">
        <v>118</v>
      </c>
      <c r="E21" s="77"/>
      <c r="F21" s="75">
        <f>VLOOKUP(D21,廠價表!$C$1:$E$41,3,0)</f>
        <v>50.67</v>
      </c>
      <c r="G21" s="147">
        <v>675</v>
      </c>
      <c r="H21" s="78">
        <f t="shared" si="21"/>
        <v>34202.25</v>
      </c>
      <c r="I21" s="30"/>
      <c r="J21" s="79">
        <f>VLOOKUP(D21,產線配置圖!$A$3:$C$39,2,0)</f>
        <v>12</v>
      </c>
      <c r="K21" s="80">
        <f>VLOOKUP(D21,產線配置圖!$A$3:$C$39,3,0)</f>
        <v>2000</v>
      </c>
      <c r="L21" s="81">
        <f t="shared" si="17"/>
        <v>166.66666666666666</v>
      </c>
      <c r="M21" s="148">
        <v>12</v>
      </c>
      <c r="N21" s="95">
        <f t="shared" si="18"/>
        <v>1760.8695652172996</v>
      </c>
      <c r="O21" s="96">
        <f t="shared" si="20"/>
        <v>146.73913043477498</v>
      </c>
      <c r="P21" s="97">
        <f t="shared" si="12"/>
        <v>0</v>
      </c>
      <c r="Q21" s="98">
        <f t="shared" si="13"/>
        <v>-19.927536231891679</v>
      </c>
      <c r="R21" s="99">
        <f t="shared" si="14"/>
        <v>0.88043478260864994</v>
      </c>
      <c r="S21" s="418"/>
      <c r="T21" s="19">
        <v>0.60069444444444398</v>
      </c>
      <c r="U21" s="19">
        <v>0.61666666666666703</v>
      </c>
      <c r="V21" s="30">
        <f>(T21-U20)*24*60</f>
        <v>11.999999999999478</v>
      </c>
      <c r="W21" s="149">
        <f t="shared" si="19"/>
        <v>23.000000000001197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9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22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9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22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9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3">AVERAGE(J16:J25)</f>
        <v>11.666666666666666</v>
      </c>
      <c r="K26" s="155">
        <f t="shared" si="23"/>
        <v>2017.5</v>
      </c>
      <c r="L26" s="158">
        <f t="shared" si="23"/>
        <v>173.17550505050505</v>
      </c>
      <c r="M26" s="155">
        <f t="shared" si="23"/>
        <v>12</v>
      </c>
      <c r="N26" s="155">
        <f t="shared" si="23"/>
        <v>1835.0761753008098</v>
      </c>
      <c r="O26" s="158">
        <f t="shared" si="23"/>
        <v>153.9351465094216</v>
      </c>
      <c r="P26" s="159">
        <f t="shared" ref="P26:P30" si="24">M26-J26</f>
        <v>0.33333333333333393</v>
      </c>
      <c r="Q26" s="160">
        <f t="shared" ref="Q26:Q30" si="25">O26-L26</f>
        <v>-19.240358541083452</v>
      </c>
      <c r="R26" s="161">
        <f>O26/L26</f>
        <v>0.88889676669069229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4</v>
      </c>
      <c r="AE26" s="323">
        <f>SUM(AE16:AE25)</f>
        <v>4</v>
      </c>
      <c r="AF26" s="309">
        <f t="shared" ref="AF26:AF31" si="26">N26-K26</f>
        <v>-182.42382469919016</v>
      </c>
      <c r="AG26" s="124">
        <f t="shared" ref="AG26:AG31" si="27">N26/K26</f>
        <v>0.90957926904625019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1709</v>
      </c>
      <c r="H27" s="134">
        <f>F27*G27</f>
        <v>97925.7</v>
      </c>
      <c r="I27" s="135"/>
      <c r="J27" s="136">
        <v>15</v>
      </c>
      <c r="K27" s="137">
        <f>VLOOKUP(D27,產線配置圖!$A$3:$C$39,3,0)</f>
        <v>1500</v>
      </c>
      <c r="L27" s="138">
        <f t="shared" ref="L27:L30" si="28">K27/J27</f>
        <v>100</v>
      </c>
      <c r="M27" s="170">
        <v>15</v>
      </c>
      <c r="N27" s="140">
        <f>G27/W27*60</f>
        <v>1464.8571428571465</v>
      </c>
      <c r="O27" s="141">
        <f>N27/M27</f>
        <v>97.6571428571431</v>
      </c>
      <c r="P27" s="142">
        <f t="shared" si="24"/>
        <v>0</v>
      </c>
      <c r="Q27" s="143">
        <f t="shared" si="25"/>
        <v>-2.3428571428569001</v>
      </c>
      <c r="R27" s="144">
        <f>O27/L27</f>
        <v>0.97657142857143098</v>
      </c>
      <c r="S27" s="417">
        <f>R37</f>
        <v>0.93083117939173154</v>
      </c>
      <c r="T27" s="171">
        <v>0.29166666666666702</v>
      </c>
      <c r="U27" s="171">
        <v>0.34027777777777801</v>
      </c>
      <c r="V27" s="135"/>
      <c r="W27" s="146">
        <f t="shared" si="19"/>
        <v>69.999999999999829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6"/>
        <v>-35.142857142853472</v>
      </c>
      <c r="AG27" s="172">
        <f t="shared" si="27"/>
        <v>0.97657142857143098</v>
      </c>
      <c r="AH27" s="403">
        <f>AG37</f>
        <v>0.87618648487409589</v>
      </c>
    </row>
    <row r="28" spans="1:34" ht="15" customHeight="1">
      <c r="A28" s="430"/>
      <c r="B28" s="75" t="s">
        <v>81</v>
      </c>
      <c r="C28" s="173"/>
      <c r="D28" s="59" t="s">
        <v>122</v>
      </c>
      <c r="E28" s="104"/>
      <c r="F28" s="75">
        <f>VLOOKUP(D28,廠價表!$C$1:$E$41,3,0)</f>
        <v>55.13</v>
      </c>
      <c r="G28" s="90">
        <v>1538</v>
      </c>
      <c r="H28" s="91">
        <f>F28*G28</f>
        <v>84789.94</v>
      </c>
      <c r="I28" s="92"/>
      <c r="J28" s="79">
        <v>15</v>
      </c>
      <c r="K28" s="80">
        <f>VLOOKUP(D28,產線配置圖!$A$3:$C$39,3,0)</f>
        <v>1385</v>
      </c>
      <c r="L28" s="93">
        <f t="shared" si="28"/>
        <v>92.333333333333329</v>
      </c>
      <c r="M28" s="94">
        <v>13</v>
      </c>
      <c r="N28" s="95">
        <f>G28/W28*60</f>
        <v>1003.0434782608678</v>
      </c>
      <c r="O28" s="96">
        <f>N28/M28</f>
        <v>77.157190635451371</v>
      </c>
      <c r="P28" s="97">
        <f t="shared" si="24"/>
        <v>-2</v>
      </c>
      <c r="Q28" s="98">
        <f t="shared" si="25"/>
        <v>-15.176142697881957</v>
      </c>
      <c r="R28" s="99">
        <f t="shared" ref="R28:R30" si="29">O28/L28</f>
        <v>0.83563744370524951</v>
      </c>
      <c r="S28" s="418"/>
      <c r="T28" s="19">
        <v>0.34583333333333299</v>
      </c>
      <c r="U28" s="19">
        <v>0.40972222222222199</v>
      </c>
      <c r="V28" s="92">
        <f>(T28-U27)*24*60</f>
        <v>7.9999999999991722</v>
      </c>
      <c r="W28" s="149">
        <f t="shared" si="19"/>
        <v>92.000000000000156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6"/>
        <v>-381.9565217391322</v>
      </c>
      <c r="AG28" s="99">
        <f t="shared" si="27"/>
        <v>0.72421911787788285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1924</v>
      </c>
      <c r="H29" s="91">
        <f>F29*G29</f>
        <v>95276.48000000001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8"/>
        <v>96</v>
      </c>
      <c r="M29" s="94">
        <v>14</v>
      </c>
      <c r="N29" s="95">
        <f>G29/W29*60</f>
        <v>1228.0851063829748</v>
      </c>
      <c r="O29" s="96">
        <f>N29/M29</f>
        <v>87.720364741641063</v>
      </c>
      <c r="P29" s="97">
        <f t="shared" si="24"/>
        <v>-1</v>
      </c>
      <c r="Q29" s="98">
        <f t="shared" si="25"/>
        <v>-8.2796352583589368</v>
      </c>
      <c r="R29" s="99">
        <f t="shared" si="29"/>
        <v>0.91375379939209445</v>
      </c>
      <c r="S29" s="418"/>
      <c r="T29" s="19">
        <v>0.41458333333333303</v>
      </c>
      <c r="U29" s="19">
        <v>0.47986111111111102</v>
      </c>
      <c r="V29" s="92">
        <f>(T29-U28)*24*60</f>
        <v>6.9999999999998952</v>
      </c>
      <c r="W29" s="149">
        <f t="shared" si="19"/>
        <v>94.000000000000313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6"/>
        <v>-211.9148936170252</v>
      </c>
      <c r="AG29" s="99">
        <f t="shared" si="27"/>
        <v>0.85283687943262143</v>
      </c>
      <c r="AH29" s="432"/>
    </row>
    <row r="30" spans="1:34" ht="15" customHeight="1">
      <c r="A30" s="430"/>
      <c r="B30" s="75" t="s">
        <v>123</v>
      </c>
      <c r="C30" s="88"/>
      <c r="D30" s="59" t="s">
        <v>128</v>
      </c>
      <c r="E30" s="89"/>
      <c r="F30" s="75">
        <f>VLOOKUP(D30,廠價表!$C$1:$E$41,3,0)</f>
        <v>44.3</v>
      </c>
      <c r="G30" s="90">
        <v>2462</v>
      </c>
      <c r="H30" s="91">
        <f>F30*G30</f>
        <v>109066.59999999999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si="28"/>
        <v>84.705882352941174</v>
      </c>
      <c r="M30" s="94">
        <v>16</v>
      </c>
      <c r="N30" s="95">
        <f>G30/W30*60</f>
        <v>1355.2293577981739</v>
      </c>
      <c r="O30" s="96">
        <f>N30/M30</f>
        <v>84.701834862385866</v>
      </c>
      <c r="P30" s="97">
        <f t="shared" si="24"/>
        <v>-1</v>
      </c>
      <c r="Q30" s="98">
        <f t="shared" si="25"/>
        <v>-4.0474905553082863E-3</v>
      </c>
      <c r="R30" s="99">
        <f t="shared" si="29"/>
        <v>0.99995221712538873</v>
      </c>
      <c r="S30" s="418"/>
      <c r="T30" s="19">
        <v>0.55902777777777801</v>
      </c>
      <c r="U30" s="19">
        <v>0.63472222222222197</v>
      </c>
      <c r="V30" s="92">
        <f>(T30-U29)*24*60</f>
        <v>114.00000000000047</v>
      </c>
      <c r="W30" s="149">
        <f t="shared" si="19"/>
        <v>108.99999999999929</v>
      </c>
      <c r="X30" s="174">
        <v>0.49652777777777801</v>
      </c>
      <c r="Y30" s="301">
        <v>0.53819444444444398</v>
      </c>
      <c r="Z30" s="335"/>
      <c r="AA30" s="335"/>
      <c r="AB30" s="395"/>
      <c r="AC30" s="395"/>
      <c r="AD30" s="92"/>
      <c r="AE30" s="92"/>
      <c r="AF30" s="312">
        <f t="shared" si="26"/>
        <v>-84.770642201826149</v>
      </c>
      <c r="AG30" s="99">
        <f t="shared" si="27"/>
        <v>0.94113149847095401</v>
      </c>
      <c r="AH30" s="433"/>
    </row>
    <row r="31" spans="1:34" ht="15" customHeight="1">
      <c r="A31" s="43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8"/>
      <c r="T31" s="19"/>
      <c r="U31" s="19"/>
      <c r="V31" s="92"/>
      <c r="W31" s="149">
        <f t="shared" si="19"/>
        <v>0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6"/>
        <v>0</v>
      </c>
      <c r="AG31" s="99" t="e">
        <f t="shared" si="27"/>
        <v>#DIV/0!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50"/>
      <c r="U32" s="150"/>
      <c r="V32" s="92"/>
      <c r="W32" s="149">
        <f t="shared" si="19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9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9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9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30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9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1">AVERAGE(J27:J36)</f>
        <v>15.5</v>
      </c>
      <c r="K37" s="155">
        <f t="shared" si="31"/>
        <v>1441.25</v>
      </c>
      <c r="L37" s="158">
        <f t="shared" si="31"/>
        <v>93.259803921568619</v>
      </c>
      <c r="M37" s="155">
        <f t="shared" si="31"/>
        <v>14.5</v>
      </c>
      <c r="N37" s="155">
        <f t="shared" si="31"/>
        <v>1262.8037713247907</v>
      </c>
      <c r="O37" s="158">
        <f t="shared" si="31"/>
        <v>86.809133274155343</v>
      </c>
      <c r="P37" s="159">
        <f>M37-J37</f>
        <v>-1</v>
      </c>
      <c r="Q37" s="160">
        <f>N37-K37</f>
        <v>-178.44622867520934</v>
      </c>
      <c r="R37" s="161">
        <f t="shared" ref="R37:R40" si="32">O37/L37</f>
        <v>0.93083117939173154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3">N37-K37</f>
        <v>-178.44622867520934</v>
      </c>
      <c r="AG37" s="124">
        <f t="shared" ref="AG37:AG41" si="34">N37/K37</f>
        <v>0.87618648487409589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1122</v>
      </c>
      <c r="H38" s="134">
        <f>F38*G38</f>
        <v>63314.46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35">K38/J38</f>
        <v>87.875</v>
      </c>
      <c r="M38" s="190">
        <v>15</v>
      </c>
      <c r="N38" s="140">
        <f>G38/W38*60</f>
        <v>1160.6896551724067</v>
      </c>
      <c r="O38" s="141">
        <f>N38/M38</f>
        <v>77.379310344827118</v>
      </c>
      <c r="P38" s="142">
        <f t="shared" ref="P38:P40" si="36">M38-J38</f>
        <v>-1</v>
      </c>
      <c r="Q38" s="143">
        <f t="shared" ref="Q38:Q40" si="37">O38-L38</f>
        <v>-10.495689655172882</v>
      </c>
      <c r="R38" s="144">
        <f>O38/L38</f>
        <v>0.88056114190414925</v>
      </c>
      <c r="S38" s="437">
        <f>R48</f>
        <v>0.95720969361509667</v>
      </c>
      <c r="T38" s="191">
        <v>0.33333333333333298</v>
      </c>
      <c r="U38" s="191">
        <v>0.37361111111111101</v>
      </c>
      <c r="V38" s="192"/>
      <c r="W38" s="193">
        <f t="shared" si="19"/>
        <v>58.000000000000355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3"/>
        <v>-245.31034482759333</v>
      </c>
      <c r="AG38" s="195">
        <f t="shared" si="34"/>
        <v>0.82552607053513993</v>
      </c>
      <c r="AH38" s="443">
        <f>AG48</f>
        <v>0.94119431867444203</v>
      </c>
    </row>
    <row r="39" spans="1:34" ht="15" customHeight="1">
      <c r="A39" s="435"/>
      <c r="B39" s="75" t="s">
        <v>123</v>
      </c>
      <c r="C39" s="197"/>
      <c r="D39" s="198" t="s">
        <v>127</v>
      </c>
      <c r="E39" s="176"/>
      <c r="F39" s="75">
        <f>VLOOKUP(D39,廠價表!$C$1:$E$41,3,0)</f>
        <v>49.91</v>
      </c>
      <c r="G39" s="199">
        <v>2029</v>
      </c>
      <c r="H39" s="91">
        <f>F39*G39</f>
        <v>101267.39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5"/>
        <v>92.058823529411768</v>
      </c>
      <c r="M39" s="201">
        <v>17</v>
      </c>
      <c r="N39" s="202">
        <f>G39/W39*60</f>
        <v>1560.7692307692203</v>
      </c>
      <c r="O39" s="203">
        <f t="shared" ref="O39:O40" si="38">N39/M39</f>
        <v>91.809954751130604</v>
      </c>
      <c r="P39" s="97">
        <f t="shared" si="36"/>
        <v>0</v>
      </c>
      <c r="Q39" s="98">
        <f t="shared" si="37"/>
        <v>-0.24886877828116383</v>
      </c>
      <c r="R39" s="99">
        <f t="shared" si="32"/>
        <v>0.99729663307937388</v>
      </c>
      <c r="S39" s="438"/>
      <c r="T39" s="20">
        <v>0.37986111111111098</v>
      </c>
      <c r="U39" s="20">
        <v>0.43402777777777801</v>
      </c>
      <c r="V39" s="92">
        <f>(T39-U38)*24*60</f>
        <v>8.999999999999968</v>
      </c>
      <c r="W39" s="205">
        <f t="shared" si="19"/>
        <v>78.000000000000526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3"/>
        <v>-4.2307692307797424</v>
      </c>
      <c r="AG39" s="206">
        <f t="shared" si="34"/>
        <v>0.997296633079374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1597</v>
      </c>
      <c r="H40" s="91">
        <f>F40*G40</f>
        <v>70747.099999999991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5"/>
        <v>84.705882352941174</v>
      </c>
      <c r="M40" s="201">
        <v>17</v>
      </c>
      <c r="N40" s="202">
        <f>G40/W40*60</f>
        <v>1430.1492537313363</v>
      </c>
      <c r="O40" s="203">
        <f t="shared" si="38"/>
        <v>84.126426690078603</v>
      </c>
      <c r="P40" s="97">
        <f t="shared" si="36"/>
        <v>0</v>
      </c>
      <c r="Q40" s="98">
        <f t="shared" si="37"/>
        <v>-0.57945566286257133</v>
      </c>
      <c r="R40" s="99">
        <f t="shared" si="32"/>
        <v>0.99315920398009461</v>
      </c>
      <c r="S40" s="425"/>
      <c r="T40" s="20">
        <v>0.44097222222222199</v>
      </c>
      <c r="U40" s="20">
        <v>0.48749999999999999</v>
      </c>
      <c r="V40" s="92">
        <f>(T40-U39)*24*60</f>
        <v>9.999999999999325</v>
      </c>
      <c r="W40" s="205">
        <f t="shared" si="19"/>
        <v>67.000000000000327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3"/>
        <v>-9.85074626866367</v>
      </c>
      <c r="AG40" s="206">
        <f t="shared" si="34"/>
        <v>0.99315920398009472</v>
      </c>
      <c r="AH40" s="444"/>
    </row>
    <row r="41" spans="1:34" ht="15" customHeight="1">
      <c r="A41" s="43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5"/>
      <c r="T41" s="20"/>
      <c r="U41" s="210"/>
      <c r="V41" s="92"/>
      <c r="W41" s="205">
        <f t="shared" si="19"/>
        <v>0</v>
      </c>
      <c r="X41" s="208"/>
      <c r="Y41" s="209"/>
      <c r="Z41" s="337"/>
      <c r="AA41" s="337"/>
      <c r="AB41" s="395"/>
      <c r="AC41" s="395"/>
      <c r="AD41" s="92"/>
      <c r="AE41" s="92"/>
      <c r="AF41" s="314">
        <f t="shared" si="33"/>
        <v>0</v>
      </c>
      <c r="AG41" s="206" t="e">
        <f t="shared" si="34"/>
        <v>#DIV/0!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9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9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9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9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30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9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40">AVERAGE(J38:J47)</f>
        <v>16.666666666666668</v>
      </c>
      <c r="K48" s="155">
        <f t="shared" si="40"/>
        <v>1470.3333333333333</v>
      </c>
      <c r="L48" s="158">
        <f t="shared" si="40"/>
        <v>88.213235294117638</v>
      </c>
      <c r="M48" s="155">
        <f t="shared" si="40"/>
        <v>16.333333333333332</v>
      </c>
      <c r="N48" s="155">
        <f t="shared" si="40"/>
        <v>1383.8693798909878</v>
      </c>
      <c r="O48" s="158">
        <f t="shared" si="40"/>
        <v>84.438563928678775</v>
      </c>
      <c r="P48" s="221">
        <f>M48-J48</f>
        <v>-0.3333333333333357</v>
      </c>
      <c r="Q48" s="222">
        <f>N48-K48</f>
        <v>-86.463953442345428</v>
      </c>
      <c r="R48" s="223">
        <f>O48/L48</f>
        <v>0.95720969361509667</v>
      </c>
      <c r="S48" s="428"/>
      <c r="T48" s="224"/>
      <c r="U48" s="224"/>
      <c r="V48" s="225"/>
      <c r="W48" s="226">
        <f t="shared" si="39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41">N48-K48</f>
        <v>-86.463953442345428</v>
      </c>
      <c r="AG48" s="162">
        <f t="shared" ref="AG48:AG53" si="42">N48/K48</f>
        <v>0.94119431867444203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1031</v>
      </c>
      <c r="H49" s="134">
        <f>F49*G49</f>
        <v>58632.969999999994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3">K49/J49</f>
        <v>86.944444444444443</v>
      </c>
      <c r="M49" s="170">
        <v>17</v>
      </c>
      <c r="N49" s="140">
        <f>G49/W49*60</f>
        <v>1472.8571428571283</v>
      </c>
      <c r="O49" s="141">
        <f>N49/M49</f>
        <v>86.638655462184019</v>
      </c>
      <c r="P49" s="229">
        <f>M49-J49</f>
        <v>-1</v>
      </c>
      <c r="Q49" s="230">
        <f>O49-L49</f>
        <v>-0.30578898226042384</v>
      </c>
      <c r="R49" s="52">
        <f>O49/L49</f>
        <v>0.99648293822320277</v>
      </c>
      <c r="S49" s="424">
        <f>R58</f>
        <v>0.97059575147778143</v>
      </c>
      <c r="T49" s="191">
        <v>0.28958333333333303</v>
      </c>
      <c r="U49" s="191">
        <v>0.31874999999999998</v>
      </c>
      <c r="V49" s="55"/>
      <c r="W49" s="193">
        <f t="shared" si="19"/>
        <v>42.000000000000412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41"/>
        <v>-92.142857142871662</v>
      </c>
      <c r="AG49" s="52">
        <f t="shared" si="42"/>
        <v>0.94112277498858044</v>
      </c>
      <c r="AH49" s="403">
        <f>AG58</f>
        <v>0.92996970045801597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2332</v>
      </c>
      <c r="H50" s="231">
        <f>F50*G50</f>
        <v>111259.72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3"/>
        <v>90</v>
      </c>
      <c r="M50" s="233">
        <v>16</v>
      </c>
      <c r="N50" s="234">
        <f>G50/W50*60</f>
        <v>1320.0000000000025</v>
      </c>
      <c r="O50" s="235">
        <f>N50/M50</f>
        <v>82.500000000000156</v>
      </c>
      <c r="P50" s="74">
        <f>M50-J50</f>
        <v>0</v>
      </c>
      <c r="Q50" s="83">
        <f>O50-L50</f>
        <v>-7.4999999999998437</v>
      </c>
      <c r="R50" s="72">
        <f>O50/L50</f>
        <v>0.91666666666666841</v>
      </c>
      <c r="S50" s="425"/>
      <c r="T50" s="21">
        <v>0.32222222222222202</v>
      </c>
      <c r="U50" s="21">
        <v>0.39583333333333298</v>
      </c>
      <c r="V50" s="30">
        <f t="shared" ref="V50:V52" si="44">(T50-U49)*24*60</f>
        <v>4.9999999999997424</v>
      </c>
      <c r="W50" s="236">
        <f t="shared" si="19"/>
        <v>105.99999999999979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1"/>
        <v>-119.9999999999975</v>
      </c>
      <c r="AG50" s="72">
        <f t="shared" si="42"/>
        <v>0.91666666666666841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2423</v>
      </c>
      <c r="H51" s="231">
        <f>F51*G51</f>
        <v>121077.31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3"/>
        <v>88.888888888888886</v>
      </c>
      <c r="M51" s="233">
        <v>17</v>
      </c>
      <c r="N51" s="234">
        <f>G51/W51*60</f>
        <v>1468.484848484849</v>
      </c>
      <c r="O51" s="235">
        <f>N51/M51</f>
        <v>86.381461675579345</v>
      </c>
      <c r="P51" s="74">
        <f>M51-J51</f>
        <v>-1</v>
      </c>
      <c r="Q51" s="83">
        <f>O51-L51</f>
        <v>-2.5074272133095405</v>
      </c>
      <c r="R51" s="72">
        <f>O51/L51</f>
        <v>0.97179144385026772</v>
      </c>
      <c r="S51" s="425"/>
      <c r="T51" s="21">
        <v>0.4</v>
      </c>
      <c r="U51" s="19">
        <v>0.46875</v>
      </c>
      <c r="V51" s="30">
        <f t="shared" si="44"/>
        <v>6.0000000000005382</v>
      </c>
      <c r="W51" s="236">
        <f t="shared" si="19"/>
        <v>98.999999999999972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41"/>
        <v>-131.51515151515105</v>
      </c>
      <c r="AG51" s="72">
        <f t="shared" si="42"/>
        <v>0.91780303030303056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3144</v>
      </c>
      <c r="H52" s="231">
        <f>F52*G52</f>
        <v>157105.68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3"/>
        <v>88.888888888888886</v>
      </c>
      <c r="M52" s="233">
        <v>17</v>
      </c>
      <c r="N52" s="234">
        <f>G52/W52*60</f>
        <v>1509.1200000000092</v>
      </c>
      <c r="O52" s="235">
        <f>N52/M52</f>
        <v>88.771764705882902</v>
      </c>
      <c r="P52" s="74">
        <f>M52-J52</f>
        <v>-1</v>
      </c>
      <c r="Q52" s="83">
        <f>O52-L52</f>
        <v>-0.11712418300598415</v>
      </c>
      <c r="R52" s="72">
        <f>O52/L52</f>
        <v>0.99868235294118268</v>
      </c>
      <c r="S52" s="425"/>
      <c r="T52" s="21">
        <v>0.52638888888888902</v>
      </c>
      <c r="U52" s="21">
        <v>0.61319444444444404</v>
      </c>
      <c r="V52" s="30">
        <f t="shared" si="44"/>
        <v>83.000000000000185</v>
      </c>
      <c r="W52" s="236">
        <f t="shared" si="19"/>
        <v>124.99999999999923</v>
      </c>
      <c r="X52" s="22">
        <v>0.47222222222222199</v>
      </c>
      <c r="Y52" s="84">
        <v>0.51388888888888895</v>
      </c>
      <c r="Z52" s="90"/>
      <c r="AA52" s="90"/>
      <c r="AB52" s="395"/>
      <c r="AC52" s="395"/>
      <c r="AD52" s="92"/>
      <c r="AE52" s="92"/>
      <c r="AF52" s="307">
        <f t="shared" si="41"/>
        <v>-90.879999999990787</v>
      </c>
      <c r="AG52" s="72">
        <f t="shared" si="42"/>
        <v>0.94320000000000581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9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41"/>
        <v>0</v>
      </c>
      <c r="AG53" s="72" t="e">
        <f t="shared" si="42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9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9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9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9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5">AVERAGE(J49:J57)</f>
        <v>17.5</v>
      </c>
      <c r="K58" s="120">
        <f t="shared" si="45"/>
        <v>1551.25</v>
      </c>
      <c r="L58" s="117">
        <f t="shared" si="45"/>
        <v>88.680555555555571</v>
      </c>
      <c r="M58" s="120">
        <f t="shared" si="45"/>
        <v>16.75</v>
      </c>
      <c r="N58" s="120">
        <f t="shared" si="45"/>
        <v>1442.6154978354973</v>
      </c>
      <c r="O58" s="117">
        <f t="shared" si="45"/>
        <v>86.072970460911606</v>
      </c>
      <c r="P58" s="121">
        <f>M58-J58</f>
        <v>-0.75</v>
      </c>
      <c r="Q58" s="122">
        <f>N58-K58</f>
        <v>-108.63450216450269</v>
      </c>
      <c r="R58" s="123">
        <f t="shared" ref="R58:R60" si="46">O58/L58</f>
        <v>0.97059575147778143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47">N58-K58</f>
        <v>-108.63450216450269</v>
      </c>
      <c r="AG58" s="124">
        <f t="shared" ref="AG58:AG61" si="48">N58/K58</f>
        <v>0.92996970045801597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3010</v>
      </c>
      <c r="H59" s="243">
        <f>F59*G59</f>
        <v>81239.899999999994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49">K59/J59</f>
        <v>120.38461538461539</v>
      </c>
      <c r="M59" s="244">
        <v>13</v>
      </c>
      <c r="N59" s="137">
        <f t="shared" ref="N59:N61" si="50">G59/W59*60</f>
        <v>1444.8000000000097</v>
      </c>
      <c r="O59" s="138">
        <f t="shared" ref="O59:O61" si="51">N59/M59</f>
        <v>111.13846153846228</v>
      </c>
      <c r="P59" s="56">
        <f t="shared" ref="P59:P61" si="52">M59-J59</f>
        <v>0</v>
      </c>
      <c r="Q59" s="230">
        <f t="shared" ref="Q59:Q61" si="53">O59-L59</f>
        <v>-9.2461538461531063</v>
      </c>
      <c r="R59" s="52">
        <f t="shared" si="46"/>
        <v>0.92319488817891993</v>
      </c>
      <c r="S59" s="424">
        <f>R69</f>
        <v>0.91640859457249979</v>
      </c>
      <c r="T59" s="245">
        <v>0.29166666666666702</v>
      </c>
      <c r="U59" s="245">
        <v>0.37847222222222199</v>
      </c>
      <c r="V59" s="55"/>
      <c r="W59" s="54">
        <f t="shared" si="19"/>
        <v>124.99999999999916</v>
      </c>
      <c r="X59" s="55"/>
      <c r="Y59" s="290"/>
      <c r="Z59" s="169"/>
      <c r="AA59" s="169"/>
      <c r="AB59" s="402" t="s">
        <v>178</v>
      </c>
      <c r="AC59" s="402"/>
      <c r="AD59" s="135"/>
      <c r="AE59" s="135"/>
      <c r="AF59" s="310">
        <f t="shared" si="47"/>
        <v>-120.19999999999027</v>
      </c>
      <c r="AG59" s="246">
        <f t="shared" si="48"/>
        <v>0.92319488817891993</v>
      </c>
      <c r="AH59" s="403">
        <f>AG69</f>
        <v>0.91658260210086961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1261</v>
      </c>
      <c r="H60" s="78">
        <f>F60*G60</f>
        <v>35635.86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9"/>
        <v>130.41666666666666</v>
      </c>
      <c r="M60" s="82">
        <v>12</v>
      </c>
      <c r="N60" s="80">
        <f t="shared" si="50"/>
        <v>1544.0816326530517</v>
      </c>
      <c r="O60" s="81">
        <f t="shared" si="51"/>
        <v>128.6734693877543</v>
      </c>
      <c r="P60" s="74">
        <f t="shared" si="52"/>
        <v>0</v>
      </c>
      <c r="Q60" s="83">
        <f t="shared" si="53"/>
        <v>-1.743197278912362</v>
      </c>
      <c r="R60" s="72">
        <f t="shared" si="46"/>
        <v>0.98663363108821189</v>
      </c>
      <c r="S60" s="451"/>
      <c r="T60" s="22">
        <v>0.38888888888888901</v>
      </c>
      <c r="U60" s="22">
        <v>0.422916666666667</v>
      </c>
      <c r="V60" s="30">
        <f t="shared" ref="V60:V61" si="54">(T60-U59)*24*60</f>
        <v>15.000000000000506</v>
      </c>
      <c r="W60" s="248">
        <f t="shared" si="19"/>
        <v>49.000000000000306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47"/>
        <v>-20.918367346948344</v>
      </c>
      <c r="AG60" s="249">
        <f t="shared" si="48"/>
        <v>0.98663363108821189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1665</v>
      </c>
      <c r="H61" s="254">
        <f>F61*G61</f>
        <v>47052.9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9"/>
        <v>130.41666666666666</v>
      </c>
      <c r="M61" s="108">
        <v>12</v>
      </c>
      <c r="N61" s="107">
        <f t="shared" si="50"/>
        <v>1314.4736842105215</v>
      </c>
      <c r="O61" s="238">
        <f t="shared" si="51"/>
        <v>109.53947368421012</v>
      </c>
      <c r="P61" s="111">
        <f t="shared" si="52"/>
        <v>0</v>
      </c>
      <c r="Q61" s="255">
        <f t="shared" si="53"/>
        <v>-20.877192982456535</v>
      </c>
      <c r="R61" s="85">
        <f>O61/L61</f>
        <v>0.83991928703547702</v>
      </c>
      <c r="S61" s="425"/>
      <c r="T61" s="22">
        <v>0.43333333333333302</v>
      </c>
      <c r="U61" s="22">
        <v>0.48611111111111099</v>
      </c>
      <c r="V61" s="30">
        <f t="shared" si="54"/>
        <v>14.999999999999067</v>
      </c>
      <c r="W61" s="256">
        <f t="shared" si="19"/>
        <v>76.000000000000284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47"/>
        <v>-250.52631578947853</v>
      </c>
      <c r="AG61" s="247">
        <f t="shared" si="48"/>
        <v>0.83991928703547702</v>
      </c>
      <c r="AH61" s="404"/>
    </row>
    <row r="62" spans="1:34" ht="15" customHeight="1">
      <c r="A62" s="44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5"/>
      <c r="T62" s="22"/>
      <c r="U62" s="22"/>
      <c r="V62" s="30"/>
      <c r="W62" s="248">
        <f t="shared" si="19"/>
        <v>0</v>
      </c>
      <c r="X62" s="22"/>
      <c r="Y62" s="84"/>
      <c r="Z62" s="90"/>
      <c r="AA62" s="90"/>
      <c r="AB62" s="395"/>
      <c r="AC62" s="395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9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9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9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9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9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9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5">AVERAGE(J59:J68)</f>
        <v>12.333333333333334</v>
      </c>
      <c r="K69" s="240">
        <f t="shared" si="55"/>
        <v>1565</v>
      </c>
      <c r="L69" s="268">
        <f t="shared" si="55"/>
        <v>127.07264957264958</v>
      </c>
      <c r="M69" s="240">
        <f t="shared" si="55"/>
        <v>12.333333333333334</v>
      </c>
      <c r="N69" s="240">
        <f t="shared" si="55"/>
        <v>1434.4517722878609</v>
      </c>
      <c r="O69" s="268">
        <f t="shared" si="55"/>
        <v>116.45046820347557</v>
      </c>
      <c r="P69" s="269">
        <f>M69-J69</f>
        <v>0</v>
      </c>
      <c r="Q69" s="222">
        <f>N69-K69</f>
        <v>-130.54822771213912</v>
      </c>
      <c r="R69" s="123">
        <f>O69/L69</f>
        <v>0.91640859457249979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-130.54822771213912</v>
      </c>
      <c r="AG69" s="124">
        <f>N69/K69</f>
        <v>0.91658260210086961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2579</v>
      </c>
      <c r="H70" s="243">
        <f>F70*G70</f>
        <v>130677.93000000001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998.32258064516009</v>
      </c>
      <c r="O70" s="138">
        <f>N70/M70</f>
        <v>99.832258064516012</v>
      </c>
      <c r="P70" s="56">
        <f>M70-J70</f>
        <v>0</v>
      </c>
      <c r="Q70" s="230">
        <f>O70-L70</f>
        <v>-12.667741935483988</v>
      </c>
      <c r="R70" s="52">
        <f>O70/L70</f>
        <v>0.88739784946236455</v>
      </c>
      <c r="S70" s="424">
        <f>R79</f>
        <v>0.88739784946236455</v>
      </c>
      <c r="T70" s="245">
        <v>0.33333333333333298</v>
      </c>
      <c r="U70" s="245">
        <v>0.44097222222222199</v>
      </c>
      <c r="V70" s="55"/>
      <c r="W70" s="54">
        <f t="shared" si="19"/>
        <v>155.00000000000017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-126.67741935483991</v>
      </c>
      <c r="AG70" s="246">
        <f>N70/K70</f>
        <v>0.88739784946236455</v>
      </c>
      <c r="AH70" s="403">
        <f>AG79</f>
        <v>0.88739784946236455</v>
      </c>
    </row>
    <row r="71" spans="1:36" ht="15" customHeight="1">
      <c r="A71" s="45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5"/>
      <c r="T71" s="22"/>
      <c r="U71" s="22"/>
      <c r="V71" s="30"/>
      <c r="W71" s="73">
        <f t="shared" si="19"/>
        <v>0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9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9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9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9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9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ref="H77:H78" si="56"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9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56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9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57">AVERAGE(J70:J78)</f>
        <v>10</v>
      </c>
      <c r="K79" s="240">
        <f t="shared" si="57"/>
        <v>1125</v>
      </c>
      <c r="L79" s="268">
        <f t="shared" si="57"/>
        <v>112.5</v>
      </c>
      <c r="M79" s="240">
        <f t="shared" si="57"/>
        <v>10</v>
      </c>
      <c r="N79" s="240">
        <f t="shared" si="57"/>
        <v>998.32258064516009</v>
      </c>
      <c r="O79" s="268">
        <f t="shared" si="57"/>
        <v>99.832258064516012</v>
      </c>
      <c r="P79" s="269">
        <f>M79-J79</f>
        <v>0</v>
      </c>
      <c r="Q79" s="222">
        <f>N79-K79</f>
        <v>-126.67741935483991</v>
      </c>
      <c r="R79" s="223">
        <f>O79/L79</f>
        <v>0.88739784946236455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-126.67741935483991</v>
      </c>
      <c r="AG79" s="124">
        <f>N79/K79</f>
        <v>0.88739784946236455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70:A79"/>
    <mergeCell ref="S70:S79"/>
    <mergeCell ref="AB70:AC70"/>
    <mergeCell ref="D69:E69"/>
    <mergeCell ref="AB69:AC69"/>
    <mergeCell ref="D79:E79"/>
    <mergeCell ref="AH49:AH58"/>
    <mergeCell ref="AB50:AC50"/>
    <mergeCell ref="AB51:AC51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5:AC55"/>
    <mergeCell ref="AB56:AC56"/>
    <mergeCell ref="A38:A48"/>
    <mergeCell ref="S38:S48"/>
    <mergeCell ref="AB38:AC38"/>
    <mergeCell ref="D48:E48"/>
    <mergeCell ref="AB48:AC48"/>
    <mergeCell ref="A49:A58"/>
    <mergeCell ref="S49:S58"/>
    <mergeCell ref="AB49:AC49"/>
    <mergeCell ref="AB57:AC57"/>
    <mergeCell ref="D58:E58"/>
    <mergeCell ref="AB58:AC58"/>
    <mergeCell ref="AB52:AC52"/>
    <mergeCell ref="AB53:AC53"/>
    <mergeCell ref="AB54:AC54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B20:AC20"/>
    <mergeCell ref="AB21:AC21"/>
    <mergeCell ref="AB22:AC22"/>
    <mergeCell ref="AB23:AC23"/>
    <mergeCell ref="AB24:AC24"/>
    <mergeCell ref="AG3:AG4"/>
    <mergeCell ref="AH3:AH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16:AH26"/>
    <mergeCell ref="AB17:AC17"/>
    <mergeCell ref="AB18:AC18"/>
    <mergeCell ref="AB19:AC19"/>
    <mergeCell ref="P3:P4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B1:AC2"/>
    <mergeCell ref="V3:V4"/>
    <mergeCell ref="W3:W4"/>
    <mergeCell ref="X3:Y3"/>
    <mergeCell ref="Z3:AA3"/>
    <mergeCell ref="T3:U3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198" priority="1" operator="greaterThan">
      <formula>0</formula>
    </cfRule>
  </conditionalFormatting>
  <conditionalFormatting sqref="Q5:Q79 AF5:AF79">
    <cfRule type="cellIs" dxfId="197" priority="4" operator="lessThan">
      <formula>0</formula>
    </cfRule>
  </conditionalFormatting>
  <conditionalFormatting sqref="R5:R79 AG5:AG79">
    <cfRule type="cellIs" dxfId="196" priority="2" operator="greaterThan">
      <formula>1</formula>
    </cfRule>
    <cfRule type="cellIs" dxfId="195" priority="3" operator="lessThan">
      <formula>0.8</formula>
    </cfRule>
  </conditionalFormatting>
  <conditionalFormatting sqref="S5:S10 S37:S62 AH59:AH62 S69:S76 AH69:AH76">
    <cfRule type="cellIs" dxfId="194" priority="7" operator="lessThan">
      <formula>0.8</formula>
    </cfRule>
  </conditionalFormatting>
  <conditionalFormatting sqref="S19:S25 AH19:AH25">
    <cfRule type="cellIs" dxfId="193" priority="6" operator="lessThan">
      <formula>0.8</formula>
    </cfRule>
  </conditionalFormatting>
  <conditionalFormatting sqref="S79">
    <cfRule type="cellIs" dxfId="192" priority="5" operator="lessThan">
      <formula>0.8</formula>
    </cfRule>
  </conditionalFormatting>
  <conditionalFormatting sqref="AH5:AH8 S15:S16 AH15:AH16 AH49 AH79">
    <cfRule type="cellIs" dxfId="191" priority="9" operator="lessThan">
      <formula>0.8</formula>
    </cfRule>
  </conditionalFormatting>
  <conditionalFormatting sqref="AH27 S27:S28">
    <cfRule type="cellIs" dxfId="1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53F200-A707-438E-B1D9-B5B5D2EEC15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D460A-C194-4027-92C7-26750C4029BB}">
  <dimension ref="B1:O26"/>
  <sheetViews>
    <sheetView zoomScale="70" zoomScaleNormal="70" workbookViewId="0">
      <selection activeCell="AB29" sqref="AB29:AC2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46066</v>
      </c>
      <c r="E3" s="493"/>
      <c r="F3" s="3" t="s">
        <v>72</v>
      </c>
      <c r="G3" s="494">
        <f>'0213'!E1</f>
        <v>45674</v>
      </c>
      <c r="H3" s="494"/>
      <c r="I3" s="3" t="s">
        <v>2</v>
      </c>
      <c r="J3" s="495">
        <f>'0213'!G1</f>
        <v>2200660.3500000006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118.56836802902978</v>
      </c>
      <c r="G6" s="490"/>
      <c r="H6" s="491">
        <f>AVERAGE(D13:H13,J13)</f>
        <v>117.15098777175983</v>
      </c>
      <c r="I6" s="491"/>
      <c r="J6" s="491">
        <f>AVERAGE(I13)</f>
        <v>127.07264957264958</v>
      </c>
      <c r="K6" s="491"/>
      <c r="L6" s="497">
        <f>SUM(D18:J18)</f>
        <v>2</v>
      </c>
      <c r="M6" s="482">
        <f>SUM(D19:J19)</f>
        <v>14</v>
      </c>
      <c r="N6" s="498">
        <f>SUM(D20:J20)</f>
        <v>0</v>
      </c>
      <c r="O6" s="482">
        <f>SUM(D20:J20)</f>
        <v>0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109.74852527090684</v>
      </c>
      <c r="G7" s="479"/>
      <c r="H7" s="480">
        <f>AVERAGE(D14:H14,J14)</f>
        <v>108.9170024264475</v>
      </c>
      <c r="I7" s="480"/>
      <c r="J7" s="480">
        <f>AVERAGE(I14)</f>
        <v>114.73766233766294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0.92561386392732059</v>
      </c>
      <c r="G8" s="485"/>
      <c r="H8" s="485">
        <f>H7/H6</f>
        <v>0.92971475954300742</v>
      </c>
      <c r="I8" s="485"/>
      <c r="J8" s="485">
        <f>J7/J6</f>
        <v>0.90292964476250637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VALUE('0213'!L15)</f>
        <v>144.15120663650072</v>
      </c>
      <c r="E13" s="13">
        <f>VALUE('0213'!L26)</f>
        <v>176.42992424242425</v>
      </c>
      <c r="F13" s="13">
        <f>VALUE('0213'!L37)</f>
        <v>93.807843137254892</v>
      </c>
      <c r="G13" s="13">
        <f>VALUE('0213'!L48)</f>
        <v>87.336397058823522</v>
      </c>
      <c r="H13" s="13">
        <f>VALUE('0213'!L58)</f>
        <v>88.680555555555571</v>
      </c>
      <c r="I13" s="13">
        <f>VALUE('0213'!L69)</f>
        <v>127.07264957264958</v>
      </c>
      <c r="J13" s="13">
        <f>'0213'!L79</f>
        <v>112.5</v>
      </c>
    </row>
    <row r="14" spans="2:15" ht="39.950000000000003" customHeight="1">
      <c r="B14" s="473"/>
      <c r="C14" s="12" t="s">
        <v>100</v>
      </c>
      <c r="D14" s="13">
        <f>VALUE('0213'!O15)</f>
        <v>130.30523983752306</v>
      </c>
      <c r="E14" s="13">
        <f>VALUE('0213'!O26)</f>
        <v>169.32537756729528</v>
      </c>
      <c r="F14" s="13">
        <f>VALUE('0213'!O37)</f>
        <v>80.423233569757897</v>
      </c>
      <c r="G14" s="13">
        <f>VALUE('0213'!O48)</f>
        <v>85.731959356823538</v>
      </c>
      <c r="H14" s="13">
        <f>VALUE('0213'!O58)</f>
        <v>87.157064442338992</v>
      </c>
      <c r="I14" s="13">
        <f>VALUE('0213'!O69)</f>
        <v>114.73766233766294</v>
      </c>
      <c r="J14" s="13">
        <f>'0213'!O79</f>
        <v>100.55913978494613</v>
      </c>
    </row>
    <row r="15" spans="2:15" ht="39.950000000000003" customHeight="1">
      <c r="B15" s="474"/>
      <c r="C15" s="10" t="s">
        <v>26</v>
      </c>
      <c r="D15" s="14">
        <f>D14/D13</f>
        <v>0.90394831148453458</v>
      </c>
      <c r="E15" s="14">
        <f t="shared" ref="E15:I15" si="1">E14/E13</f>
        <v>0.95973162316066662</v>
      </c>
      <c r="F15" s="14">
        <f t="shared" si="1"/>
        <v>0.85731886460801243</v>
      </c>
      <c r="G15" s="14">
        <f t="shared" si="1"/>
        <v>0.98162922039342482</v>
      </c>
      <c r="H15" s="14">
        <f t="shared" si="1"/>
        <v>0.98282046043044735</v>
      </c>
      <c r="I15" s="14">
        <f t="shared" si="1"/>
        <v>0.90292964476250637</v>
      </c>
      <c r="J15" s="15">
        <f>'0213'!S70</f>
        <v>0.89385902031063225</v>
      </c>
    </row>
    <row r="16" spans="2:15" ht="17.25" customHeight="1">
      <c r="B16" s="475" t="s">
        <v>101</v>
      </c>
      <c r="C16" s="10" t="s">
        <v>34</v>
      </c>
      <c r="D16" s="16">
        <f>'0213'!T5</f>
        <v>0.29166666666666702</v>
      </c>
      <c r="E16" s="16">
        <f>'0213'!T16</f>
        <v>0.29027777777777802</v>
      </c>
      <c r="F16" s="16">
        <f>'0213'!T27</f>
        <v>0.29166666666666702</v>
      </c>
      <c r="G16" s="16">
        <f>'0213'!T38</f>
        <v>0.33333333333333298</v>
      </c>
      <c r="H16" s="16">
        <f>'0213'!T49</f>
        <v>0.29166666666666702</v>
      </c>
      <c r="I16" s="16">
        <f>'0213'!T59</f>
        <v>0.29166666666666702</v>
      </c>
      <c r="J16" s="16">
        <f>'0213'!T70</f>
        <v>0.33333333333333298</v>
      </c>
    </row>
    <row r="17" spans="2:10" ht="17.25" customHeight="1">
      <c r="B17" s="476"/>
      <c r="C17" s="10" t="s">
        <v>35</v>
      </c>
      <c r="D17" s="22">
        <v>0.58263888888888904</v>
      </c>
      <c r="E17" s="19">
        <v>0.57361111111111096</v>
      </c>
      <c r="F17" s="19">
        <v>0.64444444444444404</v>
      </c>
      <c r="G17" s="210">
        <v>0.59027777777777801</v>
      </c>
      <c r="H17" s="21">
        <v>0.61041666666666705</v>
      </c>
      <c r="I17" s="22">
        <v>0.5</v>
      </c>
      <c r="J17" s="272">
        <v>0.44097222222222199</v>
      </c>
    </row>
    <row r="18" spans="2:10" ht="17.25" customHeight="1">
      <c r="B18" s="477" t="s">
        <v>102</v>
      </c>
      <c r="C18" s="330" t="s">
        <v>36</v>
      </c>
      <c r="D18" s="358">
        <f>'0213'!Z15</f>
        <v>0</v>
      </c>
      <c r="E18" s="359">
        <f>'0213'!Z26</f>
        <v>0</v>
      </c>
      <c r="F18" s="359">
        <f>'0213'!Z37</f>
        <v>0</v>
      </c>
      <c r="G18" s="360">
        <f>'0213'!Z48</f>
        <v>0</v>
      </c>
      <c r="H18" s="360">
        <f>'0213'!Z58</f>
        <v>2</v>
      </c>
      <c r="I18" s="359">
        <f>'0213'!Z69</f>
        <v>0</v>
      </c>
      <c r="J18" s="359">
        <f>'0213'!AA79</f>
        <v>0</v>
      </c>
    </row>
    <row r="19" spans="2:10" ht="17.25" customHeight="1">
      <c r="B19" s="478"/>
      <c r="C19" s="330" t="s">
        <v>37</v>
      </c>
      <c r="D19" s="358">
        <f>'0213'!AA15</f>
        <v>0</v>
      </c>
      <c r="E19" s="359">
        <f>'0213'!AA26</f>
        <v>0</v>
      </c>
      <c r="F19" s="359">
        <f>'0213'!AA37</f>
        <v>0</v>
      </c>
      <c r="G19" s="360">
        <f>'0213'!AA48</f>
        <v>0</v>
      </c>
      <c r="H19" s="360">
        <f>'0213'!AA58</f>
        <v>14</v>
      </c>
      <c r="I19" s="359">
        <f>'0213'!AA69</f>
        <v>0</v>
      </c>
      <c r="J19" s="359">
        <f>'0213'!AB79</f>
        <v>0</v>
      </c>
    </row>
    <row r="20" spans="2:10" ht="17.25" customHeight="1">
      <c r="B20" s="477" t="s">
        <v>103</v>
      </c>
      <c r="C20" s="330" t="s">
        <v>36</v>
      </c>
      <c r="D20" s="358">
        <f>'0213'!AD15</f>
        <v>0</v>
      </c>
      <c r="E20" s="359">
        <f>'0213'!AD26</f>
        <v>0</v>
      </c>
      <c r="F20" s="359">
        <f>'0213'!AD37</f>
        <v>0</v>
      </c>
      <c r="G20" s="360">
        <f>'0213'!AD48</f>
        <v>0</v>
      </c>
      <c r="H20" s="360">
        <f>'0213'!AD58</f>
        <v>0</v>
      </c>
      <c r="I20" s="359">
        <f>'0213'!AD69</f>
        <v>0</v>
      </c>
      <c r="J20" s="359">
        <f>'0213'!AD79</f>
        <v>0</v>
      </c>
    </row>
    <row r="21" spans="2:10" ht="17.25" customHeight="1">
      <c r="B21" s="478"/>
      <c r="C21" s="330" t="s">
        <v>85</v>
      </c>
      <c r="D21" s="358">
        <f>'0213'!AE15</f>
        <v>0</v>
      </c>
      <c r="E21" s="359">
        <f>'0213'!AE26</f>
        <v>0</v>
      </c>
      <c r="F21" s="359">
        <f>'0213'!AE37</f>
        <v>0</v>
      </c>
      <c r="G21" s="360">
        <f>'0213'!AE48</f>
        <v>0</v>
      </c>
      <c r="H21" s="360">
        <f>'0213'!AE58</f>
        <v>0</v>
      </c>
      <c r="I21" s="359">
        <f>'0213'!AE69</f>
        <v>0</v>
      </c>
      <c r="J21" s="359">
        <f>'0213'!AE79</f>
        <v>0</v>
      </c>
    </row>
    <row r="22" spans="2:10" ht="17.25" customHeight="1">
      <c r="B22" s="460" t="s">
        <v>104</v>
      </c>
      <c r="C22" s="461"/>
      <c r="D22" s="23">
        <f>VALUE('0213'!M15)</f>
        <v>14</v>
      </c>
      <c r="E22" s="23">
        <f>VALUE('0213'!M26)</f>
        <v>11.5</v>
      </c>
      <c r="F22" s="23">
        <f>VALUE('0213'!M37)</f>
        <v>11.8</v>
      </c>
      <c r="G22" s="23">
        <f>VALUE('0213'!M48)</f>
        <v>14.25</v>
      </c>
      <c r="H22" s="23">
        <f>VALUE('0213'!M58)</f>
        <v>15</v>
      </c>
      <c r="I22" s="23">
        <f>VALUE('0213'!M69)</f>
        <v>11</v>
      </c>
      <c r="J22" s="23">
        <f>'0213'!M79</f>
        <v>9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CD6E-6FAA-4DFB-BC09-D9880CCCA766}">
  <sheetPr>
    <tabColor theme="9" tint="0.79998168889431442"/>
  </sheetPr>
  <dimension ref="A1:AJ92"/>
  <sheetViews>
    <sheetView zoomScale="69" zoomScaleNormal="69" workbookViewId="0">
      <pane xSplit="5" ySplit="4" topLeftCell="L44" activePane="bottomRight" state="frozen"/>
      <selection activeCell="AB29" sqref="AB29:AC29"/>
      <selection pane="topRight" activeCell="AB29" sqref="AB29:AC29"/>
      <selection pane="bottomLeft" activeCell="AB29" sqref="AB29:AC29"/>
      <selection pane="bottomRight" activeCell="Y42" sqref="Y4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45674</v>
      </c>
      <c r="F1" s="30" t="s">
        <v>2</v>
      </c>
      <c r="G1" s="31">
        <f>SUM(H5:H79)</f>
        <v>2200660.3500000006</v>
      </c>
      <c r="H1" s="32" t="s">
        <v>3</v>
      </c>
      <c r="I1" s="33">
        <f>M15+M26+M48+M58+M69+M79+M37</f>
        <v>86.55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13</v>
      </c>
      <c r="B2" s="374"/>
      <c r="C2" s="28"/>
      <c r="D2" s="28" t="s">
        <v>14</v>
      </c>
      <c r="E2" s="35">
        <f>AVERAGE(O15,O26,O37,O48,O58,O69,O79)</f>
        <v>109.74852527090684</v>
      </c>
      <c r="F2" s="36" t="s">
        <v>15</v>
      </c>
      <c r="G2" s="37">
        <f>G1/E1</f>
        <v>48.181905460437022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2</v>
      </c>
      <c r="AA2" s="339">
        <f>AA15+AA26+AA37+AA48+AA58+AA69+AA79</f>
        <v>14</v>
      </c>
      <c r="AB2" s="370"/>
      <c r="AC2" s="370"/>
      <c r="AD2" s="340">
        <f>AD15+AD26+AD37+AD48+AD58+AD69+AD79</f>
        <v>0</v>
      </c>
      <c r="AE2" s="340">
        <f>AE15+AE26+AE37+AE48+AE58+AE69+AE79</f>
        <v>0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1408</v>
      </c>
      <c r="H5" s="43">
        <f>F5*G5</f>
        <v>80551.680000000008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9" si="0">K5/J5</f>
        <v>175.41666666666666</v>
      </c>
      <c r="M5" s="48">
        <v>12</v>
      </c>
      <c r="N5" s="46">
        <f t="shared" ref="N5:N9" si="1">G5/W5*60</f>
        <v>1689.6000000000115</v>
      </c>
      <c r="O5" s="47">
        <f t="shared" ref="O5:O9" si="2">N5/M5</f>
        <v>140.80000000000095</v>
      </c>
      <c r="P5" s="49">
        <f t="shared" ref="P5:P9" si="3">M5-J5</f>
        <v>0</v>
      </c>
      <c r="Q5" s="50">
        <f t="shared" ref="Q5:Q9" si="4">O5-L5</f>
        <v>-34.616666666665708</v>
      </c>
      <c r="R5" s="51">
        <f t="shared" ref="R5:R9" si="5">O5/L5</f>
        <v>0.8026603325415731</v>
      </c>
      <c r="S5" s="424">
        <f>R15</f>
        <v>0.90394831148453458</v>
      </c>
      <c r="T5" s="319">
        <v>0.29166666666666702</v>
      </c>
      <c r="U5" s="320">
        <v>0.32638888888888901</v>
      </c>
      <c r="V5" s="53"/>
      <c r="W5" s="54">
        <f t="shared" ref="W5:W14" si="6">(U5-T5)*24*60</f>
        <v>49.999999999999659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11" si="7">N5-K5</f>
        <v>-415.39999999998849</v>
      </c>
      <c r="AG5" s="52">
        <f t="shared" ref="AG5:AG11" si="8">N5/K5</f>
        <v>0.80266033254157321</v>
      </c>
      <c r="AH5" s="403">
        <f>AG15</f>
        <v>0.90458615473975135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1397</v>
      </c>
      <c r="H6" s="63">
        <f>F6*G6</f>
        <v>78623.16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1783.40425531914</v>
      </c>
      <c r="O6" s="67">
        <f t="shared" si="2"/>
        <v>118.893617021276</v>
      </c>
      <c r="P6" s="69">
        <f t="shared" si="3"/>
        <v>0</v>
      </c>
      <c r="Q6" s="70">
        <f t="shared" si="4"/>
        <v>-1.1063829787239996</v>
      </c>
      <c r="R6" s="71">
        <f t="shared" si="5"/>
        <v>0.99078014184396668</v>
      </c>
      <c r="S6" s="425"/>
      <c r="T6" s="16">
        <v>0.33472222222222198</v>
      </c>
      <c r="U6" s="16">
        <v>0.36736111111111103</v>
      </c>
      <c r="V6" s="30">
        <f>(T6-U5)*24*60</f>
        <v>11.999999999999478</v>
      </c>
      <c r="W6" s="73">
        <f t="shared" si="6"/>
        <v>47.000000000000234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-16.59574468085998</v>
      </c>
      <c r="AG6" s="72">
        <f t="shared" si="8"/>
        <v>0.99078014184396668</v>
      </c>
      <c r="AH6" s="404"/>
    </row>
    <row r="7" spans="1:34" ht="15" customHeight="1">
      <c r="A7" s="421"/>
      <c r="B7" s="75" t="s">
        <v>81</v>
      </c>
      <c r="C7" s="76"/>
      <c r="D7" s="59" t="s">
        <v>113</v>
      </c>
      <c r="E7" s="77"/>
      <c r="F7" s="75">
        <f>VLOOKUP(D7,廠價表!$C$1:$E$41,3,0)</f>
        <v>57.21</v>
      </c>
      <c r="G7" s="66">
        <v>1253</v>
      </c>
      <c r="H7" s="78">
        <f>F7*G7</f>
        <v>71684.13</v>
      </c>
      <c r="I7" s="73"/>
      <c r="J7" s="79">
        <f>VLOOKUP(D7,產線配置圖!$A$3:$C$39,2,0)</f>
        <v>17</v>
      </c>
      <c r="K7" s="80">
        <f>VLOOKUP(D7,產線配置圖!$A$3:$C$39,3,0)</f>
        <v>2000</v>
      </c>
      <c r="L7" s="81">
        <f t="shared" si="0"/>
        <v>117.64705882352941</v>
      </c>
      <c r="M7" s="82">
        <v>17</v>
      </c>
      <c r="N7" s="80">
        <f t="shared" si="1"/>
        <v>1670.6666666666667</v>
      </c>
      <c r="O7" s="81">
        <f t="shared" si="2"/>
        <v>98.274509803921575</v>
      </c>
      <c r="P7" s="74">
        <f t="shared" si="3"/>
        <v>0</v>
      </c>
      <c r="Q7" s="83">
        <f t="shared" si="4"/>
        <v>-19.372549019607831</v>
      </c>
      <c r="R7" s="72">
        <f t="shared" si="5"/>
        <v>0.83533333333333337</v>
      </c>
      <c r="S7" s="425"/>
      <c r="T7" s="18">
        <v>0.37638888888888899</v>
      </c>
      <c r="U7" s="18">
        <v>0.40763888888888899</v>
      </c>
      <c r="V7" s="30">
        <f>(T7-U6)*24*60</f>
        <v>13.000000000000274</v>
      </c>
      <c r="W7" s="73">
        <f t="shared" si="6"/>
        <v>45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-329.33333333333326</v>
      </c>
      <c r="AG7" s="72">
        <f t="shared" si="8"/>
        <v>0.83533333333333337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2873</v>
      </c>
      <c r="H8" s="78">
        <f t="shared" ref="H8:H9" si="9">F8*G8</f>
        <v>141179.22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1958.8636363636078</v>
      </c>
      <c r="O8" s="81">
        <f t="shared" si="2"/>
        <v>150.681818181816</v>
      </c>
      <c r="P8" s="74">
        <f t="shared" si="3"/>
        <v>0</v>
      </c>
      <c r="Q8" s="83">
        <f t="shared" si="4"/>
        <v>-3.1643356643378411</v>
      </c>
      <c r="R8" s="72">
        <f t="shared" si="5"/>
        <v>0.97943181818180403</v>
      </c>
      <c r="S8" s="425"/>
      <c r="T8" s="16">
        <v>0.41319444444444398</v>
      </c>
      <c r="U8" s="16">
        <v>0.47430555555555598</v>
      </c>
      <c r="V8" s="30">
        <f t="shared" ref="V8:V9" si="10">(T8-U7)*24*60</f>
        <v>7.9999999999991722</v>
      </c>
      <c r="W8" s="73">
        <f t="shared" si="6"/>
        <v>88.000000000001279</v>
      </c>
      <c r="X8" s="22"/>
      <c r="Y8" s="84"/>
      <c r="Z8" s="90"/>
      <c r="AA8" s="90"/>
      <c r="AB8" s="407"/>
      <c r="AC8" s="407"/>
      <c r="AD8" s="149"/>
      <c r="AE8" s="149"/>
      <c r="AF8" s="307">
        <f t="shared" si="7"/>
        <v>-41.136363636392161</v>
      </c>
      <c r="AG8" s="72">
        <f t="shared" si="8"/>
        <v>0.97943181818180391</v>
      </c>
      <c r="AH8" s="404"/>
    </row>
    <row r="9" spans="1:34" ht="15" customHeight="1">
      <c r="A9" s="422"/>
      <c r="B9" s="75" t="s">
        <v>81</v>
      </c>
      <c r="C9" s="76"/>
      <c r="D9" s="59" t="s">
        <v>115</v>
      </c>
      <c r="E9" s="77"/>
      <c r="F9" s="75">
        <f>VLOOKUP(D9,廠價表!$C$1:$E$41,3,0)</f>
        <v>49.14</v>
      </c>
      <c r="G9" s="66">
        <v>2136</v>
      </c>
      <c r="H9" s="78">
        <f t="shared" si="9"/>
        <v>104963.04000000001</v>
      </c>
      <c r="I9" s="73"/>
      <c r="J9" s="79">
        <f>VLOOKUP(D9,產線配置圖!$A$3:$C$39,2,0)</f>
        <v>13</v>
      </c>
      <c r="K9" s="80">
        <f>VLOOKUP(D9,產線配置圖!$A$3:$C$39,3,0)</f>
        <v>2000</v>
      </c>
      <c r="L9" s="81">
        <f t="shared" si="0"/>
        <v>153.84615384615384</v>
      </c>
      <c r="M9" s="82">
        <v>13</v>
      </c>
      <c r="N9" s="80">
        <f t="shared" si="1"/>
        <v>1857.391304347811</v>
      </c>
      <c r="O9" s="81">
        <f t="shared" si="2"/>
        <v>142.87625418060085</v>
      </c>
      <c r="P9" s="74">
        <f t="shared" si="3"/>
        <v>0</v>
      </c>
      <c r="Q9" s="83">
        <f t="shared" si="4"/>
        <v>-10.969899665552987</v>
      </c>
      <c r="R9" s="72">
        <f t="shared" si="5"/>
        <v>0.92869565217390559</v>
      </c>
      <c r="S9" s="426"/>
      <c r="T9" s="16">
        <v>0.53472222222222199</v>
      </c>
      <c r="U9" s="16">
        <v>0.58263888888888904</v>
      </c>
      <c r="V9" s="30">
        <f t="shared" si="10"/>
        <v>86.999999999999048</v>
      </c>
      <c r="W9" s="73">
        <f t="shared" si="6"/>
        <v>69.000000000000554</v>
      </c>
      <c r="X9" s="22">
        <v>0.48611111111111099</v>
      </c>
      <c r="Y9" s="84">
        <v>0.52777777777777801</v>
      </c>
      <c r="Z9" s="90"/>
      <c r="AA9" s="90"/>
      <c r="AB9" s="407"/>
      <c r="AC9" s="407"/>
      <c r="AD9" s="149"/>
      <c r="AE9" s="149"/>
      <c r="AF9" s="307">
        <f t="shared" si="7"/>
        <v>-142.608695652189</v>
      </c>
      <c r="AG9" s="72">
        <f t="shared" si="8"/>
        <v>0.92869565217390548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1">AVERAGE(J5:J14)</f>
        <v>14</v>
      </c>
      <c r="K15" s="120">
        <f t="shared" si="11"/>
        <v>1981</v>
      </c>
      <c r="L15" s="117">
        <f t="shared" si="11"/>
        <v>144.15120663650072</v>
      </c>
      <c r="M15" s="120">
        <f t="shared" si="11"/>
        <v>14</v>
      </c>
      <c r="N15" s="120">
        <f t="shared" si="11"/>
        <v>1791.9851725394474</v>
      </c>
      <c r="O15" s="117">
        <f t="shared" si="11"/>
        <v>130.30523983752306</v>
      </c>
      <c r="P15" s="121">
        <f t="shared" ref="P15:P19" si="12">M15-J15</f>
        <v>0</v>
      </c>
      <c r="Q15" s="122">
        <f t="shared" ref="Q15:Q19" si="13">O15-L15</f>
        <v>-13.845966798977656</v>
      </c>
      <c r="R15" s="123">
        <f t="shared" ref="R15:R19" si="14">O15/L15</f>
        <v>0.90394831148453458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5">N15-K15</f>
        <v>-189.01482746055262</v>
      </c>
      <c r="AG15" s="124">
        <f t="shared" ref="AG15:AG19" si="16">N15/K15</f>
        <v>0.90458615473975135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1882</v>
      </c>
      <c r="H16" s="134">
        <f>F16*G16</f>
        <v>107669.22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19" si="17">K16/J16</f>
        <v>175.41666666666666</v>
      </c>
      <c r="M16" s="139">
        <v>12</v>
      </c>
      <c r="N16" s="140">
        <f t="shared" ref="N16:N19" si="18">G16/W16*60</f>
        <v>1981.0526315789657</v>
      </c>
      <c r="O16" s="141">
        <f>N16/M16</f>
        <v>165.08771929824715</v>
      </c>
      <c r="P16" s="142">
        <f>M16-J16</f>
        <v>0</v>
      </c>
      <c r="Q16" s="143">
        <f t="shared" si="13"/>
        <v>-10.328947368419506</v>
      </c>
      <c r="R16" s="144">
        <f>O16/L16</f>
        <v>0.94111763970497198</v>
      </c>
      <c r="S16" s="417">
        <f>R26</f>
        <v>0.95973162316066662</v>
      </c>
      <c r="T16" s="145">
        <v>0.29027777777777802</v>
      </c>
      <c r="U16" s="145">
        <v>0.32986111111111099</v>
      </c>
      <c r="V16" s="135"/>
      <c r="W16" s="146">
        <f t="shared" ref="W16:W78" si="19">(U16-T16)*24*60</f>
        <v>56.999999999999474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5"/>
        <v>-123.9473684210343</v>
      </c>
      <c r="AG16" s="52">
        <f t="shared" si="16"/>
        <v>0.94111763970497186</v>
      </c>
      <c r="AH16" s="403">
        <f>AG26</f>
        <v>0.96004560621612423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3249</v>
      </c>
      <c r="H17" s="78">
        <f>F17*G17</f>
        <v>164626.83000000002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7"/>
        <v>166.66666666666666</v>
      </c>
      <c r="M17" s="148">
        <v>12</v>
      </c>
      <c r="N17" s="95">
        <f>G17/W17*60</f>
        <v>1989.1836734693754</v>
      </c>
      <c r="O17" s="96">
        <f t="shared" ref="O17:O19" si="20">N17/M17</f>
        <v>165.76530612244795</v>
      </c>
      <c r="P17" s="97">
        <f t="shared" si="12"/>
        <v>0</v>
      </c>
      <c r="Q17" s="98">
        <f t="shared" si="13"/>
        <v>-0.90136054421870426</v>
      </c>
      <c r="R17" s="99">
        <f t="shared" si="14"/>
        <v>0.99459183673468776</v>
      </c>
      <c r="S17" s="418"/>
      <c r="T17" s="19">
        <v>0.33819444444444402</v>
      </c>
      <c r="U17" s="19">
        <v>0.40625</v>
      </c>
      <c r="V17" s="30">
        <f>(T17-U16)*24*60</f>
        <v>11.999999999999558</v>
      </c>
      <c r="W17" s="149">
        <f t="shared" si="19"/>
        <v>98.000000000000611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5"/>
        <v>-10.816326530624565</v>
      </c>
      <c r="AG17" s="72">
        <f t="shared" si="16"/>
        <v>0.99459183673468776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2876</v>
      </c>
      <c r="H18" s="78">
        <f>F18*G18</f>
        <v>144921.64000000001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7"/>
        <v>181.81818181818181</v>
      </c>
      <c r="M18" s="148">
        <v>11</v>
      </c>
      <c r="N18" s="95">
        <f t="shared" si="18"/>
        <v>1917.3333333333333</v>
      </c>
      <c r="O18" s="96">
        <f t="shared" si="20"/>
        <v>174.30303030303028</v>
      </c>
      <c r="P18" s="97">
        <f t="shared" si="12"/>
        <v>0</v>
      </c>
      <c r="Q18" s="98">
        <f t="shared" si="13"/>
        <v>-7.5151515151515298</v>
      </c>
      <c r="R18" s="99">
        <f t="shared" si="14"/>
        <v>0.95866666666666656</v>
      </c>
      <c r="S18" s="418"/>
      <c r="T18" s="19">
        <v>0.41458333333333303</v>
      </c>
      <c r="U18" s="19">
        <v>0.47708333333333303</v>
      </c>
      <c r="V18" s="30">
        <f>(T18-U17)*24*60</f>
        <v>11.999999999999558</v>
      </c>
      <c r="W18" s="149">
        <f t="shared" si="19"/>
        <v>90</v>
      </c>
      <c r="X18" s="22"/>
      <c r="Y18" s="84"/>
      <c r="Z18" s="90"/>
      <c r="AA18" s="90"/>
      <c r="AB18" s="395"/>
      <c r="AC18" s="395"/>
      <c r="AD18" s="92"/>
      <c r="AE18" s="92"/>
      <c r="AF18" s="307">
        <f t="shared" si="15"/>
        <v>-82.666666666666742</v>
      </c>
      <c r="AG18" s="72">
        <f t="shared" si="16"/>
        <v>0.95866666666666667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1578</v>
      </c>
      <c r="H19" s="78">
        <f>F19*G19</f>
        <v>79515.42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7"/>
        <v>181.81818181818181</v>
      </c>
      <c r="M19" s="148">
        <v>11</v>
      </c>
      <c r="N19" s="95">
        <f t="shared" si="18"/>
        <v>1893.6000000000129</v>
      </c>
      <c r="O19" s="96">
        <f t="shared" si="20"/>
        <v>172.14545454545572</v>
      </c>
      <c r="P19" s="97">
        <f t="shared" si="12"/>
        <v>0</v>
      </c>
      <c r="Q19" s="98">
        <f t="shared" si="13"/>
        <v>-9.6727272727260925</v>
      </c>
      <c r="R19" s="99">
        <f t="shared" si="14"/>
        <v>0.94680000000000653</v>
      </c>
      <c r="S19" s="418"/>
      <c r="T19" s="19">
        <v>0.53888888888888897</v>
      </c>
      <c r="U19" s="19">
        <v>0.57361111111111096</v>
      </c>
      <c r="V19" s="30">
        <f>(T19-U18)*24*60</f>
        <v>89.000000000000568</v>
      </c>
      <c r="W19" s="149">
        <f t="shared" si="19"/>
        <v>49.999999999999659</v>
      </c>
      <c r="X19" s="22">
        <v>0.48611111111111099</v>
      </c>
      <c r="Y19" s="84">
        <v>0.52777777777777801</v>
      </c>
      <c r="Z19" s="90"/>
      <c r="AA19" s="90"/>
      <c r="AB19" s="407"/>
      <c r="AC19" s="407"/>
      <c r="AD19" s="149"/>
      <c r="AE19" s="149"/>
      <c r="AF19" s="307">
        <f t="shared" si="15"/>
        <v>-106.39999999998713</v>
      </c>
      <c r="AG19" s="72">
        <f t="shared" si="16"/>
        <v>0.94680000000000641</v>
      </c>
      <c r="AH19" s="405"/>
    </row>
    <row r="20" spans="1:34" ht="15" customHeight="1">
      <c r="A20" s="414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8"/>
      <c r="T20" s="19"/>
      <c r="U20" s="19"/>
      <c r="V20" s="30"/>
      <c r="W20" s="149">
        <f t="shared" si="19"/>
        <v>0</v>
      </c>
      <c r="X20" s="19"/>
      <c r="Y20" s="297"/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50"/>
      <c r="U21" s="150"/>
      <c r="V21" s="30"/>
      <c r="W21" s="149">
        <f t="shared" si="19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9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21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9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21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9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2">AVERAGE(J16:J25)</f>
        <v>11.5</v>
      </c>
      <c r="K26" s="155">
        <f t="shared" si="22"/>
        <v>2026.25</v>
      </c>
      <c r="L26" s="158">
        <f t="shared" si="22"/>
        <v>176.42992424242425</v>
      </c>
      <c r="M26" s="155">
        <f t="shared" si="22"/>
        <v>11.5</v>
      </c>
      <c r="N26" s="155">
        <f t="shared" si="22"/>
        <v>1945.2924095954218</v>
      </c>
      <c r="O26" s="158">
        <f t="shared" si="22"/>
        <v>169.32537756729528</v>
      </c>
      <c r="P26" s="159">
        <f t="shared" ref="P26:P31" si="23">M26-J26</f>
        <v>0</v>
      </c>
      <c r="Q26" s="160">
        <f t="shared" ref="Q26:Q31" si="24">O26-L26</f>
        <v>-7.1045466751289723</v>
      </c>
      <c r="R26" s="161">
        <f>O26/L26</f>
        <v>0.95973162316066662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0</v>
      </c>
      <c r="AE26" s="323">
        <f>SUM(AE16:AE25)</f>
        <v>0</v>
      </c>
      <c r="AF26" s="309">
        <f t="shared" ref="AF26:AF31" si="25">N26-K26</f>
        <v>-80.957590404578241</v>
      </c>
      <c r="AG26" s="124">
        <f t="shared" ref="AG26:AG31" si="26">N26/K26</f>
        <v>0.96004560621612423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1519</v>
      </c>
      <c r="H27" s="134">
        <f>F27*G27</f>
        <v>87038.7</v>
      </c>
      <c r="I27" s="135"/>
      <c r="J27" s="136">
        <v>15</v>
      </c>
      <c r="K27" s="137">
        <f>VLOOKUP(D27,產線配置圖!$A$3:$C$39,3,0)</f>
        <v>1500</v>
      </c>
      <c r="L27" s="138">
        <f t="shared" ref="L27:L31" si="27">K27/J27</f>
        <v>100</v>
      </c>
      <c r="M27" s="170">
        <v>11</v>
      </c>
      <c r="N27" s="140">
        <f>G27/W27*60</f>
        <v>1035.6818181818201</v>
      </c>
      <c r="O27" s="141">
        <f>N27/M27</f>
        <v>94.152892561983649</v>
      </c>
      <c r="P27" s="142">
        <f t="shared" si="23"/>
        <v>-4</v>
      </c>
      <c r="Q27" s="143">
        <f t="shared" si="24"/>
        <v>-5.8471074380163515</v>
      </c>
      <c r="R27" s="144">
        <f>O27/L27</f>
        <v>0.94152892561983648</v>
      </c>
      <c r="S27" s="417">
        <f>R37</f>
        <v>0.85731886460801243</v>
      </c>
      <c r="T27" s="171">
        <v>0.29166666666666702</v>
      </c>
      <c r="U27" s="171">
        <v>0.35277777777777802</v>
      </c>
      <c r="V27" s="135"/>
      <c r="W27" s="146">
        <f t="shared" si="19"/>
        <v>87.999999999999844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5"/>
        <v>-464.31818181817994</v>
      </c>
      <c r="AG27" s="172">
        <f t="shared" si="26"/>
        <v>0.69045454545454665</v>
      </c>
      <c r="AH27" s="403">
        <f>AG37</f>
        <v>0.6590099563116687</v>
      </c>
    </row>
    <row r="28" spans="1:34" ht="15" customHeight="1">
      <c r="A28" s="430"/>
      <c r="B28" s="75" t="s">
        <v>81</v>
      </c>
      <c r="C28" s="173"/>
      <c r="D28" s="59" t="s">
        <v>122</v>
      </c>
      <c r="E28" s="104"/>
      <c r="F28" s="75">
        <f>VLOOKUP(D28,廠價表!$C$1:$E$41,3,0)</f>
        <v>55.13</v>
      </c>
      <c r="G28" s="90">
        <v>1251</v>
      </c>
      <c r="H28" s="91">
        <f>F28*G28</f>
        <v>68967.63</v>
      </c>
      <c r="I28" s="92"/>
      <c r="J28" s="79">
        <v>15</v>
      </c>
      <c r="K28" s="80">
        <f>VLOOKUP(D28,產線配置圖!$A$3:$C$39,3,0)</f>
        <v>1385</v>
      </c>
      <c r="L28" s="93">
        <f t="shared" si="27"/>
        <v>92.333333333333329</v>
      </c>
      <c r="M28" s="94">
        <v>11</v>
      </c>
      <c r="N28" s="95">
        <f>G28/W28*60</f>
        <v>735.8823529411693</v>
      </c>
      <c r="O28" s="96">
        <f>N28/M28</f>
        <v>66.898395721924487</v>
      </c>
      <c r="P28" s="97">
        <f t="shared" si="23"/>
        <v>-4</v>
      </c>
      <c r="Q28" s="98">
        <f t="shared" si="24"/>
        <v>-25.434937611408841</v>
      </c>
      <c r="R28" s="99">
        <f t="shared" ref="R28:R31" si="28">O28/L28</f>
        <v>0.72453136160929055</v>
      </c>
      <c r="S28" s="418"/>
      <c r="T28" s="19">
        <v>0.359722222222222</v>
      </c>
      <c r="U28" s="19">
        <v>0.43055555555555602</v>
      </c>
      <c r="V28" s="92">
        <f>(T28-U27)*24*60</f>
        <v>9.999999999999325</v>
      </c>
      <c r="W28" s="149">
        <f t="shared" si="19"/>
        <v>102.00000000000099</v>
      </c>
      <c r="X28" s="174"/>
      <c r="Y28" s="301"/>
      <c r="Z28" s="335"/>
      <c r="AA28" s="335"/>
      <c r="AB28" s="395" t="s">
        <v>179</v>
      </c>
      <c r="AC28" s="395"/>
      <c r="AD28" s="92"/>
      <c r="AE28" s="92"/>
      <c r="AF28" s="311">
        <f t="shared" si="25"/>
        <v>-649.1176470588307</v>
      </c>
      <c r="AG28" s="99">
        <f t="shared" si="26"/>
        <v>0.53132299851347964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1106</v>
      </c>
      <c r="H29" s="91">
        <f>F29*G29</f>
        <v>54769.120000000003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7"/>
        <v>96</v>
      </c>
      <c r="M29" s="94">
        <v>11</v>
      </c>
      <c r="N29" s="95">
        <f>G29/W29*60</f>
        <v>850.76923076922594</v>
      </c>
      <c r="O29" s="96">
        <f>N29/M29</f>
        <v>77.342657342656906</v>
      </c>
      <c r="P29" s="97">
        <f t="shared" si="23"/>
        <v>-4</v>
      </c>
      <c r="Q29" s="98">
        <f t="shared" si="24"/>
        <v>-18.657342657343094</v>
      </c>
      <c r="R29" s="99">
        <f t="shared" si="28"/>
        <v>0.80565268065267615</v>
      </c>
      <c r="S29" s="418"/>
      <c r="T29" s="19">
        <v>0.4375</v>
      </c>
      <c r="U29" s="19">
        <v>0.49166666666666697</v>
      </c>
      <c r="V29" s="92">
        <f>(T29-U28)*24*60</f>
        <v>9.999999999999325</v>
      </c>
      <c r="W29" s="149">
        <f t="shared" si="19"/>
        <v>78.000000000000441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5"/>
        <v>-589.23076923077406</v>
      </c>
      <c r="AG29" s="99">
        <f t="shared" si="26"/>
        <v>0.59081196581196249</v>
      </c>
      <c r="AH29" s="432"/>
    </row>
    <row r="30" spans="1:34" ht="15" customHeight="1">
      <c r="A30" s="430"/>
      <c r="B30" s="75" t="s">
        <v>123</v>
      </c>
      <c r="C30" s="88"/>
      <c r="D30" s="59" t="s">
        <v>124</v>
      </c>
      <c r="E30" s="89"/>
      <c r="F30" s="75">
        <f>VLOOKUP(D30,廠價表!$C$1:$E$41,3,0)</f>
        <v>49.52</v>
      </c>
      <c r="G30" s="90">
        <v>605</v>
      </c>
      <c r="H30" s="91">
        <f t="shared" ref="H30:H31" si="29">F30*G30</f>
        <v>29959.600000000002</v>
      </c>
      <c r="I30" s="92"/>
      <c r="J30" s="79">
        <f>VLOOKUP(D30,產線配置圖!$A$3:$C$39,2,0)</f>
        <v>15</v>
      </c>
      <c r="K30" s="80">
        <f>VLOOKUP(D30,產線配置圖!$A$3:$C$39,3,0)</f>
        <v>1440</v>
      </c>
      <c r="L30" s="93">
        <f t="shared" si="27"/>
        <v>96</v>
      </c>
      <c r="M30" s="94">
        <v>11</v>
      </c>
      <c r="N30" s="95">
        <f t="shared" ref="N30:N31" si="30">G30/W30*60</f>
        <v>907.5000000000249</v>
      </c>
      <c r="O30" s="96">
        <f t="shared" ref="O30:O31" si="31">N30/M30</f>
        <v>82.50000000000226</v>
      </c>
      <c r="P30" s="97">
        <f t="shared" si="23"/>
        <v>-4</v>
      </c>
      <c r="Q30" s="98">
        <f t="shared" si="24"/>
        <v>-13.49999999999774</v>
      </c>
      <c r="R30" s="99">
        <f t="shared" si="28"/>
        <v>0.85937500000002354</v>
      </c>
      <c r="S30" s="418"/>
      <c r="T30" s="19">
        <v>0.55555555555555602</v>
      </c>
      <c r="U30" s="19">
        <v>0.58333333333333304</v>
      </c>
      <c r="V30" s="92">
        <f>(T30-U29)*24*60</f>
        <v>92.000000000000227</v>
      </c>
      <c r="W30" s="149">
        <f t="shared" si="19"/>
        <v>39.999999999998899</v>
      </c>
      <c r="X30" s="174">
        <v>0.5</v>
      </c>
      <c r="Y30" s="301">
        <v>0.54166666666666696</v>
      </c>
      <c r="Z30" s="335"/>
      <c r="AA30" s="335"/>
      <c r="AB30" s="395"/>
      <c r="AC30" s="395"/>
      <c r="AD30" s="92"/>
      <c r="AE30" s="92"/>
      <c r="AF30" s="312">
        <f t="shared" si="25"/>
        <v>-532.4999999999751</v>
      </c>
      <c r="AG30" s="99">
        <f t="shared" si="26"/>
        <v>0.63020833333335058</v>
      </c>
      <c r="AH30" s="433"/>
    </row>
    <row r="31" spans="1:34" ht="15" customHeight="1">
      <c r="A31" s="430"/>
      <c r="B31" s="75" t="s">
        <v>123</v>
      </c>
      <c r="C31" s="88"/>
      <c r="D31" s="59" t="s">
        <v>128</v>
      </c>
      <c r="E31" s="89"/>
      <c r="F31" s="75">
        <f>VLOOKUP(D31,廠價表!$C$1:$E$41,3,0)</f>
        <v>44.3</v>
      </c>
      <c r="G31" s="90">
        <v>1462</v>
      </c>
      <c r="H31" s="91">
        <f t="shared" si="29"/>
        <v>64766.6</v>
      </c>
      <c r="I31" s="92"/>
      <c r="J31" s="79">
        <f>VLOOKUP(D31,產線配置圖!$A$3:$C$39,2,0)</f>
        <v>17</v>
      </c>
      <c r="K31" s="80">
        <f>VLOOKUP(D31,產線配置圖!$A$3:$C$39,3,0)</f>
        <v>1440</v>
      </c>
      <c r="L31" s="93">
        <f t="shared" si="27"/>
        <v>84.705882352941174</v>
      </c>
      <c r="M31" s="94">
        <v>15</v>
      </c>
      <c r="N31" s="95">
        <f t="shared" si="30"/>
        <v>1218.3333333333323</v>
      </c>
      <c r="O31" s="96">
        <f t="shared" si="31"/>
        <v>81.222222222222157</v>
      </c>
      <c r="P31" s="97">
        <f t="shared" si="23"/>
        <v>-2</v>
      </c>
      <c r="Q31" s="98">
        <f t="shared" si="24"/>
        <v>-3.4836601307190165</v>
      </c>
      <c r="R31" s="99">
        <f t="shared" si="28"/>
        <v>0.9588734567901227</v>
      </c>
      <c r="S31" s="418"/>
      <c r="T31" s="19">
        <v>0.594444444444444</v>
      </c>
      <c r="U31" s="19">
        <v>0.64444444444444404</v>
      </c>
      <c r="V31" s="92">
        <f>(T31-U30)*24*60</f>
        <v>15.999999999999783</v>
      </c>
      <c r="W31" s="149">
        <f t="shared" si="19"/>
        <v>72.000000000000057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5"/>
        <v>-221.66666666666765</v>
      </c>
      <c r="AG31" s="99">
        <f t="shared" si="26"/>
        <v>0.8460648148148141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9"/>
      <c r="U32" s="19"/>
      <c r="V32" s="92"/>
      <c r="W32" s="149">
        <f t="shared" si="19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9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9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9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32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9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3">AVERAGE(J27:J36)</f>
        <v>15.4</v>
      </c>
      <c r="K37" s="155">
        <f t="shared" si="33"/>
        <v>1441</v>
      </c>
      <c r="L37" s="158">
        <f t="shared" si="33"/>
        <v>93.807843137254892</v>
      </c>
      <c r="M37" s="155">
        <f t="shared" si="33"/>
        <v>11.8</v>
      </c>
      <c r="N37" s="155">
        <f t="shared" si="33"/>
        <v>949.63334704511453</v>
      </c>
      <c r="O37" s="158">
        <f t="shared" si="33"/>
        <v>80.423233569757897</v>
      </c>
      <c r="P37" s="159">
        <f>M37-J37</f>
        <v>-3.5999999999999996</v>
      </c>
      <c r="Q37" s="160">
        <f>N37-K37</f>
        <v>-491.36665295488547</v>
      </c>
      <c r="R37" s="161">
        <f t="shared" ref="R37:R41" si="34">O37/L37</f>
        <v>0.85731886460801243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5">N37-K37</f>
        <v>-491.36665295488547</v>
      </c>
      <c r="AG37" s="124">
        <f t="shared" ref="AG37:AG41" si="36">N37/K37</f>
        <v>0.6590099563116687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871</v>
      </c>
      <c r="H38" s="134">
        <f>F38*G38</f>
        <v>49150.53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1" si="37">K38/J38</f>
        <v>87.875</v>
      </c>
      <c r="M38" s="190">
        <v>13</v>
      </c>
      <c r="N38" s="140">
        <f>G38/W38*60</f>
        <v>1136.0869565217195</v>
      </c>
      <c r="O38" s="141">
        <f>N38/M38</f>
        <v>87.391304347824573</v>
      </c>
      <c r="P38" s="142">
        <f t="shared" ref="P38:P41" si="38">M38-J38</f>
        <v>-3</v>
      </c>
      <c r="Q38" s="143">
        <f t="shared" ref="Q38:Q41" si="39">O38-L38</f>
        <v>-0.48369565217542743</v>
      </c>
      <c r="R38" s="144">
        <f>O38/L38</f>
        <v>0.99449563980454703</v>
      </c>
      <c r="S38" s="437">
        <f>R48</f>
        <v>0.98162922039342482</v>
      </c>
      <c r="T38" s="191">
        <v>0.33333333333333298</v>
      </c>
      <c r="U38" s="191">
        <v>0.36527777777777798</v>
      </c>
      <c r="V38" s="192"/>
      <c r="W38" s="193">
        <f t="shared" si="19"/>
        <v>46.000000000000796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5"/>
        <v>-269.91304347828054</v>
      </c>
      <c r="AG38" s="195">
        <f t="shared" si="36"/>
        <v>0.80802770734119445</v>
      </c>
      <c r="AH38" s="443">
        <f>AG48</f>
        <v>0.83085406146954766</v>
      </c>
    </row>
    <row r="39" spans="1:34" ht="15" customHeight="1">
      <c r="A39" s="435"/>
      <c r="B39" s="75" t="s">
        <v>123</v>
      </c>
      <c r="C39" s="197"/>
      <c r="D39" s="198" t="s">
        <v>127</v>
      </c>
      <c r="E39" s="176"/>
      <c r="F39" s="75">
        <f>VLOOKUP(D39,廠價表!$C$1:$E$41,3,0)</f>
        <v>49.91</v>
      </c>
      <c r="G39" s="199">
        <v>1730</v>
      </c>
      <c r="H39" s="91">
        <f>F39*G39</f>
        <v>86344.299999999988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7"/>
        <v>92.058823529411768</v>
      </c>
      <c r="M39" s="201">
        <v>13</v>
      </c>
      <c r="N39" s="202">
        <f>G39/W39*60</f>
        <v>1193.1034482758555</v>
      </c>
      <c r="O39" s="203">
        <f t="shared" ref="O39:O41" si="40">N39/M39</f>
        <v>91.777188328911961</v>
      </c>
      <c r="P39" s="97">
        <f t="shared" si="38"/>
        <v>-4</v>
      </c>
      <c r="Q39" s="98">
        <f t="shared" si="39"/>
        <v>-0.28163520049980661</v>
      </c>
      <c r="R39" s="99">
        <f t="shared" si="34"/>
        <v>0.99694070389233436</v>
      </c>
      <c r="S39" s="438"/>
      <c r="T39" s="20">
        <v>0.37083333333333302</v>
      </c>
      <c r="U39" s="20">
        <v>0.43125000000000002</v>
      </c>
      <c r="V39" s="92">
        <f>(T39-U38)*24*60</f>
        <v>7.9999999999992522</v>
      </c>
      <c r="W39" s="205">
        <f t="shared" si="19"/>
        <v>87.000000000000483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5"/>
        <v>-371.8965517241445</v>
      </c>
      <c r="AG39" s="206">
        <f t="shared" si="36"/>
        <v>0.76236642062354987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1547</v>
      </c>
      <c r="H40" s="91">
        <f>F40*G40</f>
        <v>68532.099999999991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7"/>
        <v>84.705882352941174</v>
      </c>
      <c r="M40" s="201">
        <v>14</v>
      </c>
      <c r="N40" s="202">
        <f>G40/W40*60</f>
        <v>1174.9367088607398</v>
      </c>
      <c r="O40" s="203">
        <f t="shared" si="40"/>
        <v>83.924050632909982</v>
      </c>
      <c r="P40" s="97">
        <f t="shared" si="38"/>
        <v>-3</v>
      </c>
      <c r="Q40" s="98">
        <f t="shared" si="39"/>
        <v>-0.78183172003119239</v>
      </c>
      <c r="R40" s="99">
        <f t="shared" si="34"/>
        <v>0.99077004219407616</v>
      </c>
      <c r="S40" s="425"/>
      <c r="T40" s="20">
        <v>0.438194444444444</v>
      </c>
      <c r="U40" s="20">
        <v>0.49305555555555602</v>
      </c>
      <c r="V40" s="92">
        <f>(T40-U39)*24*60</f>
        <v>9.999999999999325</v>
      </c>
      <c r="W40" s="205">
        <f t="shared" si="19"/>
        <v>79.000000000001322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5"/>
        <v>-265.06329113926017</v>
      </c>
      <c r="AG40" s="206">
        <f t="shared" si="36"/>
        <v>0.81592827004218038</v>
      </c>
      <c r="AH40" s="444"/>
    </row>
    <row r="41" spans="1:34" ht="15" customHeight="1">
      <c r="A41" s="435"/>
      <c r="B41" s="75" t="s">
        <v>123</v>
      </c>
      <c r="C41" s="207"/>
      <c r="D41" s="198" t="s">
        <v>128</v>
      </c>
      <c r="E41" s="178"/>
      <c r="F41" s="75">
        <f>VLOOKUP(D41,廠價表!$C$1:$E$41,3,0)</f>
        <v>44.3</v>
      </c>
      <c r="G41" s="199">
        <v>1131</v>
      </c>
      <c r="H41" s="91">
        <f>F41*G41</f>
        <v>50103.299999999996</v>
      </c>
      <c r="I41" s="200"/>
      <c r="J41" s="148">
        <f>VLOOKUP(D41,產線配置圖!$A$3:$C$39,2,0)</f>
        <v>17</v>
      </c>
      <c r="K41" s="95">
        <f>VLOOKUP(D41,產線配置圖!$A$3:$C$39,3,0)</f>
        <v>1440</v>
      </c>
      <c r="L41" s="96">
        <f t="shared" si="37"/>
        <v>84.705882352941174</v>
      </c>
      <c r="M41" s="201">
        <v>17</v>
      </c>
      <c r="N41" s="202">
        <f>G41/W41*60</f>
        <v>1357.2000000000091</v>
      </c>
      <c r="O41" s="203">
        <f t="shared" si="40"/>
        <v>79.835294117647592</v>
      </c>
      <c r="P41" s="97">
        <f t="shared" si="38"/>
        <v>0</v>
      </c>
      <c r="Q41" s="98">
        <f t="shared" si="39"/>
        <v>-4.8705882352935816</v>
      </c>
      <c r="R41" s="99">
        <f t="shared" si="34"/>
        <v>0.94250000000000633</v>
      </c>
      <c r="S41" s="425"/>
      <c r="T41" s="20">
        <v>0.55555555555555602</v>
      </c>
      <c r="U41" s="210">
        <v>0.59027777777777801</v>
      </c>
      <c r="V41" s="92">
        <f>(T41-U40)*24*60</f>
        <v>90</v>
      </c>
      <c r="W41" s="205">
        <f t="shared" si="19"/>
        <v>49.999999999999659</v>
      </c>
      <c r="X41" s="208">
        <v>0.5</v>
      </c>
      <c r="Y41" s="209">
        <v>0.54166666666666696</v>
      </c>
      <c r="Z41" s="337"/>
      <c r="AA41" s="337"/>
      <c r="AB41" s="395"/>
      <c r="AC41" s="395"/>
      <c r="AD41" s="92"/>
      <c r="AE41" s="92"/>
      <c r="AF41" s="314">
        <f t="shared" si="35"/>
        <v>-82.79999999999086</v>
      </c>
      <c r="AG41" s="206">
        <f t="shared" si="36"/>
        <v>0.94250000000000633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9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41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41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41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32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41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42">AVERAGE(J38:J47)</f>
        <v>16.75</v>
      </c>
      <c r="K48" s="155">
        <f t="shared" si="42"/>
        <v>1462.75</v>
      </c>
      <c r="L48" s="158">
        <f t="shared" si="42"/>
        <v>87.336397058823522</v>
      </c>
      <c r="M48" s="155">
        <f t="shared" si="42"/>
        <v>14.25</v>
      </c>
      <c r="N48" s="155">
        <f t="shared" si="42"/>
        <v>1215.3317784145809</v>
      </c>
      <c r="O48" s="158">
        <f t="shared" si="42"/>
        <v>85.731959356823538</v>
      </c>
      <c r="P48" s="221">
        <f>M48-J48</f>
        <v>-2.5</v>
      </c>
      <c r="Q48" s="222">
        <f>N48-K48</f>
        <v>-247.41822158541913</v>
      </c>
      <c r="R48" s="223">
        <f>O48/L48</f>
        <v>0.98162922039342482</v>
      </c>
      <c r="S48" s="428"/>
      <c r="T48" s="224"/>
      <c r="U48" s="224"/>
      <c r="V48" s="225"/>
      <c r="W48" s="226">
        <f t="shared" si="41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43">N48-K48</f>
        <v>-247.41822158541913</v>
      </c>
      <c r="AG48" s="162">
        <f t="shared" ref="AG48:AG53" si="44">N48/K48</f>
        <v>0.83085406146954766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767</v>
      </c>
      <c r="H49" s="134">
        <f>F49*G49</f>
        <v>43619.29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5">K49/J49</f>
        <v>86.944444444444443</v>
      </c>
      <c r="M49" s="170">
        <v>15</v>
      </c>
      <c r="N49" s="140">
        <f>G49/W49*60</f>
        <v>1278.3333333333351</v>
      </c>
      <c r="O49" s="141">
        <f>N49/M49</f>
        <v>85.222222222222342</v>
      </c>
      <c r="P49" s="229">
        <f>M49-J49</f>
        <v>-3</v>
      </c>
      <c r="Q49" s="230">
        <f>O49-L49</f>
        <v>-1.7222222222221006</v>
      </c>
      <c r="R49" s="52">
        <f>O49/L49</f>
        <v>0.98019169329073619</v>
      </c>
      <c r="S49" s="424">
        <f>R58</f>
        <v>0.98282046043044735</v>
      </c>
      <c r="T49" s="191">
        <v>0.29166666666666702</v>
      </c>
      <c r="U49" s="191">
        <v>0.31666666666666698</v>
      </c>
      <c r="V49" s="55"/>
      <c r="W49" s="193">
        <f t="shared" si="19"/>
        <v>35.99999999999995</v>
      </c>
      <c r="X49" s="55"/>
      <c r="Y49" s="290"/>
      <c r="Z49" s="169">
        <v>1</v>
      </c>
      <c r="AA49" s="169">
        <v>5</v>
      </c>
      <c r="AB49" s="402" t="s">
        <v>140</v>
      </c>
      <c r="AC49" s="402"/>
      <c r="AD49" s="135"/>
      <c r="AE49" s="135"/>
      <c r="AF49" s="229">
        <f t="shared" si="43"/>
        <v>-286.66666666666492</v>
      </c>
      <c r="AG49" s="52">
        <f t="shared" si="44"/>
        <v>0.81682641107561349</v>
      </c>
      <c r="AH49" s="403">
        <f>AG58</f>
        <v>0.84277580443841094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2064</v>
      </c>
      <c r="H50" s="231">
        <f>F50*G50</f>
        <v>98473.44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5"/>
        <v>90</v>
      </c>
      <c r="M50" s="233">
        <v>15</v>
      </c>
      <c r="N50" s="234">
        <f>G50/W50*60</f>
        <v>1317.4468085106544</v>
      </c>
      <c r="O50" s="235">
        <f>N50/M50</f>
        <v>87.829787234043621</v>
      </c>
      <c r="P50" s="74">
        <f>M50-J50</f>
        <v>-1</v>
      </c>
      <c r="Q50" s="83">
        <f>O50-L50</f>
        <v>-2.1702127659563786</v>
      </c>
      <c r="R50" s="72">
        <f>O50/L50</f>
        <v>0.97588652482270688</v>
      </c>
      <c r="S50" s="425"/>
      <c r="T50" s="21">
        <v>0.32291666666666702</v>
      </c>
      <c r="U50" s="21">
        <v>0.38819444444444401</v>
      </c>
      <c r="V50" s="30">
        <f t="shared" ref="V50:V52" si="46">(T50-U49)*24*60</f>
        <v>9.000000000000048</v>
      </c>
      <c r="W50" s="236">
        <f t="shared" si="19"/>
        <v>93.999999999998863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3"/>
        <v>-122.55319148934564</v>
      </c>
      <c r="AG50" s="72">
        <f t="shared" si="44"/>
        <v>0.9148936170212878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2577</v>
      </c>
      <c r="H51" s="231">
        <f>F51*G51</f>
        <v>128772.69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5"/>
        <v>88.888888888888886</v>
      </c>
      <c r="M51" s="233">
        <v>15</v>
      </c>
      <c r="N51" s="234">
        <f>G51/W51*60</f>
        <v>1321.5384615384617</v>
      </c>
      <c r="O51" s="235">
        <f>N51/M51</f>
        <v>88.102564102564116</v>
      </c>
      <c r="P51" s="74">
        <f>M51-J51</f>
        <v>-3</v>
      </c>
      <c r="Q51" s="83">
        <f>O51-L51</f>
        <v>-0.78632478632476932</v>
      </c>
      <c r="R51" s="72">
        <f>O51/L51</f>
        <v>0.99115384615384639</v>
      </c>
      <c r="S51" s="425"/>
      <c r="T51" s="21">
        <v>0.39444444444444399</v>
      </c>
      <c r="U51" s="19">
        <v>0.47569444444444398</v>
      </c>
      <c r="V51" s="30">
        <f t="shared" si="46"/>
        <v>8.999999999999968</v>
      </c>
      <c r="W51" s="236">
        <f t="shared" si="19"/>
        <v>116.99999999999999</v>
      </c>
      <c r="X51" s="22"/>
      <c r="Y51" s="84"/>
      <c r="Z51" s="90">
        <v>1</v>
      </c>
      <c r="AA51" s="90">
        <v>9</v>
      </c>
      <c r="AB51" s="395" t="s">
        <v>140</v>
      </c>
      <c r="AC51" s="395"/>
      <c r="AD51" s="92"/>
      <c r="AE51" s="92"/>
      <c r="AF51" s="307">
        <f t="shared" si="43"/>
        <v>-278.46153846153834</v>
      </c>
      <c r="AG51" s="72">
        <f t="shared" si="44"/>
        <v>0.82596153846153852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2493</v>
      </c>
      <c r="H52" s="231">
        <f>F52*G52</f>
        <v>124575.20999999999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5"/>
        <v>88.888888888888886</v>
      </c>
      <c r="M52" s="233">
        <v>15</v>
      </c>
      <c r="N52" s="234">
        <f>G52/W52*60</f>
        <v>1312.1052631578884</v>
      </c>
      <c r="O52" s="235">
        <f>N52/M52</f>
        <v>87.473684210525889</v>
      </c>
      <c r="P52" s="74">
        <f>M52-J52</f>
        <v>-3</v>
      </c>
      <c r="Q52" s="83">
        <f>O52-L52</f>
        <v>-1.415204678362997</v>
      </c>
      <c r="R52" s="72">
        <f>O52/L52</f>
        <v>0.98407894736841628</v>
      </c>
      <c r="S52" s="425"/>
      <c r="T52" s="21">
        <v>0.53125</v>
      </c>
      <c r="U52" s="21">
        <v>0.61041666666666705</v>
      </c>
      <c r="V52" s="30">
        <f t="shared" si="46"/>
        <v>80.000000000000682</v>
      </c>
      <c r="W52" s="236">
        <f t="shared" si="19"/>
        <v>114.00000000000055</v>
      </c>
      <c r="X52" s="22">
        <v>0.47916666666666702</v>
      </c>
      <c r="Y52" s="84">
        <v>0.52083333333333304</v>
      </c>
      <c r="Z52" s="90"/>
      <c r="AA52" s="90"/>
      <c r="AB52" s="395"/>
      <c r="AC52" s="395"/>
      <c r="AD52" s="92"/>
      <c r="AE52" s="92"/>
      <c r="AF52" s="307">
        <f t="shared" si="43"/>
        <v>-287.89473684211157</v>
      </c>
      <c r="AG52" s="72">
        <f t="shared" si="44"/>
        <v>0.82006578947368025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9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43"/>
        <v>0</v>
      </c>
      <c r="AG53" s="72" t="e">
        <f t="shared" si="44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9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9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9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9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7">AVERAGE(J49:J57)</f>
        <v>17.5</v>
      </c>
      <c r="K58" s="120">
        <f t="shared" si="47"/>
        <v>1551.25</v>
      </c>
      <c r="L58" s="117">
        <f t="shared" si="47"/>
        <v>88.680555555555571</v>
      </c>
      <c r="M58" s="120">
        <f t="shared" si="47"/>
        <v>15</v>
      </c>
      <c r="N58" s="120">
        <f t="shared" si="47"/>
        <v>1307.355966635085</v>
      </c>
      <c r="O58" s="117">
        <f t="shared" si="47"/>
        <v>87.157064442338992</v>
      </c>
      <c r="P58" s="121">
        <f>M58-J58</f>
        <v>-2.5</v>
      </c>
      <c r="Q58" s="122">
        <f>N58-K58</f>
        <v>-243.894033364915</v>
      </c>
      <c r="R58" s="123">
        <f t="shared" ref="R58:R60" si="48">O58/L58</f>
        <v>0.98282046043044735</v>
      </c>
      <c r="S58" s="428"/>
      <c r="T58" s="241"/>
      <c r="U58" s="241"/>
      <c r="V58" s="126"/>
      <c r="W58" s="242"/>
      <c r="X58" s="128"/>
      <c r="Y58" s="295"/>
      <c r="Z58" s="334">
        <f>SUM(Z49:Z57)</f>
        <v>2</v>
      </c>
      <c r="AA58" s="334">
        <f>SUM(AA49:AA57)</f>
        <v>14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49">N58-K58</f>
        <v>-243.894033364915</v>
      </c>
      <c r="AG58" s="124">
        <f t="shared" ref="AG58:AG61" si="50">N58/K58</f>
        <v>0.84277580443841094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2966</v>
      </c>
      <c r="H59" s="243">
        <f>F59*G59</f>
        <v>80052.34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51">K59/J59</f>
        <v>120.38461538461539</v>
      </c>
      <c r="M59" s="244">
        <v>11</v>
      </c>
      <c r="N59" s="137">
        <f t="shared" ref="N59:N61" si="52">G59/W59*60</f>
        <v>1271.1428571428603</v>
      </c>
      <c r="O59" s="138">
        <f t="shared" ref="O59:O61" si="53">N59/M59</f>
        <v>115.55844155844184</v>
      </c>
      <c r="P59" s="56">
        <f t="shared" ref="P59:P61" si="54">M59-J59</f>
        <v>-2</v>
      </c>
      <c r="Q59" s="230">
        <f t="shared" ref="Q59:Q61" si="55">O59-L59</f>
        <v>-4.8261738261735445</v>
      </c>
      <c r="R59" s="52">
        <f t="shared" si="48"/>
        <v>0.95991037716277572</v>
      </c>
      <c r="S59" s="424">
        <f>R69</f>
        <v>0.90292964476250637</v>
      </c>
      <c r="T59" s="245">
        <v>0.29166666666666702</v>
      </c>
      <c r="U59" s="245">
        <v>0.38888888888888901</v>
      </c>
      <c r="V59" s="55"/>
      <c r="W59" s="54">
        <f t="shared" si="19"/>
        <v>139.99999999999966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49"/>
        <v>-293.85714285713971</v>
      </c>
      <c r="AG59" s="246">
        <f t="shared" si="50"/>
        <v>0.81223185759927174</v>
      </c>
      <c r="AH59" s="403">
        <f>AG69</f>
        <v>0.80646280237334977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1098</v>
      </c>
      <c r="H60" s="78">
        <f>F60*G60</f>
        <v>31029.480000000003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1"/>
        <v>130.41666666666666</v>
      </c>
      <c r="M60" s="82">
        <v>11</v>
      </c>
      <c r="N60" s="80">
        <f t="shared" si="52"/>
        <v>1317.600000000009</v>
      </c>
      <c r="O60" s="81">
        <f t="shared" si="53"/>
        <v>119.78181818181901</v>
      </c>
      <c r="P60" s="74">
        <f t="shared" si="54"/>
        <v>-1</v>
      </c>
      <c r="Q60" s="83">
        <f t="shared" si="55"/>
        <v>-10.634848484847652</v>
      </c>
      <c r="R60" s="72">
        <f t="shared" si="48"/>
        <v>0.91845483589893173</v>
      </c>
      <c r="S60" s="451"/>
      <c r="T60" s="22">
        <v>0.40277777777777801</v>
      </c>
      <c r="U60" s="22">
        <v>0.4375</v>
      </c>
      <c r="V60" s="30">
        <f t="shared" ref="V60:V61" si="56">(T60-U59)*24*60</f>
        <v>20.000000000000171</v>
      </c>
      <c r="W60" s="248">
        <f t="shared" si="19"/>
        <v>49.999999999999659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49"/>
        <v>-247.399999999991</v>
      </c>
      <c r="AG60" s="249">
        <f t="shared" si="50"/>
        <v>0.84191693290735403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1497</v>
      </c>
      <c r="H61" s="254">
        <f>F61*G61</f>
        <v>42305.22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1"/>
        <v>130.41666666666666</v>
      </c>
      <c r="M61" s="108">
        <v>11</v>
      </c>
      <c r="N61" s="107">
        <f t="shared" si="52"/>
        <v>1197.6000000000081</v>
      </c>
      <c r="O61" s="238">
        <f t="shared" si="53"/>
        <v>108.87272727272801</v>
      </c>
      <c r="P61" s="111">
        <f t="shared" si="54"/>
        <v>-1</v>
      </c>
      <c r="Q61" s="255">
        <f t="shared" si="55"/>
        <v>-21.543939393938643</v>
      </c>
      <c r="R61" s="85">
        <f>O61/L61</f>
        <v>0.83480685448737146</v>
      </c>
      <c r="S61" s="425"/>
      <c r="T61" s="22">
        <v>0.44791666666666702</v>
      </c>
      <c r="U61" s="22">
        <v>0.5</v>
      </c>
      <c r="V61" s="30">
        <f t="shared" si="56"/>
        <v>15.000000000000506</v>
      </c>
      <c r="W61" s="256">
        <f t="shared" si="19"/>
        <v>74.999999999999488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49"/>
        <v>-367.39999999999191</v>
      </c>
      <c r="AG61" s="247">
        <f t="shared" si="50"/>
        <v>0.76523961661342366</v>
      </c>
      <c r="AH61" s="404"/>
    </row>
    <row r="62" spans="1:34" ht="15" customHeight="1">
      <c r="A62" s="44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5"/>
      <c r="T62" s="22"/>
      <c r="U62" s="22"/>
      <c r="V62" s="30"/>
      <c r="W62" s="248">
        <f t="shared" si="19"/>
        <v>0</v>
      </c>
      <c r="X62" s="22"/>
      <c r="Y62" s="84"/>
      <c r="Z62" s="90"/>
      <c r="AA62" s="90"/>
      <c r="AB62" s="395"/>
      <c r="AC62" s="395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9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9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9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9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9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9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7">AVERAGE(J59:J68)</f>
        <v>12.333333333333334</v>
      </c>
      <c r="K69" s="240">
        <f t="shared" si="57"/>
        <v>1565</v>
      </c>
      <c r="L69" s="268">
        <f t="shared" si="57"/>
        <v>127.07264957264958</v>
      </c>
      <c r="M69" s="240">
        <f t="shared" si="57"/>
        <v>11</v>
      </c>
      <c r="N69" s="240">
        <f t="shared" si="57"/>
        <v>1262.1142857142925</v>
      </c>
      <c r="O69" s="268">
        <f t="shared" si="57"/>
        <v>114.73766233766294</v>
      </c>
      <c r="P69" s="269">
        <f>M69-J69</f>
        <v>-1.3333333333333339</v>
      </c>
      <c r="Q69" s="222">
        <f>N69-K69</f>
        <v>-302.88571428570754</v>
      </c>
      <c r="R69" s="123">
        <f>O69/L69</f>
        <v>0.90292964476250637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-302.88571428570754</v>
      </c>
      <c r="AG69" s="124">
        <f>N69/K69</f>
        <v>0.80646280237334977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2338</v>
      </c>
      <c r="H70" s="243">
        <f>F70*G70</f>
        <v>118466.46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9</v>
      </c>
      <c r="N70" s="137">
        <f>G70/W70*60</f>
        <v>905.03225806451519</v>
      </c>
      <c r="O70" s="138">
        <f>N70/M70</f>
        <v>100.55913978494613</v>
      </c>
      <c r="P70" s="56">
        <f>M70-J70</f>
        <v>-1</v>
      </c>
      <c r="Q70" s="230">
        <f>O70-L70</f>
        <v>-11.940860215053874</v>
      </c>
      <c r="R70" s="52">
        <f>O70/L70</f>
        <v>0.89385902031063225</v>
      </c>
      <c r="S70" s="424">
        <f>R79</f>
        <v>0.89385902031063225</v>
      </c>
      <c r="T70" s="245">
        <v>0.33333333333333298</v>
      </c>
      <c r="U70" s="245">
        <v>0.44097222222222199</v>
      </c>
      <c r="V70" s="55"/>
      <c r="W70" s="54">
        <f t="shared" si="19"/>
        <v>155.00000000000017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-219.96774193548481</v>
      </c>
      <c r="AG70" s="246">
        <f>N70/K70</f>
        <v>0.80447311827956902</v>
      </c>
      <c r="AH70" s="403">
        <f>AG79</f>
        <v>0.80447311827956902</v>
      </c>
    </row>
    <row r="71" spans="1:36" ht="15" customHeight="1">
      <c r="A71" s="45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5"/>
      <c r="T71" s="22"/>
      <c r="U71" s="22"/>
      <c r="V71" s="30"/>
      <c r="W71" s="73">
        <f t="shared" si="19"/>
        <v>0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9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9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9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58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9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58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9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58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9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58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9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59">AVERAGE(J70:J78)</f>
        <v>10</v>
      </c>
      <c r="K79" s="240">
        <f t="shared" si="59"/>
        <v>1125</v>
      </c>
      <c r="L79" s="268">
        <f t="shared" si="59"/>
        <v>112.5</v>
      </c>
      <c r="M79" s="240">
        <f t="shared" si="59"/>
        <v>9</v>
      </c>
      <c r="N79" s="240">
        <f t="shared" si="59"/>
        <v>905.03225806451519</v>
      </c>
      <c r="O79" s="268">
        <f t="shared" si="59"/>
        <v>100.55913978494613</v>
      </c>
      <c r="P79" s="269">
        <f>M79-J79</f>
        <v>-1</v>
      </c>
      <c r="Q79" s="222">
        <f>N79-K79</f>
        <v>-219.96774193548481</v>
      </c>
      <c r="R79" s="223">
        <f>O79/L79</f>
        <v>0.89385902031063225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-219.96774193548481</v>
      </c>
      <c r="AG79" s="124">
        <f>N79/K79</f>
        <v>0.80447311827956902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Z3:AA3"/>
    <mergeCell ref="AB3:AC4"/>
    <mergeCell ref="N3:N4"/>
    <mergeCell ref="O3:O4"/>
    <mergeCell ref="P1:S2"/>
    <mergeCell ref="T1:Y2"/>
    <mergeCell ref="AB1:AC2"/>
    <mergeCell ref="A2:B2"/>
    <mergeCell ref="A3:A4"/>
    <mergeCell ref="B3:B4"/>
    <mergeCell ref="D3:E4"/>
    <mergeCell ref="F3:F4"/>
    <mergeCell ref="J1:L2"/>
    <mergeCell ref="M1:O2"/>
    <mergeCell ref="AD3:AE3"/>
    <mergeCell ref="AH5:AH15"/>
    <mergeCell ref="AB6:AC6"/>
    <mergeCell ref="AB7:AC7"/>
    <mergeCell ref="AG3:AG4"/>
    <mergeCell ref="AH3:AH4"/>
    <mergeCell ref="S3:S4"/>
    <mergeCell ref="P3:P4"/>
    <mergeCell ref="Q3:Q4"/>
    <mergeCell ref="R3:R4"/>
    <mergeCell ref="T3:U3"/>
    <mergeCell ref="V3:V4"/>
    <mergeCell ref="W3:W4"/>
    <mergeCell ref="X3:Y3"/>
    <mergeCell ref="H3:H4"/>
    <mergeCell ref="I3:I4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J3:J4"/>
    <mergeCell ref="K3:K4"/>
    <mergeCell ref="L3:L4"/>
    <mergeCell ref="M3:M4"/>
    <mergeCell ref="G3:G4"/>
    <mergeCell ref="AH16:AH26"/>
    <mergeCell ref="AB17:AC17"/>
    <mergeCell ref="AB18:AC18"/>
    <mergeCell ref="AF1:AH2"/>
    <mergeCell ref="AF3:AF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5:A15"/>
    <mergeCell ref="S5:S15"/>
    <mergeCell ref="AB5:AC5"/>
    <mergeCell ref="AB22:AC22"/>
    <mergeCell ref="AB23:AC23"/>
    <mergeCell ref="A16:A26"/>
    <mergeCell ref="S16:S26"/>
    <mergeCell ref="AB16:AC16"/>
    <mergeCell ref="D26:E26"/>
    <mergeCell ref="AB26:AC26"/>
    <mergeCell ref="AB19:AC19"/>
    <mergeCell ref="AB20:AC20"/>
    <mergeCell ref="AB21:AC21"/>
    <mergeCell ref="AB24:AC24"/>
    <mergeCell ref="AB25:AC25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79:E79"/>
    <mergeCell ref="AB79:AC79"/>
    <mergeCell ref="A70:A79"/>
    <mergeCell ref="S70:S79"/>
    <mergeCell ref="AB70:AC70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88" priority="1" operator="greaterThan">
      <formula>0</formula>
    </cfRule>
  </conditionalFormatting>
  <conditionalFormatting sqref="Q5:Q79 AF5:AF79">
    <cfRule type="cellIs" dxfId="187" priority="4" operator="lessThan">
      <formula>0</formula>
    </cfRule>
  </conditionalFormatting>
  <conditionalFormatting sqref="R5:R79 AG5:AG79">
    <cfRule type="cellIs" dxfId="186" priority="2" operator="greaterThan">
      <formula>1</formula>
    </cfRule>
    <cfRule type="cellIs" dxfId="185" priority="3" operator="lessThan">
      <formula>0.8</formula>
    </cfRule>
  </conditionalFormatting>
  <conditionalFormatting sqref="S5:S10 S37:S62 AH59:AH62 S69:S76 AH69:AH76">
    <cfRule type="cellIs" dxfId="184" priority="7" operator="lessThan">
      <formula>0.8</formula>
    </cfRule>
  </conditionalFormatting>
  <conditionalFormatting sqref="S19:S25 AH19:AH25">
    <cfRule type="cellIs" dxfId="183" priority="6" operator="lessThan">
      <formula>0.8</formula>
    </cfRule>
  </conditionalFormatting>
  <conditionalFormatting sqref="S79">
    <cfRule type="cellIs" dxfId="182" priority="5" operator="lessThan">
      <formula>0.8</formula>
    </cfRule>
  </conditionalFormatting>
  <conditionalFormatting sqref="AH5:AH8 S15:S16 AH15:AH16 AH49 AH79">
    <cfRule type="cellIs" dxfId="181" priority="9" operator="lessThan">
      <formula>0.8</formula>
    </cfRule>
  </conditionalFormatting>
  <conditionalFormatting sqref="AH27 S27:S28">
    <cfRule type="cellIs" dxfId="1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4A9C43-61EC-48AB-81C1-420BE9461269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28ED-DEEB-4F9E-99D3-F4C93E482E32}">
  <dimension ref="B1:O26"/>
  <sheetViews>
    <sheetView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46067</v>
      </c>
      <c r="E3" s="493"/>
      <c r="F3" s="3" t="s">
        <v>72</v>
      </c>
      <c r="G3" s="494">
        <f>'0214'!E1</f>
        <v>50011</v>
      </c>
      <c r="H3" s="494"/>
      <c r="I3" s="3" t="s">
        <v>2</v>
      </c>
      <c r="J3" s="495">
        <f>'0214'!G1</f>
        <v>2415787.2400000002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118.16176223014457</v>
      </c>
      <c r="G6" s="490"/>
      <c r="H6" s="491">
        <f>AVERAGE(D13:H13)</f>
        <v>116.37958476164359</v>
      </c>
      <c r="I6" s="491"/>
      <c r="J6" s="491">
        <f>AVERAGE(I13)</f>
        <v>127.07264957264958</v>
      </c>
      <c r="K6" s="491"/>
      <c r="L6" s="497">
        <f>SUM(D18:J18)</f>
        <v>1</v>
      </c>
      <c r="M6" s="482">
        <f>SUM(D19:J19)</f>
        <v>9</v>
      </c>
      <c r="N6" s="498">
        <f>SUM(D20:J20)</f>
        <v>1</v>
      </c>
      <c r="O6" s="482">
        <f>SUM(D20:J20)</f>
        <v>1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107.77416637860102</v>
      </c>
      <c r="G7" s="479"/>
      <c r="H7" s="480">
        <f>AVERAGE(D14:H14)</f>
        <v>105.56034044974868</v>
      </c>
      <c r="I7" s="480"/>
      <c r="J7" s="480">
        <f>AVERAGE(I14)</f>
        <v>118.84329602286277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0.91209003948915768</v>
      </c>
      <c r="G8" s="485"/>
      <c r="H8" s="485">
        <f>H7/H6</f>
        <v>0.90703486067548922</v>
      </c>
      <c r="I8" s="485"/>
      <c r="J8" s="485">
        <f>J7/J6</f>
        <v>0.93523898669412775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VALUE('0214'!L15)</f>
        <v>144.15120663650075</v>
      </c>
      <c r="E13" s="13">
        <f>VALUE('0214'!L26)</f>
        <v>159.55570409982175</v>
      </c>
      <c r="F13" s="13">
        <f>VALUE('0214'!L37)</f>
        <v>93.807843137254892</v>
      </c>
      <c r="G13" s="13">
        <f>VALUE('0214'!L48)</f>
        <v>95.026960784313715</v>
      </c>
      <c r="H13" s="13">
        <f>VALUE('0214'!L58)</f>
        <v>89.356209150326805</v>
      </c>
      <c r="I13" s="13">
        <f>VALUE('0214'!L69)</f>
        <v>127.07264957264958</v>
      </c>
      <c r="J13" s="13"/>
    </row>
    <row r="14" spans="2:15" ht="39.950000000000003" customHeight="1">
      <c r="B14" s="473"/>
      <c r="C14" s="12" t="s">
        <v>100</v>
      </c>
      <c r="D14" s="13">
        <f>VALUE('0214'!O15)</f>
        <v>127.37645878315497</v>
      </c>
      <c r="E14" s="13">
        <f>VALUE('0214'!O26)</f>
        <v>140.37522627624114</v>
      </c>
      <c r="F14" s="13">
        <f>VALUE('0214'!O37)</f>
        <v>84.84970328468475</v>
      </c>
      <c r="G14" s="13">
        <f>VALUE('0214'!O48)</f>
        <v>89.365298807694828</v>
      </c>
      <c r="H14" s="13">
        <f>VALUE('0214'!O58)</f>
        <v>85.83501509696768</v>
      </c>
      <c r="I14" s="13">
        <f>VALUE('0214'!O69)</f>
        <v>118.84329602286277</v>
      </c>
      <c r="J14" s="13"/>
    </row>
    <row r="15" spans="2:15" ht="39.950000000000003" customHeight="1">
      <c r="B15" s="474"/>
      <c r="C15" s="10" t="s">
        <v>26</v>
      </c>
      <c r="D15" s="14">
        <f>D14/D13</f>
        <v>0.88363088839314496</v>
      </c>
      <c r="E15" s="14">
        <f t="shared" ref="E15:I15" si="1">E14/E13</f>
        <v>0.87978820355064924</v>
      </c>
      <c r="F15" s="14">
        <f t="shared" si="1"/>
        <v>0.9045054277661726</v>
      </c>
      <c r="G15" s="14">
        <f t="shared" si="1"/>
        <v>0.94042046667714252</v>
      </c>
      <c r="H15" s="14">
        <f t="shared" si="1"/>
        <v>0.96059373951914961</v>
      </c>
      <c r="I15" s="14">
        <f t="shared" si="1"/>
        <v>0.93523898669412775</v>
      </c>
      <c r="J15" s="15"/>
    </row>
    <row r="16" spans="2:15" ht="17.25" customHeight="1">
      <c r="B16" s="475" t="s">
        <v>101</v>
      </c>
      <c r="C16" s="10" t="s">
        <v>34</v>
      </c>
      <c r="D16" s="16">
        <f>'0214'!T5</f>
        <v>0.29166666666666702</v>
      </c>
      <c r="E16" s="16">
        <f>'0214'!T16</f>
        <v>0.29097222222222202</v>
      </c>
      <c r="F16" s="16">
        <f>'0214'!T27</f>
        <v>0.29166666666666702</v>
      </c>
      <c r="G16" s="16">
        <f>'0214'!T38</f>
        <v>0.33333333333333298</v>
      </c>
      <c r="H16" s="16">
        <f>'0214'!T49</f>
        <v>0.29166666666666702</v>
      </c>
      <c r="I16" s="16">
        <f>'0214'!T59</f>
        <v>0.29027777777777802</v>
      </c>
      <c r="J16" s="16"/>
    </row>
    <row r="17" spans="2:10" ht="17.25" customHeight="1">
      <c r="B17" s="476"/>
      <c r="C17" s="10" t="s">
        <v>35</v>
      </c>
      <c r="D17" s="16">
        <v>0.62222222222222201</v>
      </c>
      <c r="E17" s="19">
        <v>0.64930555555555602</v>
      </c>
      <c r="F17" s="19">
        <v>0.65277777777777801</v>
      </c>
      <c r="G17" s="210">
        <v>0.52291666666666703</v>
      </c>
      <c r="H17" s="21">
        <v>0.65</v>
      </c>
      <c r="I17" s="22">
        <v>0.49652777777777801</v>
      </c>
      <c r="J17" s="272"/>
    </row>
    <row r="18" spans="2:10" ht="17.25" customHeight="1">
      <c r="B18" s="477" t="s">
        <v>102</v>
      </c>
      <c r="C18" s="330" t="s">
        <v>36</v>
      </c>
      <c r="D18" s="358">
        <f>'0214'!Z15</f>
        <v>0</v>
      </c>
      <c r="E18" s="359">
        <f>'0214'!Z26</f>
        <v>1</v>
      </c>
      <c r="F18" s="359">
        <f>'0214'!Z37</f>
        <v>0</v>
      </c>
      <c r="G18" s="360">
        <f>'0214'!Z48</f>
        <v>0</v>
      </c>
      <c r="H18" s="360">
        <f>'0214'!Z58</f>
        <v>0</v>
      </c>
      <c r="I18" s="359">
        <f>'0214'!Z69</f>
        <v>0</v>
      </c>
      <c r="J18" s="359"/>
    </row>
    <row r="19" spans="2:10" ht="17.25" customHeight="1">
      <c r="B19" s="478"/>
      <c r="C19" s="330" t="s">
        <v>37</v>
      </c>
      <c r="D19" s="358">
        <f>'0214'!AA15</f>
        <v>0</v>
      </c>
      <c r="E19" s="359">
        <f>'0214'!AA26</f>
        <v>9</v>
      </c>
      <c r="F19" s="359">
        <f>'0214'!AA37</f>
        <v>0</v>
      </c>
      <c r="G19" s="360">
        <f>'0214'!AA48</f>
        <v>0</v>
      </c>
      <c r="H19" s="360">
        <f>'0214'!AA58</f>
        <v>0</v>
      </c>
      <c r="I19" s="359">
        <f>'0214'!AA69</f>
        <v>0</v>
      </c>
      <c r="J19" s="359"/>
    </row>
    <row r="20" spans="2:10" ht="17.25" customHeight="1">
      <c r="B20" s="477" t="s">
        <v>103</v>
      </c>
      <c r="C20" s="330" t="s">
        <v>36</v>
      </c>
      <c r="D20" s="358">
        <f>'0214'!AD15</f>
        <v>0</v>
      </c>
      <c r="E20" s="359">
        <f>'0214'!AD26</f>
        <v>1</v>
      </c>
      <c r="F20" s="359">
        <f>'0214'!AD37</f>
        <v>0</v>
      </c>
      <c r="G20" s="360">
        <f>'0214'!AD48</f>
        <v>0</v>
      </c>
      <c r="H20" s="360">
        <f>'0214'!AD58</f>
        <v>0</v>
      </c>
      <c r="I20" s="359">
        <f>'0214'!AD69</f>
        <v>0</v>
      </c>
      <c r="J20" s="359"/>
    </row>
    <row r="21" spans="2:10" ht="17.25" customHeight="1">
      <c r="B21" s="478"/>
      <c r="C21" s="330" t="s">
        <v>85</v>
      </c>
      <c r="D21" s="358">
        <f>'0214'!AE15</f>
        <v>0</v>
      </c>
      <c r="E21" s="359">
        <f>'0214'!AE26</f>
        <v>1</v>
      </c>
      <c r="F21" s="359">
        <f>'0214'!AE37</f>
        <v>0</v>
      </c>
      <c r="G21" s="360">
        <f>'0214'!AE48</f>
        <v>0</v>
      </c>
      <c r="H21" s="360">
        <f>'0214'!AE58</f>
        <v>0</v>
      </c>
      <c r="I21" s="359">
        <f>'0214'!AE69</f>
        <v>0</v>
      </c>
      <c r="J21" s="359"/>
    </row>
    <row r="22" spans="2:10" ht="17.25" customHeight="1">
      <c r="B22" s="460" t="s">
        <v>104</v>
      </c>
      <c r="C22" s="461"/>
      <c r="D22" s="23">
        <f>VALUE('0214'!M15)</f>
        <v>13.6</v>
      </c>
      <c r="E22" s="23">
        <f>VALUE('0214'!M26)</f>
        <v>11.4</v>
      </c>
      <c r="F22" s="23">
        <f>VALUE('0214'!M37)</f>
        <v>13</v>
      </c>
      <c r="G22" s="23">
        <f>VALUE('0214'!M48)</f>
        <v>14.666666666666666</v>
      </c>
      <c r="H22" s="23">
        <f>VALUE('0214'!M58)</f>
        <v>17.399999999999999</v>
      </c>
      <c r="I22" s="23">
        <f>VALUE('0214'!M69)</f>
        <v>11.333333333333334</v>
      </c>
      <c r="J22" s="23"/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DFFF-7C55-4C3F-84BB-438561EA7AD2}">
  <sheetPr>
    <tabColor theme="9" tint="0.79998168889431442"/>
  </sheetPr>
  <dimension ref="A1:AJ92"/>
  <sheetViews>
    <sheetView zoomScale="69" zoomScaleNormal="69" workbookViewId="0">
      <pane xSplit="5" ySplit="4" topLeftCell="O41" activePane="bottomRight" state="frozen"/>
      <selection activeCell="U53" sqref="U53"/>
      <selection pane="topRight" activeCell="U53" sqref="U53"/>
      <selection pane="bottomLeft" activeCell="U53" sqref="U53"/>
      <selection pane="bottomRight" activeCell="X61" sqref="X61:Y6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50011</v>
      </c>
      <c r="F1" s="30" t="s">
        <v>2</v>
      </c>
      <c r="G1" s="31">
        <f>SUM(H5:H79)</f>
        <v>2415787.2400000002</v>
      </c>
      <c r="H1" s="32" t="s">
        <v>3</v>
      </c>
      <c r="I1" s="33">
        <f>M15+M26+M48+M58+M69+M79+M37</f>
        <v>81.399999999999991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180</v>
      </c>
      <c r="B2" s="374"/>
      <c r="C2" s="28"/>
      <c r="D2" s="28" t="s">
        <v>14</v>
      </c>
      <c r="E2" s="35">
        <f>AVERAGE(O15,O26,O37,O48,O58,O69,O79)</f>
        <v>107.77416637860102</v>
      </c>
      <c r="F2" s="36" t="s">
        <v>15</v>
      </c>
      <c r="G2" s="37">
        <f>G1/E1</f>
        <v>48.305117674111699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1</v>
      </c>
      <c r="AA2" s="339">
        <f>AA15+AA26+AA37+AA48+AA58+AA69+AA79</f>
        <v>9</v>
      </c>
      <c r="AB2" s="370"/>
      <c r="AC2" s="370"/>
      <c r="AD2" s="340">
        <f>AD15+AD26+AD37+AD48+AD58+AD69+AD79</f>
        <v>1</v>
      </c>
      <c r="AE2" s="340">
        <f>AE15+AE26+AE37+AE48+AE58+AE69+AE79</f>
        <v>1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1515</v>
      </c>
      <c r="H5" s="43">
        <f>F5*G5</f>
        <v>86673.15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9" si="0">K5/J5</f>
        <v>175.41666666666666</v>
      </c>
      <c r="M5" s="48">
        <v>12</v>
      </c>
      <c r="N5" s="46">
        <f t="shared" ref="N5:N9" si="1">G5/W5*60</f>
        <v>1748.0769230769295</v>
      </c>
      <c r="O5" s="47">
        <f t="shared" ref="O5:O9" si="2">N5/M5</f>
        <v>145.67307692307745</v>
      </c>
      <c r="P5" s="49">
        <f t="shared" ref="P5:P9" si="3">M5-J5</f>
        <v>0</v>
      </c>
      <c r="Q5" s="50">
        <f t="shared" ref="Q5:Q9" si="4">O5-L5</f>
        <v>-29.743589743589212</v>
      </c>
      <c r="R5" s="51">
        <f t="shared" ref="R5:R9" si="5">O5/L5</f>
        <v>0.83044034350447959</v>
      </c>
      <c r="S5" s="424">
        <f>R15</f>
        <v>0.88363088839314496</v>
      </c>
      <c r="T5" s="319">
        <v>0.29166666666666702</v>
      </c>
      <c r="U5" s="320">
        <v>0.327777777777778</v>
      </c>
      <c r="V5" s="53"/>
      <c r="W5" s="54">
        <f t="shared" ref="W5:W14" si="6">(U5-T5)*24*60</f>
        <v>51.999999999999815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11" si="7">N5-K5</f>
        <v>-356.92307692307054</v>
      </c>
      <c r="AG5" s="52">
        <f t="shared" ref="AG5:AG11" si="8">N5/K5</f>
        <v>0.83044034350447959</v>
      </c>
      <c r="AH5" s="403">
        <f>AG15</f>
        <v>0.867329256106248</v>
      </c>
    </row>
    <row r="6" spans="1:34" ht="15" customHeight="1">
      <c r="A6" s="421"/>
      <c r="B6" s="57" t="s">
        <v>81</v>
      </c>
      <c r="C6" s="58"/>
      <c r="D6" s="59" t="s">
        <v>113</v>
      </c>
      <c r="E6" s="60"/>
      <c r="F6" s="61">
        <f>VLOOKUP(D6,廠價表!$C$1:$E$41,3,0)</f>
        <v>57.21</v>
      </c>
      <c r="G6" s="62">
        <v>1629</v>
      </c>
      <c r="H6" s="63">
        <f>F6*G6</f>
        <v>93195.09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15</v>
      </c>
      <c r="N6" s="66">
        <f t="shared" si="1"/>
        <v>1656.6101694915337</v>
      </c>
      <c r="O6" s="67">
        <f t="shared" si="2"/>
        <v>110.44067796610224</v>
      </c>
      <c r="P6" s="69">
        <f t="shared" si="3"/>
        <v>-2</v>
      </c>
      <c r="Q6" s="70">
        <f t="shared" si="4"/>
        <v>-7.2063808574271633</v>
      </c>
      <c r="R6" s="71">
        <f t="shared" si="5"/>
        <v>0.93874576271186916</v>
      </c>
      <c r="S6" s="425"/>
      <c r="T6" s="16">
        <v>0.343055555555556</v>
      </c>
      <c r="U6" s="16">
        <v>0.38402777777777802</v>
      </c>
      <c r="V6" s="30">
        <f>(T6-U5)*24*60</f>
        <v>22.00000000000032</v>
      </c>
      <c r="W6" s="73">
        <f t="shared" si="6"/>
        <v>58.999999999999709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-343.38983050846628</v>
      </c>
      <c r="AG6" s="72">
        <f t="shared" si="8"/>
        <v>0.82830508474576692</v>
      </c>
      <c r="AH6" s="404"/>
    </row>
    <row r="7" spans="1:34" ht="15" customHeight="1">
      <c r="A7" s="421"/>
      <c r="B7" s="75" t="s">
        <v>81</v>
      </c>
      <c r="C7" s="76"/>
      <c r="D7" s="59" t="s">
        <v>114</v>
      </c>
      <c r="E7" s="77"/>
      <c r="F7" s="75">
        <f>VLOOKUP(D7,廠價表!$C$1:$E$41,3,0)</f>
        <v>56.28</v>
      </c>
      <c r="G7" s="66">
        <v>1624</v>
      </c>
      <c r="H7" s="78">
        <f>F7*G7</f>
        <v>91398.720000000001</v>
      </c>
      <c r="I7" s="73"/>
      <c r="J7" s="79">
        <f>VLOOKUP(D7,產線配置圖!$A$3:$C$39,2,0)</f>
        <v>15</v>
      </c>
      <c r="K7" s="80">
        <f>VLOOKUP(D7,產線配置圖!$A$3:$C$39,3,0)</f>
        <v>1800</v>
      </c>
      <c r="L7" s="81">
        <f t="shared" si="0"/>
        <v>120</v>
      </c>
      <c r="M7" s="82">
        <v>15</v>
      </c>
      <c r="N7" s="80">
        <f t="shared" si="1"/>
        <v>1771.6363636363853</v>
      </c>
      <c r="O7" s="81">
        <f t="shared" si="2"/>
        <v>118.10909090909236</v>
      </c>
      <c r="P7" s="74">
        <f t="shared" si="3"/>
        <v>0</v>
      </c>
      <c r="Q7" s="83">
        <f t="shared" si="4"/>
        <v>-1.8909090909076411</v>
      </c>
      <c r="R7" s="72">
        <f t="shared" si="5"/>
        <v>0.98424242424243635</v>
      </c>
      <c r="S7" s="425"/>
      <c r="T7" s="18">
        <v>0.38888888888888901</v>
      </c>
      <c r="U7" s="18">
        <v>0.42708333333333298</v>
      </c>
      <c r="V7" s="30">
        <f>(T7-U6)*24*60</f>
        <v>6.9999999999998153</v>
      </c>
      <c r="W7" s="73">
        <f t="shared" si="6"/>
        <v>54.999999999999325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-28.36363636361466</v>
      </c>
      <c r="AG7" s="72">
        <f t="shared" si="8"/>
        <v>0.98424242424243635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1889</v>
      </c>
      <c r="H8" s="78">
        <f t="shared" ref="H8:H9" si="9">F8*G8</f>
        <v>92825.46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1691.6417910447678</v>
      </c>
      <c r="O8" s="81">
        <f t="shared" si="2"/>
        <v>130.1262916188283</v>
      </c>
      <c r="P8" s="74">
        <f t="shared" si="3"/>
        <v>0</v>
      </c>
      <c r="Q8" s="83">
        <f t="shared" si="4"/>
        <v>-23.719862227325535</v>
      </c>
      <c r="R8" s="72">
        <f t="shared" si="5"/>
        <v>0.84582089552238404</v>
      </c>
      <c r="S8" s="425"/>
      <c r="T8" s="16">
        <v>0.43194444444444402</v>
      </c>
      <c r="U8" s="16">
        <v>0.47847222222222202</v>
      </c>
      <c r="V8" s="30">
        <f t="shared" ref="V8:V9" si="10">(T8-U7)*24*60</f>
        <v>6.9999999999998952</v>
      </c>
      <c r="W8" s="73">
        <f t="shared" si="6"/>
        <v>67.000000000000327</v>
      </c>
      <c r="X8" s="22"/>
      <c r="Y8" s="84"/>
      <c r="Z8" s="90"/>
      <c r="AA8" s="90"/>
      <c r="AB8" s="407"/>
      <c r="AC8" s="407"/>
      <c r="AD8" s="149"/>
      <c r="AE8" s="149"/>
      <c r="AF8" s="307">
        <f t="shared" si="7"/>
        <v>-308.35820895523216</v>
      </c>
      <c r="AG8" s="72">
        <f t="shared" si="8"/>
        <v>0.84582089552238393</v>
      </c>
      <c r="AH8" s="404"/>
    </row>
    <row r="9" spans="1:34" ht="15" customHeight="1">
      <c r="A9" s="422"/>
      <c r="B9" s="75" t="s">
        <v>81</v>
      </c>
      <c r="C9" s="76"/>
      <c r="D9" s="59" t="s">
        <v>115</v>
      </c>
      <c r="E9" s="77"/>
      <c r="F9" s="75">
        <f>VLOOKUP(D9,廠價表!$C$1:$E$41,3,0)</f>
        <v>49.14</v>
      </c>
      <c r="G9" s="66">
        <v>3331</v>
      </c>
      <c r="H9" s="78">
        <f t="shared" si="9"/>
        <v>163685.34</v>
      </c>
      <c r="I9" s="73"/>
      <c r="J9" s="79">
        <f>VLOOKUP(D9,產線配置圖!$A$3:$C$39,2,0)</f>
        <v>13</v>
      </c>
      <c r="K9" s="80">
        <f>VLOOKUP(D9,產線配置圖!$A$3:$C$39,3,0)</f>
        <v>2000</v>
      </c>
      <c r="L9" s="81">
        <f t="shared" si="0"/>
        <v>153.84615384615384</v>
      </c>
      <c r="M9" s="82">
        <v>13</v>
      </c>
      <c r="N9" s="80">
        <f t="shared" si="1"/>
        <v>1722.9310344827697</v>
      </c>
      <c r="O9" s="81">
        <f t="shared" si="2"/>
        <v>132.5331564986746</v>
      </c>
      <c r="P9" s="74">
        <f t="shared" si="3"/>
        <v>0</v>
      </c>
      <c r="Q9" s="83">
        <f t="shared" si="4"/>
        <v>-21.312997347479239</v>
      </c>
      <c r="R9" s="72">
        <f t="shared" si="5"/>
        <v>0.86146551724138498</v>
      </c>
      <c r="S9" s="426"/>
      <c r="T9" s="16">
        <v>0.54166666666666696</v>
      </c>
      <c r="U9" s="16">
        <v>0.62222222222222201</v>
      </c>
      <c r="V9" s="30">
        <f t="shared" si="10"/>
        <v>91.000000000000711</v>
      </c>
      <c r="W9" s="73">
        <f t="shared" si="6"/>
        <v>115.99999999999926</v>
      </c>
      <c r="X9" s="22">
        <v>0.48611111111111099</v>
      </c>
      <c r="Y9" s="84">
        <v>0.52777777777777801</v>
      </c>
      <c r="Z9" s="90"/>
      <c r="AA9" s="90"/>
      <c r="AB9" s="407"/>
      <c r="AC9" s="407"/>
      <c r="AD9" s="149"/>
      <c r="AE9" s="149"/>
      <c r="AF9" s="307">
        <f t="shared" si="7"/>
        <v>-277.06896551723025</v>
      </c>
      <c r="AG9" s="72">
        <f t="shared" si="8"/>
        <v>0.86146551724138487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1">AVERAGE(J5:J14)</f>
        <v>14</v>
      </c>
      <c r="K15" s="120">
        <f t="shared" si="11"/>
        <v>1981</v>
      </c>
      <c r="L15" s="117">
        <f t="shared" si="11"/>
        <v>144.15120663650075</v>
      </c>
      <c r="M15" s="120">
        <f t="shared" si="11"/>
        <v>13.6</v>
      </c>
      <c r="N15" s="120">
        <f t="shared" si="11"/>
        <v>1718.1792563464774</v>
      </c>
      <c r="O15" s="117">
        <f t="shared" si="11"/>
        <v>127.37645878315497</v>
      </c>
      <c r="P15" s="121">
        <f t="shared" ref="P15:P20" si="12">M15-J15</f>
        <v>-0.40000000000000036</v>
      </c>
      <c r="Q15" s="122">
        <f t="shared" ref="Q15:Q20" si="13">O15-L15</f>
        <v>-16.774747853345772</v>
      </c>
      <c r="R15" s="123">
        <f t="shared" ref="R15:R20" si="14">O15/L15</f>
        <v>0.88363088839314496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5">N15-K15</f>
        <v>-262.82074365352264</v>
      </c>
      <c r="AG15" s="124">
        <f t="shared" ref="AG15:AG19" si="16">N15/K15</f>
        <v>0.867329256106248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1716</v>
      </c>
      <c r="H16" s="134">
        <f>F16*G16</f>
        <v>98172.36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20" si="17">K16/J16</f>
        <v>175.41666666666666</v>
      </c>
      <c r="M16" s="139">
        <v>12</v>
      </c>
      <c r="N16" s="140">
        <f t="shared" ref="N16:N20" si="18">G16/W16*60</f>
        <v>1838.5714285714248</v>
      </c>
      <c r="O16" s="141">
        <f>N16/M16</f>
        <v>153.21428571428541</v>
      </c>
      <c r="P16" s="142">
        <f>M16-J16</f>
        <v>0</v>
      </c>
      <c r="Q16" s="143">
        <f t="shared" si="13"/>
        <v>-22.202380952381247</v>
      </c>
      <c r="R16" s="144">
        <f>O16/L16</f>
        <v>0.87343060739735157</v>
      </c>
      <c r="S16" s="417">
        <f>R26</f>
        <v>0.87978820355064924</v>
      </c>
      <c r="T16" s="145">
        <v>0.29097222222222202</v>
      </c>
      <c r="U16" s="145">
        <v>0.32986111111111099</v>
      </c>
      <c r="V16" s="135"/>
      <c r="W16" s="146">
        <f t="shared" ref="W16:W78" si="19">(U16-T16)*24*60</f>
        <v>56.000000000000121</v>
      </c>
      <c r="X16" s="141"/>
      <c r="Y16" s="296"/>
      <c r="Z16" s="169"/>
      <c r="AA16" s="169"/>
      <c r="AB16" s="402" t="s">
        <v>120</v>
      </c>
      <c r="AC16" s="402"/>
      <c r="AD16" s="135">
        <v>1</v>
      </c>
      <c r="AE16" s="135">
        <v>1</v>
      </c>
      <c r="AF16" s="229">
        <f t="shared" si="15"/>
        <v>-266.4285714285752</v>
      </c>
      <c r="AG16" s="52">
        <f t="shared" si="16"/>
        <v>0.87343060739735146</v>
      </c>
      <c r="AH16" s="403">
        <f>AG26</f>
        <v>0.82984843222370208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3468</v>
      </c>
      <c r="H17" s="78">
        <f>F17*G17</f>
        <v>175723.56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7"/>
        <v>166.66666666666666</v>
      </c>
      <c r="M17" s="148">
        <v>12</v>
      </c>
      <c r="N17" s="95">
        <f>G17/W17*60</f>
        <v>1809.3913043478062</v>
      </c>
      <c r="O17" s="96">
        <f t="shared" ref="O17:O20" si="20">N17/M17</f>
        <v>150.78260869565051</v>
      </c>
      <c r="P17" s="97">
        <f t="shared" si="12"/>
        <v>0</v>
      </c>
      <c r="Q17" s="98">
        <f t="shared" si="13"/>
        <v>-15.884057971016148</v>
      </c>
      <c r="R17" s="99">
        <f t="shared" si="14"/>
        <v>0.90469565217390313</v>
      </c>
      <c r="S17" s="418"/>
      <c r="T17" s="19">
        <v>0.33819444444444402</v>
      </c>
      <c r="U17" s="19">
        <v>0.41805555555555601</v>
      </c>
      <c r="V17" s="30">
        <f>(T17-U16)*24*60</f>
        <v>11.999999999999558</v>
      </c>
      <c r="W17" s="149">
        <f t="shared" si="19"/>
        <v>115.00000000000126</v>
      </c>
      <c r="X17" s="19"/>
      <c r="Y17" s="297"/>
      <c r="Z17" s="90">
        <v>1</v>
      </c>
      <c r="AA17" s="90">
        <v>9</v>
      </c>
      <c r="AB17" s="395" t="s">
        <v>120</v>
      </c>
      <c r="AC17" s="395"/>
      <c r="AD17" s="92"/>
      <c r="AE17" s="92"/>
      <c r="AF17" s="307">
        <f t="shared" si="15"/>
        <v>-190.60869565219377</v>
      </c>
      <c r="AG17" s="72">
        <f t="shared" si="16"/>
        <v>0.90469565217390313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2504</v>
      </c>
      <c r="H18" s="78">
        <f>F18*G18</f>
        <v>126176.56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7"/>
        <v>181.81818181818181</v>
      </c>
      <c r="M18" s="148">
        <v>11</v>
      </c>
      <c r="N18" s="95">
        <f t="shared" si="18"/>
        <v>1976.8421052631484</v>
      </c>
      <c r="O18" s="96">
        <f t="shared" si="20"/>
        <v>179.71291866028622</v>
      </c>
      <c r="P18" s="97">
        <f t="shared" si="12"/>
        <v>0</v>
      </c>
      <c r="Q18" s="98">
        <f t="shared" si="13"/>
        <v>-2.1052631578955925</v>
      </c>
      <c r="R18" s="99">
        <f t="shared" si="14"/>
        <v>0.9884210526315742</v>
      </c>
      <c r="S18" s="418"/>
      <c r="T18" s="19">
        <v>0.42569444444444399</v>
      </c>
      <c r="U18" s="19">
        <v>0.47847222222222202</v>
      </c>
      <c r="V18" s="30">
        <f>(T18-U17)*24*60</f>
        <v>10.999999999998682</v>
      </c>
      <c r="W18" s="149">
        <f t="shared" si="19"/>
        <v>76.000000000000369</v>
      </c>
      <c r="X18" s="22"/>
      <c r="Y18" s="84"/>
      <c r="Z18" s="90"/>
      <c r="AA18" s="90"/>
      <c r="AB18" s="395"/>
      <c r="AC18" s="395"/>
      <c r="AD18" s="92"/>
      <c r="AE18" s="92"/>
      <c r="AF18" s="307">
        <f t="shared" si="15"/>
        <v>-23.157894736851631</v>
      </c>
      <c r="AG18" s="72">
        <f t="shared" si="16"/>
        <v>0.9884210526315742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2294</v>
      </c>
      <c r="H19" s="78">
        <f t="shared" ref="H19:H20" si="21">F19*G19</f>
        <v>115594.66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7"/>
        <v>181.81818181818181</v>
      </c>
      <c r="M19" s="148">
        <v>11</v>
      </c>
      <c r="N19" s="95">
        <f t="shared" si="18"/>
        <v>1742.2784810126607</v>
      </c>
      <c r="O19" s="96">
        <f t="shared" si="20"/>
        <v>158.38895281933279</v>
      </c>
      <c r="P19" s="97">
        <f t="shared" si="12"/>
        <v>0</v>
      </c>
      <c r="Q19" s="98">
        <f t="shared" si="13"/>
        <v>-23.429228998849027</v>
      </c>
      <c r="R19" s="99">
        <f t="shared" si="14"/>
        <v>0.8711392405063304</v>
      </c>
      <c r="S19" s="418"/>
      <c r="T19" s="19">
        <v>0.54166666666666696</v>
      </c>
      <c r="U19" s="19">
        <v>0.59652777777777799</v>
      </c>
      <c r="V19" s="30">
        <f>(T19-U18)*24*60</f>
        <v>91.000000000000711</v>
      </c>
      <c r="W19" s="149">
        <f t="shared" si="19"/>
        <v>78.999999999999886</v>
      </c>
      <c r="X19" s="22">
        <v>0.48611111111111099</v>
      </c>
      <c r="Y19" s="84">
        <v>0.52777777777777801</v>
      </c>
      <c r="Z19" s="90"/>
      <c r="AA19" s="90"/>
      <c r="AB19" s="407"/>
      <c r="AC19" s="407"/>
      <c r="AD19" s="149"/>
      <c r="AE19" s="149"/>
      <c r="AF19" s="307">
        <f t="shared" si="15"/>
        <v>-257.72151898733932</v>
      </c>
      <c r="AG19" s="72">
        <f t="shared" si="16"/>
        <v>0.87113924050633029</v>
      </c>
      <c r="AH19" s="405"/>
    </row>
    <row r="20" spans="1:34" ht="15" customHeight="1">
      <c r="A20" s="414"/>
      <c r="B20" s="75" t="s">
        <v>123</v>
      </c>
      <c r="C20" s="76"/>
      <c r="D20" s="59" t="s">
        <v>127</v>
      </c>
      <c r="E20" s="77"/>
      <c r="F20" s="75">
        <f>VLOOKUP(D20,廠價表!$C$1:$E$41,3,0)</f>
        <v>49.91</v>
      </c>
      <c r="G20" s="147">
        <v>537</v>
      </c>
      <c r="H20" s="78">
        <f t="shared" si="21"/>
        <v>26801.67</v>
      </c>
      <c r="I20" s="30"/>
      <c r="J20" s="79">
        <f>VLOOKUP(D20,產線配置圖!$A$3:$C$39,2,0)</f>
        <v>17</v>
      </c>
      <c r="K20" s="80">
        <f>VLOOKUP(D20,產線配置圖!$A$3:$C$39,3,0)</f>
        <v>1565</v>
      </c>
      <c r="L20" s="81">
        <f t="shared" si="17"/>
        <v>92.058823529411768</v>
      </c>
      <c r="M20" s="148">
        <v>11</v>
      </c>
      <c r="N20" s="95">
        <f t="shared" si="18"/>
        <v>657.55102040815916</v>
      </c>
      <c r="O20" s="96">
        <f t="shared" si="20"/>
        <v>59.777365491650833</v>
      </c>
      <c r="P20" s="97">
        <f t="shared" si="12"/>
        <v>-6</v>
      </c>
      <c r="Q20" s="98">
        <f t="shared" si="13"/>
        <v>-32.281458037760935</v>
      </c>
      <c r="R20" s="99">
        <f t="shared" si="14"/>
        <v>0.64933879447799625</v>
      </c>
      <c r="S20" s="418"/>
      <c r="T20" s="19">
        <v>0.61527777777777803</v>
      </c>
      <c r="U20" s="19">
        <v>0.64930555555555602</v>
      </c>
      <c r="V20" s="30">
        <f>(T20-U19)*24*60</f>
        <v>27.000000000000064</v>
      </c>
      <c r="W20" s="149">
        <f t="shared" si="19"/>
        <v>49.000000000000306</v>
      </c>
      <c r="X20" s="19"/>
      <c r="Y20" s="297"/>
      <c r="Z20" s="90"/>
      <c r="AA20" s="90"/>
      <c r="AB20" s="395" t="s">
        <v>181</v>
      </c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50"/>
      <c r="U21" s="150"/>
      <c r="V21" s="30"/>
      <c r="W21" s="149">
        <f t="shared" si="19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9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22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9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22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9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3">AVERAGE(J16:J25)</f>
        <v>12.6</v>
      </c>
      <c r="K26" s="155">
        <f t="shared" si="23"/>
        <v>1934</v>
      </c>
      <c r="L26" s="158">
        <f t="shared" si="23"/>
        <v>159.55570409982175</v>
      </c>
      <c r="M26" s="155">
        <f t="shared" si="23"/>
        <v>11.4</v>
      </c>
      <c r="N26" s="155">
        <f t="shared" si="23"/>
        <v>1604.9268679206398</v>
      </c>
      <c r="O26" s="158">
        <f t="shared" si="23"/>
        <v>140.37522627624114</v>
      </c>
      <c r="P26" s="159">
        <f t="shared" ref="P26:P31" si="24">M26-J26</f>
        <v>-1.1999999999999993</v>
      </c>
      <c r="Q26" s="160">
        <f t="shared" ref="Q26:Q31" si="25">O26-L26</f>
        <v>-19.180477823580617</v>
      </c>
      <c r="R26" s="161">
        <f>O26/L26</f>
        <v>0.87978820355064924</v>
      </c>
      <c r="S26" s="419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9</v>
      </c>
      <c r="AB26" s="412"/>
      <c r="AC26" s="412"/>
      <c r="AD26" s="323">
        <f>SUM(AD16:AD25)</f>
        <v>1</v>
      </c>
      <c r="AE26" s="323">
        <f>SUM(AE16:AE25)</f>
        <v>1</v>
      </c>
      <c r="AF26" s="309">
        <f t="shared" ref="AF26:AF31" si="26">N26-K26</f>
        <v>-329.07313207936022</v>
      </c>
      <c r="AG26" s="124">
        <f t="shared" ref="AG26:AG31" si="27">N26/K26</f>
        <v>0.82984843222370208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1715</v>
      </c>
      <c r="H27" s="134">
        <f>F27*G27</f>
        <v>98269.5</v>
      </c>
      <c r="I27" s="135"/>
      <c r="J27" s="136">
        <v>15</v>
      </c>
      <c r="K27" s="137">
        <f>VLOOKUP(D27,產線配置圖!$A$3:$C$39,3,0)</f>
        <v>1500</v>
      </c>
      <c r="L27" s="138">
        <f t="shared" ref="L27:L31" si="28">K27/J27</f>
        <v>100</v>
      </c>
      <c r="M27" s="170">
        <v>14</v>
      </c>
      <c r="N27" s="140">
        <f>G27/W27*60</f>
        <v>1390.5405405405379</v>
      </c>
      <c r="O27" s="141">
        <f>N27/M27</f>
        <v>99.324324324324138</v>
      </c>
      <c r="P27" s="142">
        <f t="shared" si="24"/>
        <v>-1</v>
      </c>
      <c r="Q27" s="143">
        <f t="shared" si="25"/>
        <v>-0.67567567567586195</v>
      </c>
      <c r="R27" s="144">
        <f>O27/L27</f>
        <v>0.99324324324324142</v>
      </c>
      <c r="S27" s="417">
        <f>R37</f>
        <v>0.9045054277661726</v>
      </c>
      <c r="T27" s="171">
        <v>0.29166666666666702</v>
      </c>
      <c r="U27" s="171">
        <v>0.343055555555556</v>
      </c>
      <c r="V27" s="135"/>
      <c r="W27" s="146">
        <f t="shared" si="19"/>
        <v>74.000000000000142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6"/>
        <v>-109.4594594594621</v>
      </c>
      <c r="AG27" s="172">
        <f t="shared" si="27"/>
        <v>0.92702702702702522</v>
      </c>
      <c r="AH27" s="403">
        <f>AG37</f>
        <v>0.76593392403231231</v>
      </c>
    </row>
    <row r="28" spans="1:34" ht="15" customHeight="1">
      <c r="A28" s="430"/>
      <c r="B28" s="75" t="s">
        <v>81</v>
      </c>
      <c r="C28" s="173"/>
      <c r="D28" s="59" t="s">
        <v>122</v>
      </c>
      <c r="E28" s="104"/>
      <c r="F28" s="75">
        <f>VLOOKUP(D28,廠價表!$C$1:$E$41,3,0)</f>
        <v>55.13</v>
      </c>
      <c r="G28" s="90">
        <v>1566</v>
      </c>
      <c r="H28" s="91">
        <f>F28*G28</f>
        <v>86333.58</v>
      </c>
      <c r="I28" s="92"/>
      <c r="J28" s="79">
        <v>15</v>
      </c>
      <c r="K28" s="80">
        <f>VLOOKUP(D28,產線配置圖!$A$3:$C$39,3,0)</f>
        <v>1385</v>
      </c>
      <c r="L28" s="93">
        <f t="shared" si="28"/>
        <v>92.333333333333329</v>
      </c>
      <c r="M28" s="94">
        <v>12</v>
      </c>
      <c r="N28" s="95">
        <f>G28/W28*60</f>
        <v>999.57446808511838</v>
      </c>
      <c r="O28" s="96">
        <f>N28/M28</f>
        <v>83.297872340426537</v>
      </c>
      <c r="P28" s="97">
        <f t="shared" si="24"/>
        <v>-3</v>
      </c>
      <c r="Q28" s="98">
        <f t="shared" si="25"/>
        <v>-9.0354609929067919</v>
      </c>
      <c r="R28" s="99">
        <f t="shared" ref="R28:R31" si="29">O28/L28</f>
        <v>0.90214302173747152</v>
      </c>
      <c r="S28" s="418"/>
      <c r="T28" s="19">
        <v>0.34791666666666698</v>
      </c>
      <c r="U28" s="19">
        <v>0.41319444444444398</v>
      </c>
      <c r="V28" s="92">
        <f>(T28-U27)*24*60</f>
        <v>6.9999999999998153</v>
      </c>
      <c r="W28" s="149">
        <f t="shared" si="19"/>
        <v>93.999999999998863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6"/>
        <v>-385.42553191488162</v>
      </c>
      <c r="AG28" s="99">
        <f t="shared" si="27"/>
        <v>0.72171441738997721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1115</v>
      </c>
      <c r="H29" s="91">
        <f>F29*G29</f>
        <v>55214.8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8"/>
        <v>96</v>
      </c>
      <c r="M29" s="94">
        <v>12</v>
      </c>
      <c r="N29" s="95">
        <f>G29/W29*60</f>
        <v>983.82352941176941</v>
      </c>
      <c r="O29" s="96">
        <f>N29/M29</f>
        <v>81.985294117647456</v>
      </c>
      <c r="P29" s="97">
        <f t="shared" si="24"/>
        <v>-3</v>
      </c>
      <c r="Q29" s="98">
        <f t="shared" si="25"/>
        <v>-14.014705882352544</v>
      </c>
      <c r="R29" s="99">
        <f t="shared" si="29"/>
        <v>0.85401348039216096</v>
      </c>
      <c r="S29" s="418"/>
      <c r="T29" s="19">
        <v>0.41875000000000001</v>
      </c>
      <c r="U29" s="19">
        <v>0.46597222222222201</v>
      </c>
      <c r="V29" s="92">
        <f>(T29-U28)*24*60</f>
        <v>8.000000000000691</v>
      </c>
      <c r="W29" s="149">
        <f t="shared" si="19"/>
        <v>67.999999999999673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6"/>
        <v>-456.17647058823059</v>
      </c>
      <c r="AG29" s="99">
        <f t="shared" si="27"/>
        <v>0.68321078431372873</v>
      </c>
      <c r="AH29" s="432"/>
    </row>
    <row r="30" spans="1:34" ht="15" customHeight="1">
      <c r="A30" s="430"/>
      <c r="B30" s="75" t="s">
        <v>123</v>
      </c>
      <c r="C30" s="88"/>
      <c r="D30" s="59" t="s">
        <v>124</v>
      </c>
      <c r="E30" s="89"/>
      <c r="F30" s="75">
        <f>VLOOKUP(D30,廠價表!$C$1:$E$41,3,0)</f>
        <v>49.52</v>
      </c>
      <c r="G30" s="90">
        <v>900</v>
      </c>
      <c r="H30" s="91">
        <f t="shared" ref="H30:H31" si="30">F30*G30</f>
        <v>44568</v>
      </c>
      <c r="I30" s="92"/>
      <c r="J30" s="79">
        <f>VLOOKUP(D30,產線配置圖!$A$3:$C$39,2,0)</f>
        <v>15</v>
      </c>
      <c r="K30" s="80">
        <f>VLOOKUP(D30,產線配置圖!$A$3:$C$39,3,0)</f>
        <v>1440</v>
      </c>
      <c r="L30" s="93">
        <f t="shared" si="28"/>
        <v>96</v>
      </c>
      <c r="M30" s="94">
        <v>12</v>
      </c>
      <c r="N30" s="95">
        <f t="shared" ref="N30:N31" si="31">G30/W30*60</f>
        <v>1000.0000000000005</v>
      </c>
      <c r="O30" s="96">
        <f t="shared" ref="O30:O31" si="32">N30/M30</f>
        <v>83.333333333333371</v>
      </c>
      <c r="P30" s="97">
        <f t="shared" si="24"/>
        <v>-3</v>
      </c>
      <c r="Q30" s="98">
        <f t="shared" si="25"/>
        <v>-12.666666666666629</v>
      </c>
      <c r="R30" s="99">
        <f t="shared" si="29"/>
        <v>0.86805555555555591</v>
      </c>
      <c r="S30" s="418"/>
      <c r="T30" s="19">
        <v>0.52638888888888902</v>
      </c>
      <c r="U30" s="19">
        <v>0.56388888888888899</v>
      </c>
      <c r="V30" s="92">
        <f>(T30-U29)*24*60</f>
        <v>87.000000000000483</v>
      </c>
      <c r="W30" s="149">
        <f t="shared" si="19"/>
        <v>53.999999999999972</v>
      </c>
      <c r="X30" s="174">
        <v>0.47916666666666702</v>
      </c>
      <c r="Y30" s="301">
        <v>0.52083333333333304</v>
      </c>
      <c r="Z30" s="335"/>
      <c r="AA30" s="335"/>
      <c r="AB30" s="395"/>
      <c r="AC30" s="395"/>
      <c r="AD30" s="92"/>
      <c r="AE30" s="92"/>
      <c r="AF30" s="312">
        <f t="shared" si="26"/>
        <v>-439.99999999999955</v>
      </c>
      <c r="AG30" s="99">
        <f t="shared" si="27"/>
        <v>0.69444444444444475</v>
      </c>
      <c r="AH30" s="433"/>
    </row>
    <row r="31" spans="1:34" ht="15" customHeight="1">
      <c r="A31" s="430"/>
      <c r="B31" s="75" t="s">
        <v>123</v>
      </c>
      <c r="C31" s="88"/>
      <c r="D31" s="59" t="s">
        <v>128</v>
      </c>
      <c r="E31" s="89"/>
      <c r="F31" s="75">
        <f>VLOOKUP(D31,廠價表!$C$1:$E$41,3,0)</f>
        <v>44.3</v>
      </c>
      <c r="G31" s="90">
        <v>2232</v>
      </c>
      <c r="H31" s="91">
        <f t="shared" si="30"/>
        <v>98877.599999999991</v>
      </c>
      <c r="I31" s="92"/>
      <c r="J31" s="79">
        <f>VLOOKUP(D31,產線配置圖!$A$3:$C$39,2,0)</f>
        <v>17</v>
      </c>
      <c r="K31" s="80">
        <f>VLOOKUP(D31,產線配置圖!$A$3:$C$39,3,0)</f>
        <v>1440</v>
      </c>
      <c r="L31" s="93">
        <f t="shared" si="28"/>
        <v>84.705882352941174</v>
      </c>
      <c r="M31" s="94">
        <v>15</v>
      </c>
      <c r="N31" s="95">
        <f t="shared" si="31"/>
        <v>1144.6153846153838</v>
      </c>
      <c r="O31" s="96">
        <f t="shared" si="32"/>
        <v>76.30769230769225</v>
      </c>
      <c r="P31" s="97">
        <f t="shared" si="24"/>
        <v>-2</v>
      </c>
      <c r="Q31" s="98">
        <f t="shared" si="25"/>
        <v>-8.3981900452489242</v>
      </c>
      <c r="R31" s="99">
        <f t="shared" si="29"/>
        <v>0.90085470085470021</v>
      </c>
      <c r="S31" s="418"/>
      <c r="T31" s="19">
        <v>0.57152777777777797</v>
      </c>
      <c r="U31" s="19">
        <v>0.65277777777777801</v>
      </c>
      <c r="V31" s="92">
        <f>(T31-U30)*24*60</f>
        <v>11.000000000000121</v>
      </c>
      <c r="W31" s="149">
        <f t="shared" si="19"/>
        <v>117.00000000000006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6"/>
        <v>-295.38461538461615</v>
      </c>
      <c r="AG31" s="99">
        <f t="shared" si="27"/>
        <v>0.79487179487179438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50"/>
      <c r="U32" s="150"/>
      <c r="V32" s="92"/>
      <c r="W32" s="149">
        <f t="shared" si="19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9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9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9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33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9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4">AVERAGE(J27:J36)</f>
        <v>15.4</v>
      </c>
      <c r="K37" s="155">
        <f t="shared" si="34"/>
        <v>1441</v>
      </c>
      <c r="L37" s="158">
        <f t="shared" si="34"/>
        <v>93.807843137254892</v>
      </c>
      <c r="M37" s="155">
        <f t="shared" si="34"/>
        <v>13</v>
      </c>
      <c r="N37" s="155">
        <f t="shared" si="34"/>
        <v>1103.710784530562</v>
      </c>
      <c r="O37" s="158">
        <f t="shared" si="34"/>
        <v>84.84970328468475</v>
      </c>
      <c r="P37" s="159">
        <f>M37-J37</f>
        <v>-2.4000000000000004</v>
      </c>
      <c r="Q37" s="160">
        <f>N37-K37</f>
        <v>-337.28921546943798</v>
      </c>
      <c r="R37" s="161">
        <f t="shared" ref="R37:R40" si="35">O37/L37</f>
        <v>0.9045054277661726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6">N37-K37</f>
        <v>-337.28921546943798</v>
      </c>
      <c r="AG37" s="124">
        <f t="shared" ref="AG37:AG41" si="37">N37/K37</f>
        <v>0.76593392403231231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1271</v>
      </c>
      <c r="H38" s="134">
        <f>F38*G38</f>
        <v>71722.53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38">K38/J38</f>
        <v>87.875</v>
      </c>
      <c r="M38" s="190">
        <v>14</v>
      </c>
      <c r="N38" s="140">
        <f>G38/W38*60</f>
        <v>1089.4285714285741</v>
      </c>
      <c r="O38" s="141">
        <f>N38/M38</f>
        <v>77.816326530612429</v>
      </c>
      <c r="P38" s="142">
        <f t="shared" ref="P38:P40" si="39">M38-J38</f>
        <v>-2</v>
      </c>
      <c r="Q38" s="143">
        <f t="shared" ref="Q38:Q40" si="40">O38-L38</f>
        <v>-10.058673469387571</v>
      </c>
      <c r="R38" s="144">
        <f>O38/L38</f>
        <v>0.88553429906813574</v>
      </c>
      <c r="S38" s="437">
        <f>R48</f>
        <v>0.94042046667714252</v>
      </c>
      <c r="T38" s="191">
        <v>0.33333333333333298</v>
      </c>
      <c r="U38" s="191">
        <v>0.38194444444444398</v>
      </c>
      <c r="V38" s="192"/>
      <c r="W38" s="193">
        <f t="shared" si="19"/>
        <v>69.999999999999829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6"/>
        <v>-316.57142857142594</v>
      </c>
      <c r="AG38" s="195">
        <f t="shared" si="37"/>
        <v>0.77484251168461882</v>
      </c>
      <c r="AH38" s="443">
        <f>AG48</f>
        <v>0.99310554515629679</v>
      </c>
    </row>
    <row r="39" spans="1:34" ht="15" customHeight="1">
      <c r="A39" s="435"/>
      <c r="B39" s="75" t="s">
        <v>81</v>
      </c>
      <c r="C39" s="197"/>
      <c r="D39" s="198" t="s">
        <v>136</v>
      </c>
      <c r="E39" s="176"/>
      <c r="F39" s="75">
        <f>VLOOKUP(D39,廠價表!$C$1:$E$41,3,0)</f>
        <v>50.67</v>
      </c>
      <c r="G39" s="199">
        <v>2484</v>
      </c>
      <c r="H39" s="91">
        <f>F39*G39</f>
        <v>125864.28</v>
      </c>
      <c r="I39" s="200"/>
      <c r="J39" s="148">
        <f>VLOOKUP(D39,產線配置圖!$A$3:$C$39,2,0)</f>
        <v>10</v>
      </c>
      <c r="K39" s="95">
        <f>VLOOKUP(D39,產線配置圖!$A$3:$C$39,3,0)</f>
        <v>1125</v>
      </c>
      <c r="L39" s="96">
        <f t="shared" si="38"/>
        <v>112.5</v>
      </c>
      <c r="M39" s="201">
        <v>15</v>
      </c>
      <c r="N39" s="202">
        <f>G39/W39*60</f>
        <v>1619.9999999999973</v>
      </c>
      <c r="O39" s="203">
        <f t="shared" ref="O39:O40" si="41">N39/M39</f>
        <v>107.99999999999982</v>
      </c>
      <c r="P39" s="97">
        <f t="shared" si="39"/>
        <v>5</v>
      </c>
      <c r="Q39" s="98">
        <f t="shared" si="40"/>
        <v>-4.5000000000001847</v>
      </c>
      <c r="R39" s="99">
        <f t="shared" si="35"/>
        <v>0.95999999999999841</v>
      </c>
      <c r="S39" s="438"/>
      <c r="T39" s="20">
        <v>0.38888888888888901</v>
      </c>
      <c r="U39" s="20">
        <v>0.452777777777778</v>
      </c>
      <c r="V39" s="92">
        <f>(T39-U38)*24*60</f>
        <v>10.000000000000844</v>
      </c>
      <c r="W39" s="205">
        <f t="shared" si="19"/>
        <v>92.000000000000156</v>
      </c>
      <c r="X39" s="22"/>
      <c r="Y39" s="84"/>
      <c r="Z39" s="90"/>
      <c r="AA39" s="90"/>
      <c r="AB39" s="446" t="s">
        <v>182</v>
      </c>
      <c r="AC39" s="446"/>
      <c r="AD39" s="200"/>
      <c r="AE39" s="200"/>
      <c r="AF39" s="314">
        <f t="shared" si="36"/>
        <v>494.99999999999727</v>
      </c>
      <c r="AG39" s="206">
        <f t="shared" si="37"/>
        <v>1.4399999999999975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1913</v>
      </c>
      <c r="H40" s="91">
        <f>F40*G40</f>
        <v>84745.9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8"/>
        <v>84.705882352941174</v>
      </c>
      <c r="M40" s="201">
        <v>15</v>
      </c>
      <c r="N40" s="202">
        <f>G40/W40*60</f>
        <v>1234.1935483870832</v>
      </c>
      <c r="O40" s="203">
        <f t="shared" si="41"/>
        <v>82.27956989247221</v>
      </c>
      <c r="P40" s="97">
        <f t="shared" si="39"/>
        <v>-2</v>
      </c>
      <c r="Q40" s="98">
        <f t="shared" si="40"/>
        <v>-2.4263124604689636</v>
      </c>
      <c r="R40" s="99">
        <f t="shared" si="35"/>
        <v>0.97135603345279697</v>
      </c>
      <c r="S40" s="425"/>
      <c r="T40" s="20">
        <v>0.45833333333333298</v>
      </c>
      <c r="U40" s="210">
        <v>0.52291666666666703</v>
      </c>
      <c r="V40" s="92">
        <f>(T40-U39)*24*60</f>
        <v>7.9999999999991722</v>
      </c>
      <c r="W40" s="205">
        <f t="shared" si="19"/>
        <v>93.000000000001023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6"/>
        <v>-205.80645161291682</v>
      </c>
      <c r="AG40" s="206">
        <f t="shared" si="37"/>
        <v>0.8570788530465856</v>
      </c>
      <c r="AH40" s="444"/>
    </row>
    <row r="41" spans="1:34" ht="15" customHeight="1">
      <c r="A41" s="43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5"/>
      <c r="T41" s="20"/>
      <c r="U41" s="210"/>
      <c r="V41" s="92"/>
      <c r="W41" s="205">
        <f t="shared" si="19"/>
        <v>0</v>
      </c>
      <c r="X41" s="208"/>
      <c r="Y41" s="209"/>
      <c r="Z41" s="337"/>
      <c r="AA41" s="337"/>
      <c r="AB41" s="395"/>
      <c r="AC41" s="395"/>
      <c r="AD41" s="92"/>
      <c r="AE41" s="92"/>
      <c r="AF41" s="314">
        <f t="shared" si="36"/>
        <v>0</v>
      </c>
      <c r="AG41" s="206" t="e">
        <f t="shared" si="37"/>
        <v>#DIV/0!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9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42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42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42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33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42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43">AVERAGE(J38:J47)</f>
        <v>14.333333333333334</v>
      </c>
      <c r="K48" s="155">
        <f t="shared" si="43"/>
        <v>1323.6666666666667</v>
      </c>
      <c r="L48" s="158">
        <f t="shared" si="43"/>
        <v>95.026960784313715</v>
      </c>
      <c r="M48" s="155">
        <f t="shared" si="43"/>
        <v>14.666666666666666</v>
      </c>
      <c r="N48" s="155">
        <f t="shared" si="43"/>
        <v>1314.5407066052182</v>
      </c>
      <c r="O48" s="158">
        <f t="shared" si="43"/>
        <v>89.365298807694828</v>
      </c>
      <c r="P48" s="221">
        <f>M48-J48</f>
        <v>0.33333333333333215</v>
      </c>
      <c r="Q48" s="222">
        <f>N48-K48</f>
        <v>-9.1259600614484953</v>
      </c>
      <c r="R48" s="223">
        <f>O48/L48</f>
        <v>0.94042046667714252</v>
      </c>
      <c r="S48" s="428"/>
      <c r="T48" s="224"/>
      <c r="U48" s="224"/>
      <c r="V48" s="225"/>
      <c r="W48" s="226">
        <f t="shared" si="42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44">N48-K48</f>
        <v>-9.1259600614484953</v>
      </c>
      <c r="AG48" s="162">
        <f t="shared" ref="AG48:AG53" si="45">N48/K48</f>
        <v>0.99310554515629679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1101</v>
      </c>
      <c r="H49" s="134">
        <f>F49*G49</f>
        <v>62613.869999999995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3" si="46">K49/J49</f>
        <v>86.944444444444443</v>
      </c>
      <c r="M49" s="170">
        <v>18</v>
      </c>
      <c r="N49" s="140">
        <f>G49/W49*60</f>
        <v>1405.5319148936123</v>
      </c>
      <c r="O49" s="141">
        <f>N49/M49</f>
        <v>78.085106382978466</v>
      </c>
      <c r="P49" s="229">
        <f>M49-J49</f>
        <v>0</v>
      </c>
      <c r="Q49" s="230">
        <f>O49-L49</f>
        <v>-8.8593380614659765</v>
      </c>
      <c r="R49" s="52">
        <f>O49/L49</f>
        <v>0.89810345999591845</v>
      </c>
      <c r="S49" s="424">
        <f>R58</f>
        <v>0.96059373951914961</v>
      </c>
      <c r="T49" s="191">
        <v>0.29166666666666702</v>
      </c>
      <c r="U49" s="191">
        <v>0.32430555555555601</v>
      </c>
      <c r="V49" s="55"/>
      <c r="W49" s="193">
        <f t="shared" si="19"/>
        <v>47.000000000000156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44"/>
        <v>-159.46808510638766</v>
      </c>
      <c r="AG49" s="52">
        <f t="shared" si="45"/>
        <v>0.89810345999591845</v>
      </c>
      <c r="AH49" s="403">
        <f>AG58</f>
        <v>0.95979543492719877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2308</v>
      </c>
      <c r="H50" s="231">
        <f>F50*G50</f>
        <v>110114.68000000001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6"/>
        <v>90</v>
      </c>
      <c r="M50" s="233">
        <v>16</v>
      </c>
      <c r="N50" s="234">
        <f>G50/W50*60</f>
        <v>1427.6288659793843</v>
      </c>
      <c r="O50" s="235">
        <f>N50/M50</f>
        <v>89.226804123711517</v>
      </c>
      <c r="P50" s="74">
        <f>M50-J50</f>
        <v>0</v>
      </c>
      <c r="Q50" s="83">
        <f>O50-L50</f>
        <v>-0.77319587628848296</v>
      </c>
      <c r="R50" s="72">
        <f>O50/L50</f>
        <v>0.9914089347079057</v>
      </c>
      <c r="S50" s="425"/>
      <c r="T50" s="21">
        <v>0.32986111111111099</v>
      </c>
      <c r="U50" s="21">
        <v>0.39722222222222198</v>
      </c>
      <c r="V50" s="30">
        <f t="shared" ref="V50:V53" si="47">(T50-U49)*24*60</f>
        <v>7.9999999999991722</v>
      </c>
      <c r="W50" s="236">
        <f t="shared" si="19"/>
        <v>96.999999999999815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4"/>
        <v>-12.371134020615727</v>
      </c>
      <c r="AG50" s="72">
        <f t="shared" si="45"/>
        <v>0.9914089347079057</v>
      </c>
      <c r="AH50" s="404"/>
    </row>
    <row r="51" spans="1:34" ht="15" customHeight="1">
      <c r="A51" s="453"/>
      <c r="B51" s="75" t="s">
        <v>123</v>
      </c>
      <c r="C51" s="76"/>
      <c r="D51" s="59" t="s">
        <v>127</v>
      </c>
      <c r="E51" s="77"/>
      <c r="F51" s="75">
        <f>VLOOKUP(D51,廠價表!$C$1:$E$41,3,0)</f>
        <v>49.91</v>
      </c>
      <c r="G51" s="202">
        <v>1464</v>
      </c>
      <c r="H51" s="231">
        <f>F51*G51</f>
        <v>73068.239999999991</v>
      </c>
      <c r="I51" s="232"/>
      <c r="J51" s="79">
        <f>VLOOKUP(D51,產線配置圖!$A$3:$C$39,2,0)</f>
        <v>17</v>
      </c>
      <c r="K51" s="80">
        <f>VLOOKUP(D51,產線配置圖!$A$3:$C$39,3,0)</f>
        <v>1565</v>
      </c>
      <c r="L51" s="81">
        <f t="shared" si="46"/>
        <v>92.058823529411768</v>
      </c>
      <c r="M51" s="233">
        <v>17</v>
      </c>
      <c r="N51" s="234">
        <f>G51/W51*60</f>
        <v>1514.4827586206825</v>
      </c>
      <c r="O51" s="235">
        <f>N51/M51</f>
        <v>89.087221095334257</v>
      </c>
      <c r="P51" s="74">
        <f>M51-J51</f>
        <v>0</v>
      </c>
      <c r="Q51" s="83">
        <f>O51-L51</f>
        <v>-2.9716024340775107</v>
      </c>
      <c r="R51" s="72">
        <f>O51/L51</f>
        <v>0.96772061253717723</v>
      </c>
      <c r="S51" s="425"/>
      <c r="T51" s="21">
        <v>0.40208333333333302</v>
      </c>
      <c r="U51" s="19">
        <v>0.44236111111111098</v>
      </c>
      <c r="V51" s="30">
        <f t="shared" si="47"/>
        <v>6.9999999999998952</v>
      </c>
      <c r="W51" s="236">
        <f t="shared" si="19"/>
        <v>58.00000000000027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44"/>
        <v>-50.517241379317511</v>
      </c>
      <c r="AG51" s="72">
        <f t="shared" si="45"/>
        <v>0.96772061253717734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1941</v>
      </c>
      <c r="H52" s="231">
        <f t="shared" ref="H52:H53" si="48">F52*G52</f>
        <v>96991.77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6"/>
        <v>88.888888888888886</v>
      </c>
      <c r="M52" s="233">
        <v>18</v>
      </c>
      <c r="N52" s="234">
        <f t="shared" ref="N52:N53" si="49">G52/W52*60</f>
        <v>1573.7837837837808</v>
      </c>
      <c r="O52" s="235">
        <f t="shared" ref="O52:O53" si="50">N52/M52</f>
        <v>87.432432432432265</v>
      </c>
      <c r="P52" s="74">
        <f t="shared" ref="P52:P53" si="51">M52-J52</f>
        <v>0</v>
      </c>
      <c r="Q52" s="83">
        <f t="shared" ref="Q52:Q53" si="52">O52-L52</f>
        <v>-1.4564564564566211</v>
      </c>
      <c r="R52" s="72">
        <f t="shared" ref="R52:R53" si="53">O52/L52</f>
        <v>0.98361486486486305</v>
      </c>
      <c r="S52" s="425"/>
      <c r="T52" s="21">
        <v>0.44861111111111102</v>
      </c>
      <c r="U52" s="21">
        <v>0.5</v>
      </c>
      <c r="V52" s="30">
        <f t="shared" si="47"/>
        <v>9.000000000000048</v>
      </c>
      <c r="W52" s="236">
        <f t="shared" si="19"/>
        <v>74.000000000000142</v>
      </c>
      <c r="X52" s="22"/>
      <c r="Y52" s="84"/>
      <c r="Z52" s="90"/>
      <c r="AA52" s="90"/>
      <c r="AB52" s="395"/>
      <c r="AC52" s="395"/>
      <c r="AD52" s="92"/>
      <c r="AE52" s="92"/>
      <c r="AF52" s="307">
        <f t="shared" si="44"/>
        <v>-26.216216216219209</v>
      </c>
      <c r="AG52" s="72">
        <f t="shared" si="45"/>
        <v>0.98361486486486305</v>
      </c>
      <c r="AH52" s="404"/>
    </row>
    <row r="53" spans="1:34" ht="15" customHeight="1">
      <c r="A53" s="453"/>
      <c r="B53" s="101" t="s">
        <v>81</v>
      </c>
      <c r="C53" s="102"/>
      <c r="D53" s="103" t="s">
        <v>131</v>
      </c>
      <c r="E53" s="104"/>
      <c r="F53" s="75">
        <f>VLOOKUP(D53,廠價表!$C$1:$E$41,3,0)</f>
        <v>49.97</v>
      </c>
      <c r="G53" s="202">
        <v>3354</v>
      </c>
      <c r="H53" s="231">
        <f t="shared" si="48"/>
        <v>167599.38</v>
      </c>
      <c r="I53" s="232"/>
      <c r="J53" s="79">
        <f>VLOOKUP(D53,產線配置圖!$A$3:$C$39,2,0)</f>
        <v>18</v>
      </c>
      <c r="K53" s="80">
        <f>VLOOKUP(D53,產線配置圖!$A$3:$C$39,3,0)</f>
        <v>1600</v>
      </c>
      <c r="L53" s="81">
        <f t="shared" si="46"/>
        <v>88.888888888888886</v>
      </c>
      <c r="M53" s="108">
        <v>18</v>
      </c>
      <c r="N53" s="234">
        <f t="shared" si="49"/>
        <v>1536.1832061068737</v>
      </c>
      <c r="O53" s="235">
        <f t="shared" si="50"/>
        <v>85.343511450381868</v>
      </c>
      <c r="P53" s="74">
        <f t="shared" si="51"/>
        <v>0</v>
      </c>
      <c r="Q53" s="83">
        <f t="shared" si="52"/>
        <v>-3.5453774385070176</v>
      </c>
      <c r="R53" s="72">
        <f t="shared" si="53"/>
        <v>0.96011450381679608</v>
      </c>
      <c r="S53" s="425"/>
      <c r="T53" s="21">
        <v>0.55902777777777801</v>
      </c>
      <c r="U53" s="21">
        <v>0.65</v>
      </c>
      <c r="V53" s="30">
        <f t="shared" si="47"/>
        <v>85.000000000000341</v>
      </c>
      <c r="W53" s="236">
        <f t="shared" si="19"/>
        <v>130.99999999999969</v>
      </c>
      <c r="X53" s="22">
        <v>0.50694444444444398</v>
      </c>
      <c r="Y53" s="84">
        <v>0.54861111111111105</v>
      </c>
      <c r="Z53" s="90"/>
      <c r="AA53" s="90"/>
      <c r="AB53" s="395"/>
      <c r="AC53" s="395"/>
      <c r="AD53" s="92"/>
      <c r="AE53" s="92"/>
      <c r="AF53" s="307">
        <f t="shared" si="44"/>
        <v>-63.81679389312626</v>
      </c>
      <c r="AG53" s="72">
        <f t="shared" si="45"/>
        <v>0.96011450381679608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9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9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9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9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54">AVERAGE(J49:J57)</f>
        <v>17.399999999999999</v>
      </c>
      <c r="K58" s="120">
        <f t="shared" si="54"/>
        <v>1554</v>
      </c>
      <c r="L58" s="117">
        <f t="shared" si="54"/>
        <v>89.356209150326805</v>
      </c>
      <c r="M58" s="120">
        <f t="shared" si="54"/>
        <v>17.399999999999999</v>
      </c>
      <c r="N58" s="120">
        <f t="shared" si="54"/>
        <v>1491.5221058768668</v>
      </c>
      <c r="O58" s="117">
        <f t="shared" si="54"/>
        <v>85.83501509696768</v>
      </c>
      <c r="P58" s="121">
        <f>M58-J58</f>
        <v>0</v>
      </c>
      <c r="Q58" s="122">
        <f>N58-K58</f>
        <v>-62.477894123133183</v>
      </c>
      <c r="R58" s="123">
        <f t="shared" ref="R58:R60" si="55">O58/L58</f>
        <v>0.96059373951914961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56">N58-K58</f>
        <v>-62.477894123133183</v>
      </c>
      <c r="AG58" s="124">
        <f t="shared" ref="AG58:AG61" si="57">N58/K58</f>
        <v>0.95979543492719877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3118</v>
      </c>
      <c r="H59" s="243">
        <f>F59*G59</f>
        <v>84154.819999999992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58">K59/J59</f>
        <v>120.38461538461539</v>
      </c>
      <c r="M59" s="244">
        <v>12</v>
      </c>
      <c r="N59" s="137">
        <f t="shared" ref="N59:N61" si="59">G59/W59*60</f>
        <v>1439.0769230769204</v>
      </c>
      <c r="O59" s="138">
        <f t="shared" ref="O59:O61" si="60">N59/M59</f>
        <v>119.92307692307669</v>
      </c>
      <c r="P59" s="56">
        <f t="shared" ref="P59:P61" si="61">M59-J59</f>
        <v>-1</v>
      </c>
      <c r="Q59" s="230">
        <f t="shared" ref="Q59:Q61" si="62">O59-L59</f>
        <v>-0.46153846153869438</v>
      </c>
      <c r="R59" s="52">
        <f t="shared" si="55"/>
        <v>0.99616613418530153</v>
      </c>
      <c r="S59" s="424">
        <f>R69</f>
        <v>0.93523898669412775</v>
      </c>
      <c r="T59" s="245">
        <v>0.29027777777777802</v>
      </c>
      <c r="U59" s="245">
        <v>0.38055555555555598</v>
      </c>
      <c r="V59" s="55"/>
      <c r="W59" s="54">
        <f t="shared" si="19"/>
        <v>130.00000000000026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56"/>
        <v>-125.92307692307963</v>
      </c>
      <c r="AG59" s="246">
        <f t="shared" si="57"/>
        <v>0.9195379700172015</v>
      </c>
      <c r="AH59" s="403">
        <f>AG69</f>
        <v>0.86086301292386536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1354</v>
      </c>
      <c r="H60" s="78">
        <f>F60*G60</f>
        <v>38264.04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8"/>
        <v>130.41666666666666</v>
      </c>
      <c r="M60" s="82">
        <v>11</v>
      </c>
      <c r="N60" s="80">
        <f t="shared" si="59"/>
        <v>1425.2631578947501</v>
      </c>
      <c r="O60" s="81">
        <f t="shared" si="60"/>
        <v>129.56937799043183</v>
      </c>
      <c r="P60" s="74">
        <f t="shared" si="61"/>
        <v>-1</v>
      </c>
      <c r="Q60" s="83">
        <f t="shared" si="62"/>
        <v>-0.84728867623482529</v>
      </c>
      <c r="R60" s="72">
        <f t="shared" si="55"/>
        <v>0.99350321781800777</v>
      </c>
      <c r="S60" s="451"/>
      <c r="T60" s="22">
        <v>0.38750000000000001</v>
      </c>
      <c r="U60" s="22">
        <v>0.42708333333333298</v>
      </c>
      <c r="V60" s="30">
        <f t="shared" ref="V60:V61" si="63">(T60-U59)*24*60</f>
        <v>9.9999999999994049</v>
      </c>
      <c r="W60" s="248">
        <f t="shared" si="19"/>
        <v>56.999999999999474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56"/>
        <v>-139.73684210524993</v>
      </c>
      <c r="AG60" s="249">
        <f t="shared" si="57"/>
        <v>0.91071128299984028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1668</v>
      </c>
      <c r="H61" s="254">
        <f>F61*G61</f>
        <v>47137.68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8"/>
        <v>130.41666666666666</v>
      </c>
      <c r="M61" s="108">
        <v>11</v>
      </c>
      <c r="N61" s="107">
        <f t="shared" si="59"/>
        <v>1177.4117647058774</v>
      </c>
      <c r="O61" s="238">
        <f t="shared" si="60"/>
        <v>107.03743315507977</v>
      </c>
      <c r="P61" s="111">
        <f t="shared" si="61"/>
        <v>-1</v>
      </c>
      <c r="Q61" s="255">
        <f t="shared" si="62"/>
        <v>-23.379233511586889</v>
      </c>
      <c r="R61" s="85">
        <f>O61/L61</f>
        <v>0.8207343117322411</v>
      </c>
      <c r="S61" s="425"/>
      <c r="T61" s="22">
        <v>0.4375</v>
      </c>
      <c r="U61" s="22">
        <v>0.49652777777777801</v>
      </c>
      <c r="V61" s="30">
        <f t="shared" si="63"/>
        <v>15.000000000000506</v>
      </c>
      <c r="W61" s="256">
        <f t="shared" si="19"/>
        <v>85.000000000000341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56"/>
        <v>-387.58823529412257</v>
      </c>
      <c r="AG61" s="247">
        <f t="shared" si="57"/>
        <v>0.75233978575455429</v>
      </c>
      <c r="AH61" s="404"/>
    </row>
    <row r="62" spans="1:34" ht="15" customHeight="1">
      <c r="A62" s="44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5"/>
      <c r="T62" s="22"/>
      <c r="U62" s="22"/>
      <c r="V62" s="30"/>
      <c r="W62" s="248">
        <f t="shared" si="19"/>
        <v>0</v>
      </c>
      <c r="X62" s="22"/>
      <c r="Y62" s="84"/>
      <c r="Z62" s="90"/>
      <c r="AA62" s="90"/>
      <c r="AB62" s="395"/>
      <c r="AC62" s="395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9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9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9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9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9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9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64">AVERAGE(J59:J68)</f>
        <v>12.333333333333334</v>
      </c>
      <c r="K69" s="240">
        <f t="shared" si="64"/>
        <v>1565</v>
      </c>
      <c r="L69" s="268">
        <f t="shared" si="64"/>
        <v>127.07264957264958</v>
      </c>
      <c r="M69" s="240">
        <f t="shared" si="64"/>
        <v>11.333333333333334</v>
      </c>
      <c r="N69" s="240">
        <f t="shared" si="64"/>
        <v>1347.2506152258493</v>
      </c>
      <c r="O69" s="268">
        <f t="shared" si="64"/>
        <v>118.84329602286277</v>
      </c>
      <c r="P69" s="269">
        <f>M69-J69</f>
        <v>-1</v>
      </c>
      <c r="Q69" s="222">
        <f>N69-K69</f>
        <v>-217.74938477415071</v>
      </c>
      <c r="R69" s="123">
        <f>O69/L69</f>
        <v>0.93523898669412775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-217.74938477415071</v>
      </c>
      <c r="AG69" s="124">
        <f>N69/K69</f>
        <v>0.86086301292386536</v>
      </c>
      <c r="AH69" s="406"/>
    </row>
    <row r="70" spans="1:36" ht="15" customHeight="1">
      <c r="A70" s="45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24">
        <f>R79</f>
        <v>0</v>
      </c>
      <c r="T70" s="245"/>
      <c r="U70" s="245"/>
      <c r="V70" s="55"/>
      <c r="W70" s="54">
        <f t="shared" si="19"/>
        <v>0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5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5"/>
      <c r="T71" s="22"/>
      <c r="U71" s="22"/>
      <c r="V71" s="30"/>
      <c r="W71" s="73">
        <f t="shared" si="19"/>
        <v>0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9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9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9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65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9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65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9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65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9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65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9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59:A69"/>
    <mergeCell ref="S59:S69"/>
    <mergeCell ref="AB59:AC59"/>
    <mergeCell ref="D69:E69"/>
    <mergeCell ref="AB69:AC69"/>
    <mergeCell ref="D58:E58"/>
    <mergeCell ref="AB58:AC5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46:AC46"/>
    <mergeCell ref="AB47:AC47"/>
    <mergeCell ref="A27:A37"/>
    <mergeCell ref="S27:S37"/>
    <mergeCell ref="AB27:AC27"/>
    <mergeCell ref="D37:E37"/>
    <mergeCell ref="A38:A48"/>
    <mergeCell ref="S38:S48"/>
    <mergeCell ref="AB38:AC38"/>
    <mergeCell ref="D48:E48"/>
    <mergeCell ref="AB48:AC48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Q3:Q4"/>
    <mergeCell ref="R3:R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G3:AG4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T3:U3"/>
    <mergeCell ref="P3:P4"/>
    <mergeCell ref="V3:V4"/>
    <mergeCell ref="W3:W4"/>
    <mergeCell ref="X3:Y3"/>
    <mergeCell ref="Z3:AA3"/>
    <mergeCell ref="AF1:AH2"/>
    <mergeCell ref="AB1:AC2"/>
    <mergeCell ref="AH3:AH4"/>
    <mergeCell ref="A2:B2"/>
    <mergeCell ref="A3:A4"/>
    <mergeCell ref="B3:B4"/>
    <mergeCell ref="D3:E4"/>
    <mergeCell ref="F3:F4"/>
  </mergeCells>
  <phoneticPr fontId="0" type="noConversion"/>
  <conditionalFormatting sqref="P5:P79">
    <cfRule type="cellIs" dxfId="178" priority="1" operator="greaterThan">
      <formula>0</formula>
    </cfRule>
  </conditionalFormatting>
  <conditionalFormatting sqref="Q5:Q79 AF5:AF79">
    <cfRule type="cellIs" dxfId="177" priority="4" operator="lessThan">
      <formula>0</formula>
    </cfRule>
  </conditionalFormatting>
  <conditionalFormatting sqref="R5:R79 AG5:AG79">
    <cfRule type="cellIs" dxfId="176" priority="2" operator="greaterThan">
      <formula>1</formula>
    </cfRule>
    <cfRule type="cellIs" dxfId="175" priority="3" operator="lessThan">
      <formula>0.8</formula>
    </cfRule>
  </conditionalFormatting>
  <conditionalFormatting sqref="S5:S10 S37:S62 AH59:AH62 S69:S76 AH69:AH76">
    <cfRule type="cellIs" dxfId="174" priority="7" operator="lessThan">
      <formula>0.8</formula>
    </cfRule>
  </conditionalFormatting>
  <conditionalFormatting sqref="S19:S25 AH19:AH25">
    <cfRule type="cellIs" dxfId="173" priority="6" operator="lessThan">
      <formula>0.8</formula>
    </cfRule>
  </conditionalFormatting>
  <conditionalFormatting sqref="S79">
    <cfRule type="cellIs" dxfId="172" priority="5" operator="lessThan">
      <formula>0.8</formula>
    </cfRule>
  </conditionalFormatting>
  <conditionalFormatting sqref="AH5:AH8 S15:S16 AH15:AH16 AH49 AH79">
    <cfRule type="cellIs" dxfId="171" priority="9" operator="lessThan">
      <formula>0.8</formula>
    </cfRule>
  </conditionalFormatting>
  <conditionalFormatting sqref="AH27 S27:S28">
    <cfRule type="cellIs" dxfId="1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84BD6B-0BF4-4237-93C2-B14561B3930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CF10-16B2-4433-861D-3074BD1261D1}">
  <dimension ref="B1:O26"/>
  <sheetViews>
    <sheetView zoomScale="70" zoomScaleNormal="70" workbookViewId="0">
      <selection activeCell="AB52" sqref="AB52:AC5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46068</v>
      </c>
      <c r="E3" s="493"/>
      <c r="F3" s="3" t="s">
        <v>72</v>
      </c>
      <c r="G3" s="494">
        <f>'0215'!E1</f>
        <v>46585</v>
      </c>
      <c r="H3" s="494"/>
      <c r="I3" s="3" t="s">
        <v>2</v>
      </c>
      <c r="J3" s="495">
        <f>'0215'!G1</f>
        <v>2243392.66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118.38013273491215</v>
      </c>
      <c r="G6" s="490"/>
      <c r="H6" s="491">
        <f>AVERAGE(D13:H13,J13)</f>
        <v>116.93137992862258</v>
      </c>
      <c r="I6" s="491"/>
      <c r="J6" s="491">
        <f>AVERAGE(I13)</f>
        <v>127.07264957264958</v>
      </c>
      <c r="K6" s="491"/>
      <c r="L6" s="497">
        <f>SUM(D18:J18)</f>
        <v>3</v>
      </c>
      <c r="M6" s="482">
        <f>SUM(D19:J19)</f>
        <v>53</v>
      </c>
      <c r="N6" s="498">
        <f>SUM(D20:J20)</f>
        <v>1</v>
      </c>
      <c r="O6" s="482">
        <f>SUM(D20:J20)</f>
        <v>1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107.20894358642295</v>
      </c>
      <c r="G7" s="479"/>
      <c r="H7" s="480">
        <f>AVERAGE(D14:H14,J14)</f>
        <v>106.04897546743824</v>
      </c>
      <c r="I7" s="480"/>
      <c r="J7" s="480">
        <f>AVERAGE(I14)</f>
        <v>114.16875230033122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0.90563290570466948</v>
      </c>
      <c r="G8" s="485"/>
      <c r="H8" s="485">
        <f>H7/H6</f>
        <v>0.90693341284583151</v>
      </c>
      <c r="I8" s="485"/>
      <c r="J8" s="485">
        <f>J7/J6</f>
        <v>0.89845259923583332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VALUE('0215'!L15)</f>
        <v>144.15120663650072</v>
      </c>
      <c r="E13" s="13">
        <f>VALUE('0215'!L26)</f>
        <v>176.42992424242425</v>
      </c>
      <c r="F13" s="13">
        <f>VALUE('0215'!L37)</f>
        <v>92.490196078431381</v>
      </c>
      <c r="G13" s="13">
        <f>VALUE('0215'!L48)</f>
        <v>87.336397058823522</v>
      </c>
      <c r="H13" s="13">
        <f>VALUE('0215'!L58)</f>
        <v>88.680555555555571</v>
      </c>
      <c r="I13" s="13">
        <f>VALUE('0215'!L69)</f>
        <v>127.07264957264958</v>
      </c>
      <c r="J13" s="13">
        <f>'0215'!L79</f>
        <v>112.5</v>
      </c>
    </row>
    <row r="14" spans="2:15" ht="39.950000000000003" customHeight="1">
      <c r="B14" s="473"/>
      <c r="C14" s="12" t="s">
        <v>100</v>
      </c>
      <c r="D14" s="13">
        <f>VALUE('0215'!O15)</f>
        <v>123.90441498435234</v>
      </c>
      <c r="E14" s="13">
        <f>VALUE('0215'!O26)</f>
        <v>162.22656408319713</v>
      </c>
      <c r="F14" s="13">
        <f>VALUE('0215'!O37)</f>
        <v>76.42687074829982</v>
      </c>
      <c r="G14" s="13">
        <f>VALUE('0215'!O48)</f>
        <v>84.340761884502513</v>
      </c>
      <c r="H14" s="13">
        <f>VALUE('0215'!O58)</f>
        <v>87.928574437610862</v>
      </c>
      <c r="I14" s="13">
        <f>VALUE('0215'!O69)</f>
        <v>114.16875230033122</v>
      </c>
      <c r="J14" s="13">
        <f>'0215'!O79</f>
        <v>101.46666666666667</v>
      </c>
    </row>
    <row r="15" spans="2:15" ht="39.950000000000003" customHeight="1">
      <c r="B15" s="474"/>
      <c r="C15" s="10" t="s">
        <v>26</v>
      </c>
      <c r="D15" s="14">
        <f>D14/D13</f>
        <v>0.85954476466365104</v>
      </c>
      <c r="E15" s="14">
        <f t="shared" ref="E15:I15" si="1">E14/E13</f>
        <v>0.91949574189177263</v>
      </c>
      <c r="F15" s="14">
        <f t="shared" si="1"/>
        <v>0.82632402123453264</v>
      </c>
      <c r="G15" s="14">
        <f t="shared" si="1"/>
        <v>0.96570003715285657</v>
      </c>
      <c r="H15" s="14">
        <f t="shared" si="1"/>
        <v>0.99152033821581531</v>
      </c>
      <c r="I15" s="14">
        <f t="shared" si="1"/>
        <v>0.89845259923583332</v>
      </c>
      <c r="J15" s="15">
        <f>'0215'!S70</f>
        <v>0.90192592592592591</v>
      </c>
    </row>
    <row r="16" spans="2:15" ht="17.25" customHeight="1">
      <c r="B16" s="475" t="s">
        <v>101</v>
      </c>
      <c r="C16" s="10" t="s">
        <v>34</v>
      </c>
      <c r="D16" s="16">
        <f>'0215'!T5</f>
        <v>0.29166666666666702</v>
      </c>
      <c r="E16" s="16">
        <f>'0215'!T16</f>
        <v>0.297916666666667</v>
      </c>
      <c r="F16" s="16">
        <f>'0215'!T27</f>
        <v>0.29166666666666702</v>
      </c>
      <c r="G16" s="16">
        <f>'0215'!T38</f>
        <v>0.33333333333333298</v>
      </c>
      <c r="H16" s="16">
        <f>'0215'!T49</f>
        <v>0.29027777777777802</v>
      </c>
      <c r="I16" s="16">
        <f>'0215'!T59</f>
        <v>0.29166666666666702</v>
      </c>
      <c r="J16" s="16">
        <f>'0215'!T70</f>
        <v>0.33333333333333298</v>
      </c>
    </row>
    <row r="17" spans="2:10" ht="17.25" customHeight="1">
      <c r="B17" s="476"/>
      <c r="C17" s="10" t="s">
        <v>35</v>
      </c>
      <c r="D17" s="22">
        <v>0.60555555555555596</v>
      </c>
      <c r="E17" s="19">
        <v>0.58472222222222203</v>
      </c>
      <c r="F17" s="19">
        <v>0.47361111111111098</v>
      </c>
      <c r="G17" s="210">
        <v>0.625</v>
      </c>
      <c r="H17" s="21">
        <v>0.60277777777777797</v>
      </c>
      <c r="I17" s="22">
        <v>0.48263888888888901</v>
      </c>
      <c r="J17" s="272">
        <v>0.42708333333333298</v>
      </c>
    </row>
    <row r="18" spans="2:10" ht="17.25" customHeight="1">
      <c r="B18" s="477" t="s">
        <v>102</v>
      </c>
      <c r="C18" s="330" t="s">
        <v>36</v>
      </c>
      <c r="D18" s="358">
        <f>'0215'!Z15</f>
        <v>2</v>
      </c>
      <c r="E18" s="359">
        <f>'0215'!Z26</f>
        <v>0</v>
      </c>
      <c r="F18" s="359">
        <f>'0215'!Z37</f>
        <v>0</v>
      </c>
      <c r="G18" s="360">
        <f>'0215'!Z48</f>
        <v>0</v>
      </c>
      <c r="H18" s="360">
        <f>'0215'!Z58</f>
        <v>1</v>
      </c>
      <c r="I18" s="359">
        <f>'0215'!Z69</f>
        <v>0</v>
      </c>
      <c r="J18" s="359">
        <f>'0215'!AA79</f>
        <v>0</v>
      </c>
    </row>
    <row r="19" spans="2:10" ht="17.25" customHeight="1">
      <c r="B19" s="478"/>
      <c r="C19" s="330" t="s">
        <v>37</v>
      </c>
      <c r="D19" s="358">
        <f>'0215'!AA15</f>
        <v>47</v>
      </c>
      <c r="E19" s="359">
        <f>'0215'!AA26</f>
        <v>0</v>
      </c>
      <c r="F19" s="359">
        <f>'0215'!AA37</f>
        <v>0</v>
      </c>
      <c r="G19" s="360">
        <f>'0215'!AA48</f>
        <v>0</v>
      </c>
      <c r="H19" s="360">
        <f>'0215'!AA58</f>
        <v>6</v>
      </c>
      <c r="I19" s="359">
        <f>'0215'!AA69</f>
        <v>0</v>
      </c>
      <c r="J19" s="359">
        <f>'0215'!AB79</f>
        <v>0</v>
      </c>
    </row>
    <row r="20" spans="2:10" ht="17.25" customHeight="1">
      <c r="B20" s="477" t="s">
        <v>103</v>
      </c>
      <c r="C20" s="330" t="s">
        <v>36</v>
      </c>
      <c r="D20" s="358">
        <f>'0215'!AD15</f>
        <v>0</v>
      </c>
      <c r="E20" s="359">
        <f>'0215'!AD26</f>
        <v>0</v>
      </c>
      <c r="F20" s="359">
        <f>'0215'!AD37</f>
        <v>0</v>
      </c>
      <c r="G20" s="360">
        <f>'0215'!AD48</f>
        <v>0</v>
      </c>
      <c r="H20" s="360">
        <f>'0215'!AD58</f>
        <v>1</v>
      </c>
      <c r="I20" s="359">
        <f>'0215'!AD69</f>
        <v>0</v>
      </c>
      <c r="J20" s="359">
        <f>'0215'!AD79</f>
        <v>0</v>
      </c>
    </row>
    <row r="21" spans="2:10" ht="17.25" customHeight="1">
      <c r="B21" s="478"/>
      <c r="C21" s="330" t="s">
        <v>85</v>
      </c>
      <c r="D21" s="358">
        <f>'0215'!AE15</f>
        <v>0</v>
      </c>
      <c r="E21" s="359">
        <f>'0215'!AE26</f>
        <v>0</v>
      </c>
      <c r="F21" s="359">
        <f>'0215'!AE37</f>
        <v>0</v>
      </c>
      <c r="G21" s="360">
        <f>'0215'!AE48</f>
        <v>0</v>
      </c>
      <c r="H21" s="360">
        <f>'0215'!AE58</f>
        <v>1</v>
      </c>
      <c r="I21" s="359">
        <f>'0215'!AE69</f>
        <v>0</v>
      </c>
      <c r="J21" s="359">
        <f>'0215'!AE79</f>
        <v>0</v>
      </c>
    </row>
    <row r="22" spans="2:10" ht="17.25" customHeight="1">
      <c r="B22" s="460" t="s">
        <v>104</v>
      </c>
      <c r="C22" s="461"/>
      <c r="D22" s="23">
        <f>VALUE('0215'!M15)</f>
        <v>13.6</v>
      </c>
      <c r="E22" s="23">
        <f>VALUE('0215'!M26)</f>
        <v>11.5</v>
      </c>
      <c r="F22" s="23">
        <f>VALUE('0215'!M37)</f>
        <v>15</v>
      </c>
      <c r="G22" s="23">
        <f>VALUE('0215'!M48)</f>
        <v>15.5</v>
      </c>
      <c r="H22" s="23">
        <f>VALUE('0215'!M58)</f>
        <v>16</v>
      </c>
      <c r="I22" s="23">
        <f>VALUE('0215'!M69)</f>
        <v>12</v>
      </c>
      <c r="J22" s="23">
        <f>'0215'!M79</f>
        <v>10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52F4-36B4-4D22-8BCC-5148B91F5D5C}">
  <sheetPr>
    <tabColor theme="9" tint="0.79998168889431442"/>
  </sheetPr>
  <dimension ref="A1:AJ92"/>
  <sheetViews>
    <sheetView zoomScale="69" zoomScaleNormal="69" workbookViewId="0">
      <pane xSplit="5" ySplit="4" topLeftCell="P38" activePane="bottomRight" state="frozen"/>
      <selection activeCell="AB52" sqref="AB52:AC52"/>
      <selection pane="topRight" activeCell="AB52" sqref="AB52:AC52"/>
      <selection pane="bottomLeft" activeCell="AB52" sqref="AB52:AC52"/>
      <selection pane="bottomRight" activeCell="X61" sqref="X61:Y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46585</v>
      </c>
      <c r="F1" s="30" t="s">
        <v>2</v>
      </c>
      <c r="G1" s="31">
        <f>SUM(H5:H79)</f>
        <v>2243392.66</v>
      </c>
      <c r="H1" s="32" t="s">
        <v>3</v>
      </c>
      <c r="I1" s="33">
        <f>M15+M26+M48+M58+M69+M79+M37</f>
        <v>93.6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183</v>
      </c>
      <c r="B2" s="374"/>
      <c r="C2" s="28"/>
      <c r="D2" s="28" t="s">
        <v>14</v>
      </c>
      <c r="E2" s="35">
        <f>AVERAGE(O15,O26,O37,O48,O58,O69,O79)</f>
        <v>107.20894358642295</v>
      </c>
      <c r="F2" s="36" t="s">
        <v>15</v>
      </c>
      <c r="G2" s="37">
        <f>G1/E1</f>
        <v>48.156974562627461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3</v>
      </c>
      <c r="AA2" s="339">
        <f>AA15+AA26+AA37+AA48+AA58+AA69+AA79</f>
        <v>53</v>
      </c>
      <c r="AB2" s="370"/>
      <c r="AC2" s="370"/>
      <c r="AD2" s="340">
        <f>AD15+AD26+AD37+AD48+AD58+AD69+AD79</f>
        <v>1</v>
      </c>
      <c r="AE2" s="340">
        <f>AE15+AE26+AE37+AE48+AE58+AE69+AE79</f>
        <v>1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1613</v>
      </c>
      <c r="H5" s="43">
        <f>F5*G5</f>
        <v>92279.73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9" si="0">K5/J5</f>
        <v>175.41666666666666</v>
      </c>
      <c r="M5" s="48">
        <v>12</v>
      </c>
      <c r="N5" s="46">
        <f t="shared" ref="N5:N9" si="1">G5/W5*60</f>
        <v>1166.0240963855408</v>
      </c>
      <c r="O5" s="47">
        <f t="shared" ref="O5:O9" si="2">N5/M5</f>
        <v>97.168674698795073</v>
      </c>
      <c r="P5" s="49">
        <f t="shared" ref="P5:P9" si="3">M5-J5</f>
        <v>0</v>
      </c>
      <c r="Q5" s="50">
        <f t="shared" ref="Q5:Q9" si="4">O5-L5</f>
        <v>-78.247991967871585</v>
      </c>
      <c r="R5" s="51">
        <f t="shared" ref="R5:R9" si="5">O5/L5</f>
        <v>0.55393068711902183</v>
      </c>
      <c r="S5" s="424">
        <f>R15</f>
        <v>0.85954476466365104</v>
      </c>
      <c r="T5" s="319">
        <v>0.29166666666666702</v>
      </c>
      <c r="U5" s="320">
        <v>0.34930555555555598</v>
      </c>
      <c r="V5" s="53"/>
      <c r="W5" s="54">
        <f t="shared" ref="W5:W14" si="6">(U5-T5)*24*60</f>
        <v>83.000000000000099</v>
      </c>
      <c r="X5" s="55"/>
      <c r="Y5" s="290"/>
      <c r="Z5" s="169">
        <v>2</v>
      </c>
      <c r="AA5" s="169">
        <v>47</v>
      </c>
      <c r="AB5" s="402" t="s">
        <v>184</v>
      </c>
      <c r="AC5" s="402"/>
      <c r="AD5" s="135"/>
      <c r="AE5" s="135"/>
      <c r="AF5" s="229">
        <f t="shared" ref="AF5:AF11" si="7">N5-K5</f>
        <v>-938.97590361445918</v>
      </c>
      <c r="AG5" s="52">
        <f t="shared" ref="AG5:AG11" si="8">N5/K5</f>
        <v>0.55393068711902171</v>
      </c>
      <c r="AH5" s="403">
        <f>AG15</f>
        <v>0.84887981132439894</v>
      </c>
    </row>
    <row r="6" spans="1:34" ht="15" customHeight="1">
      <c r="A6" s="421"/>
      <c r="B6" s="75" t="s">
        <v>81</v>
      </c>
      <c r="C6" s="76"/>
      <c r="D6" s="59" t="s">
        <v>114</v>
      </c>
      <c r="E6" s="77"/>
      <c r="F6" s="75">
        <f>VLOOKUP(D6,廠價表!$C$1:$E$41,3,0)</f>
        <v>56.28</v>
      </c>
      <c r="G6" s="66">
        <v>1293</v>
      </c>
      <c r="H6" s="78">
        <f>F6*G6</f>
        <v>72770.040000000008</v>
      </c>
      <c r="I6" s="73"/>
      <c r="J6" s="79">
        <f>VLOOKUP(D6,產線配置圖!$A$3:$C$39,2,0)</f>
        <v>15</v>
      </c>
      <c r="K6" s="80">
        <f>VLOOKUP(D6,產線配置圖!$A$3:$C$39,3,0)</f>
        <v>1800</v>
      </c>
      <c r="L6" s="81">
        <f t="shared" si="0"/>
        <v>120</v>
      </c>
      <c r="M6" s="82">
        <v>15</v>
      </c>
      <c r="N6" s="80">
        <f t="shared" si="1"/>
        <v>1686.5217391304582</v>
      </c>
      <c r="O6" s="81">
        <f t="shared" si="2"/>
        <v>112.4347826086972</v>
      </c>
      <c r="P6" s="74">
        <f t="shared" si="3"/>
        <v>0</v>
      </c>
      <c r="Q6" s="83">
        <f t="shared" si="4"/>
        <v>-7.5652173913027951</v>
      </c>
      <c r="R6" s="72">
        <f t="shared" si="5"/>
        <v>0.93695652173914334</v>
      </c>
      <c r="S6" s="425"/>
      <c r="T6" s="18">
        <v>0.35555555555555601</v>
      </c>
      <c r="U6" s="18">
        <v>0.38750000000000001</v>
      </c>
      <c r="V6" s="30">
        <f>(T6-U5)*24*60</f>
        <v>9.000000000000048</v>
      </c>
      <c r="W6" s="73">
        <f t="shared" si="6"/>
        <v>45.999999999999361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-113.47826086954183</v>
      </c>
      <c r="AG6" s="72">
        <f t="shared" si="8"/>
        <v>0.93695652173914346</v>
      </c>
      <c r="AH6" s="404"/>
    </row>
    <row r="7" spans="1:34" ht="15" customHeight="1">
      <c r="A7" s="421"/>
      <c r="B7" s="75" t="s">
        <v>81</v>
      </c>
      <c r="C7" s="76"/>
      <c r="D7" s="59" t="s">
        <v>113</v>
      </c>
      <c r="E7" s="77"/>
      <c r="F7" s="75">
        <f>VLOOKUP(D7,廠價表!$C$1:$E$41,3,0)</f>
        <v>57.21</v>
      </c>
      <c r="G7" s="66">
        <v>1360</v>
      </c>
      <c r="H7" s="78">
        <f t="shared" ref="H7:H9" si="9">F7*G7</f>
        <v>77805.600000000006</v>
      </c>
      <c r="I7" s="73"/>
      <c r="J7" s="79">
        <f>VLOOKUP(D7,產線配置圖!$A$3:$C$39,2,0)</f>
        <v>17</v>
      </c>
      <c r="K7" s="80">
        <f>VLOOKUP(D7,產線配置圖!$A$3:$C$39,3,0)</f>
        <v>2000</v>
      </c>
      <c r="L7" s="81">
        <f t="shared" si="0"/>
        <v>117.64705882352941</v>
      </c>
      <c r="M7" s="82">
        <v>15</v>
      </c>
      <c r="N7" s="80">
        <f t="shared" si="1"/>
        <v>1700.0000000000175</v>
      </c>
      <c r="O7" s="81">
        <f t="shared" si="2"/>
        <v>113.33333333333449</v>
      </c>
      <c r="P7" s="74">
        <f t="shared" si="3"/>
        <v>-2</v>
      </c>
      <c r="Q7" s="83">
        <f t="shared" si="4"/>
        <v>-4.313725490194912</v>
      </c>
      <c r="R7" s="72">
        <f t="shared" si="5"/>
        <v>0.96333333333334326</v>
      </c>
      <c r="S7" s="425"/>
      <c r="T7" s="16">
        <v>0.39374999999999999</v>
      </c>
      <c r="U7" s="16">
        <v>0.42708333333333298</v>
      </c>
      <c r="V7" s="30">
        <f>(T7-U6)*24*60</f>
        <v>8.999999999999968</v>
      </c>
      <c r="W7" s="73">
        <f t="shared" si="6"/>
        <v>47.99999999999951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-299.99999999998249</v>
      </c>
      <c r="AG7" s="72">
        <f t="shared" si="8"/>
        <v>0.85000000000000875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1873</v>
      </c>
      <c r="H8" s="78">
        <f t="shared" si="9"/>
        <v>92039.22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1872.9999999999843</v>
      </c>
      <c r="O8" s="81">
        <f t="shared" si="2"/>
        <v>144.07692307692187</v>
      </c>
      <c r="P8" s="74">
        <f t="shared" si="3"/>
        <v>0</v>
      </c>
      <c r="Q8" s="83">
        <f t="shared" si="4"/>
        <v>-9.7692307692319673</v>
      </c>
      <c r="R8" s="72">
        <f t="shared" si="5"/>
        <v>0.93649999999999223</v>
      </c>
      <c r="S8" s="425"/>
      <c r="T8" s="16">
        <v>0.4375</v>
      </c>
      <c r="U8" s="16">
        <v>0.47916666666666702</v>
      </c>
      <c r="V8" s="30">
        <f t="shared" ref="V8:V9" si="10">(T8-U7)*24*60</f>
        <v>15.000000000000506</v>
      </c>
      <c r="W8" s="73">
        <f t="shared" si="6"/>
        <v>60.000000000000504</v>
      </c>
      <c r="X8" s="22"/>
      <c r="Y8" s="84"/>
      <c r="Z8" s="90"/>
      <c r="AA8" s="90"/>
      <c r="AB8" s="407"/>
      <c r="AC8" s="407"/>
      <c r="AD8" s="149"/>
      <c r="AE8" s="149"/>
      <c r="AF8" s="307">
        <f t="shared" si="7"/>
        <v>-127.00000000001569</v>
      </c>
      <c r="AG8" s="72">
        <f t="shared" si="8"/>
        <v>0.93649999999999212</v>
      </c>
      <c r="AH8" s="404"/>
    </row>
    <row r="9" spans="1:34" ht="15" customHeight="1">
      <c r="A9" s="422"/>
      <c r="B9" s="75" t="s">
        <v>81</v>
      </c>
      <c r="C9" s="86"/>
      <c r="D9" s="59" t="s">
        <v>115</v>
      </c>
      <c r="E9" s="87"/>
      <c r="F9" s="75">
        <f>VLOOKUP(D9,廠價表!$C$1:$E$41,3,0)</f>
        <v>49.14</v>
      </c>
      <c r="G9" s="62">
        <v>3040</v>
      </c>
      <c r="H9" s="78">
        <f t="shared" si="9"/>
        <v>149385.60000000001</v>
      </c>
      <c r="I9" s="73"/>
      <c r="J9" s="79">
        <f>VLOOKUP(D9,產線配置圖!$A$3:$C$39,2,0)</f>
        <v>13</v>
      </c>
      <c r="K9" s="80">
        <f>VLOOKUP(D9,產線配置圖!$A$3:$C$39,3,0)</f>
        <v>2000</v>
      </c>
      <c r="L9" s="81">
        <f t="shared" si="0"/>
        <v>153.84615384615384</v>
      </c>
      <c r="M9" s="82">
        <v>13</v>
      </c>
      <c r="N9" s="80">
        <f t="shared" si="1"/>
        <v>1982.6086956521704</v>
      </c>
      <c r="O9" s="81">
        <f t="shared" si="2"/>
        <v>152.50836120401311</v>
      </c>
      <c r="P9" s="74">
        <f t="shared" si="3"/>
        <v>0</v>
      </c>
      <c r="Q9" s="83">
        <f t="shared" si="4"/>
        <v>-1.3377926421407267</v>
      </c>
      <c r="R9" s="72">
        <f t="shared" si="5"/>
        <v>0.99130434782608523</v>
      </c>
      <c r="S9" s="426"/>
      <c r="T9" s="22">
        <v>0.54166666666666696</v>
      </c>
      <c r="U9" s="22">
        <v>0.60555555555555596</v>
      </c>
      <c r="V9" s="30">
        <f t="shared" si="10"/>
        <v>89.999999999999915</v>
      </c>
      <c r="W9" s="73">
        <f t="shared" si="6"/>
        <v>92.000000000000156</v>
      </c>
      <c r="X9" s="22">
        <v>0.48611111111111099</v>
      </c>
      <c r="Y9" s="84" t="s">
        <v>185</v>
      </c>
      <c r="Z9" s="90"/>
      <c r="AA9" s="90"/>
      <c r="AB9" s="407"/>
      <c r="AC9" s="407"/>
      <c r="AD9" s="149"/>
      <c r="AE9" s="149"/>
      <c r="AF9" s="307">
        <f t="shared" si="7"/>
        <v>-17.391304347829646</v>
      </c>
      <c r="AG9" s="72">
        <f t="shared" si="8"/>
        <v>0.99130434782608523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10"/>
      <c r="U12" s="110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1">AVERAGE(J5:J14)</f>
        <v>14</v>
      </c>
      <c r="K15" s="120">
        <f t="shared" si="11"/>
        <v>1981</v>
      </c>
      <c r="L15" s="117">
        <f t="shared" si="11"/>
        <v>144.15120663650072</v>
      </c>
      <c r="M15" s="120">
        <f t="shared" si="11"/>
        <v>13.6</v>
      </c>
      <c r="N15" s="120">
        <f t="shared" si="11"/>
        <v>1681.6309062336343</v>
      </c>
      <c r="O15" s="117">
        <f t="shared" si="11"/>
        <v>123.90441498435234</v>
      </c>
      <c r="P15" s="121">
        <f t="shared" ref="P15:P19" si="12">M15-J15</f>
        <v>-0.40000000000000036</v>
      </c>
      <c r="Q15" s="122">
        <f t="shared" ref="Q15:Q19" si="13">O15-L15</f>
        <v>-20.246791652148374</v>
      </c>
      <c r="R15" s="123">
        <f t="shared" ref="R15:R19" si="14">O15/L15</f>
        <v>0.85954476466365104</v>
      </c>
      <c r="S15" s="428"/>
      <c r="T15" s="125"/>
      <c r="U15" s="125"/>
      <c r="V15" s="126"/>
      <c r="W15" s="127"/>
      <c r="X15" s="128"/>
      <c r="Y15" s="295"/>
      <c r="Z15" s="334">
        <f>SUM(Z5:Z14)</f>
        <v>2</v>
      </c>
      <c r="AA15" s="334">
        <f>SUM(AA5:AA14)</f>
        <v>47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5">N15-K15</f>
        <v>-299.36909376636572</v>
      </c>
      <c r="AG15" s="124">
        <f t="shared" ref="AG15:AG19" si="16">N15/K15</f>
        <v>0.84887981132439894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1565</v>
      </c>
      <c r="H16" s="134">
        <f>F16*G16</f>
        <v>89533.65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19" si="17">K16/J16</f>
        <v>175.41666666666666</v>
      </c>
      <c r="M16" s="139">
        <v>12</v>
      </c>
      <c r="N16" s="140">
        <f t="shared" ref="N16:N19" si="18">G16/W16*60</f>
        <v>1878.0000000000127</v>
      </c>
      <c r="O16" s="141">
        <f>N16/M16</f>
        <v>156.50000000000105</v>
      </c>
      <c r="P16" s="142">
        <f>M16-J16</f>
        <v>0</v>
      </c>
      <c r="Q16" s="143">
        <f t="shared" si="13"/>
        <v>-18.916666666665606</v>
      </c>
      <c r="R16" s="144">
        <f>O16/L16</f>
        <v>0.89216152019002981</v>
      </c>
      <c r="S16" s="417">
        <f>R26</f>
        <v>0.91949574189177263</v>
      </c>
      <c r="T16" s="145">
        <v>0.297916666666667</v>
      </c>
      <c r="U16" s="145">
        <v>0.33263888888888898</v>
      </c>
      <c r="V16" s="135"/>
      <c r="W16" s="146">
        <f t="shared" ref="W16:W78" si="19">(U16-T16)*24*60</f>
        <v>49.999999999999659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5"/>
        <v>-226.99999999998727</v>
      </c>
      <c r="AG16" s="52">
        <f t="shared" si="16"/>
        <v>0.89216152019002981</v>
      </c>
      <c r="AH16" s="403">
        <f>AG26</f>
        <v>0.91901833151662282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3176</v>
      </c>
      <c r="H17" s="78">
        <f>F17*G17</f>
        <v>160927.92000000001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7"/>
        <v>166.66666666666666</v>
      </c>
      <c r="M17" s="148">
        <v>12</v>
      </c>
      <c r="N17" s="95">
        <f>G17/W17*60</f>
        <v>1850.0970873786359</v>
      </c>
      <c r="O17" s="96">
        <f t="shared" ref="O17:O19" si="20">N17/M17</f>
        <v>154.17475728155298</v>
      </c>
      <c r="P17" s="97">
        <f t="shared" si="12"/>
        <v>0</v>
      </c>
      <c r="Q17" s="98">
        <f t="shared" si="13"/>
        <v>-12.491909385113672</v>
      </c>
      <c r="R17" s="99">
        <f t="shared" si="14"/>
        <v>0.92504854368931799</v>
      </c>
      <c r="S17" s="418"/>
      <c r="T17" s="19">
        <v>0.34236111111111101</v>
      </c>
      <c r="U17" s="19">
        <v>0.41388888888888897</v>
      </c>
      <c r="V17" s="30">
        <f>(T17-U16)*24*60</f>
        <v>13.99999999999971</v>
      </c>
      <c r="W17" s="149">
        <f t="shared" si="19"/>
        <v>103.00000000000027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5"/>
        <v>-149.90291262136407</v>
      </c>
      <c r="AG17" s="72">
        <f t="shared" si="16"/>
        <v>0.92504854368931799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2729</v>
      </c>
      <c r="H18" s="78">
        <f>F18*G18</f>
        <v>137514.31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7"/>
        <v>181.81818181818181</v>
      </c>
      <c r="M18" s="148">
        <v>11</v>
      </c>
      <c r="N18" s="95">
        <f t="shared" si="18"/>
        <v>1926.3529411764628</v>
      </c>
      <c r="O18" s="96">
        <f t="shared" si="20"/>
        <v>175.12299465240571</v>
      </c>
      <c r="P18" s="97">
        <f t="shared" si="12"/>
        <v>0</v>
      </c>
      <c r="Q18" s="98">
        <f t="shared" si="13"/>
        <v>-6.6951871657761046</v>
      </c>
      <c r="R18" s="99">
        <f t="shared" si="14"/>
        <v>0.96317647058823141</v>
      </c>
      <c r="S18" s="418"/>
      <c r="T18" s="19">
        <v>0.42013888888888901</v>
      </c>
      <c r="U18" s="19">
        <v>0.47916666666666702</v>
      </c>
      <c r="V18" s="30">
        <f>(T18-U17)*24*60</f>
        <v>9.000000000000048</v>
      </c>
      <c r="W18" s="149">
        <f t="shared" si="19"/>
        <v>85.000000000000341</v>
      </c>
      <c r="X18" s="22"/>
      <c r="Y18" s="84"/>
      <c r="Z18" s="90"/>
      <c r="AA18" s="90"/>
      <c r="AB18" s="395"/>
      <c r="AC18" s="395"/>
      <c r="AD18" s="92"/>
      <c r="AE18" s="92"/>
      <c r="AF18" s="307">
        <f t="shared" si="15"/>
        <v>-73.647058823537236</v>
      </c>
      <c r="AG18" s="72">
        <f t="shared" si="16"/>
        <v>0.96317647058823141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1854</v>
      </c>
      <c r="H19" s="78">
        <f>F19*G19</f>
        <v>93423.06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7"/>
        <v>181.81818181818181</v>
      </c>
      <c r="M19" s="148">
        <v>11</v>
      </c>
      <c r="N19" s="95">
        <f t="shared" si="18"/>
        <v>1794.1935483871171</v>
      </c>
      <c r="O19" s="96">
        <f t="shared" si="20"/>
        <v>163.10850439882881</v>
      </c>
      <c r="P19" s="97">
        <f t="shared" si="12"/>
        <v>0</v>
      </c>
      <c r="Q19" s="98">
        <f t="shared" si="13"/>
        <v>-18.709677419353</v>
      </c>
      <c r="R19" s="99">
        <f t="shared" si="14"/>
        <v>0.89709677419355849</v>
      </c>
      <c r="S19" s="418"/>
      <c r="T19" s="19">
        <v>0.54166666666666696</v>
      </c>
      <c r="U19" s="19">
        <v>0.58472222222222203</v>
      </c>
      <c r="V19" s="30">
        <f>(T19-U18)*24*60</f>
        <v>89.999999999999915</v>
      </c>
      <c r="W19" s="149">
        <f t="shared" si="19"/>
        <v>61.999999999999304</v>
      </c>
      <c r="X19" s="22">
        <v>0.48611111111111099</v>
      </c>
      <c r="Y19" s="84">
        <v>0.52777777777777801</v>
      </c>
      <c r="Z19" s="90"/>
      <c r="AA19" s="90"/>
      <c r="AB19" s="407"/>
      <c r="AC19" s="407"/>
      <c r="AD19" s="149"/>
      <c r="AE19" s="149"/>
      <c r="AF19" s="307">
        <f t="shared" si="15"/>
        <v>-205.80645161288294</v>
      </c>
      <c r="AG19" s="72">
        <f t="shared" si="16"/>
        <v>0.89709677419355849</v>
      </c>
      <c r="AH19" s="405"/>
    </row>
    <row r="20" spans="1:34" ht="15" customHeight="1">
      <c r="A20" s="414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8"/>
      <c r="T20" s="19"/>
      <c r="U20" s="19"/>
      <c r="V20" s="30"/>
      <c r="W20" s="149">
        <f t="shared" si="19"/>
        <v>0</v>
      </c>
      <c r="X20" s="19"/>
      <c r="Y20" s="297"/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50"/>
      <c r="U21" s="150"/>
      <c r="V21" s="30"/>
      <c r="W21" s="149">
        <f t="shared" si="19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9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21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9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21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9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2">AVERAGE(J16:J25)</f>
        <v>11.5</v>
      </c>
      <c r="K26" s="155">
        <f t="shared" si="22"/>
        <v>2026.25</v>
      </c>
      <c r="L26" s="158">
        <f t="shared" si="22"/>
        <v>176.42992424242425</v>
      </c>
      <c r="M26" s="155">
        <f t="shared" si="22"/>
        <v>11.5</v>
      </c>
      <c r="N26" s="155">
        <f t="shared" si="22"/>
        <v>1862.160894235557</v>
      </c>
      <c r="O26" s="158">
        <f t="shared" si="22"/>
        <v>162.22656408319713</v>
      </c>
      <c r="P26" s="159">
        <f t="shared" ref="P26:P29" si="23">M26-J26</f>
        <v>0</v>
      </c>
      <c r="Q26" s="160">
        <f t="shared" ref="Q26:Q29" si="24">O26-L26</f>
        <v>-14.203360159227117</v>
      </c>
      <c r="R26" s="161">
        <f>O26/L26</f>
        <v>0.91949574189177263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0</v>
      </c>
      <c r="AE26" s="323">
        <f>SUM(AE16:AE25)</f>
        <v>0</v>
      </c>
      <c r="AF26" s="309">
        <f t="shared" ref="AF26:AF31" si="25">N26-K26</f>
        <v>-164.08910576444305</v>
      </c>
      <c r="AG26" s="124">
        <f t="shared" ref="AG26:AG31" si="26">N26/K26</f>
        <v>0.91901833151662282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1486</v>
      </c>
      <c r="H27" s="134">
        <f>F27*G27</f>
        <v>85147.8</v>
      </c>
      <c r="I27" s="135"/>
      <c r="J27" s="136">
        <v>15</v>
      </c>
      <c r="K27" s="137">
        <f>VLOOKUP(D27,產線配置圖!$A$3:$C$39,3,0)</f>
        <v>1500</v>
      </c>
      <c r="L27" s="138">
        <f t="shared" ref="L27:L29" si="27">K27/J27</f>
        <v>100</v>
      </c>
      <c r="M27" s="170">
        <v>15</v>
      </c>
      <c r="N27" s="140">
        <f>G27/W27*60</f>
        <v>1273.714285714289</v>
      </c>
      <c r="O27" s="141">
        <f>N27/M27</f>
        <v>84.914285714285924</v>
      </c>
      <c r="P27" s="142">
        <f t="shared" si="23"/>
        <v>0</v>
      </c>
      <c r="Q27" s="143">
        <f t="shared" si="24"/>
        <v>-15.085714285714076</v>
      </c>
      <c r="R27" s="144">
        <f>O27/L27</f>
        <v>0.8491428571428592</v>
      </c>
      <c r="S27" s="417">
        <f>R37</f>
        <v>0.82632402123453264</v>
      </c>
      <c r="T27" s="171">
        <v>0.29166666666666702</v>
      </c>
      <c r="U27" s="171">
        <v>0.34027777777777801</v>
      </c>
      <c r="V27" s="135"/>
      <c r="W27" s="146">
        <f t="shared" si="19"/>
        <v>69.999999999999829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5"/>
        <v>-226.28571428571104</v>
      </c>
      <c r="AG27" s="172">
        <f t="shared" si="26"/>
        <v>0.84914285714285931</v>
      </c>
      <c r="AH27" s="403">
        <f>AG37</f>
        <v>0.79519287483780143</v>
      </c>
    </row>
    <row r="28" spans="1:34" ht="15" customHeight="1">
      <c r="A28" s="430"/>
      <c r="B28" s="75" t="s">
        <v>81</v>
      </c>
      <c r="C28" s="173"/>
      <c r="D28" s="59" t="s">
        <v>122</v>
      </c>
      <c r="E28" s="104"/>
      <c r="F28" s="75">
        <f>VLOOKUP(D28,廠價表!$C$1:$E$41,3,0)</f>
        <v>55.13</v>
      </c>
      <c r="G28" s="90">
        <v>1311</v>
      </c>
      <c r="H28" s="91">
        <f>F28*G28</f>
        <v>72275.430000000008</v>
      </c>
      <c r="I28" s="92"/>
      <c r="J28" s="79">
        <v>17</v>
      </c>
      <c r="K28" s="80">
        <f>VLOOKUP(D28,產線配置圖!$A$3:$C$39,3,0)</f>
        <v>1385</v>
      </c>
      <c r="L28" s="93">
        <f t="shared" si="27"/>
        <v>81.470588235294116</v>
      </c>
      <c r="M28" s="94">
        <v>15</v>
      </c>
      <c r="N28" s="95">
        <f>G28/W28*60</f>
        <v>983.25000000000932</v>
      </c>
      <c r="O28" s="96">
        <f>N28/M28</f>
        <v>65.550000000000622</v>
      </c>
      <c r="P28" s="97">
        <f t="shared" si="23"/>
        <v>-2</v>
      </c>
      <c r="Q28" s="98">
        <f t="shared" si="24"/>
        <v>-15.920588235293494</v>
      </c>
      <c r="R28" s="99">
        <f t="shared" ref="R28:R29" si="28">O28/L28</f>
        <v>0.80458483754513399</v>
      </c>
      <c r="S28" s="418"/>
      <c r="T28" s="19">
        <v>0.34513888888888899</v>
      </c>
      <c r="U28" s="19">
        <v>0.40069444444444402</v>
      </c>
      <c r="V28" s="92">
        <f>(T28-U27)*24*60</f>
        <v>6.9999999999998153</v>
      </c>
      <c r="W28" s="149">
        <f t="shared" si="19"/>
        <v>79.999999999999233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5"/>
        <v>-401.74999999999068</v>
      </c>
      <c r="AG28" s="99">
        <f t="shared" si="26"/>
        <v>0.70992779783394178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1931</v>
      </c>
      <c r="H29" s="91">
        <f>F29*G29</f>
        <v>95623.12000000001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7"/>
        <v>96</v>
      </c>
      <c r="M29" s="94">
        <v>15</v>
      </c>
      <c r="N29" s="95">
        <f>G29/W29*60</f>
        <v>1182.2448979591936</v>
      </c>
      <c r="O29" s="96">
        <f>N29/M29</f>
        <v>78.816326530612912</v>
      </c>
      <c r="P29" s="97">
        <f t="shared" si="23"/>
        <v>0</v>
      </c>
      <c r="Q29" s="98">
        <f t="shared" si="24"/>
        <v>-17.183673469387088</v>
      </c>
      <c r="R29" s="99">
        <f t="shared" si="28"/>
        <v>0.82100340136055117</v>
      </c>
      <c r="S29" s="418"/>
      <c r="T29" s="19">
        <v>0.405555555555556</v>
      </c>
      <c r="U29" s="19">
        <v>0.47361111111111098</v>
      </c>
      <c r="V29" s="92">
        <f>(T29-U28)*24*60</f>
        <v>7.0000000000012541</v>
      </c>
      <c r="W29" s="149">
        <f t="shared" si="19"/>
        <v>97.999999999999176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5"/>
        <v>-257.75510204080638</v>
      </c>
      <c r="AG29" s="99">
        <f t="shared" si="26"/>
        <v>0.82100340136055117</v>
      </c>
      <c r="AH29" s="432"/>
    </row>
    <row r="30" spans="1:34" ht="15" customHeight="1">
      <c r="A30" s="43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8"/>
      <c r="T30" s="19"/>
      <c r="U30" s="19"/>
      <c r="V30" s="92"/>
      <c r="W30" s="149">
        <f t="shared" si="19"/>
        <v>0</v>
      </c>
      <c r="X30" s="174"/>
      <c r="Y30" s="301"/>
      <c r="Z30" s="335"/>
      <c r="AA30" s="335"/>
      <c r="AB30" s="395"/>
      <c r="AC30" s="395"/>
      <c r="AD30" s="92"/>
      <c r="AE30" s="92"/>
      <c r="AF30" s="312">
        <f t="shared" si="25"/>
        <v>0</v>
      </c>
      <c r="AG30" s="99" t="e">
        <f t="shared" si="26"/>
        <v>#DIV/0!</v>
      </c>
      <c r="AH30" s="433"/>
    </row>
    <row r="31" spans="1:34" ht="15" customHeight="1">
      <c r="A31" s="43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8"/>
      <c r="T31" s="19"/>
      <c r="U31" s="19"/>
      <c r="V31" s="92"/>
      <c r="W31" s="149">
        <f t="shared" si="19"/>
        <v>0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5"/>
        <v>0</v>
      </c>
      <c r="AG31" s="99" t="e">
        <f t="shared" si="26"/>
        <v>#DIV/0!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50"/>
      <c r="U32" s="150"/>
      <c r="V32" s="92"/>
      <c r="W32" s="149">
        <f t="shared" si="19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9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9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9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29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9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0">AVERAGE(J27:J36)</f>
        <v>15.666666666666666</v>
      </c>
      <c r="K37" s="155">
        <f t="shared" si="30"/>
        <v>1441.6666666666667</v>
      </c>
      <c r="L37" s="158">
        <f t="shared" si="30"/>
        <v>92.490196078431381</v>
      </c>
      <c r="M37" s="155">
        <f t="shared" si="30"/>
        <v>15</v>
      </c>
      <c r="N37" s="155">
        <f t="shared" si="30"/>
        <v>1146.4030612244972</v>
      </c>
      <c r="O37" s="158">
        <f t="shared" si="30"/>
        <v>76.42687074829982</v>
      </c>
      <c r="P37" s="159">
        <f>M37-J37</f>
        <v>-0.66666666666666607</v>
      </c>
      <c r="Q37" s="160">
        <f>N37-K37</f>
        <v>-295.26360544216959</v>
      </c>
      <c r="R37" s="161">
        <f t="shared" ref="R37:R41" si="31">O37/L37</f>
        <v>0.82632402123453264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2">N37-K37</f>
        <v>-295.26360544216959</v>
      </c>
      <c r="AG37" s="124">
        <f t="shared" ref="AG37:AG41" si="33">N37/K37</f>
        <v>0.79519287483780143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1095</v>
      </c>
      <c r="H38" s="134">
        <f>F38*G38</f>
        <v>61790.85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1" si="34">K38/J38</f>
        <v>87.875</v>
      </c>
      <c r="M38" s="190">
        <v>14</v>
      </c>
      <c r="N38" s="140">
        <f>G38/W38*60</f>
        <v>1132.7586206896483</v>
      </c>
      <c r="O38" s="141">
        <f>N38/M38</f>
        <v>80.911330049260599</v>
      </c>
      <c r="P38" s="142">
        <f t="shared" ref="P38:P41" si="35">M38-J38</f>
        <v>-2</v>
      </c>
      <c r="Q38" s="143">
        <f t="shared" ref="Q38:Q41" si="36">O38-L38</f>
        <v>-6.9636699507394013</v>
      </c>
      <c r="R38" s="144">
        <f>O38/L38</f>
        <v>0.92075482275118747</v>
      </c>
      <c r="S38" s="437">
        <f>R48</f>
        <v>0.96570003715285657</v>
      </c>
      <c r="T38" s="191">
        <v>0.33333333333333298</v>
      </c>
      <c r="U38" s="191">
        <v>0.37361111111111101</v>
      </c>
      <c r="V38" s="192"/>
      <c r="W38" s="193">
        <f t="shared" si="19"/>
        <v>58.000000000000355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2"/>
        <v>-273.2413793103517</v>
      </c>
      <c r="AG38" s="195">
        <f t="shared" si="33"/>
        <v>0.80566046990728901</v>
      </c>
      <c r="AH38" s="443">
        <f>AG48</f>
        <v>0.89354516160412212</v>
      </c>
    </row>
    <row r="39" spans="1:34" ht="15" customHeight="1">
      <c r="A39" s="435"/>
      <c r="B39" s="75" t="s">
        <v>123</v>
      </c>
      <c r="C39" s="197"/>
      <c r="D39" s="198" t="s">
        <v>127</v>
      </c>
      <c r="E39" s="176"/>
      <c r="F39" s="75">
        <f>VLOOKUP(D39,廠價表!$C$1:$E$41,3,0)</f>
        <v>49.91</v>
      </c>
      <c r="G39" s="199">
        <v>1874</v>
      </c>
      <c r="H39" s="91">
        <f>F39*G39</f>
        <v>93531.34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4"/>
        <v>92.058823529411768</v>
      </c>
      <c r="M39" s="201">
        <v>15</v>
      </c>
      <c r="N39" s="202">
        <f>G39/W39*60</f>
        <v>1354.6987951807434</v>
      </c>
      <c r="O39" s="203">
        <f t="shared" ref="O39:O41" si="37">N39/M39</f>
        <v>90.313253012049557</v>
      </c>
      <c r="P39" s="97">
        <f t="shared" si="35"/>
        <v>-2</v>
      </c>
      <c r="Q39" s="98">
        <f t="shared" si="36"/>
        <v>-1.7455705173622107</v>
      </c>
      <c r="R39" s="99">
        <f t="shared" si="31"/>
        <v>0.98103853112130501</v>
      </c>
      <c r="S39" s="438"/>
      <c r="T39" s="20">
        <v>0.38055555555555598</v>
      </c>
      <c r="U39" s="20">
        <v>0.438194444444444</v>
      </c>
      <c r="V39" s="92">
        <f>(T39-U38)*24*60</f>
        <v>10.000000000000764</v>
      </c>
      <c r="W39" s="205">
        <f t="shared" si="19"/>
        <v>82.999999999998749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2"/>
        <v>-210.30120481925655</v>
      </c>
      <c r="AG39" s="206">
        <f t="shared" si="33"/>
        <v>0.86562223334232813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1562</v>
      </c>
      <c r="H40" s="91">
        <f>F40*G40</f>
        <v>69196.599999999991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4"/>
        <v>84.705882352941174</v>
      </c>
      <c r="M40" s="201">
        <v>16</v>
      </c>
      <c r="N40" s="202">
        <f>G40/W40*60</f>
        <v>1338.8571428571463</v>
      </c>
      <c r="O40" s="203">
        <f t="shared" si="37"/>
        <v>83.678571428571644</v>
      </c>
      <c r="P40" s="97">
        <f t="shared" si="35"/>
        <v>-1</v>
      </c>
      <c r="Q40" s="98">
        <f t="shared" si="36"/>
        <v>-1.0273109243695302</v>
      </c>
      <c r="R40" s="99">
        <f t="shared" si="31"/>
        <v>0.98787202380952643</v>
      </c>
      <c r="S40" s="425"/>
      <c r="T40" s="20">
        <v>0.44791666666666702</v>
      </c>
      <c r="U40" s="20">
        <v>0.49652777777777801</v>
      </c>
      <c r="V40" s="92">
        <f>(T40-U39)*24*60</f>
        <v>14.000000000001149</v>
      </c>
      <c r="W40" s="205">
        <f t="shared" si="19"/>
        <v>69.999999999999829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2"/>
        <v>-101.1428571428537</v>
      </c>
      <c r="AG40" s="206">
        <f t="shared" si="33"/>
        <v>0.92976190476190712</v>
      </c>
      <c r="AH40" s="444"/>
    </row>
    <row r="41" spans="1:34" ht="15" customHeight="1">
      <c r="A41" s="435"/>
      <c r="B41" s="75" t="s">
        <v>123</v>
      </c>
      <c r="C41" s="207"/>
      <c r="D41" s="198" t="s">
        <v>128</v>
      </c>
      <c r="E41" s="178"/>
      <c r="F41" s="75">
        <f>VLOOKUP(D41,廠價表!$C$1:$E$41,3,0)</f>
        <v>44.3</v>
      </c>
      <c r="G41" s="199">
        <v>2570</v>
      </c>
      <c r="H41" s="91">
        <f>F41*G41</f>
        <v>113850.99999999999</v>
      </c>
      <c r="I41" s="200"/>
      <c r="J41" s="148">
        <f>VLOOKUP(D41,產線配置圖!$A$3:$C$39,2,0)</f>
        <v>17</v>
      </c>
      <c r="K41" s="95">
        <f>VLOOKUP(D41,產線配置圖!$A$3:$C$39,3,0)</f>
        <v>1440</v>
      </c>
      <c r="L41" s="96">
        <f t="shared" si="34"/>
        <v>84.705882352941174</v>
      </c>
      <c r="M41" s="201">
        <v>17</v>
      </c>
      <c r="N41" s="202">
        <f>G41/W41*60</f>
        <v>1401.8181818181806</v>
      </c>
      <c r="O41" s="203">
        <f t="shared" si="37"/>
        <v>82.459893048128265</v>
      </c>
      <c r="P41" s="97">
        <f t="shared" si="35"/>
        <v>0</v>
      </c>
      <c r="Q41" s="98">
        <f t="shared" si="36"/>
        <v>-2.2459893048129089</v>
      </c>
      <c r="R41" s="99">
        <f t="shared" si="31"/>
        <v>0.97348484848484762</v>
      </c>
      <c r="S41" s="425"/>
      <c r="T41" s="20">
        <v>0.54861111111111105</v>
      </c>
      <c r="U41" s="210">
        <v>0.625</v>
      </c>
      <c r="V41" s="92">
        <f>(T41-U40)*24*60</f>
        <v>74.999999999999574</v>
      </c>
      <c r="W41" s="205">
        <f t="shared" si="19"/>
        <v>110.00000000000009</v>
      </c>
      <c r="X41" s="208">
        <v>0.5</v>
      </c>
      <c r="Y41" s="209">
        <v>0.54166666666666696</v>
      </c>
      <c r="Z41" s="337"/>
      <c r="AA41" s="337"/>
      <c r="AB41" s="395"/>
      <c r="AC41" s="395"/>
      <c r="AD41" s="92"/>
      <c r="AE41" s="92"/>
      <c r="AF41" s="314">
        <f t="shared" si="32"/>
        <v>-38.181818181819381</v>
      </c>
      <c r="AG41" s="206">
        <f t="shared" si="33"/>
        <v>0.97348484848484762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9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8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8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8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29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8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39">AVERAGE(J38:J47)</f>
        <v>16.75</v>
      </c>
      <c r="K48" s="155">
        <f t="shared" si="39"/>
        <v>1462.75</v>
      </c>
      <c r="L48" s="158">
        <f t="shared" si="39"/>
        <v>87.336397058823522</v>
      </c>
      <c r="M48" s="155">
        <f t="shared" si="39"/>
        <v>15.5</v>
      </c>
      <c r="N48" s="155">
        <f t="shared" si="39"/>
        <v>1307.0331851364297</v>
      </c>
      <c r="O48" s="158">
        <f t="shared" si="39"/>
        <v>84.340761884502513</v>
      </c>
      <c r="P48" s="221">
        <f>M48-J48</f>
        <v>-1.25</v>
      </c>
      <c r="Q48" s="222">
        <f>N48-K48</f>
        <v>-155.71681486357033</v>
      </c>
      <c r="R48" s="223">
        <f>O48/L48</f>
        <v>0.96570003715285657</v>
      </c>
      <c r="S48" s="428"/>
      <c r="T48" s="224"/>
      <c r="U48" s="224"/>
      <c r="V48" s="225"/>
      <c r="W48" s="226">
        <f t="shared" si="38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2" si="40">N48-K48</f>
        <v>-155.71681486357033</v>
      </c>
      <c r="AG48" s="162">
        <f t="shared" ref="AG48:AG52" si="41">N48/K48</f>
        <v>0.89354516160412212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798</v>
      </c>
      <c r="H49" s="134">
        <f>F49*G49</f>
        <v>45382.259999999995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2">K49/J49</f>
        <v>86.944444444444443</v>
      </c>
      <c r="M49" s="170">
        <v>16</v>
      </c>
      <c r="N49" s="140">
        <f>G49/W49*60</f>
        <v>1368.0000000000332</v>
      </c>
      <c r="O49" s="141">
        <f>N49/M49</f>
        <v>85.500000000002075</v>
      </c>
      <c r="P49" s="229">
        <f>M49-J49</f>
        <v>-2</v>
      </c>
      <c r="Q49" s="230">
        <f>O49-L49</f>
        <v>-1.4444444444423681</v>
      </c>
      <c r="R49" s="52">
        <f>O49/L49</f>
        <v>0.98338658146967239</v>
      </c>
      <c r="S49" s="424">
        <f>R58</f>
        <v>0.99152033821581531</v>
      </c>
      <c r="T49" s="191">
        <v>0.29027777777777802</v>
      </c>
      <c r="U49" s="191">
        <v>0.31458333333333299</v>
      </c>
      <c r="V49" s="55"/>
      <c r="W49" s="193">
        <f t="shared" si="19"/>
        <v>34.999999999999154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40"/>
        <v>-196.9999999999668</v>
      </c>
      <c r="AG49" s="52">
        <f t="shared" si="41"/>
        <v>0.87412140575081998</v>
      </c>
      <c r="AH49" s="403">
        <f>AG58</f>
        <v>0.90691841482789604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2096</v>
      </c>
      <c r="H50" s="231">
        <f>F50*G50</f>
        <v>100000.16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2"/>
        <v>90</v>
      </c>
      <c r="M50" s="233">
        <v>16</v>
      </c>
      <c r="N50" s="234">
        <f>G50/W50*60</f>
        <v>1429.0909090908883</v>
      </c>
      <c r="O50" s="235">
        <f>N50/M50</f>
        <v>89.31818181818052</v>
      </c>
      <c r="P50" s="74">
        <f>M50-J50</f>
        <v>0</v>
      </c>
      <c r="Q50" s="83">
        <f>O50-L50</f>
        <v>-0.68181818181948017</v>
      </c>
      <c r="R50" s="72">
        <f>O50/L50</f>
        <v>0.992424242424228</v>
      </c>
      <c r="S50" s="425"/>
      <c r="T50" s="21">
        <v>0.31944444444444398</v>
      </c>
      <c r="U50" s="21">
        <v>0.38055555555555598</v>
      </c>
      <c r="V50" s="30">
        <f t="shared" ref="V50:V52" si="43">(T50-U49)*24*60</f>
        <v>6.9999999999998153</v>
      </c>
      <c r="W50" s="236">
        <f t="shared" si="19"/>
        <v>88.000000000001279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0"/>
        <v>-10.909090909111683</v>
      </c>
      <c r="AG50" s="72">
        <f t="shared" si="41"/>
        <v>0.992424242424228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3386</v>
      </c>
      <c r="H51" s="231">
        <f>F51*G51</f>
        <v>169198.41999999998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2"/>
        <v>88.888888888888886</v>
      </c>
      <c r="M51" s="233">
        <v>16</v>
      </c>
      <c r="N51" s="234">
        <f>G51/W51*60</f>
        <v>1420.6993006993089</v>
      </c>
      <c r="O51" s="235">
        <f>N51/M51</f>
        <v>88.793706293706805</v>
      </c>
      <c r="P51" s="74">
        <f>M51-J51</f>
        <v>-2</v>
      </c>
      <c r="Q51" s="83">
        <f>O51-L51</f>
        <v>-9.5182595182080831E-2</v>
      </c>
      <c r="R51" s="72">
        <f>O51/L51</f>
        <v>0.99892919580420159</v>
      </c>
      <c r="S51" s="425"/>
      <c r="T51" s="21">
        <v>0.38541666666666702</v>
      </c>
      <c r="U51" s="19">
        <v>0.484722222222222</v>
      </c>
      <c r="V51" s="30">
        <f t="shared" si="43"/>
        <v>6.9999999999998952</v>
      </c>
      <c r="W51" s="236">
        <f t="shared" si="19"/>
        <v>142.99999999999918</v>
      </c>
      <c r="X51" s="22"/>
      <c r="Y51" s="84"/>
      <c r="Z51" s="90">
        <v>1</v>
      </c>
      <c r="AA51" s="90">
        <v>6</v>
      </c>
      <c r="AB51" s="395" t="s">
        <v>186</v>
      </c>
      <c r="AC51" s="395"/>
      <c r="AD51" s="92">
        <v>1</v>
      </c>
      <c r="AE51" s="92">
        <v>1</v>
      </c>
      <c r="AF51" s="307">
        <f t="shared" si="40"/>
        <v>-179.30069930069112</v>
      </c>
      <c r="AG51" s="72">
        <f t="shared" si="41"/>
        <v>0.88793706293706809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1950</v>
      </c>
      <c r="H52" s="231">
        <f>F52*G52</f>
        <v>97441.5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2"/>
        <v>88.888888888888886</v>
      </c>
      <c r="M52" s="233">
        <v>16</v>
      </c>
      <c r="N52" s="234">
        <f>G52/W52*60</f>
        <v>1409.6385542168643</v>
      </c>
      <c r="O52" s="235">
        <f>N52/M52</f>
        <v>88.102409638554022</v>
      </c>
      <c r="P52" s="74">
        <f>M52-J52</f>
        <v>-2</v>
      </c>
      <c r="Q52" s="83">
        <f>O52-L52</f>
        <v>-0.78647925033486388</v>
      </c>
      <c r="R52" s="72">
        <f>O52/L52</f>
        <v>0.9911521084337328</v>
      </c>
      <c r="S52" s="425"/>
      <c r="T52" s="21">
        <v>0.54513888888888895</v>
      </c>
      <c r="U52" s="21">
        <v>0.60277777777777797</v>
      </c>
      <c r="V52" s="30">
        <f t="shared" si="43"/>
        <v>87.000000000000412</v>
      </c>
      <c r="W52" s="236">
        <f t="shared" si="19"/>
        <v>83.000000000000185</v>
      </c>
      <c r="X52" s="22">
        <v>0.49305555555555602</v>
      </c>
      <c r="Y52" s="84">
        <v>0.53472222222222199</v>
      </c>
      <c r="Z52" s="90"/>
      <c r="AA52" s="90"/>
      <c r="AB52" s="395"/>
      <c r="AC52" s="395"/>
      <c r="AD52" s="92"/>
      <c r="AE52" s="92"/>
      <c r="AF52" s="307">
        <f t="shared" si="40"/>
        <v>-190.36144578313565</v>
      </c>
      <c r="AG52" s="72">
        <f t="shared" si="41"/>
        <v>0.88102409638554025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9"/>
        <v>0</v>
      </c>
      <c r="X53" s="30"/>
      <c r="Y53" s="151"/>
      <c r="Z53" s="90"/>
      <c r="AA53" s="90"/>
      <c r="AB53" s="395"/>
      <c r="AC53" s="395"/>
      <c r="AD53" s="92"/>
      <c r="AE53" s="92"/>
      <c r="AF53" s="307"/>
      <c r="AG53" s="72"/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9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9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9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9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4">AVERAGE(J49:J57)</f>
        <v>17.5</v>
      </c>
      <c r="K58" s="120">
        <f t="shared" si="44"/>
        <v>1551.25</v>
      </c>
      <c r="L58" s="117">
        <f t="shared" si="44"/>
        <v>88.680555555555571</v>
      </c>
      <c r="M58" s="120">
        <f t="shared" si="44"/>
        <v>16</v>
      </c>
      <c r="N58" s="120">
        <f t="shared" si="44"/>
        <v>1406.8571910017738</v>
      </c>
      <c r="O58" s="117">
        <f t="shared" si="44"/>
        <v>87.928574437610862</v>
      </c>
      <c r="P58" s="121">
        <f>M58-J58</f>
        <v>-1.5</v>
      </c>
      <c r="Q58" s="122">
        <f>N58-K58</f>
        <v>-144.3928089982262</v>
      </c>
      <c r="R58" s="123">
        <f t="shared" ref="R58:R60" si="45">O58/L58</f>
        <v>0.99152033821581531</v>
      </c>
      <c r="S58" s="428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6</v>
      </c>
      <c r="AB58" s="412"/>
      <c r="AC58" s="412"/>
      <c r="AD58" s="323">
        <f>SUM(AD49:AD57)</f>
        <v>1</v>
      </c>
      <c r="AE58" s="323">
        <f>SUM(AE49:AE57)</f>
        <v>1</v>
      </c>
      <c r="AF58" s="309">
        <f t="shared" ref="AF58:AF61" si="46">N58-K58</f>
        <v>-144.3928089982262</v>
      </c>
      <c r="AG58" s="124">
        <f t="shared" ref="AG58:AG61" si="47">N58/K58</f>
        <v>0.90691841482789604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2848</v>
      </c>
      <c r="H59" s="243">
        <f>F59*G59</f>
        <v>76867.51999999999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48">K59/J59</f>
        <v>120.38461538461539</v>
      </c>
      <c r="M59" s="244">
        <v>13</v>
      </c>
      <c r="N59" s="137">
        <f t="shared" ref="N59:N61" si="49">G59/W59*60</f>
        <v>1553.454545454543</v>
      </c>
      <c r="O59" s="138">
        <f t="shared" ref="O59:O61" si="50">N59/M59</f>
        <v>119.49650349650331</v>
      </c>
      <c r="P59" s="56">
        <f t="shared" ref="P59:P61" si="51">M59-J59</f>
        <v>0</v>
      </c>
      <c r="Q59" s="230">
        <f t="shared" ref="Q59:Q61" si="52">O59-L59</f>
        <v>-0.88811188811207842</v>
      </c>
      <c r="R59" s="52">
        <f t="shared" si="45"/>
        <v>0.99262271275050673</v>
      </c>
      <c r="S59" s="424">
        <f>R69</f>
        <v>0.89845259923583332</v>
      </c>
      <c r="T59" s="245">
        <v>0.29166666666666702</v>
      </c>
      <c r="U59" s="245">
        <v>0.36805555555555602</v>
      </c>
      <c r="V59" s="55"/>
      <c r="W59" s="54">
        <f t="shared" si="19"/>
        <v>110.00000000000017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46"/>
        <v>-11.545454545457005</v>
      </c>
      <c r="AG59" s="246">
        <f t="shared" si="47"/>
        <v>0.99262271275050673</v>
      </c>
      <c r="AH59" s="403">
        <f>AG69</f>
        <v>0.87659218198986111</v>
      </c>
    </row>
    <row r="60" spans="1:34" ht="15" customHeight="1">
      <c r="A60" s="448"/>
      <c r="B60" s="75" t="s">
        <v>132</v>
      </c>
      <c r="C60" s="86"/>
      <c r="D60" s="175" t="s">
        <v>135</v>
      </c>
      <c r="E60" s="87"/>
      <c r="F60" s="75">
        <f>VLOOKUP(D60,廠價表!$C$1:$E$41,3,0)</f>
        <v>28.26</v>
      </c>
      <c r="G60" s="30">
        <v>1701</v>
      </c>
      <c r="H60" s="78">
        <f>F60*G60</f>
        <v>48070.26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8"/>
        <v>130.41666666666666</v>
      </c>
      <c r="M60" s="82">
        <v>12</v>
      </c>
      <c r="N60" s="80">
        <f t="shared" si="49"/>
        <v>1308.4615384615297</v>
      </c>
      <c r="O60" s="81">
        <f t="shared" si="50"/>
        <v>109.03846153846081</v>
      </c>
      <c r="P60" s="74">
        <f t="shared" si="51"/>
        <v>0</v>
      </c>
      <c r="Q60" s="83">
        <f t="shared" si="52"/>
        <v>-21.378205128205849</v>
      </c>
      <c r="R60" s="72">
        <f t="shared" si="45"/>
        <v>0.83607766035880493</v>
      </c>
      <c r="S60" s="451"/>
      <c r="T60" s="22">
        <v>0.37847222222222199</v>
      </c>
      <c r="U60" s="22">
        <v>0.43263888888888902</v>
      </c>
      <c r="V60" s="30">
        <f t="shared" ref="V60:V61" si="53">(T60-U59)*24*60</f>
        <v>14.999999999998987</v>
      </c>
      <c r="W60" s="248">
        <f t="shared" si="19"/>
        <v>78.000000000000526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46"/>
        <v>-256.5384615384703</v>
      </c>
      <c r="AG60" s="249">
        <f t="shared" si="47"/>
        <v>0.83607766035880493</v>
      </c>
      <c r="AH60" s="455"/>
    </row>
    <row r="61" spans="1:34" ht="15" customHeight="1">
      <c r="A61" s="449"/>
      <c r="B61" s="250" t="s">
        <v>132</v>
      </c>
      <c r="C61" s="251"/>
      <c r="D61" s="252" t="s">
        <v>134</v>
      </c>
      <c r="E61" s="253"/>
      <c r="F61" s="250">
        <f>VLOOKUP(D61,廠價表!$C$1:$E$41,3,0)</f>
        <v>28.26</v>
      </c>
      <c r="G61" s="38">
        <v>1191</v>
      </c>
      <c r="H61" s="254">
        <f>F61*G61</f>
        <v>33657.660000000003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8"/>
        <v>130.41666666666666</v>
      </c>
      <c r="M61" s="108">
        <v>11</v>
      </c>
      <c r="N61" s="107">
        <f t="shared" si="49"/>
        <v>1253.6842105263254</v>
      </c>
      <c r="O61" s="238">
        <f t="shared" si="50"/>
        <v>113.97129186602957</v>
      </c>
      <c r="P61" s="111">
        <f t="shared" si="51"/>
        <v>-1</v>
      </c>
      <c r="Q61" s="255">
        <f t="shared" si="52"/>
        <v>-16.445374800637083</v>
      </c>
      <c r="R61" s="85">
        <f>O61/L61</f>
        <v>0.87390127948393292</v>
      </c>
      <c r="S61" s="425"/>
      <c r="T61" s="22">
        <v>0.44305555555555598</v>
      </c>
      <c r="U61" s="22">
        <v>0.48263888888888901</v>
      </c>
      <c r="V61" s="30">
        <f t="shared" si="53"/>
        <v>15.000000000000426</v>
      </c>
      <c r="W61" s="256">
        <f t="shared" si="19"/>
        <v>56.999999999999559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46"/>
        <v>-311.31578947367461</v>
      </c>
      <c r="AG61" s="247">
        <f t="shared" si="47"/>
        <v>0.80107617286027177</v>
      </c>
      <c r="AH61" s="404"/>
    </row>
    <row r="62" spans="1:34" ht="15" customHeight="1">
      <c r="A62" s="44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5"/>
      <c r="T62" s="22"/>
      <c r="U62" s="22"/>
      <c r="V62" s="30"/>
      <c r="W62" s="248">
        <f t="shared" si="19"/>
        <v>0</v>
      </c>
      <c r="X62" s="22"/>
      <c r="Y62" s="84"/>
      <c r="Z62" s="90"/>
      <c r="AA62" s="90"/>
      <c r="AB62" s="395"/>
      <c r="AC62" s="395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9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9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9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9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9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9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4">AVERAGE(J59:J68)</f>
        <v>12.333333333333334</v>
      </c>
      <c r="K69" s="240">
        <f t="shared" si="54"/>
        <v>1565</v>
      </c>
      <c r="L69" s="268">
        <f t="shared" si="54"/>
        <v>127.07264957264958</v>
      </c>
      <c r="M69" s="240">
        <f t="shared" si="54"/>
        <v>12</v>
      </c>
      <c r="N69" s="240">
        <f t="shared" si="54"/>
        <v>1371.8667648141327</v>
      </c>
      <c r="O69" s="268">
        <f t="shared" si="54"/>
        <v>114.16875230033122</v>
      </c>
      <c r="P69" s="269">
        <f>M69-J69</f>
        <v>-0.33333333333333393</v>
      </c>
      <c r="Q69" s="222">
        <f>N69-K69</f>
        <v>-193.13323518586731</v>
      </c>
      <c r="R69" s="123">
        <f>O69/L69</f>
        <v>0.89845259923583332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-193.13323518586731</v>
      </c>
      <c r="AG69" s="124">
        <f>N69/K69</f>
        <v>0.87659218198986111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2283</v>
      </c>
      <c r="H70" s="243">
        <f>F70*G70</f>
        <v>115679.61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1014.6666666666667</v>
      </c>
      <c r="O70" s="138">
        <f>N70/M70</f>
        <v>101.46666666666667</v>
      </c>
      <c r="P70" s="56">
        <f>M70-J70</f>
        <v>0</v>
      </c>
      <c r="Q70" s="230">
        <f>O70-L70</f>
        <v>-11.033333333333331</v>
      </c>
      <c r="R70" s="52">
        <f>O70/L70</f>
        <v>0.90192592592592591</v>
      </c>
      <c r="S70" s="424">
        <f>R79</f>
        <v>0.90192592592592591</v>
      </c>
      <c r="T70" s="245">
        <v>0.33333333333333298</v>
      </c>
      <c r="U70" s="245">
        <v>0.42708333333333298</v>
      </c>
      <c r="V70" s="55"/>
      <c r="W70" s="54">
        <f t="shared" si="19"/>
        <v>135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-110.33333333333326</v>
      </c>
      <c r="AG70" s="246">
        <f>N70/K70</f>
        <v>0.90192592592592602</v>
      </c>
      <c r="AH70" s="403">
        <f>AG79</f>
        <v>0.90192592592592602</v>
      </c>
    </row>
    <row r="71" spans="1:36" ht="15" customHeight="1">
      <c r="A71" s="45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5"/>
      <c r="T71" s="22"/>
      <c r="U71" s="22"/>
      <c r="V71" s="30"/>
      <c r="W71" s="73">
        <f t="shared" si="19"/>
        <v>0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9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9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9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55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9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55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9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55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9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55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9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56">AVERAGE(J70:J78)</f>
        <v>10</v>
      </c>
      <c r="K79" s="240">
        <f t="shared" si="56"/>
        <v>1125</v>
      </c>
      <c r="L79" s="268">
        <f t="shared" si="56"/>
        <v>112.5</v>
      </c>
      <c r="M79" s="240">
        <f t="shared" si="56"/>
        <v>10</v>
      </c>
      <c r="N79" s="240">
        <f t="shared" si="56"/>
        <v>1014.6666666666667</v>
      </c>
      <c r="O79" s="268">
        <f t="shared" si="56"/>
        <v>101.46666666666667</v>
      </c>
      <c r="P79" s="269">
        <f>M79-J79</f>
        <v>0</v>
      </c>
      <c r="Q79" s="222">
        <f>N79-K79</f>
        <v>-110.33333333333326</v>
      </c>
      <c r="R79" s="223">
        <f>O79/L79</f>
        <v>0.90192592592592591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-110.33333333333326</v>
      </c>
      <c r="AG79" s="124">
        <f>N79/K79</f>
        <v>0.90192592592592602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P1:S2"/>
    <mergeCell ref="AB14:AC14"/>
    <mergeCell ref="W3:W4"/>
    <mergeCell ref="X3:Y3"/>
    <mergeCell ref="Z3:AA3"/>
    <mergeCell ref="AB3:AC4"/>
    <mergeCell ref="AB9:AC9"/>
    <mergeCell ref="AB10:AC10"/>
    <mergeCell ref="AB11:AC11"/>
    <mergeCell ref="AH5:AH15"/>
    <mergeCell ref="AB6:AC6"/>
    <mergeCell ref="AB7:AC7"/>
    <mergeCell ref="A16:A26"/>
    <mergeCell ref="S16:S26"/>
    <mergeCell ref="AB16:AC16"/>
    <mergeCell ref="D26:E26"/>
    <mergeCell ref="AB26:AC26"/>
    <mergeCell ref="A5:A15"/>
    <mergeCell ref="S5:S15"/>
    <mergeCell ref="AB5:AC5"/>
    <mergeCell ref="AB12:AC12"/>
    <mergeCell ref="AB13:AC13"/>
    <mergeCell ref="D15:E15"/>
    <mergeCell ref="AB15:AC15"/>
    <mergeCell ref="AB8:AC8"/>
    <mergeCell ref="A2:B2"/>
    <mergeCell ref="A3:A4"/>
    <mergeCell ref="B3:B4"/>
    <mergeCell ref="T1:Y2"/>
    <mergeCell ref="AB1:AC2"/>
    <mergeCell ref="D3:E4"/>
    <mergeCell ref="F3:F4"/>
    <mergeCell ref="G3:G4"/>
    <mergeCell ref="H3:H4"/>
    <mergeCell ref="I3:I4"/>
    <mergeCell ref="N3:N4"/>
    <mergeCell ref="O3:O4"/>
    <mergeCell ref="P3:P4"/>
    <mergeCell ref="Q3:Q4"/>
    <mergeCell ref="R3:R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68" priority="1" operator="greaterThan">
      <formula>0</formula>
    </cfRule>
  </conditionalFormatting>
  <conditionalFormatting sqref="Q5:Q79 AF5:AF79">
    <cfRule type="cellIs" dxfId="167" priority="4" operator="lessThan">
      <formula>0</formula>
    </cfRule>
  </conditionalFormatting>
  <conditionalFormatting sqref="R5:R79 AG5:AG79">
    <cfRule type="cellIs" dxfId="166" priority="2" operator="greaterThan">
      <formula>1</formula>
    </cfRule>
    <cfRule type="cellIs" dxfId="165" priority="3" operator="lessThan">
      <formula>0.8</formula>
    </cfRule>
  </conditionalFormatting>
  <conditionalFormatting sqref="S5:S10 S37:S62 AH59:AH62 S69:S76 AH69:AH76">
    <cfRule type="cellIs" dxfId="164" priority="7" operator="lessThan">
      <formula>0.8</formula>
    </cfRule>
  </conditionalFormatting>
  <conditionalFormatting sqref="S19:S25 AH19:AH25">
    <cfRule type="cellIs" dxfId="163" priority="6" operator="lessThan">
      <formula>0.8</formula>
    </cfRule>
  </conditionalFormatting>
  <conditionalFormatting sqref="S79">
    <cfRule type="cellIs" dxfId="162" priority="5" operator="lessThan">
      <formula>0.8</formula>
    </cfRule>
  </conditionalFormatting>
  <conditionalFormatting sqref="AH5:AH8 S15:S16 AH15:AH16 AH49 AH79">
    <cfRule type="cellIs" dxfId="161" priority="9" operator="lessThan">
      <formula>0.8</formula>
    </cfRule>
  </conditionalFormatting>
  <conditionalFormatting sqref="AH27 S27:S28">
    <cfRule type="cellIs" dxfId="1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0E6C84-D001-4F2D-AE03-BCB235859CF2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9BF04-0356-46FB-A1C5-A2CA18FAB5D2}">
  <dimension ref="B1:O26"/>
  <sheetViews>
    <sheetView zoomScale="70" zoomScaleNormal="70" workbookViewId="0">
      <selection activeCell="N15" sqref="N15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46069</v>
      </c>
      <c r="E3" s="493"/>
      <c r="F3" s="3" t="s">
        <v>72</v>
      </c>
      <c r="G3" s="494">
        <f>'0216'!E1</f>
        <v>47847</v>
      </c>
      <c r="H3" s="494"/>
      <c r="I3" s="3" t="s">
        <v>2</v>
      </c>
      <c r="J3" s="495">
        <f>'0216'!G1</f>
        <v>2306777.04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118.89740631100925</v>
      </c>
      <c r="G6" s="490"/>
      <c r="H6" s="491">
        <f>AVERAGE(D13:H13,J13)</f>
        <v>117.53486576740254</v>
      </c>
      <c r="I6" s="491"/>
      <c r="J6" s="491">
        <f>AVERAGE(I13)</f>
        <v>127.07264957264958</v>
      </c>
      <c r="K6" s="491"/>
      <c r="L6" s="497">
        <f>SUM(D18:J18)</f>
        <v>1</v>
      </c>
      <c r="M6" s="482">
        <f>SUM(D19:J19)</f>
        <v>6</v>
      </c>
      <c r="N6" s="498">
        <f>SUM(D20:J20)</f>
        <v>1</v>
      </c>
      <c r="O6" s="482">
        <f>SUM(D20:J20)</f>
        <v>1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110.72399949090614</v>
      </c>
      <c r="G7" s="479"/>
      <c r="H7" s="480">
        <f>AVERAGE(D14:H14,J14)</f>
        <v>110.4807966088545</v>
      </c>
      <c r="I7" s="480"/>
      <c r="J7" s="480">
        <f>AVERAGE(I14)</f>
        <v>112.18321678321593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0.9312566432380931</v>
      </c>
      <c r="G8" s="485"/>
      <c r="H8" s="485">
        <f>H7/H6</f>
        <v>0.93998317765123596</v>
      </c>
      <c r="I8" s="485"/>
      <c r="J8" s="485">
        <f>J7/J6</f>
        <v>0.8828273996056003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VALUE('0216'!L15)</f>
        <v>144.15120663650075</v>
      </c>
      <c r="E13" s="13">
        <f>VALUE('0216'!L26)</f>
        <v>176.42992424242425</v>
      </c>
      <c r="F13" s="13">
        <f>VALUE('0216'!L37)</f>
        <v>96.1111111111111</v>
      </c>
      <c r="G13" s="13">
        <f>VALUE('0216'!L48)</f>
        <v>87.336397058823522</v>
      </c>
      <c r="H13" s="13">
        <f>VALUE('0216'!L58)</f>
        <v>88.680555555555571</v>
      </c>
      <c r="I13" s="13">
        <f>VALUE('0216'!L69)</f>
        <v>127.07264957264958</v>
      </c>
      <c r="J13" s="13">
        <f>'0216'!L79</f>
        <v>112.5</v>
      </c>
    </row>
    <row r="14" spans="2:15" ht="39.950000000000003" customHeight="1">
      <c r="B14" s="473"/>
      <c r="C14" s="12" t="s">
        <v>100</v>
      </c>
      <c r="D14" s="13">
        <f>VALUE('0216'!O15)</f>
        <v>139.72476108828704</v>
      </c>
      <c r="E14" s="13">
        <f>VALUE('0216'!O26)</f>
        <v>170.78350505877086</v>
      </c>
      <c r="F14" s="13">
        <f>VALUE('0216'!O37)</f>
        <v>84.758326051559379</v>
      </c>
      <c r="G14" s="13">
        <f>VALUE('0216'!O48)</f>
        <v>82.493738438771629</v>
      </c>
      <c r="H14" s="13">
        <f>VALUE('0216'!O58)</f>
        <v>87.838734730024697</v>
      </c>
      <c r="I14" s="13">
        <f>VALUE('0216'!O69)</f>
        <v>112.18321678321593</v>
      </c>
      <c r="J14" s="13">
        <f>'0216'!O79</f>
        <v>97.285714285713453</v>
      </c>
    </row>
    <row r="15" spans="2:15" ht="39.950000000000003" customHeight="1">
      <c r="B15" s="474"/>
      <c r="C15" s="10" t="s">
        <v>26</v>
      </c>
      <c r="D15" s="14">
        <f>D14/D13</f>
        <v>0.96929303852880211</v>
      </c>
      <c r="E15" s="14">
        <f t="shared" ref="E15:I15" si="1">E14/E13</f>
        <v>0.96799625002448619</v>
      </c>
      <c r="F15" s="14">
        <f t="shared" si="1"/>
        <v>0.88187853695264107</v>
      </c>
      <c r="G15" s="14">
        <f t="shared" si="1"/>
        <v>0.94455165563115429</v>
      </c>
      <c r="H15" s="14">
        <f t="shared" si="1"/>
        <v>0.99050726712009041</v>
      </c>
      <c r="I15" s="14">
        <f t="shared" si="1"/>
        <v>0.8828273996056003</v>
      </c>
      <c r="J15" s="15">
        <f>'0216'!S70</f>
        <v>0.8647619047618974</v>
      </c>
    </row>
    <row r="16" spans="2:15" ht="17.25" customHeight="1">
      <c r="B16" s="475" t="s">
        <v>101</v>
      </c>
      <c r="C16" s="10" t="s">
        <v>34</v>
      </c>
      <c r="D16" s="16">
        <f>'0216'!T5</f>
        <v>0.29166666666666702</v>
      </c>
      <c r="E16" s="16">
        <f>'0216'!T16</f>
        <v>0.29097222222222202</v>
      </c>
      <c r="F16" s="16">
        <f>'0216'!T27</f>
        <v>0.29166666666666702</v>
      </c>
      <c r="G16" s="16">
        <f>'0216'!T38</f>
        <v>0.33333333333333298</v>
      </c>
      <c r="H16" s="16">
        <f>'0216'!T49</f>
        <v>0.29097222222222202</v>
      </c>
      <c r="I16" s="16">
        <f>'0216'!T59</f>
        <v>0.29166666666666702</v>
      </c>
      <c r="J16" s="16">
        <f>'0216'!T70</f>
        <v>0.33333333333333298</v>
      </c>
    </row>
    <row r="17" spans="2:10" ht="17.25" customHeight="1">
      <c r="B17" s="476"/>
      <c r="C17" s="10" t="s">
        <v>35</v>
      </c>
      <c r="D17" s="16">
        <v>0.61041666666666705</v>
      </c>
      <c r="E17" s="19">
        <v>0.57847222222222205</v>
      </c>
      <c r="F17" s="19">
        <v>0.46388888888888902</v>
      </c>
      <c r="G17" s="210">
        <v>0.62222222222222201</v>
      </c>
      <c r="H17" s="21">
        <v>0.59861111111111098</v>
      </c>
      <c r="I17" s="22">
        <v>0.48263888888888901</v>
      </c>
      <c r="J17" s="272">
        <v>0.43055555555555602</v>
      </c>
    </row>
    <row r="18" spans="2:10" ht="17.25" customHeight="1">
      <c r="B18" s="477" t="s">
        <v>102</v>
      </c>
      <c r="C18" s="330" t="s">
        <v>36</v>
      </c>
      <c r="D18" s="358">
        <f>'0216'!Z15</f>
        <v>0</v>
      </c>
      <c r="E18" s="359">
        <f>'0216'!Z26</f>
        <v>0</v>
      </c>
      <c r="F18" s="359">
        <f>'0216'!Z37</f>
        <v>0</v>
      </c>
      <c r="G18" s="360">
        <f>'0216'!Z48</f>
        <v>1</v>
      </c>
      <c r="H18" s="360">
        <f>'0216'!Z58</f>
        <v>0</v>
      </c>
      <c r="I18" s="359">
        <f>'0216'!Z69</f>
        <v>0</v>
      </c>
      <c r="J18" s="359">
        <f>'0216'!AA79</f>
        <v>0</v>
      </c>
    </row>
    <row r="19" spans="2:10" ht="17.25" customHeight="1">
      <c r="B19" s="478"/>
      <c r="C19" s="330" t="s">
        <v>37</v>
      </c>
      <c r="D19" s="358">
        <f>'0216'!AA15</f>
        <v>0</v>
      </c>
      <c r="E19" s="359">
        <f>'0216'!AA26</f>
        <v>0</v>
      </c>
      <c r="F19" s="359">
        <f>'0216'!AA37</f>
        <v>0</v>
      </c>
      <c r="G19" s="360">
        <f>'0216'!AA48</f>
        <v>6</v>
      </c>
      <c r="H19" s="360">
        <f>'0216'!AA58</f>
        <v>0</v>
      </c>
      <c r="I19" s="359">
        <f>'0216'!AA69</f>
        <v>0</v>
      </c>
      <c r="J19" s="359">
        <f>'0216'!AB79</f>
        <v>0</v>
      </c>
    </row>
    <row r="20" spans="2:10" ht="17.25" customHeight="1">
      <c r="B20" s="477" t="s">
        <v>103</v>
      </c>
      <c r="C20" s="330" t="s">
        <v>36</v>
      </c>
      <c r="D20" s="358">
        <f>'0216'!AD15</f>
        <v>1</v>
      </c>
      <c r="E20" s="359">
        <f>'0216'!AD26</f>
        <v>0</v>
      </c>
      <c r="F20" s="359">
        <f>'0216'!AD37</f>
        <v>0</v>
      </c>
      <c r="G20" s="360">
        <f>'0216'!AD48</f>
        <v>0</v>
      </c>
      <c r="H20" s="360">
        <f>'0216'!AD58</f>
        <v>0</v>
      </c>
      <c r="I20" s="359">
        <f>'0216'!AD69</f>
        <v>0</v>
      </c>
      <c r="J20" s="359">
        <f>'0216'!AD79</f>
        <v>0</v>
      </c>
    </row>
    <row r="21" spans="2:10" ht="17.25" customHeight="1">
      <c r="B21" s="478"/>
      <c r="C21" s="330" t="s">
        <v>85</v>
      </c>
      <c r="D21" s="358">
        <f>'0216'!AE15</f>
        <v>1</v>
      </c>
      <c r="E21" s="359">
        <f>'0216'!AE26</f>
        <v>0</v>
      </c>
      <c r="F21" s="359">
        <f>'0216'!AE37</f>
        <v>0</v>
      </c>
      <c r="G21" s="360">
        <f>'0216'!AE48</f>
        <v>0</v>
      </c>
      <c r="H21" s="360">
        <f>'0216'!AE58</f>
        <v>0</v>
      </c>
      <c r="I21" s="359">
        <f>'0216'!AE69</f>
        <v>0</v>
      </c>
      <c r="J21" s="359">
        <f>'0216'!AE79</f>
        <v>0</v>
      </c>
    </row>
    <row r="22" spans="2:10" ht="17.25" customHeight="1">
      <c r="B22" s="460" t="s">
        <v>104</v>
      </c>
      <c r="C22" s="461"/>
      <c r="D22" s="23">
        <f>VALUE('0216'!M15)</f>
        <v>13.6</v>
      </c>
      <c r="E22" s="23">
        <f>VALUE('0216'!M26)</f>
        <v>11.5</v>
      </c>
      <c r="F22" s="23">
        <f>VALUE('0216'!M37)</f>
        <v>14.333333333333334</v>
      </c>
      <c r="G22" s="23">
        <f>VALUE('0216'!M48)</f>
        <v>16.5</v>
      </c>
      <c r="H22" s="23">
        <f>VALUE('0216'!M58)</f>
        <v>16.75</v>
      </c>
      <c r="I22" s="23">
        <f>VALUE('0216'!M69)</f>
        <v>12</v>
      </c>
      <c r="J22" s="23">
        <f>'0216'!M79</f>
        <v>10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B811-B489-493A-842D-FCF2C18A8249}">
  <sheetPr>
    <tabColor theme="9" tint="0.79998168889431442"/>
  </sheetPr>
  <dimension ref="A1:AJ92"/>
  <sheetViews>
    <sheetView zoomScale="69" zoomScaleNormal="69" workbookViewId="0">
      <pane xSplit="5" ySplit="4" topLeftCell="L47" activePane="bottomRight" state="frozen"/>
      <selection activeCell="N15" sqref="N15"/>
      <selection pane="topRight" activeCell="N15" sqref="N15"/>
      <selection pane="bottomLeft" activeCell="N15" sqref="N15"/>
      <selection pane="bottomRight" activeCell="X61" sqref="X61:Y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47847</v>
      </c>
      <c r="F1" s="30" t="s">
        <v>2</v>
      </c>
      <c r="G1" s="31">
        <f>SUM(H5:H79)</f>
        <v>2306777.04</v>
      </c>
      <c r="H1" s="32" t="s">
        <v>3</v>
      </c>
      <c r="I1" s="33">
        <f>M15+M26+M48+M58+M69+M79+M37</f>
        <v>94.683333333333323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187</v>
      </c>
      <c r="B2" s="374"/>
      <c r="C2" s="28"/>
      <c r="D2" s="28" t="s">
        <v>14</v>
      </c>
      <c r="E2" s="35">
        <f>AVERAGE(O15,O26,O37,O48,O58,O69,O79)</f>
        <v>110.72399949090614</v>
      </c>
      <c r="F2" s="36" t="s">
        <v>15</v>
      </c>
      <c r="G2" s="37">
        <f>G1/E1</f>
        <v>48.21152924948273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1</v>
      </c>
      <c r="AA2" s="339">
        <f>AA15+AA26+AA37+AA48+AA58+AA69+AA79</f>
        <v>6</v>
      </c>
      <c r="AB2" s="370"/>
      <c r="AC2" s="370"/>
      <c r="AD2" s="340">
        <f>AD15+AD26+AD37+AD48+AD58+AD69+AD79</f>
        <v>1</v>
      </c>
      <c r="AE2" s="340">
        <f>AE15+AE26+AE37+AE48+AE58+AE69+AE79</f>
        <v>1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1539</v>
      </c>
      <c r="H5" s="43">
        <f>F5*G5</f>
        <v>88046.19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9" si="0">K5/J5</f>
        <v>175.41666666666666</v>
      </c>
      <c r="M5" s="48">
        <v>12</v>
      </c>
      <c r="N5" s="46">
        <f t="shared" ref="N5:N9" si="1">G5/W5*60</f>
        <v>1964.6808510638232</v>
      </c>
      <c r="O5" s="47">
        <f t="shared" ref="O5:O9" si="2">N5/M5</f>
        <v>163.7234042553186</v>
      </c>
      <c r="P5" s="49">
        <f t="shared" ref="P5:P9" si="3">M5-J5</f>
        <v>0</v>
      </c>
      <c r="Q5" s="50">
        <f t="shared" ref="Q5:Q9" si="4">O5-L5</f>
        <v>-11.693262411348059</v>
      </c>
      <c r="R5" s="51">
        <f t="shared" ref="R5:R9" si="5">O5/L5</f>
        <v>0.93334007176428657</v>
      </c>
      <c r="S5" s="424">
        <f>R15</f>
        <v>0.96929303852880211</v>
      </c>
      <c r="T5" s="319">
        <v>0.29166666666666702</v>
      </c>
      <c r="U5" s="320">
        <v>0.32430555555555601</v>
      </c>
      <c r="V5" s="53"/>
      <c r="W5" s="54">
        <f t="shared" ref="W5:W14" si="6">(U5-T5)*24*60</f>
        <v>47.000000000000156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11" si="7">N5-K5</f>
        <v>-140.31914893617682</v>
      </c>
      <c r="AG5" s="52">
        <f t="shared" ref="AG5:AG11" si="8">N5/K5</f>
        <v>0.93334007176428657</v>
      </c>
      <c r="AH5" s="403">
        <f>AG15</f>
        <v>0.94762846107305521</v>
      </c>
    </row>
    <row r="6" spans="1:34" ht="15" customHeight="1">
      <c r="A6" s="421"/>
      <c r="B6" s="57" t="s">
        <v>81</v>
      </c>
      <c r="C6" s="58"/>
      <c r="D6" s="59" t="s">
        <v>113</v>
      </c>
      <c r="E6" s="60"/>
      <c r="F6" s="61">
        <f>VLOOKUP(D6,廠價表!$C$1:$E$41,3,0)</f>
        <v>57.21</v>
      </c>
      <c r="G6" s="62">
        <v>1418</v>
      </c>
      <c r="H6" s="63">
        <f>F6*G6</f>
        <v>81123.78</v>
      </c>
      <c r="I6" s="64"/>
      <c r="J6" s="65">
        <f>VLOOKUP(D6,產線配置圖!$A$3:$C$39,2,0)</f>
        <v>17</v>
      </c>
      <c r="K6" s="66">
        <f>VLOOKUP(D6,產線配置圖!$A$3:$C$39,3,0)</f>
        <v>2000</v>
      </c>
      <c r="L6" s="67">
        <f t="shared" si="0"/>
        <v>117.64705882352941</v>
      </c>
      <c r="M6" s="68">
        <v>15</v>
      </c>
      <c r="N6" s="66">
        <f t="shared" si="1"/>
        <v>1736.3265306122339</v>
      </c>
      <c r="O6" s="67">
        <f t="shared" si="2"/>
        <v>115.7551020408156</v>
      </c>
      <c r="P6" s="69">
        <f t="shared" si="3"/>
        <v>-2</v>
      </c>
      <c r="Q6" s="70">
        <f t="shared" si="4"/>
        <v>-1.8919567827138053</v>
      </c>
      <c r="R6" s="71">
        <f t="shared" si="5"/>
        <v>0.98391836734693261</v>
      </c>
      <c r="S6" s="425"/>
      <c r="T6" s="16">
        <v>0.33263888888888898</v>
      </c>
      <c r="U6" s="16">
        <v>0.36666666666666697</v>
      </c>
      <c r="V6" s="30">
        <f>(T6-U5)*24*60</f>
        <v>11.999999999999478</v>
      </c>
      <c r="W6" s="73">
        <f t="shared" si="6"/>
        <v>49.000000000000306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-263.67346938776609</v>
      </c>
      <c r="AG6" s="72">
        <f t="shared" si="8"/>
        <v>0.86816326530611698</v>
      </c>
      <c r="AH6" s="404"/>
    </row>
    <row r="7" spans="1:34" ht="15" customHeight="1">
      <c r="A7" s="421"/>
      <c r="B7" s="75" t="s">
        <v>81</v>
      </c>
      <c r="C7" s="76"/>
      <c r="D7" s="59" t="s">
        <v>114</v>
      </c>
      <c r="E7" s="77"/>
      <c r="F7" s="75">
        <f>VLOOKUP(D7,廠價表!$C$1:$E$41,3,0)</f>
        <v>56.28</v>
      </c>
      <c r="G7" s="66">
        <v>1300</v>
      </c>
      <c r="H7" s="78">
        <f>F7*G7</f>
        <v>73164</v>
      </c>
      <c r="I7" s="73"/>
      <c r="J7" s="79">
        <f>VLOOKUP(D7,產線配置圖!$A$3:$C$39,2,0)</f>
        <v>15</v>
      </c>
      <c r="K7" s="80">
        <f>VLOOKUP(D7,產線配置圖!$A$3:$C$39,3,0)</f>
        <v>1800</v>
      </c>
      <c r="L7" s="81">
        <f t="shared" si="0"/>
        <v>120</v>
      </c>
      <c r="M7" s="82">
        <v>15</v>
      </c>
      <c r="N7" s="80">
        <f t="shared" si="1"/>
        <v>1772.7272727273048</v>
      </c>
      <c r="O7" s="81">
        <f t="shared" si="2"/>
        <v>118.18181818182032</v>
      </c>
      <c r="P7" s="74">
        <f t="shared" si="3"/>
        <v>0</v>
      </c>
      <c r="Q7" s="83">
        <f t="shared" si="4"/>
        <v>-1.8181818181796814</v>
      </c>
      <c r="R7" s="72">
        <f t="shared" si="5"/>
        <v>0.98484848484850263</v>
      </c>
      <c r="S7" s="425"/>
      <c r="T7" s="18">
        <v>0.374305555555556</v>
      </c>
      <c r="U7" s="18">
        <v>0.40486111111111101</v>
      </c>
      <c r="V7" s="30">
        <f>(T7-U6)*24*60</f>
        <v>11.000000000000201</v>
      </c>
      <c r="W7" s="73">
        <f t="shared" si="6"/>
        <v>43.999999999999204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-27.272727272695192</v>
      </c>
      <c r="AG7" s="72">
        <f t="shared" si="8"/>
        <v>0.98484848484850263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2586</v>
      </c>
      <c r="H8" s="78">
        <f t="shared" ref="H8:H9" si="9">F8*G8</f>
        <v>127076.04000000001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1915.5555555555547</v>
      </c>
      <c r="O8" s="81">
        <f t="shared" si="2"/>
        <v>147.35042735042728</v>
      </c>
      <c r="P8" s="74">
        <f t="shared" si="3"/>
        <v>0</v>
      </c>
      <c r="Q8" s="83">
        <f t="shared" si="4"/>
        <v>-6.4957264957265579</v>
      </c>
      <c r="R8" s="72">
        <f t="shared" si="5"/>
        <v>0.95777777777777739</v>
      </c>
      <c r="S8" s="425"/>
      <c r="T8" s="16">
        <v>0.420833333333333</v>
      </c>
      <c r="U8" s="16">
        <v>0.47708333333333303</v>
      </c>
      <c r="V8" s="30">
        <f t="shared" ref="V8:V9" si="10">(T8-U7)*24*60</f>
        <v>22.99999999999968</v>
      </c>
      <c r="W8" s="73">
        <f t="shared" si="6"/>
        <v>81.000000000000028</v>
      </c>
      <c r="X8" s="22"/>
      <c r="Y8" s="84"/>
      <c r="Z8" s="90"/>
      <c r="AA8" s="90"/>
      <c r="AB8" s="407"/>
      <c r="AC8" s="407"/>
      <c r="AD8" s="149"/>
      <c r="AE8" s="149"/>
      <c r="AF8" s="307">
        <f t="shared" si="7"/>
        <v>-84.444444444445253</v>
      </c>
      <c r="AG8" s="72">
        <f t="shared" si="8"/>
        <v>0.95777777777777739</v>
      </c>
      <c r="AH8" s="404"/>
    </row>
    <row r="9" spans="1:34" ht="15" customHeight="1">
      <c r="A9" s="422"/>
      <c r="B9" s="75" t="s">
        <v>81</v>
      </c>
      <c r="C9" s="76"/>
      <c r="D9" s="59" t="s">
        <v>115</v>
      </c>
      <c r="E9" s="77"/>
      <c r="F9" s="75">
        <f>VLOOKUP(D9,廠價表!$C$1:$E$41,3,0)</f>
        <v>49.14</v>
      </c>
      <c r="G9" s="66">
        <v>3295</v>
      </c>
      <c r="H9" s="78">
        <f t="shared" si="9"/>
        <v>161916.29999999999</v>
      </c>
      <c r="I9" s="73"/>
      <c r="J9" s="79">
        <f>VLOOKUP(D9,產線配置圖!$A$3:$C$39,2,0)</f>
        <v>13</v>
      </c>
      <c r="K9" s="80">
        <f>VLOOKUP(D9,產線配置圖!$A$3:$C$39,3,0)</f>
        <v>2000</v>
      </c>
      <c r="L9" s="81">
        <f t="shared" si="0"/>
        <v>153.84615384615384</v>
      </c>
      <c r="M9" s="82">
        <v>13</v>
      </c>
      <c r="N9" s="80">
        <f t="shared" si="1"/>
        <v>1996.9696969696945</v>
      </c>
      <c r="O9" s="81">
        <f t="shared" si="2"/>
        <v>153.61305361305341</v>
      </c>
      <c r="P9" s="74">
        <f t="shared" si="3"/>
        <v>0</v>
      </c>
      <c r="Q9" s="83">
        <f t="shared" si="4"/>
        <v>-0.23310023310042993</v>
      </c>
      <c r="R9" s="72">
        <f t="shared" si="5"/>
        <v>0.9984848484848472</v>
      </c>
      <c r="S9" s="426"/>
      <c r="T9" s="16">
        <v>0.54166666666666696</v>
      </c>
      <c r="U9" s="16">
        <v>0.61041666666666705</v>
      </c>
      <c r="V9" s="30">
        <f t="shared" si="10"/>
        <v>93.000000000000867</v>
      </c>
      <c r="W9" s="73">
        <f t="shared" si="6"/>
        <v>99.000000000000128</v>
      </c>
      <c r="X9" s="22">
        <v>0.48611111111111099</v>
      </c>
      <c r="Y9" s="84">
        <v>0.52777777777777801</v>
      </c>
      <c r="Z9" s="90"/>
      <c r="AA9" s="90"/>
      <c r="AB9" s="407" t="s">
        <v>188</v>
      </c>
      <c r="AC9" s="407"/>
      <c r="AD9" s="149">
        <v>1</v>
      </c>
      <c r="AE9" s="149">
        <v>1</v>
      </c>
      <c r="AF9" s="307">
        <f t="shared" si="7"/>
        <v>-3.0303030303055039</v>
      </c>
      <c r="AG9" s="72">
        <f t="shared" si="8"/>
        <v>0.9984848484848472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1">AVERAGE(J5:J14)</f>
        <v>14</v>
      </c>
      <c r="K15" s="120">
        <f t="shared" si="11"/>
        <v>1981</v>
      </c>
      <c r="L15" s="117">
        <f t="shared" si="11"/>
        <v>144.15120663650075</v>
      </c>
      <c r="M15" s="120">
        <f t="shared" si="11"/>
        <v>13.6</v>
      </c>
      <c r="N15" s="120">
        <f t="shared" si="11"/>
        <v>1877.2519813857223</v>
      </c>
      <c r="O15" s="117">
        <f t="shared" si="11"/>
        <v>139.72476108828704</v>
      </c>
      <c r="P15" s="121">
        <f t="shared" ref="P15:P19" si="12">M15-J15</f>
        <v>-0.40000000000000036</v>
      </c>
      <c r="Q15" s="122">
        <f t="shared" ref="Q15:Q19" si="13">O15-L15</f>
        <v>-4.4264455482137066</v>
      </c>
      <c r="R15" s="123">
        <f t="shared" ref="R15:R19" si="14">O15/L15</f>
        <v>0.96929303852880211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1</v>
      </c>
      <c r="AE15" s="323">
        <f>SUM(AE5:AE14)</f>
        <v>1</v>
      </c>
      <c r="AF15" s="309">
        <f t="shared" ref="AF15:AF19" si="15">N15-K15</f>
        <v>-103.74801861427773</v>
      </c>
      <c r="AG15" s="124">
        <f t="shared" ref="AG15:AG19" si="16">N15/K15</f>
        <v>0.94762846107305521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1715</v>
      </c>
      <c r="H16" s="134">
        <f>F16*G16</f>
        <v>98115.150000000009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19" si="17">K16/J16</f>
        <v>175.41666666666666</v>
      </c>
      <c r="M16" s="139">
        <v>12</v>
      </c>
      <c r="N16" s="140">
        <f t="shared" ref="N16:N19" si="18">G16/W16*60</f>
        <v>1978.8461538461609</v>
      </c>
      <c r="O16" s="141">
        <f>N16/M16</f>
        <v>164.90384615384673</v>
      </c>
      <c r="P16" s="142">
        <f>M16-J16</f>
        <v>0</v>
      </c>
      <c r="Q16" s="143">
        <f t="shared" si="13"/>
        <v>-10.512820512819928</v>
      </c>
      <c r="R16" s="144">
        <f>O16/L16</f>
        <v>0.94006943175589586</v>
      </c>
      <c r="S16" s="417">
        <f>R26</f>
        <v>0.96799625002448619</v>
      </c>
      <c r="T16" s="145">
        <v>0.29097222222222202</v>
      </c>
      <c r="U16" s="145">
        <v>0.327083333333333</v>
      </c>
      <c r="V16" s="135"/>
      <c r="W16" s="146">
        <f t="shared" ref="W16:W78" si="19">(U16-T16)*24*60</f>
        <v>51.999999999999815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5"/>
        <v>-126.15384615383914</v>
      </c>
      <c r="AG16" s="52">
        <f t="shared" si="16"/>
        <v>0.94006943175589586</v>
      </c>
      <c r="AH16" s="403">
        <f>AG26</f>
        <v>0.96779445136776354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3259</v>
      </c>
      <c r="H17" s="78">
        <f>F17*G17</f>
        <v>165133.53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7"/>
        <v>166.66666666666666</v>
      </c>
      <c r="M17" s="148">
        <v>12</v>
      </c>
      <c r="N17" s="95">
        <f>G17/W17*60</f>
        <v>1975.1515151515141</v>
      </c>
      <c r="O17" s="96">
        <f t="shared" ref="O17:O19" si="20">N17/M17</f>
        <v>164.5959595959595</v>
      </c>
      <c r="P17" s="97">
        <f t="shared" si="12"/>
        <v>0</v>
      </c>
      <c r="Q17" s="98">
        <f t="shared" si="13"/>
        <v>-2.070707070707158</v>
      </c>
      <c r="R17" s="99">
        <f t="shared" si="14"/>
        <v>0.987575757575757</v>
      </c>
      <c r="S17" s="418"/>
      <c r="T17" s="19">
        <v>0.33541666666666697</v>
      </c>
      <c r="U17" s="19">
        <v>0.40416666666666701</v>
      </c>
      <c r="V17" s="30">
        <f>(T17-U16)*24*60</f>
        <v>12.000000000000917</v>
      </c>
      <c r="W17" s="149">
        <f t="shared" si="19"/>
        <v>99.000000000000043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5"/>
        <v>-24.848484848485896</v>
      </c>
      <c r="AG17" s="72">
        <f t="shared" si="16"/>
        <v>0.98757575757575711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3048</v>
      </c>
      <c r="H18" s="78">
        <f>F18*G18</f>
        <v>153588.72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7"/>
        <v>181.81818181818181</v>
      </c>
      <c r="M18" s="148">
        <v>11</v>
      </c>
      <c r="N18" s="95">
        <f t="shared" si="18"/>
        <v>1945.5319148936089</v>
      </c>
      <c r="O18" s="96">
        <f t="shared" si="20"/>
        <v>176.86653771760081</v>
      </c>
      <c r="P18" s="97">
        <f t="shared" si="12"/>
        <v>0</v>
      </c>
      <c r="Q18" s="98">
        <f t="shared" si="13"/>
        <v>-4.9516441005810066</v>
      </c>
      <c r="R18" s="99">
        <f t="shared" si="14"/>
        <v>0.9727659574468045</v>
      </c>
      <c r="S18" s="418"/>
      <c r="T18" s="19">
        <v>0.41249999999999998</v>
      </c>
      <c r="U18" s="19">
        <v>0.47777777777777802</v>
      </c>
      <c r="V18" s="30">
        <f>(T18-U17)*24*60</f>
        <v>11.999999999999478</v>
      </c>
      <c r="W18" s="149">
        <f t="shared" si="19"/>
        <v>94.000000000000384</v>
      </c>
      <c r="X18" s="22"/>
      <c r="Y18" s="84"/>
      <c r="Z18" s="90"/>
      <c r="AA18" s="90"/>
      <c r="AB18" s="395"/>
      <c r="AC18" s="395"/>
      <c r="AD18" s="92"/>
      <c r="AE18" s="92"/>
      <c r="AF18" s="307">
        <f t="shared" si="15"/>
        <v>-54.468085106391072</v>
      </c>
      <c r="AG18" s="72">
        <f t="shared" si="16"/>
        <v>0.9727659574468045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1750</v>
      </c>
      <c r="H19" s="78">
        <f>F19*G19</f>
        <v>88182.5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7"/>
        <v>181.81818181818181</v>
      </c>
      <c r="M19" s="148">
        <v>11</v>
      </c>
      <c r="N19" s="95">
        <f t="shared" si="18"/>
        <v>1944.44444444444</v>
      </c>
      <c r="O19" s="96">
        <f t="shared" si="20"/>
        <v>176.76767676767636</v>
      </c>
      <c r="P19" s="97">
        <f t="shared" si="12"/>
        <v>0</v>
      </c>
      <c r="Q19" s="98">
        <f t="shared" si="13"/>
        <v>-5.0505050505054498</v>
      </c>
      <c r="R19" s="99">
        <f t="shared" si="14"/>
        <v>0.97222222222221999</v>
      </c>
      <c r="S19" s="418"/>
      <c r="T19" s="19">
        <v>0.54097222222222197</v>
      </c>
      <c r="U19" s="19">
        <v>0.57847222222222205</v>
      </c>
      <c r="V19" s="30">
        <f>(T19-U18)*24*60</f>
        <v>90.999999999999275</v>
      </c>
      <c r="W19" s="149">
        <f t="shared" si="19"/>
        <v>54.000000000000128</v>
      </c>
      <c r="X19" s="22">
        <v>0.48611111111111099</v>
      </c>
      <c r="Y19" s="84">
        <v>0.52777777777777801</v>
      </c>
      <c r="Z19" s="90"/>
      <c r="AA19" s="90"/>
      <c r="AB19" s="407"/>
      <c r="AC19" s="407"/>
      <c r="AD19" s="149"/>
      <c r="AE19" s="149"/>
      <c r="AF19" s="307">
        <f t="shared" si="15"/>
        <v>-55.555555555559977</v>
      </c>
      <c r="AG19" s="72">
        <f t="shared" si="16"/>
        <v>0.97222222222221999</v>
      </c>
      <c r="AH19" s="405"/>
    </row>
    <row r="20" spans="1:34" ht="15" customHeight="1">
      <c r="A20" s="414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8"/>
      <c r="T20" s="19"/>
      <c r="U20" s="19"/>
      <c r="V20" s="30"/>
      <c r="W20" s="149">
        <f t="shared" si="19"/>
        <v>0</v>
      </c>
      <c r="X20" s="19"/>
      <c r="Y20" s="297"/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50"/>
      <c r="U21" s="150"/>
      <c r="V21" s="30"/>
      <c r="W21" s="149">
        <f t="shared" si="19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9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21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9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21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9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2">AVERAGE(J16:J25)</f>
        <v>11.5</v>
      </c>
      <c r="K26" s="155">
        <f t="shared" si="22"/>
        <v>2026.25</v>
      </c>
      <c r="L26" s="158">
        <f t="shared" si="22"/>
        <v>176.42992424242425</v>
      </c>
      <c r="M26" s="155">
        <f t="shared" si="22"/>
        <v>11.5</v>
      </c>
      <c r="N26" s="155">
        <f t="shared" si="22"/>
        <v>1960.9935070839308</v>
      </c>
      <c r="O26" s="158">
        <f t="shared" si="22"/>
        <v>170.78350505877086</v>
      </c>
      <c r="P26" s="159">
        <f t="shared" ref="P26:P29" si="23">M26-J26</f>
        <v>0</v>
      </c>
      <c r="Q26" s="160">
        <f t="shared" ref="Q26:Q29" si="24">O26-L26</f>
        <v>-5.6464191836533928</v>
      </c>
      <c r="R26" s="161">
        <f>O26/L26</f>
        <v>0.96799625002448619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0</v>
      </c>
      <c r="AE26" s="323">
        <f>SUM(AE16:AE25)</f>
        <v>0</v>
      </c>
      <c r="AF26" s="309">
        <f t="shared" ref="AF26:AF31" si="25">N26-K26</f>
        <v>-65.256492916069192</v>
      </c>
      <c r="AG26" s="124">
        <f t="shared" ref="AG26:AG31" si="26">N26/K26</f>
        <v>0.96779445136776354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1408</v>
      </c>
      <c r="H27" s="134">
        <f>F27*G27</f>
        <v>80678.399999999994</v>
      </c>
      <c r="I27" s="135"/>
      <c r="J27" s="136">
        <v>15</v>
      </c>
      <c r="K27" s="137">
        <f>VLOOKUP(D27,產線配置圖!$A$3:$C$39,3,0)</f>
        <v>1500</v>
      </c>
      <c r="L27" s="138">
        <f t="shared" ref="L27:L29" si="27">K27/J27</f>
        <v>100</v>
      </c>
      <c r="M27" s="170">
        <v>15</v>
      </c>
      <c r="N27" s="140">
        <f>G27/W27*60</f>
        <v>1482.1052631579084</v>
      </c>
      <c r="O27" s="141">
        <f>N27/M27</f>
        <v>98.807017543860567</v>
      </c>
      <c r="P27" s="142">
        <f t="shared" si="23"/>
        <v>0</v>
      </c>
      <c r="Q27" s="143">
        <f t="shared" si="24"/>
        <v>-1.1929824561394327</v>
      </c>
      <c r="R27" s="144">
        <f>O27/L27</f>
        <v>0.98807017543860565</v>
      </c>
      <c r="S27" s="417">
        <f>R37</f>
        <v>0.88187853695264107</v>
      </c>
      <c r="T27" s="171">
        <v>0.29166666666666702</v>
      </c>
      <c r="U27" s="171">
        <v>0.33124999999999999</v>
      </c>
      <c r="V27" s="135"/>
      <c r="W27" s="146">
        <f t="shared" si="19"/>
        <v>56.999999999999474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5"/>
        <v>-17.894736842091561</v>
      </c>
      <c r="AG27" s="172">
        <f t="shared" si="26"/>
        <v>0.98807017543860565</v>
      </c>
      <c r="AH27" s="403">
        <f>AG37</f>
        <v>0.84573433433444956</v>
      </c>
    </row>
    <row r="28" spans="1:34" ht="15" customHeight="1">
      <c r="A28" s="430"/>
      <c r="B28" s="75" t="s">
        <v>81</v>
      </c>
      <c r="C28" s="173"/>
      <c r="D28" s="59" t="s">
        <v>122</v>
      </c>
      <c r="E28" s="104"/>
      <c r="F28" s="75">
        <f>VLOOKUP(D28,廠價表!$C$1:$E$41,3,0)</f>
        <v>55.13</v>
      </c>
      <c r="G28" s="90">
        <v>1304</v>
      </c>
      <c r="H28" s="91">
        <f>F28*G28</f>
        <v>71889.52</v>
      </c>
      <c r="I28" s="92"/>
      <c r="J28" s="79">
        <v>15</v>
      </c>
      <c r="K28" s="80">
        <f>VLOOKUP(D28,產線配置圖!$A$3:$C$39,3,0)</f>
        <v>1385</v>
      </c>
      <c r="L28" s="93">
        <f t="shared" si="27"/>
        <v>92.333333333333329</v>
      </c>
      <c r="M28" s="94">
        <v>13</v>
      </c>
      <c r="N28" s="95">
        <f>G28/W28*60</f>
        <v>1016.1038961039009</v>
      </c>
      <c r="O28" s="96">
        <f>N28/M28</f>
        <v>78.161838161838531</v>
      </c>
      <c r="P28" s="97">
        <f t="shared" si="23"/>
        <v>-2</v>
      </c>
      <c r="Q28" s="98">
        <f t="shared" si="24"/>
        <v>-14.171495171494797</v>
      </c>
      <c r="R28" s="99">
        <f t="shared" ref="R28:R29" si="28">O28/L28</f>
        <v>0.84651810283579643</v>
      </c>
      <c r="S28" s="418"/>
      <c r="T28" s="19">
        <v>0.33680555555555602</v>
      </c>
      <c r="U28" s="19">
        <v>0.390277777777778</v>
      </c>
      <c r="V28" s="92">
        <f>(T28-U27)*24*60</f>
        <v>8.000000000000691</v>
      </c>
      <c r="W28" s="149">
        <f t="shared" si="19"/>
        <v>76.999999999999645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5"/>
        <v>-368.89610389609913</v>
      </c>
      <c r="AG28" s="99">
        <f t="shared" si="26"/>
        <v>0.73364902245769015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1894</v>
      </c>
      <c r="H29" s="91">
        <f>F29*G29</f>
        <v>93790.88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7"/>
        <v>96</v>
      </c>
      <c r="M29" s="94">
        <v>15</v>
      </c>
      <c r="N29" s="95">
        <f>G29/W29*60</f>
        <v>1159.5918367346856</v>
      </c>
      <c r="O29" s="96">
        <f>N29/M29</f>
        <v>77.306122448979039</v>
      </c>
      <c r="P29" s="97">
        <f t="shared" si="23"/>
        <v>0</v>
      </c>
      <c r="Q29" s="98">
        <f t="shared" si="24"/>
        <v>-18.693877551020961</v>
      </c>
      <c r="R29" s="99">
        <f t="shared" si="28"/>
        <v>0.80527210884353162</v>
      </c>
      <c r="S29" s="418"/>
      <c r="T29" s="19">
        <v>0.39583333333333298</v>
      </c>
      <c r="U29" s="19">
        <v>0.46388888888888902</v>
      </c>
      <c r="V29" s="92">
        <f>(T29-U28)*24*60</f>
        <v>7.9999999999991722</v>
      </c>
      <c r="W29" s="149">
        <f t="shared" si="19"/>
        <v>98.000000000000696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5"/>
        <v>-280.40816326531444</v>
      </c>
      <c r="AG29" s="99">
        <f t="shared" si="26"/>
        <v>0.80527210884353162</v>
      </c>
      <c r="AH29" s="432"/>
    </row>
    <row r="30" spans="1:34" ht="15" customHeight="1">
      <c r="A30" s="430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418"/>
      <c r="T30" s="19"/>
      <c r="U30" s="19"/>
      <c r="V30" s="92"/>
      <c r="W30" s="149">
        <f t="shared" si="19"/>
        <v>0</v>
      </c>
      <c r="X30" s="174"/>
      <c r="Y30" s="301"/>
      <c r="Z30" s="335"/>
      <c r="AA30" s="335"/>
      <c r="AB30" s="395"/>
      <c r="AC30" s="395"/>
      <c r="AD30" s="92"/>
      <c r="AE30" s="92"/>
      <c r="AF30" s="312">
        <f t="shared" si="25"/>
        <v>0</v>
      </c>
      <c r="AG30" s="99" t="e">
        <f t="shared" si="26"/>
        <v>#DIV/0!</v>
      </c>
      <c r="AH30" s="433"/>
    </row>
    <row r="31" spans="1:34" ht="15" customHeight="1">
      <c r="A31" s="43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8"/>
      <c r="T31" s="19"/>
      <c r="U31" s="19"/>
      <c r="V31" s="92"/>
      <c r="W31" s="149">
        <f t="shared" si="19"/>
        <v>0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5"/>
        <v>0</v>
      </c>
      <c r="AG31" s="99" t="e">
        <f t="shared" si="26"/>
        <v>#DIV/0!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50"/>
      <c r="U32" s="150"/>
      <c r="V32" s="92"/>
      <c r="W32" s="149">
        <f t="shared" si="19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9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9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9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29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9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0">AVERAGE(J27:J36)</f>
        <v>15</v>
      </c>
      <c r="K37" s="155">
        <f t="shared" si="30"/>
        <v>1441.6666666666667</v>
      </c>
      <c r="L37" s="158">
        <f t="shared" si="30"/>
        <v>96.1111111111111</v>
      </c>
      <c r="M37" s="155">
        <f t="shared" si="30"/>
        <v>14.333333333333334</v>
      </c>
      <c r="N37" s="155">
        <f t="shared" si="30"/>
        <v>1219.2669986654982</v>
      </c>
      <c r="O37" s="158">
        <f t="shared" si="30"/>
        <v>84.758326051559379</v>
      </c>
      <c r="P37" s="159">
        <f>M37-J37</f>
        <v>-0.66666666666666607</v>
      </c>
      <c r="Q37" s="160">
        <f>N37-K37</f>
        <v>-222.39966800116849</v>
      </c>
      <c r="R37" s="161">
        <f t="shared" ref="R37:R41" si="31">O37/L37</f>
        <v>0.88187853695264107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2">N37-K37</f>
        <v>-222.39966800116849</v>
      </c>
      <c r="AG37" s="124">
        <f t="shared" ref="AG37:AG41" si="33">N37/K37</f>
        <v>0.84573433433444956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1056</v>
      </c>
      <c r="H38" s="134">
        <f>F38*G38</f>
        <v>59590.080000000002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1" si="34">K38/J38</f>
        <v>87.875</v>
      </c>
      <c r="M38" s="190">
        <v>15</v>
      </c>
      <c r="N38" s="140">
        <f>G38/W38*60</f>
        <v>1151.9999999999823</v>
      </c>
      <c r="O38" s="141">
        <f>N38/M38</f>
        <v>76.799999999998818</v>
      </c>
      <c r="P38" s="142">
        <f t="shared" ref="P38:P41" si="35">M38-J38</f>
        <v>-1</v>
      </c>
      <c r="Q38" s="143">
        <f t="shared" ref="Q38:Q41" si="36">O38-L38</f>
        <v>-11.075000000001182</v>
      </c>
      <c r="R38" s="144">
        <f>O38/L38</f>
        <v>0.8739687055476395</v>
      </c>
      <c r="S38" s="437">
        <f>R48</f>
        <v>0.94455165563115429</v>
      </c>
      <c r="T38" s="191">
        <v>0.33333333333333298</v>
      </c>
      <c r="U38" s="191">
        <v>0.37152777777777801</v>
      </c>
      <c r="V38" s="192"/>
      <c r="W38" s="193">
        <f t="shared" si="19"/>
        <v>55.000000000000846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2"/>
        <v>-254.00000000001774</v>
      </c>
      <c r="AG38" s="195">
        <f t="shared" si="33"/>
        <v>0.81934566145091203</v>
      </c>
      <c r="AH38" s="443">
        <f>AG48</f>
        <v>0.93248576548222062</v>
      </c>
    </row>
    <row r="39" spans="1:34" ht="15" customHeight="1">
      <c r="A39" s="435"/>
      <c r="B39" s="75" t="s">
        <v>123</v>
      </c>
      <c r="C39" s="197"/>
      <c r="D39" s="198" t="s">
        <v>127</v>
      </c>
      <c r="E39" s="176"/>
      <c r="F39" s="75">
        <f>VLOOKUP(D39,廠價表!$C$1:$E$41,3,0)</f>
        <v>49.91</v>
      </c>
      <c r="G39" s="199">
        <v>1835</v>
      </c>
      <c r="H39" s="91">
        <f>F39*G39</f>
        <v>91584.849999999991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4"/>
        <v>92.058823529411768</v>
      </c>
      <c r="M39" s="201">
        <v>17</v>
      </c>
      <c r="N39" s="202">
        <f>G39/W39*60</f>
        <v>1529.166666666667</v>
      </c>
      <c r="O39" s="203">
        <f t="shared" ref="O39:O41" si="37">N39/M39</f>
        <v>89.950980392156879</v>
      </c>
      <c r="P39" s="97">
        <f t="shared" si="35"/>
        <v>0</v>
      </c>
      <c r="Q39" s="98">
        <f t="shared" si="36"/>
        <v>-2.1078431372548891</v>
      </c>
      <c r="R39" s="99">
        <f t="shared" si="31"/>
        <v>0.97710330138445167</v>
      </c>
      <c r="S39" s="438"/>
      <c r="T39" s="20">
        <v>0.37708333333333299</v>
      </c>
      <c r="U39" s="20">
        <v>0.42708333333333298</v>
      </c>
      <c r="V39" s="92">
        <f>(T39-U38)*24*60</f>
        <v>7.9999999999991722</v>
      </c>
      <c r="W39" s="205">
        <f t="shared" si="19"/>
        <v>71.999999999999986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2"/>
        <v>-35.83333333333303</v>
      </c>
      <c r="AG39" s="206">
        <f t="shared" si="33"/>
        <v>0.97710330138445178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1677</v>
      </c>
      <c r="H40" s="91">
        <f>F40*G40</f>
        <v>74291.099999999991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4"/>
        <v>84.705882352941174</v>
      </c>
      <c r="M40" s="201">
        <v>17</v>
      </c>
      <c r="N40" s="202">
        <f>G40/W40*60</f>
        <v>1341.6000000000092</v>
      </c>
      <c r="O40" s="203">
        <f t="shared" si="37"/>
        <v>78.917647058824073</v>
      </c>
      <c r="P40" s="97">
        <f t="shared" si="35"/>
        <v>0</v>
      </c>
      <c r="Q40" s="98">
        <f t="shared" si="36"/>
        <v>-5.7882352941171007</v>
      </c>
      <c r="R40" s="99">
        <f t="shared" si="31"/>
        <v>0.93166666666667308</v>
      </c>
      <c r="S40" s="425"/>
      <c r="T40" s="20">
        <v>0.43055555555555602</v>
      </c>
      <c r="U40" s="20">
        <v>0.48263888888888901</v>
      </c>
      <c r="V40" s="92">
        <f>(T40-U39)*24*60</f>
        <v>5.0000000000011813</v>
      </c>
      <c r="W40" s="205">
        <f t="shared" si="19"/>
        <v>74.999999999999488</v>
      </c>
      <c r="X40" s="208"/>
      <c r="Y40" s="209"/>
      <c r="Z40" s="337">
        <v>1</v>
      </c>
      <c r="AA40" s="337">
        <v>6</v>
      </c>
      <c r="AB40" s="395" t="s">
        <v>177</v>
      </c>
      <c r="AC40" s="395"/>
      <c r="AD40" s="92"/>
      <c r="AE40" s="92"/>
      <c r="AF40" s="314">
        <f t="shared" si="32"/>
        <v>-98.399999999990769</v>
      </c>
      <c r="AG40" s="206">
        <f t="shared" si="33"/>
        <v>0.93166666666667308</v>
      </c>
      <c r="AH40" s="444"/>
    </row>
    <row r="41" spans="1:34" ht="15" customHeight="1">
      <c r="A41" s="435"/>
      <c r="B41" s="75" t="s">
        <v>123</v>
      </c>
      <c r="C41" s="207"/>
      <c r="D41" s="198" t="s">
        <v>128</v>
      </c>
      <c r="E41" s="178"/>
      <c r="F41" s="75">
        <f>VLOOKUP(D41,廠價表!$C$1:$E$41,3,0)</f>
        <v>44.3</v>
      </c>
      <c r="G41" s="199">
        <v>2532</v>
      </c>
      <c r="H41" s="91">
        <f>F41*G41</f>
        <v>112167.59999999999</v>
      </c>
      <c r="I41" s="200"/>
      <c r="J41" s="148">
        <f>VLOOKUP(D41,產線配置圖!$A$3:$C$39,2,0)</f>
        <v>17</v>
      </c>
      <c r="K41" s="95">
        <f>VLOOKUP(D41,產線配置圖!$A$3:$C$39,3,0)</f>
        <v>1440</v>
      </c>
      <c r="L41" s="96">
        <f t="shared" si="34"/>
        <v>84.705882352941174</v>
      </c>
      <c r="M41" s="201">
        <v>17</v>
      </c>
      <c r="N41" s="202">
        <f>G41/W41*60</f>
        <v>1433.207547169814</v>
      </c>
      <c r="O41" s="203">
        <f t="shared" si="37"/>
        <v>84.306326304106705</v>
      </c>
      <c r="P41" s="97">
        <f t="shared" si="35"/>
        <v>0</v>
      </c>
      <c r="Q41" s="98">
        <f t="shared" si="36"/>
        <v>-0.39955604883446938</v>
      </c>
      <c r="R41" s="99">
        <f t="shared" si="31"/>
        <v>0.99528301886792636</v>
      </c>
      <c r="S41" s="425"/>
      <c r="T41" s="210">
        <v>0.54861111111111105</v>
      </c>
      <c r="U41" s="210">
        <v>0.62222222222222201</v>
      </c>
      <c r="V41" s="92">
        <f>(T41-U40)*24*60</f>
        <v>94.999999999999744</v>
      </c>
      <c r="W41" s="205">
        <f t="shared" si="19"/>
        <v>105.99999999999979</v>
      </c>
      <c r="X41" s="22">
        <v>0.48611111111111099</v>
      </c>
      <c r="Y41" s="84">
        <v>0.52777777777777801</v>
      </c>
      <c r="Z41" s="337"/>
      <c r="AA41" s="337"/>
      <c r="AB41" s="395"/>
      <c r="AC41" s="395"/>
      <c r="AD41" s="92"/>
      <c r="AE41" s="92"/>
      <c r="AF41" s="314">
        <f t="shared" si="32"/>
        <v>-6.7924528301859937</v>
      </c>
      <c r="AG41" s="206">
        <f t="shared" si="33"/>
        <v>0.99528301886792636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9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8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8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8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29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8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39">AVERAGE(J38:J47)</f>
        <v>16.75</v>
      </c>
      <c r="K48" s="155">
        <f t="shared" si="39"/>
        <v>1462.75</v>
      </c>
      <c r="L48" s="158">
        <f t="shared" si="39"/>
        <v>87.336397058823522</v>
      </c>
      <c r="M48" s="155">
        <f t="shared" si="39"/>
        <v>16.5</v>
      </c>
      <c r="N48" s="155">
        <f t="shared" si="39"/>
        <v>1363.9935534591182</v>
      </c>
      <c r="O48" s="158">
        <f t="shared" si="39"/>
        <v>82.493738438771629</v>
      </c>
      <c r="P48" s="221">
        <f>M48-J48</f>
        <v>-0.25</v>
      </c>
      <c r="Q48" s="222">
        <f>N48-K48</f>
        <v>-98.756446540881825</v>
      </c>
      <c r="R48" s="223">
        <f>O48/L48</f>
        <v>0.94455165563115429</v>
      </c>
      <c r="S48" s="428"/>
      <c r="T48" s="224"/>
      <c r="U48" s="224"/>
      <c r="V48" s="225"/>
      <c r="W48" s="226">
        <f t="shared" si="38"/>
        <v>0</v>
      </c>
      <c r="X48" s="227"/>
      <c r="Y48" s="303"/>
      <c r="Z48" s="334">
        <f>SUM(Z38:Z47)</f>
        <v>1</v>
      </c>
      <c r="AA48" s="334">
        <f>SUM(AA38:AA47)</f>
        <v>6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40">N48-K48</f>
        <v>-98.756446540881825</v>
      </c>
      <c r="AG48" s="162">
        <f t="shared" ref="AG48:AG53" si="41">N48/K48</f>
        <v>0.93248576548222062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768</v>
      </c>
      <c r="H49" s="134">
        <f>F49*G49</f>
        <v>43676.159999999996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2">K49/J49</f>
        <v>86.944444444444443</v>
      </c>
      <c r="M49" s="170">
        <v>17</v>
      </c>
      <c r="N49" s="140">
        <f>G49/W49*60</f>
        <v>1440.0000000000159</v>
      </c>
      <c r="O49" s="141">
        <f>N49/M49</f>
        <v>84.705882352942112</v>
      </c>
      <c r="P49" s="229">
        <f>M49-J49</f>
        <v>-1</v>
      </c>
      <c r="Q49" s="230">
        <f>O49-L49</f>
        <v>-2.238562091502331</v>
      </c>
      <c r="R49" s="52">
        <f>O49/L49</f>
        <v>0.97425295996994121</v>
      </c>
      <c r="S49" s="424">
        <f>R58</f>
        <v>0.99050726712009041</v>
      </c>
      <c r="T49" s="191">
        <v>0.29097222222222202</v>
      </c>
      <c r="U49" s="191">
        <v>0.313194444444444</v>
      </c>
      <c r="V49" s="55"/>
      <c r="W49" s="193">
        <f t="shared" si="19"/>
        <v>31.999999999999645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40"/>
        <v>-124.99999999998408</v>
      </c>
      <c r="AG49" s="52">
        <f t="shared" si="41"/>
        <v>0.92012779552716673</v>
      </c>
      <c r="AH49" s="403">
        <f>AG58</f>
        <v>0.94822048653425495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2120</v>
      </c>
      <c r="H50" s="231">
        <f>F50*G50</f>
        <v>101145.2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2"/>
        <v>90</v>
      </c>
      <c r="M50" s="233">
        <v>16</v>
      </c>
      <c r="N50" s="234">
        <f>G50/W50*60</f>
        <v>1429.2134831460571</v>
      </c>
      <c r="O50" s="235">
        <f>N50/M50</f>
        <v>89.32584269662857</v>
      </c>
      <c r="P50" s="74">
        <f>M50-J50</f>
        <v>0</v>
      </c>
      <c r="Q50" s="83">
        <f>O50-L50</f>
        <v>-0.67415730337143032</v>
      </c>
      <c r="R50" s="72">
        <f>O50/L50</f>
        <v>0.99250936329587303</v>
      </c>
      <c r="S50" s="425"/>
      <c r="T50" s="21">
        <v>0.31944444444444398</v>
      </c>
      <c r="U50" s="21">
        <v>0.38124999999999998</v>
      </c>
      <c r="V50" s="30">
        <f t="shared" ref="V50:V52" si="43">(T50-U49)*24*60</f>
        <v>8.999999999999968</v>
      </c>
      <c r="W50" s="236">
        <f t="shared" si="19"/>
        <v>89.000000000000639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0"/>
        <v>-10.786516853942885</v>
      </c>
      <c r="AG50" s="72">
        <f t="shared" si="41"/>
        <v>0.99250936329587303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3469</v>
      </c>
      <c r="H51" s="231">
        <f>F51*G51</f>
        <v>173345.93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2"/>
        <v>88.888888888888886</v>
      </c>
      <c r="M51" s="233">
        <v>17</v>
      </c>
      <c r="N51" s="234">
        <f>G51/W51*60</f>
        <v>1508.260869565207</v>
      </c>
      <c r="O51" s="235">
        <f>N51/M51</f>
        <v>88.721227621482768</v>
      </c>
      <c r="P51" s="74">
        <f>M51-J51</f>
        <v>-1</v>
      </c>
      <c r="Q51" s="83">
        <f>O51-L51</f>
        <v>-0.16766126740611753</v>
      </c>
      <c r="R51" s="72">
        <f>O51/L51</f>
        <v>0.99811381074168115</v>
      </c>
      <c r="S51" s="425"/>
      <c r="T51" s="21">
        <v>0.38819444444444401</v>
      </c>
      <c r="U51" s="19">
        <v>0.484027777777778</v>
      </c>
      <c r="V51" s="30">
        <f t="shared" si="43"/>
        <v>9.9999999999994049</v>
      </c>
      <c r="W51" s="236">
        <f t="shared" si="19"/>
        <v>138.00000000000094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40"/>
        <v>-91.739130434792969</v>
      </c>
      <c r="AG51" s="72">
        <f t="shared" si="41"/>
        <v>0.94266304347825436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1933</v>
      </c>
      <c r="H52" s="231">
        <f>F52*G52</f>
        <v>96592.01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2"/>
        <v>88.888888888888886</v>
      </c>
      <c r="M52" s="233">
        <v>17</v>
      </c>
      <c r="N52" s="234">
        <f>G52/W52*60</f>
        <v>1506.2337662337716</v>
      </c>
      <c r="O52" s="235">
        <f>N52/M52</f>
        <v>88.601986249045382</v>
      </c>
      <c r="P52" s="74">
        <f>M52-J52</f>
        <v>-1</v>
      </c>
      <c r="Q52" s="83">
        <f>O52-L52</f>
        <v>-0.28690263984350395</v>
      </c>
      <c r="R52" s="72">
        <f>O52/L52</f>
        <v>0.99677234530176062</v>
      </c>
      <c r="S52" s="425"/>
      <c r="T52" s="21">
        <v>0.54513888888888895</v>
      </c>
      <c r="U52" s="21">
        <v>0.59861111111111098</v>
      </c>
      <c r="V52" s="30">
        <f t="shared" si="43"/>
        <v>87.999999999999773</v>
      </c>
      <c r="W52" s="236">
        <f t="shared" si="19"/>
        <v>76.99999999999973</v>
      </c>
      <c r="X52" s="22">
        <v>0.48611111111111099</v>
      </c>
      <c r="Y52" s="84">
        <v>0.52777777777777801</v>
      </c>
      <c r="Z52" s="90"/>
      <c r="AA52" s="90"/>
      <c r="AB52" s="395"/>
      <c r="AC52" s="395"/>
      <c r="AD52" s="92"/>
      <c r="AE52" s="92"/>
      <c r="AF52" s="307">
        <f t="shared" si="40"/>
        <v>-93.766233766228424</v>
      </c>
      <c r="AG52" s="72">
        <f t="shared" si="41"/>
        <v>0.94139610389610728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9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40"/>
        <v>0</v>
      </c>
      <c r="AG53" s="72" t="e">
        <f t="shared" si="41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9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9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9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9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4">AVERAGE(J49:J57)</f>
        <v>17.5</v>
      </c>
      <c r="K58" s="120">
        <f t="shared" si="44"/>
        <v>1551.25</v>
      </c>
      <c r="L58" s="117">
        <f t="shared" si="44"/>
        <v>88.680555555555571</v>
      </c>
      <c r="M58" s="120">
        <f t="shared" si="44"/>
        <v>16.75</v>
      </c>
      <c r="N58" s="120">
        <f t="shared" si="44"/>
        <v>1470.927029736263</v>
      </c>
      <c r="O58" s="117">
        <f t="shared" si="44"/>
        <v>87.838734730024697</v>
      </c>
      <c r="P58" s="121">
        <f>M58-J58</f>
        <v>-0.75</v>
      </c>
      <c r="Q58" s="122">
        <f>N58-K58</f>
        <v>-80.322970263737034</v>
      </c>
      <c r="R58" s="123">
        <f t="shared" ref="R58:R60" si="45">O58/L58</f>
        <v>0.99050726712009041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46">N58-K58</f>
        <v>-80.322970263737034</v>
      </c>
      <c r="AG58" s="124">
        <f t="shared" ref="AG58:AG61" si="47">N58/K58</f>
        <v>0.94822048653425495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2838</v>
      </c>
      <c r="H59" s="243">
        <f>F59*G59</f>
        <v>76597.62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48">K59/J59</f>
        <v>120.38461538461539</v>
      </c>
      <c r="M59" s="244">
        <v>13</v>
      </c>
      <c r="N59" s="137">
        <f t="shared" ref="N59:N61" si="49">G59/W59*60</f>
        <v>1547.9999999999977</v>
      </c>
      <c r="O59" s="138">
        <f t="shared" ref="O59:O61" si="50">N59/M59</f>
        <v>119.0769230769229</v>
      </c>
      <c r="P59" s="56">
        <f t="shared" ref="P59:P61" si="51">M59-J59</f>
        <v>0</v>
      </c>
      <c r="Q59" s="230">
        <f t="shared" ref="Q59:Q61" si="52">O59-L59</f>
        <v>-1.3076923076924913</v>
      </c>
      <c r="R59" s="52">
        <f t="shared" si="45"/>
        <v>0.98913738019169173</v>
      </c>
      <c r="S59" s="424">
        <f>R69</f>
        <v>0.8828273996056003</v>
      </c>
      <c r="T59" s="245">
        <v>0.29166666666666702</v>
      </c>
      <c r="U59" s="245">
        <v>0.36805555555555602</v>
      </c>
      <c r="V59" s="55"/>
      <c r="W59" s="54">
        <f t="shared" si="19"/>
        <v>110.00000000000017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46"/>
        <v>-17.000000000002274</v>
      </c>
      <c r="AG59" s="246">
        <f t="shared" si="47"/>
        <v>0.98913738019169184</v>
      </c>
      <c r="AH59" s="403">
        <f>AG69</f>
        <v>0.86270500532480732</v>
      </c>
    </row>
    <row r="60" spans="1:34" ht="15" customHeight="1">
      <c r="A60" s="448"/>
      <c r="B60" s="75" t="s">
        <v>132</v>
      </c>
      <c r="C60" s="86"/>
      <c r="D60" s="175" t="s">
        <v>135</v>
      </c>
      <c r="E60" s="87"/>
      <c r="F60" s="75">
        <f>VLOOKUP(D60,廠價表!$C$1:$E$41,3,0)</f>
        <v>28.26</v>
      </c>
      <c r="G60" s="30">
        <v>1653</v>
      </c>
      <c r="H60" s="78">
        <f>F60*G60</f>
        <v>46713.780000000006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8"/>
        <v>130.41666666666666</v>
      </c>
      <c r="M60" s="82">
        <v>12</v>
      </c>
      <c r="N60" s="80">
        <f t="shared" si="49"/>
        <v>1322.3999999999824</v>
      </c>
      <c r="O60" s="81">
        <f t="shared" si="50"/>
        <v>110.19999999999852</v>
      </c>
      <c r="P60" s="74">
        <f t="shared" si="51"/>
        <v>0</v>
      </c>
      <c r="Q60" s="83">
        <f t="shared" si="52"/>
        <v>-20.216666666668132</v>
      </c>
      <c r="R60" s="72">
        <f t="shared" si="45"/>
        <v>0.84498402555909413</v>
      </c>
      <c r="S60" s="451"/>
      <c r="T60" s="22">
        <v>0.37847222222222199</v>
      </c>
      <c r="U60" s="22">
        <v>0.43055555555555602</v>
      </c>
      <c r="V60" s="30">
        <f t="shared" ref="V60:V61" si="53">(T60-U59)*24*60</f>
        <v>14.999999999998987</v>
      </c>
      <c r="W60" s="248">
        <f t="shared" si="19"/>
        <v>75.000000000001009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46"/>
        <v>-242.60000000001764</v>
      </c>
      <c r="AG60" s="249">
        <f t="shared" si="47"/>
        <v>0.84498402555909413</v>
      </c>
      <c r="AH60" s="455"/>
    </row>
    <row r="61" spans="1:34" ht="15" customHeight="1">
      <c r="A61" s="449"/>
      <c r="B61" s="250" t="s">
        <v>132</v>
      </c>
      <c r="C61" s="251"/>
      <c r="D61" s="252" t="s">
        <v>134</v>
      </c>
      <c r="E61" s="253"/>
      <c r="F61" s="250">
        <f>VLOOKUP(D61,廠價表!$C$1:$E$41,3,0)</f>
        <v>28.26</v>
      </c>
      <c r="G61" s="38">
        <v>1180</v>
      </c>
      <c r="H61" s="254">
        <f>F61*G61</f>
        <v>33346.800000000003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8"/>
        <v>130.41666666666666</v>
      </c>
      <c r="M61" s="108">
        <v>11</v>
      </c>
      <c r="N61" s="107">
        <f t="shared" si="49"/>
        <v>1179.99999999999</v>
      </c>
      <c r="O61" s="238">
        <f t="shared" si="50"/>
        <v>107.27272727272636</v>
      </c>
      <c r="P61" s="111">
        <f t="shared" si="51"/>
        <v>-1</v>
      </c>
      <c r="Q61" s="255">
        <f t="shared" si="52"/>
        <v>-23.1439393939403</v>
      </c>
      <c r="R61" s="85">
        <f>O61/L61</f>
        <v>0.82253848388032991</v>
      </c>
      <c r="S61" s="425"/>
      <c r="T61" s="22">
        <v>0.44097222222222199</v>
      </c>
      <c r="U61" s="22">
        <v>0.48263888888888901</v>
      </c>
      <c r="V61" s="30">
        <f t="shared" si="53"/>
        <v>14.999999999998987</v>
      </c>
      <c r="W61" s="256">
        <f t="shared" si="19"/>
        <v>60.000000000000504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46"/>
        <v>-385.00000000001</v>
      </c>
      <c r="AG61" s="247">
        <f t="shared" si="47"/>
        <v>0.75399361022363576</v>
      </c>
      <c r="AH61" s="404"/>
    </row>
    <row r="62" spans="1:34" ht="15" customHeight="1">
      <c r="A62" s="44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5"/>
      <c r="T62" s="22"/>
      <c r="U62" s="22"/>
      <c r="V62" s="30"/>
      <c r="W62" s="248">
        <f t="shared" si="19"/>
        <v>0</v>
      </c>
      <c r="X62" s="22"/>
      <c r="Y62" s="84"/>
      <c r="Z62" s="90"/>
      <c r="AA62" s="90"/>
      <c r="AB62" s="395"/>
      <c r="AC62" s="395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9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9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9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9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9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9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4">AVERAGE(J59:J68)</f>
        <v>12.333333333333334</v>
      </c>
      <c r="K69" s="240">
        <f t="shared" si="54"/>
        <v>1565</v>
      </c>
      <c r="L69" s="268">
        <f t="shared" si="54"/>
        <v>127.07264957264958</v>
      </c>
      <c r="M69" s="240">
        <f t="shared" si="54"/>
        <v>12</v>
      </c>
      <c r="N69" s="240">
        <f t="shared" si="54"/>
        <v>1350.1333333333234</v>
      </c>
      <c r="O69" s="268">
        <f t="shared" si="54"/>
        <v>112.18321678321593</v>
      </c>
      <c r="P69" s="269">
        <f>M69-J69</f>
        <v>-0.33333333333333393</v>
      </c>
      <c r="Q69" s="222">
        <f>N69-K69</f>
        <v>-214.86666666667657</v>
      </c>
      <c r="R69" s="123">
        <f>O69/L69</f>
        <v>0.8828273996056003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-214.86666666667657</v>
      </c>
      <c r="AG69" s="124">
        <f>N69/K69</f>
        <v>0.86270500532480732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2270</v>
      </c>
      <c r="H70" s="243">
        <f>F70*G70</f>
        <v>115020.90000000001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972.85714285713459</v>
      </c>
      <c r="O70" s="138">
        <f>N70/M70</f>
        <v>97.285714285713453</v>
      </c>
      <c r="P70" s="56">
        <f>M70-J70</f>
        <v>0</v>
      </c>
      <c r="Q70" s="230">
        <f>O70-L70</f>
        <v>-15.214285714286547</v>
      </c>
      <c r="R70" s="52">
        <f>O70/L70</f>
        <v>0.8647619047618974</v>
      </c>
      <c r="S70" s="424">
        <f>R79</f>
        <v>0.8647619047618974</v>
      </c>
      <c r="T70" s="245">
        <v>0.33333333333333298</v>
      </c>
      <c r="U70" s="245">
        <v>0.43055555555555602</v>
      </c>
      <c r="V70" s="55"/>
      <c r="W70" s="54">
        <f t="shared" si="19"/>
        <v>140.00000000000119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-152.14285714286541</v>
      </c>
      <c r="AG70" s="246">
        <f>N70/K70</f>
        <v>0.8647619047618974</v>
      </c>
      <c r="AH70" s="403">
        <f>AG79</f>
        <v>0.8647619047618974</v>
      </c>
    </row>
    <row r="71" spans="1:36" ht="15" customHeight="1">
      <c r="A71" s="45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5"/>
      <c r="T71" s="22"/>
      <c r="U71" s="22"/>
      <c r="V71" s="30"/>
      <c r="W71" s="73">
        <f t="shared" si="19"/>
        <v>0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9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9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9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9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ref="H76:H78" si="55"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9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55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9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55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9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56">AVERAGE(J70:J78)</f>
        <v>10</v>
      </c>
      <c r="K79" s="240">
        <f t="shared" si="56"/>
        <v>1125</v>
      </c>
      <c r="L79" s="268">
        <f t="shared" si="56"/>
        <v>112.5</v>
      </c>
      <c r="M79" s="240">
        <f t="shared" si="56"/>
        <v>10</v>
      </c>
      <c r="N79" s="240">
        <f t="shared" si="56"/>
        <v>972.85714285713459</v>
      </c>
      <c r="O79" s="268">
        <f t="shared" si="56"/>
        <v>97.285714285713453</v>
      </c>
      <c r="P79" s="269">
        <f>M79-J79</f>
        <v>0</v>
      </c>
      <c r="Q79" s="222">
        <f>N79-K79</f>
        <v>-152.14285714286541</v>
      </c>
      <c r="R79" s="223">
        <f>O79/L79</f>
        <v>0.8647619047618974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-152.14285714286541</v>
      </c>
      <c r="AG79" s="124">
        <f>N79/K79</f>
        <v>0.8647619047618974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P1:S2"/>
    <mergeCell ref="AB14:AC14"/>
    <mergeCell ref="W3:W4"/>
    <mergeCell ref="X3:Y3"/>
    <mergeCell ref="Z3:AA3"/>
    <mergeCell ref="AB3:AC4"/>
    <mergeCell ref="AB9:AC9"/>
    <mergeCell ref="AB10:AC10"/>
    <mergeCell ref="AB11:AC11"/>
    <mergeCell ref="AH5:AH15"/>
    <mergeCell ref="AB6:AC6"/>
    <mergeCell ref="AB7:AC7"/>
    <mergeCell ref="A16:A26"/>
    <mergeCell ref="S16:S26"/>
    <mergeCell ref="AB16:AC16"/>
    <mergeCell ref="D26:E26"/>
    <mergeCell ref="AB26:AC26"/>
    <mergeCell ref="A5:A15"/>
    <mergeCell ref="S5:S15"/>
    <mergeCell ref="AB5:AC5"/>
    <mergeCell ref="AB12:AC12"/>
    <mergeCell ref="AB13:AC13"/>
    <mergeCell ref="D15:E15"/>
    <mergeCell ref="AB15:AC15"/>
    <mergeCell ref="AB8:AC8"/>
    <mergeCell ref="A2:B2"/>
    <mergeCell ref="A3:A4"/>
    <mergeCell ref="B3:B4"/>
    <mergeCell ref="T1:Y2"/>
    <mergeCell ref="AB1:AC2"/>
    <mergeCell ref="D3:E4"/>
    <mergeCell ref="F3:F4"/>
    <mergeCell ref="G3:G4"/>
    <mergeCell ref="H3:H4"/>
    <mergeCell ref="I3:I4"/>
    <mergeCell ref="N3:N4"/>
    <mergeCell ref="O3:O4"/>
    <mergeCell ref="P3:P4"/>
    <mergeCell ref="Q3:Q4"/>
    <mergeCell ref="R3:R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158" priority="1" operator="greaterThan">
      <formula>0</formula>
    </cfRule>
  </conditionalFormatting>
  <conditionalFormatting sqref="Q5:Q79 AF5:AF79">
    <cfRule type="cellIs" dxfId="157" priority="4" operator="lessThan">
      <formula>0</formula>
    </cfRule>
  </conditionalFormatting>
  <conditionalFormatting sqref="R5:R79 AG5:AG79">
    <cfRule type="cellIs" dxfId="156" priority="2" operator="greaterThan">
      <formula>1</formula>
    </cfRule>
    <cfRule type="cellIs" dxfId="155" priority="3" operator="lessThan">
      <formula>0.8</formula>
    </cfRule>
  </conditionalFormatting>
  <conditionalFormatting sqref="S5:S10 S37:S62 AH59:AH62 S69:S76 AH69:AH76">
    <cfRule type="cellIs" dxfId="154" priority="7" operator="lessThan">
      <formula>0.8</formula>
    </cfRule>
  </conditionalFormatting>
  <conditionalFormatting sqref="S19:S25 AH19:AH25">
    <cfRule type="cellIs" dxfId="153" priority="6" operator="lessThan">
      <formula>0.8</formula>
    </cfRule>
  </conditionalFormatting>
  <conditionalFormatting sqref="S79">
    <cfRule type="cellIs" dxfId="152" priority="5" operator="lessThan">
      <formula>0.8</formula>
    </cfRule>
  </conditionalFormatting>
  <conditionalFormatting sqref="AH5:AH8 S15:S16 AH15:AH16 AH49 AH79">
    <cfRule type="cellIs" dxfId="151" priority="9" operator="lessThan">
      <formula>0.8</formula>
    </cfRule>
  </conditionalFormatting>
  <conditionalFormatting sqref="AH27 S27:S28">
    <cfRule type="cellIs" dxfId="1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580E43-40D6-4454-988B-5D042D7CC501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5D27A-9ACF-47AB-A9EE-9B8C044E7BB2}">
  <dimension ref="B1:O26"/>
  <sheetViews>
    <sheetView zoomScale="70" zoomScaleNormal="70" workbookViewId="0">
      <selection activeCell="J16" sqref="J1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46070</v>
      </c>
      <c r="E3" s="493"/>
      <c r="F3" s="3" t="s">
        <v>72</v>
      </c>
      <c r="G3" s="494">
        <f>'0217'!E1</f>
        <v>49848</v>
      </c>
      <c r="H3" s="494"/>
      <c r="I3" s="3" t="s">
        <v>2</v>
      </c>
      <c r="J3" s="495">
        <f>'0217'!G1</f>
        <v>2396865.29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119.5610645481969</v>
      </c>
      <c r="G6" s="490"/>
      <c r="H6" s="491">
        <f>AVERAGE(D13:H13,J13)</f>
        <v>118.30913371078812</v>
      </c>
      <c r="I6" s="491"/>
      <c r="J6" s="491">
        <f>AVERAGE(I13)</f>
        <v>127.07264957264958</v>
      </c>
      <c r="K6" s="491"/>
      <c r="L6" s="497">
        <f>SUM(D18:J18)</f>
        <v>0</v>
      </c>
      <c r="M6" s="482">
        <f>SUM(D19:J19)</f>
        <v>0</v>
      </c>
      <c r="N6" s="498">
        <f>SUM(D20:J20)</f>
        <v>1</v>
      </c>
      <c r="O6" s="482">
        <f>SUM(D20:J20)</f>
        <v>1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108.68180367377808</v>
      </c>
      <c r="G7" s="479"/>
      <c r="H7" s="480">
        <f>AVERAGE(D14:H14,J14)</f>
        <v>107.9779433852468</v>
      </c>
      <c r="I7" s="480"/>
      <c r="J7" s="480">
        <f>AVERAGE(I14)</f>
        <v>112.90496540496576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0.90900665768132882</v>
      </c>
      <c r="G8" s="485"/>
      <c r="H8" s="485">
        <f>H7/H6</f>
        <v>0.91267630823165047</v>
      </c>
      <c r="I8" s="485"/>
      <c r="J8" s="485">
        <f>J7/J6</f>
        <v>0.88850721051831127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VALUE('0217'!L15)</f>
        <v>150.77724358974356</v>
      </c>
      <c r="E13" s="13">
        <f>VALUE('0217'!L26)</f>
        <v>174.47727272727272</v>
      </c>
      <c r="F13" s="13">
        <f>VALUE('0217'!L37)</f>
        <v>96.083333333333329</v>
      </c>
      <c r="G13" s="13">
        <f>VALUE('0217'!L48)</f>
        <v>87.336397058823522</v>
      </c>
      <c r="H13" s="13">
        <f>VALUE('0217'!L58)</f>
        <v>88.680555555555571</v>
      </c>
      <c r="I13" s="13">
        <f>VALUE('0217'!L69)</f>
        <v>127.07264957264958</v>
      </c>
      <c r="J13" s="13">
        <f>'0217'!L79</f>
        <v>112.5</v>
      </c>
    </row>
    <row r="14" spans="2:15" ht="39.950000000000003" customHeight="1">
      <c r="B14" s="473"/>
      <c r="C14" s="12" t="s">
        <v>100</v>
      </c>
      <c r="D14" s="13">
        <f>VALUE('0217'!O15)</f>
        <v>140.86389709077912</v>
      </c>
      <c r="E14" s="13">
        <f>VALUE('0217'!O26)</f>
        <v>160.838390783042</v>
      </c>
      <c r="F14" s="13">
        <f>VALUE('0217'!O37)</f>
        <v>87.007527122578836</v>
      </c>
      <c r="G14" s="13">
        <f>VALUE('0217'!O48)</f>
        <v>81.240947609228044</v>
      </c>
      <c r="H14" s="13">
        <f>VALUE('0217'!O58)</f>
        <v>87.391897705852699</v>
      </c>
      <c r="I14" s="13">
        <f>VALUE('0217'!O69)</f>
        <v>112.90496540496576</v>
      </c>
      <c r="J14" s="13">
        <f>'0217'!O79</f>
        <v>90.525000000000105</v>
      </c>
    </row>
    <row r="15" spans="2:15" ht="39.950000000000003" customHeight="1">
      <c r="B15" s="474"/>
      <c r="C15" s="10" t="s">
        <v>26</v>
      </c>
      <c r="D15" s="14">
        <f>D14/D13</f>
        <v>0.934251706272479</v>
      </c>
      <c r="E15" s="14">
        <f t="shared" ref="E15:I15" si="1">E14/E13</f>
        <v>0.92183003705273525</v>
      </c>
      <c r="F15" s="14">
        <f t="shared" si="1"/>
        <v>0.90554234646222553</v>
      </c>
      <c r="G15" s="14">
        <f t="shared" si="1"/>
        <v>0.93020722568289571</v>
      </c>
      <c r="H15" s="14">
        <f t="shared" si="1"/>
        <v>0.98546854108400839</v>
      </c>
      <c r="I15" s="14">
        <f t="shared" si="1"/>
        <v>0.88850721051831127</v>
      </c>
      <c r="J15" s="15">
        <f>'0217'!S70</f>
        <v>0.80466666666666764</v>
      </c>
    </row>
    <row r="16" spans="2:15" ht="17.25" customHeight="1">
      <c r="B16" s="475" t="s">
        <v>101</v>
      </c>
      <c r="C16" s="10" t="s">
        <v>34</v>
      </c>
      <c r="D16" s="16">
        <f>'0217'!T5</f>
        <v>0.29166666666666702</v>
      </c>
      <c r="E16" s="16">
        <f>'0217'!T16</f>
        <v>0.29166666666666702</v>
      </c>
      <c r="F16" s="16">
        <f>'0217'!T27</f>
        <v>0.29166666666666702</v>
      </c>
      <c r="G16" s="16">
        <f>'0217'!T38</f>
        <v>0.33333333333333298</v>
      </c>
      <c r="H16" s="16">
        <f>'0217'!T49</f>
        <v>0.29027777777777802</v>
      </c>
      <c r="I16" s="16">
        <f>'0217'!T59</f>
        <v>0.29027777777777802</v>
      </c>
      <c r="J16" s="16">
        <f>'0217'!T70</f>
        <v>0.33333333333333298</v>
      </c>
    </row>
    <row r="17" spans="2:10" ht="17.25" customHeight="1">
      <c r="B17" s="476"/>
      <c r="C17" s="10" t="s">
        <v>35</v>
      </c>
      <c r="D17" s="16">
        <v>0.58333333333333304</v>
      </c>
      <c r="E17" s="19">
        <v>0.61805555555555602</v>
      </c>
      <c r="F17" s="19">
        <v>0.56597222222222199</v>
      </c>
      <c r="G17" s="210">
        <v>0.65208333333333302</v>
      </c>
      <c r="H17" s="21">
        <v>0.60069444444444398</v>
      </c>
      <c r="I17" s="22">
        <v>0.48819444444444399</v>
      </c>
      <c r="J17" s="272">
        <v>0.44444444444444398</v>
      </c>
    </row>
    <row r="18" spans="2:10" ht="17.25" customHeight="1">
      <c r="B18" s="477" t="s">
        <v>102</v>
      </c>
      <c r="C18" s="330" t="s">
        <v>36</v>
      </c>
      <c r="D18" s="358">
        <f>'0217'!Z15</f>
        <v>0</v>
      </c>
      <c r="E18" s="359">
        <f>'0217'!Z26</f>
        <v>0</v>
      </c>
      <c r="F18" s="359">
        <f>'0217'!Z37</f>
        <v>0</v>
      </c>
      <c r="G18" s="360">
        <f>'0217'!Z48</f>
        <v>0</v>
      </c>
      <c r="H18" s="360">
        <f>'0217'!Z58</f>
        <v>0</v>
      </c>
      <c r="I18" s="359">
        <f>'0217'!Z69</f>
        <v>0</v>
      </c>
      <c r="J18" s="359">
        <f>'0217'!AA79</f>
        <v>0</v>
      </c>
    </row>
    <row r="19" spans="2:10" ht="17.25" customHeight="1">
      <c r="B19" s="478"/>
      <c r="C19" s="330" t="s">
        <v>37</v>
      </c>
      <c r="D19" s="358">
        <f>'0217'!AA15</f>
        <v>0</v>
      </c>
      <c r="E19" s="359">
        <f>'0217'!AA26</f>
        <v>0</v>
      </c>
      <c r="F19" s="359">
        <f>'0217'!AA37</f>
        <v>0</v>
      </c>
      <c r="G19" s="360">
        <f>'0217'!AA48</f>
        <v>0</v>
      </c>
      <c r="H19" s="360">
        <f>'0217'!AA58</f>
        <v>0</v>
      </c>
      <c r="I19" s="359">
        <f>'0217'!AA69</f>
        <v>0</v>
      </c>
      <c r="J19" s="359">
        <f>'0217'!AB79</f>
        <v>0</v>
      </c>
    </row>
    <row r="20" spans="2:10" ht="17.25" customHeight="1">
      <c r="B20" s="477" t="s">
        <v>103</v>
      </c>
      <c r="C20" s="330" t="s">
        <v>36</v>
      </c>
      <c r="D20" s="358">
        <f>'0217'!AD15</f>
        <v>1</v>
      </c>
      <c r="E20" s="359">
        <f>'0217'!AD26</f>
        <v>0</v>
      </c>
      <c r="F20" s="359">
        <f>'0217'!AD37</f>
        <v>0</v>
      </c>
      <c r="G20" s="360">
        <f>'0217'!AD48</f>
        <v>0</v>
      </c>
      <c r="H20" s="360">
        <f>'0217'!AD58</f>
        <v>0</v>
      </c>
      <c r="I20" s="359">
        <f>'0217'!AD69</f>
        <v>0</v>
      </c>
      <c r="J20" s="359">
        <f>'0217'!AD79</f>
        <v>0</v>
      </c>
    </row>
    <row r="21" spans="2:10" ht="17.25" customHeight="1">
      <c r="B21" s="478"/>
      <c r="C21" s="330" t="s">
        <v>85</v>
      </c>
      <c r="D21" s="358">
        <f>'0217'!AE15</f>
        <v>1</v>
      </c>
      <c r="E21" s="359">
        <f>'0217'!AE26</f>
        <v>0</v>
      </c>
      <c r="F21" s="359">
        <f>'0217'!AE37</f>
        <v>0</v>
      </c>
      <c r="G21" s="360">
        <f>'0217'!AE48</f>
        <v>0</v>
      </c>
      <c r="H21" s="360">
        <f>'0217'!AE58</f>
        <v>0</v>
      </c>
      <c r="I21" s="359">
        <f>'0217'!AE69</f>
        <v>0</v>
      </c>
      <c r="J21" s="359">
        <f>'0217'!AE79</f>
        <v>0</v>
      </c>
    </row>
    <row r="22" spans="2:10" ht="17.25" customHeight="1">
      <c r="B22" s="460" t="s">
        <v>104</v>
      </c>
      <c r="C22" s="461"/>
      <c r="D22" s="23">
        <f>VALUE('0217'!M15)</f>
        <v>13.25</v>
      </c>
      <c r="E22" s="23">
        <f>VALUE('0217'!M26)</f>
        <v>11.6</v>
      </c>
      <c r="F22" s="23">
        <f>VALUE('0217'!M37)</f>
        <v>12.5</v>
      </c>
      <c r="G22" s="23">
        <f>VALUE('0217'!M48)</f>
        <v>17</v>
      </c>
      <c r="H22" s="23">
        <f>VALUE('0217'!M58)</f>
        <v>17.5</v>
      </c>
      <c r="I22" s="23">
        <f>VALUE('0217'!M69)</f>
        <v>12.333333333333334</v>
      </c>
      <c r="J22" s="23">
        <f>'0217'!M79</f>
        <v>10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D990-9440-47A8-AD7B-DBBE8C49302A}">
  <sheetPr>
    <tabColor theme="9" tint="0.79998168889431442"/>
  </sheetPr>
  <dimension ref="A1:AJ92"/>
  <sheetViews>
    <sheetView zoomScale="69" zoomScaleNormal="69" workbookViewId="0">
      <pane xSplit="5" ySplit="4" topLeftCell="N32" activePane="bottomRight" state="frozen"/>
      <selection activeCell="N16" sqref="N16"/>
      <selection pane="topRight" activeCell="N16" sqref="N16"/>
      <selection pane="bottomLeft" activeCell="N16" sqref="N16"/>
      <selection pane="bottomRight" activeCell="Y42" sqref="Y4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49848</v>
      </c>
      <c r="F1" s="30" t="s">
        <v>2</v>
      </c>
      <c r="G1" s="31">
        <f>SUM(H5:H79)</f>
        <v>2396865.29</v>
      </c>
      <c r="H1" s="32" t="s">
        <v>3</v>
      </c>
      <c r="I1" s="33">
        <f>M15+M26+M48+M58+M69+M79+M37</f>
        <v>94.183333333333337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189</v>
      </c>
      <c r="B2" s="374"/>
      <c r="C2" s="28"/>
      <c r="D2" s="28" t="s">
        <v>14</v>
      </c>
      <c r="E2" s="35">
        <f>AVERAGE(O15,O26,O37,O48,O58,O69,O79)</f>
        <v>108.68180367377808</v>
      </c>
      <c r="F2" s="36" t="s">
        <v>15</v>
      </c>
      <c r="G2" s="37">
        <f>G1/E1</f>
        <v>48.083479577916869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0</v>
      </c>
      <c r="AA2" s="339">
        <f>AA15+AA26+AA37+AA48+AA58+AA69+AA79</f>
        <v>0</v>
      </c>
      <c r="AB2" s="370"/>
      <c r="AC2" s="370"/>
      <c r="AD2" s="340">
        <f>AD15+AD26+AD37+AD48+AD58+AD69+AD79</f>
        <v>1</v>
      </c>
      <c r="AE2" s="340">
        <f>AE15+AE26+AE37+AE48+AE58+AE69+AE79</f>
        <v>1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1597</v>
      </c>
      <c r="H5" s="43">
        <f>F5*G5</f>
        <v>91364.37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8" si="0">K5/J5</f>
        <v>175.41666666666666</v>
      </c>
      <c r="M5" s="48">
        <v>12</v>
      </c>
      <c r="N5" s="46">
        <f t="shared" ref="N5:N8" si="1">G5/W5*60</f>
        <v>1842.6923076923142</v>
      </c>
      <c r="O5" s="47">
        <f t="shared" ref="O5:O8" si="2">N5/M5</f>
        <v>153.55769230769286</v>
      </c>
      <c r="P5" s="49">
        <f t="shared" ref="P5:P8" si="3">M5-J5</f>
        <v>0</v>
      </c>
      <c r="Q5" s="50">
        <f t="shared" ref="Q5:Q8" si="4">O5-L5</f>
        <v>-21.858974358973796</v>
      </c>
      <c r="R5" s="51">
        <f t="shared" ref="R5:R8" si="5">O5/L5</f>
        <v>0.87538826968756034</v>
      </c>
      <c r="S5" s="424">
        <f>R15</f>
        <v>0.934251706272479</v>
      </c>
      <c r="T5" s="319">
        <v>0.29166666666666702</v>
      </c>
      <c r="U5" s="320">
        <v>0.327777777777778</v>
      </c>
      <c r="V5" s="53"/>
      <c r="W5" s="54">
        <f t="shared" ref="W5:W14" si="6">(U5-T5)*24*60</f>
        <v>51.999999999999815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8" si="7">N5-K5</f>
        <v>-262.30769230768578</v>
      </c>
      <c r="AG5" s="52">
        <f t="shared" ref="AG5:AG8" si="8">N5/K5</f>
        <v>0.87538826968756023</v>
      </c>
      <c r="AH5" s="403">
        <f>AG15</f>
        <v>0.9354903517928681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1426</v>
      </c>
      <c r="H6" s="63">
        <f>F6*G6</f>
        <v>80255.28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1677.6470588235145</v>
      </c>
      <c r="O6" s="67">
        <f t="shared" si="2"/>
        <v>111.84313725490097</v>
      </c>
      <c r="P6" s="69">
        <f t="shared" si="3"/>
        <v>0</v>
      </c>
      <c r="Q6" s="70">
        <f t="shared" si="4"/>
        <v>-8.1568627450990334</v>
      </c>
      <c r="R6" s="71">
        <f t="shared" si="5"/>
        <v>0.93202614379084137</v>
      </c>
      <c r="S6" s="425"/>
      <c r="T6" s="16">
        <v>0.34097222222222201</v>
      </c>
      <c r="U6" s="16">
        <v>0.37638888888888899</v>
      </c>
      <c r="V6" s="30">
        <f>(T6-U5)*24*60</f>
        <v>18.999999999999375</v>
      </c>
      <c r="W6" s="73">
        <f t="shared" si="6"/>
        <v>51.000000000000455</v>
      </c>
      <c r="X6" s="22"/>
      <c r="Y6" s="84"/>
      <c r="Z6" s="90"/>
      <c r="AA6" s="90"/>
      <c r="AB6" s="407" t="s">
        <v>188</v>
      </c>
      <c r="AC6" s="407"/>
      <c r="AD6" s="149">
        <v>1</v>
      </c>
      <c r="AE6" s="149">
        <v>1</v>
      </c>
      <c r="AF6" s="307">
        <f t="shared" si="7"/>
        <v>-122.3529411764855</v>
      </c>
      <c r="AG6" s="72">
        <f t="shared" si="8"/>
        <v>0.93202614379084137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3742</v>
      </c>
      <c r="H7" s="78">
        <f>F7*G7</f>
        <v>183881.88</v>
      </c>
      <c r="I7" s="73"/>
      <c r="J7" s="79">
        <f>VLOOKUP(D7,產線配置圖!$A$3:$C$39,2,0)</f>
        <v>13</v>
      </c>
      <c r="K7" s="80">
        <f>VLOOKUP(D7,產線配置圖!$A$3:$C$39,3,0)</f>
        <v>2000</v>
      </c>
      <c r="L7" s="81">
        <f t="shared" si="0"/>
        <v>153.84615384615384</v>
      </c>
      <c r="M7" s="82">
        <v>13</v>
      </c>
      <c r="N7" s="80">
        <f t="shared" si="1"/>
        <v>1902.7118644067659</v>
      </c>
      <c r="O7" s="81">
        <f t="shared" si="2"/>
        <v>146.36245110821275</v>
      </c>
      <c r="P7" s="74">
        <f t="shared" si="3"/>
        <v>0</v>
      </c>
      <c r="Q7" s="83">
        <f t="shared" si="4"/>
        <v>-7.483702737941087</v>
      </c>
      <c r="R7" s="72">
        <f t="shared" si="5"/>
        <v>0.95135593220338288</v>
      </c>
      <c r="S7" s="425"/>
      <c r="T7" s="18">
        <v>0.39583333333333298</v>
      </c>
      <c r="U7" s="18">
        <v>0.47777777777777802</v>
      </c>
      <c r="V7" s="30">
        <f>(T7-U6)*24*60</f>
        <v>27.999999999999339</v>
      </c>
      <c r="W7" s="73">
        <f t="shared" si="6"/>
        <v>118.00000000000085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-97.288135593234074</v>
      </c>
      <c r="AG7" s="72">
        <f t="shared" si="8"/>
        <v>0.95135593220338299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1972</v>
      </c>
      <c r="H8" s="78">
        <f>F8*G8</f>
        <v>96904.08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1972.0000000000282</v>
      </c>
      <c r="O8" s="81">
        <f t="shared" si="2"/>
        <v>151.69230769230987</v>
      </c>
      <c r="P8" s="74">
        <f t="shared" si="3"/>
        <v>0</v>
      </c>
      <c r="Q8" s="83">
        <f t="shared" si="4"/>
        <v>-2.1538461538439719</v>
      </c>
      <c r="R8" s="72">
        <f t="shared" si="5"/>
        <v>0.9860000000000142</v>
      </c>
      <c r="S8" s="425"/>
      <c r="T8" s="16">
        <v>0.54166666666666696</v>
      </c>
      <c r="U8" s="16">
        <v>0.58333333333333304</v>
      </c>
      <c r="V8" s="30">
        <f>(T8-U7)*24*60</f>
        <v>92.000000000000071</v>
      </c>
      <c r="W8" s="73">
        <f t="shared" si="6"/>
        <v>59.999999999999147</v>
      </c>
      <c r="X8" s="22">
        <v>0.48611111111111099</v>
      </c>
      <c r="Y8" s="84">
        <v>0.52777777777777801</v>
      </c>
      <c r="Z8" s="90"/>
      <c r="AA8" s="90"/>
      <c r="AB8" s="407"/>
      <c r="AC8" s="407"/>
      <c r="AD8" s="149"/>
      <c r="AE8" s="149"/>
      <c r="AF8" s="307">
        <f t="shared" si="7"/>
        <v>-27.999999999971806</v>
      </c>
      <c r="AG8" s="72">
        <f t="shared" si="8"/>
        <v>0.98600000000001409</v>
      </c>
      <c r="AH8" s="404"/>
    </row>
    <row r="9" spans="1:34" ht="15" customHeight="1">
      <c r="A9" s="42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6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07"/>
      <c r="AC9" s="407"/>
      <c r="AD9" s="149"/>
      <c r="AE9" s="149"/>
      <c r="AF9" s="307"/>
      <c r="AG9" s="72"/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/>
      <c r="AG10" s="72"/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/>
      <c r="AG11" s="72"/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9">AVERAGE(J5:J14)</f>
        <v>13.25</v>
      </c>
      <c r="K15" s="120">
        <f t="shared" si="9"/>
        <v>1976.25</v>
      </c>
      <c r="L15" s="117">
        <f t="shared" si="9"/>
        <v>150.77724358974356</v>
      </c>
      <c r="M15" s="120">
        <f t="shared" si="9"/>
        <v>13.25</v>
      </c>
      <c r="N15" s="120">
        <f t="shared" si="9"/>
        <v>1848.7628077306556</v>
      </c>
      <c r="O15" s="117">
        <f t="shared" si="9"/>
        <v>140.86389709077912</v>
      </c>
      <c r="P15" s="121">
        <f t="shared" ref="P15:P19" si="10">M15-J15</f>
        <v>0</v>
      </c>
      <c r="Q15" s="122">
        <f t="shared" ref="Q15:Q19" si="11">O15-L15</f>
        <v>-9.9133464989644438</v>
      </c>
      <c r="R15" s="123">
        <f t="shared" ref="R15:R19" si="12">O15/L15</f>
        <v>0.934251706272479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1</v>
      </c>
      <c r="AE15" s="323">
        <f>SUM(AE5:AE14)</f>
        <v>1</v>
      </c>
      <c r="AF15" s="309">
        <f t="shared" ref="AF15:AF19" si="13">N15-K15</f>
        <v>-127.4871922693444</v>
      </c>
      <c r="AG15" s="124">
        <f t="shared" ref="AG15:AG19" si="14">N15/K15</f>
        <v>0.9354903517928681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1905</v>
      </c>
      <c r="H16" s="134">
        <f>F16*G16</f>
        <v>108985.05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19" si="15">K16/J16</f>
        <v>175.41666666666666</v>
      </c>
      <c r="M16" s="139">
        <v>12</v>
      </c>
      <c r="N16" s="140">
        <f t="shared" ref="N16:N19" si="16">G16/W16*60</f>
        <v>1731.8181818181943</v>
      </c>
      <c r="O16" s="141">
        <f>N16/M16</f>
        <v>144.31818181818286</v>
      </c>
      <c r="P16" s="142">
        <f>M16-J16</f>
        <v>0</v>
      </c>
      <c r="Q16" s="143">
        <f t="shared" si="11"/>
        <v>-31.098484848483793</v>
      </c>
      <c r="R16" s="144">
        <f>O16/L16</f>
        <v>0.8227164759231328</v>
      </c>
      <c r="S16" s="417">
        <f>R26</f>
        <v>0.92183003705273525</v>
      </c>
      <c r="T16" s="145">
        <v>0.29166666666666702</v>
      </c>
      <c r="U16" s="145">
        <v>0.33750000000000002</v>
      </c>
      <c r="V16" s="135"/>
      <c r="W16" s="146">
        <f t="shared" ref="W16:W78" si="17">(U16-T16)*24*60</f>
        <v>65.999999999999531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3"/>
        <v>-373.18181818180574</v>
      </c>
      <c r="AG16" s="52">
        <f t="shared" si="14"/>
        <v>0.82271647592313268</v>
      </c>
      <c r="AH16" s="403">
        <f>AG26</f>
        <v>0.92021064337357528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2864</v>
      </c>
      <c r="H17" s="78">
        <f>F17*G17</f>
        <v>145118.88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5"/>
        <v>166.66666666666666</v>
      </c>
      <c r="M17" s="148">
        <v>12</v>
      </c>
      <c r="N17" s="95">
        <f>G17/W17*60</f>
        <v>1930.7865168539188</v>
      </c>
      <c r="O17" s="96">
        <f t="shared" ref="O17:O19" si="18">N17/M17</f>
        <v>160.89887640449322</v>
      </c>
      <c r="P17" s="97">
        <f t="shared" si="10"/>
        <v>0</v>
      </c>
      <c r="Q17" s="98">
        <f t="shared" si="11"/>
        <v>-5.7677902621734347</v>
      </c>
      <c r="R17" s="99">
        <f t="shared" si="12"/>
        <v>0.96539325842695944</v>
      </c>
      <c r="S17" s="418"/>
      <c r="T17" s="19">
        <v>0.34583333333333299</v>
      </c>
      <c r="U17" s="19">
        <v>0.40763888888888899</v>
      </c>
      <c r="V17" s="30">
        <f>(T17-U16)*24*60</f>
        <v>11.999999999999478</v>
      </c>
      <c r="W17" s="149">
        <f t="shared" si="17"/>
        <v>89.000000000000639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3"/>
        <v>-69.213483146081217</v>
      </c>
      <c r="AG17" s="72">
        <f t="shared" si="14"/>
        <v>0.96539325842695944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2924</v>
      </c>
      <c r="H18" s="78">
        <f>F18*G18</f>
        <v>147340.36000000002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5"/>
        <v>181.81818181818181</v>
      </c>
      <c r="M18" s="148">
        <v>11</v>
      </c>
      <c r="N18" s="95">
        <f t="shared" si="16"/>
        <v>1927.9120879120712</v>
      </c>
      <c r="O18" s="96">
        <f t="shared" si="18"/>
        <v>175.26473526473376</v>
      </c>
      <c r="P18" s="97">
        <f t="shared" si="10"/>
        <v>0</v>
      </c>
      <c r="Q18" s="98">
        <f t="shared" si="11"/>
        <v>-6.5534465534480546</v>
      </c>
      <c r="R18" s="99">
        <f t="shared" si="12"/>
        <v>0.96395604395603574</v>
      </c>
      <c r="S18" s="418"/>
      <c r="T18" s="19">
        <v>0.41458333333333303</v>
      </c>
      <c r="U18" s="19">
        <v>0.47777777777777802</v>
      </c>
      <c r="V18" s="30">
        <f>(T18-U17)*24*60</f>
        <v>9.9999999999994049</v>
      </c>
      <c r="W18" s="149">
        <f t="shared" si="17"/>
        <v>91.000000000000796</v>
      </c>
      <c r="X18" s="22"/>
      <c r="Y18" s="84"/>
      <c r="Z18" s="90"/>
      <c r="AA18" s="90"/>
      <c r="AB18" s="395"/>
      <c r="AC18" s="395"/>
      <c r="AD18" s="92"/>
      <c r="AE18" s="92"/>
      <c r="AF18" s="307">
        <f t="shared" si="13"/>
        <v>-72.087912087928771</v>
      </c>
      <c r="AG18" s="72">
        <f t="shared" si="14"/>
        <v>0.96395604395603562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2198</v>
      </c>
      <c r="H19" s="78">
        <f>F19*G19</f>
        <v>110757.22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5"/>
        <v>181.81818181818181</v>
      </c>
      <c r="M19" s="148">
        <v>11</v>
      </c>
      <c r="N19" s="95">
        <f t="shared" si="16"/>
        <v>1939.4117647058895</v>
      </c>
      <c r="O19" s="96">
        <f t="shared" si="18"/>
        <v>176.31016042780814</v>
      </c>
      <c r="P19" s="97">
        <f t="shared" si="10"/>
        <v>0</v>
      </c>
      <c r="Q19" s="98">
        <f t="shared" si="11"/>
        <v>-5.5080213903736706</v>
      </c>
      <c r="R19" s="99">
        <f t="shared" si="12"/>
        <v>0.96970588235294486</v>
      </c>
      <c r="S19" s="418"/>
      <c r="T19" s="19">
        <v>0.54166666666666696</v>
      </c>
      <c r="U19" s="19">
        <v>0.58888888888888902</v>
      </c>
      <c r="V19" s="30">
        <f>(T19-U18)*24*60</f>
        <v>92.000000000000071</v>
      </c>
      <c r="W19" s="149">
        <f t="shared" si="17"/>
        <v>67.999999999999758</v>
      </c>
      <c r="X19" s="22">
        <v>0.48611111111111099</v>
      </c>
      <c r="Y19" s="84">
        <v>0.52777777777777801</v>
      </c>
      <c r="Z19" s="90"/>
      <c r="AA19" s="90"/>
      <c r="AB19" s="407"/>
      <c r="AC19" s="407"/>
      <c r="AD19" s="149"/>
      <c r="AE19" s="149"/>
      <c r="AF19" s="307">
        <f t="shared" si="13"/>
        <v>-60.588235294110518</v>
      </c>
      <c r="AG19" s="72">
        <f t="shared" si="14"/>
        <v>0.96970588235294475</v>
      </c>
      <c r="AH19" s="405"/>
    </row>
    <row r="20" spans="1:34" ht="15" customHeight="1">
      <c r="A20" s="414"/>
      <c r="B20" s="75" t="s">
        <v>81</v>
      </c>
      <c r="C20" s="76"/>
      <c r="D20" s="59" t="s">
        <v>118</v>
      </c>
      <c r="E20" s="77"/>
      <c r="F20" s="75">
        <f>VLOOKUP(D20,廠價表!$C$1:$E$41,3,0)</f>
        <v>50.67</v>
      </c>
      <c r="G20" s="147">
        <v>737</v>
      </c>
      <c r="H20" s="78">
        <f>F20*G20</f>
        <v>37343.79</v>
      </c>
      <c r="I20" s="30"/>
      <c r="J20" s="79">
        <f>VLOOKUP(D20,產線配置圖!$A$3:$C$39,2,0)</f>
        <v>12</v>
      </c>
      <c r="K20" s="80">
        <f>VLOOKUP(D20,產線配置圖!$A$3:$C$39,3,0)</f>
        <v>2000</v>
      </c>
      <c r="L20" s="81">
        <f>K20/J20</f>
        <v>166.66666666666666</v>
      </c>
      <c r="M20" s="148">
        <v>12</v>
      </c>
      <c r="N20" s="95">
        <f>G20/W20*60</f>
        <v>1768.7999999999045</v>
      </c>
      <c r="O20" s="96">
        <f>N20/M20</f>
        <v>147.39999999999205</v>
      </c>
      <c r="P20" s="97">
        <f>M20-J20</f>
        <v>0</v>
      </c>
      <c r="Q20" s="98">
        <f>O20-L20</f>
        <v>-19.26666666667461</v>
      </c>
      <c r="R20" s="99">
        <f>O20/L20</f>
        <v>0.88439999999995234</v>
      </c>
      <c r="S20" s="418"/>
      <c r="T20" s="19">
        <v>0.60069444444444398</v>
      </c>
      <c r="U20" s="19">
        <v>0.61805555555555602</v>
      </c>
      <c r="V20" s="30">
        <f>(T20-U19)*24*60</f>
        <v>16.99999999999914</v>
      </c>
      <c r="W20" s="149">
        <f t="shared" si="17"/>
        <v>25.00000000000135</v>
      </c>
      <c r="X20" s="19"/>
      <c r="Y20" s="297"/>
      <c r="Z20" s="90"/>
      <c r="AA20" s="90"/>
      <c r="AB20" s="395"/>
      <c r="AC20" s="395"/>
      <c r="AD20" s="92"/>
      <c r="AE20" s="92"/>
      <c r="AF20" s="307">
        <f>N20-K20</f>
        <v>-231.20000000009554</v>
      </c>
      <c r="AG20" s="72">
        <f>N20/K20</f>
        <v>0.88439999999995222</v>
      </c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9"/>
      <c r="U21" s="19"/>
      <c r="V21" s="30"/>
      <c r="W21" s="149">
        <f t="shared" si="17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79"/>
      <c r="K22" s="95"/>
      <c r="L22" s="96"/>
      <c r="M22" s="148"/>
      <c r="N22" s="95"/>
      <c r="O22" s="96"/>
      <c r="P22" s="97"/>
      <c r="Q22" s="98"/>
      <c r="R22" s="99"/>
      <c r="S22" s="418"/>
      <c r="T22" s="19"/>
      <c r="U22" s="19"/>
      <c r="V22" s="30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7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0">AVERAGE(J16:J25)</f>
        <v>11.6</v>
      </c>
      <c r="K26" s="155">
        <f t="shared" si="20"/>
        <v>2021</v>
      </c>
      <c r="L26" s="158">
        <f t="shared" si="20"/>
        <v>174.47727272727272</v>
      </c>
      <c r="M26" s="155">
        <f t="shared" si="20"/>
        <v>11.6</v>
      </c>
      <c r="N26" s="155">
        <f t="shared" si="20"/>
        <v>1859.7457102579956</v>
      </c>
      <c r="O26" s="158">
        <f t="shared" si="20"/>
        <v>160.838390783042</v>
      </c>
      <c r="P26" s="159">
        <f t="shared" ref="P26:P29" si="21">M26-J26</f>
        <v>0</v>
      </c>
      <c r="Q26" s="160">
        <f t="shared" ref="Q26:Q29" si="22">O26-L26</f>
        <v>-13.638881944230718</v>
      </c>
      <c r="R26" s="161">
        <f>O26/L26</f>
        <v>0.92183003705273525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0</v>
      </c>
      <c r="AE26" s="323">
        <f>SUM(AE16:AE25)</f>
        <v>0</v>
      </c>
      <c r="AF26" s="309">
        <f t="shared" ref="AF26:AF30" si="23">N26-K26</f>
        <v>-161.2542897420044</v>
      </c>
      <c r="AG26" s="124">
        <f t="shared" ref="AG26:AG30" si="24">N26/K26</f>
        <v>0.92021064337357528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1425</v>
      </c>
      <c r="H27" s="134">
        <f>F27*G27</f>
        <v>81652.5</v>
      </c>
      <c r="I27" s="135"/>
      <c r="J27" s="136">
        <v>15</v>
      </c>
      <c r="K27" s="137">
        <f>VLOOKUP(D27,產線配置圖!$A$3:$C$39,3,0)</f>
        <v>1500</v>
      </c>
      <c r="L27" s="138">
        <f t="shared" ref="L27:L29" si="25">K27/J27</f>
        <v>100</v>
      </c>
      <c r="M27" s="170">
        <v>13</v>
      </c>
      <c r="N27" s="140">
        <f>G27/W27*60</f>
        <v>1276.119402985096</v>
      </c>
      <c r="O27" s="141">
        <f>N27/M27</f>
        <v>98.163030998853543</v>
      </c>
      <c r="P27" s="142">
        <f t="shared" si="21"/>
        <v>-2</v>
      </c>
      <c r="Q27" s="143">
        <f t="shared" si="22"/>
        <v>-1.836969001146457</v>
      </c>
      <c r="R27" s="144">
        <f>O27/L27</f>
        <v>0.9816303099885354</v>
      </c>
      <c r="S27" s="417">
        <f>R37</f>
        <v>0.90554234646222553</v>
      </c>
      <c r="T27" s="171">
        <v>0.29166666666666702</v>
      </c>
      <c r="U27" s="171">
        <v>0.33819444444444402</v>
      </c>
      <c r="V27" s="135"/>
      <c r="W27" s="146">
        <f t="shared" si="17"/>
        <v>66.999999999998877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3"/>
        <v>-223.88059701490397</v>
      </c>
      <c r="AG27" s="172">
        <f t="shared" si="24"/>
        <v>0.85074626865673064</v>
      </c>
      <c r="AH27" s="403">
        <f>AG37</f>
        <v>0.75601741835190328</v>
      </c>
    </row>
    <row r="28" spans="1:34" ht="15" customHeight="1">
      <c r="A28" s="430"/>
      <c r="B28" s="75" t="s">
        <v>81</v>
      </c>
      <c r="C28" s="173"/>
      <c r="D28" s="59" t="s">
        <v>122</v>
      </c>
      <c r="E28" s="104"/>
      <c r="F28" s="75">
        <f>VLOOKUP(D28,廠價表!$C$1:$E$41,3,0)</f>
        <v>55.13</v>
      </c>
      <c r="G28" s="90">
        <v>1607</v>
      </c>
      <c r="H28" s="91">
        <f>F28*G28</f>
        <v>88593.91</v>
      </c>
      <c r="I28" s="92"/>
      <c r="J28" s="79">
        <v>15</v>
      </c>
      <c r="K28" s="80">
        <f>VLOOKUP(D28,產線配置圖!$A$3:$C$39,3,0)</f>
        <v>1385</v>
      </c>
      <c r="L28" s="93">
        <f t="shared" si="25"/>
        <v>92.333333333333329</v>
      </c>
      <c r="M28" s="94">
        <v>12</v>
      </c>
      <c r="N28" s="95">
        <f>G28/W28*60</f>
        <v>994.02061855670286</v>
      </c>
      <c r="O28" s="96">
        <f>N28/M28</f>
        <v>82.835051546391909</v>
      </c>
      <c r="P28" s="97">
        <f t="shared" si="21"/>
        <v>-3</v>
      </c>
      <c r="Q28" s="98">
        <f t="shared" si="22"/>
        <v>-9.4982817869414191</v>
      </c>
      <c r="R28" s="99">
        <f t="shared" ref="R28:R29" si="26">O28/L28</f>
        <v>0.89713052216308931</v>
      </c>
      <c r="S28" s="418"/>
      <c r="T28" s="19">
        <v>0.34375</v>
      </c>
      <c r="U28" s="19">
        <v>0.41111111111111098</v>
      </c>
      <c r="V28" s="92">
        <f>(T28-U27)*24*60</f>
        <v>8.0000000000006111</v>
      </c>
      <c r="W28" s="149">
        <f t="shared" si="17"/>
        <v>96.999999999999815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3"/>
        <v>-390.97938144329714</v>
      </c>
      <c r="AG28" s="99">
        <f t="shared" si="24"/>
        <v>0.71770441773047133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1147</v>
      </c>
      <c r="H29" s="91">
        <f>F29*G29</f>
        <v>56799.44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5"/>
        <v>96</v>
      </c>
      <c r="M29" s="94">
        <v>12</v>
      </c>
      <c r="N29" s="95">
        <f>G29/W29*60</f>
        <v>997.3913043478193</v>
      </c>
      <c r="O29" s="96">
        <f>N29/M29</f>
        <v>83.115942028984946</v>
      </c>
      <c r="P29" s="97">
        <f t="shared" si="21"/>
        <v>-3</v>
      </c>
      <c r="Q29" s="98">
        <f t="shared" si="22"/>
        <v>-12.884057971015054</v>
      </c>
      <c r="R29" s="99">
        <f t="shared" si="26"/>
        <v>0.86579106280192653</v>
      </c>
      <c r="S29" s="418"/>
      <c r="T29" s="19">
        <v>0.41736111111111102</v>
      </c>
      <c r="U29" s="19">
        <v>0.46527777777777801</v>
      </c>
      <c r="V29" s="92">
        <f>(T29-U28)*24*60</f>
        <v>9.000000000000048</v>
      </c>
      <c r="W29" s="149">
        <f t="shared" si="17"/>
        <v>69.000000000000469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3"/>
        <v>-442.6086956521807</v>
      </c>
      <c r="AG29" s="99">
        <f t="shared" si="24"/>
        <v>0.6926328502415412</v>
      </c>
      <c r="AH29" s="432"/>
    </row>
    <row r="30" spans="1:34" ht="15" customHeight="1">
      <c r="A30" s="430"/>
      <c r="B30" s="75" t="s">
        <v>123</v>
      </c>
      <c r="C30" s="88"/>
      <c r="D30" s="59" t="s">
        <v>124</v>
      </c>
      <c r="E30" s="89"/>
      <c r="F30" s="75">
        <f>VLOOKUP(D30,廠價表!$C$1:$E$41,3,0)</f>
        <v>49.52</v>
      </c>
      <c r="G30" s="90">
        <v>1000</v>
      </c>
      <c r="H30" s="91">
        <f>F30*G30</f>
        <v>49520</v>
      </c>
      <c r="I30" s="92"/>
      <c r="J30" s="79">
        <f>VLOOKUP(D30,產線配置圖!$A$3:$C$39,2,0)</f>
        <v>15</v>
      </c>
      <c r="K30" s="80">
        <f>VLOOKUP(D30,產線配置圖!$A$3:$C$39,3,0)</f>
        <v>1440</v>
      </c>
      <c r="L30" s="93">
        <f>K30/J30</f>
        <v>96</v>
      </c>
      <c r="M30" s="94">
        <v>13</v>
      </c>
      <c r="N30" s="95">
        <f>G30/W30*60</f>
        <v>1090.9090909091042</v>
      </c>
      <c r="O30" s="96">
        <f>N30/M30</f>
        <v>83.916083916084943</v>
      </c>
      <c r="P30" s="97">
        <f>M30-J30</f>
        <v>-2</v>
      </c>
      <c r="Q30" s="98">
        <f>O30-L30</f>
        <v>-12.083916083915057</v>
      </c>
      <c r="R30" s="99">
        <f>O30/L30</f>
        <v>0.87412587412588483</v>
      </c>
      <c r="S30" s="418"/>
      <c r="T30" s="19">
        <v>0.52777777777777801</v>
      </c>
      <c r="U30" s="19">
        <v>0.56597222222222199</v>
      </c>
      <c r="V30" s="92">
        <f>(T30-U29)*24*60</f>
        <v>90</v>
      </c>
      <c r="W30" s="149">
        <f t="shared" si="17"/>
        <v>54.999999999999325</v>
      </c>
      <c r="X30" s="174">
        <v>0.47916666666666702</v>
      </c>
      <c r="Y30" s="301">
        <v>0.52083333333333304</v>
      </c>
      <c r="Z30" s="335"/>
      <c r="AA30" s="335"/>
      <c r="AB30" s="395"/>
      <c r="AC30" s="395"/>
      <c r="AD30" s="92"/>
      <c r="AE30" s="92"/>
      <c r="AF30" s="312">
        <f t="shared" si="23"/>
        <v>-349.09090909089582</v>
      </c>
      <c r="AG30" s="99">
        <f t="shared" si="24"/>
        <v>0.75757575757576678</v>
      </c>
      <c r="AH30" s="433"/>
    </row>
    <row r="31" spans="1:34" ht="15" customHeight="1">
      <c r="A31" s="43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8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95"/>
      <c r="AC31" s="395"/>
      <c r="AD31" s="92"/>
      <c r="AE31" s="92"/>
      <c r="AF31" s="312"/>
      <c r="AG31" s="99"/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28">AVERAGE(J27:J36)</f>
        <v>15</v>
      </c>
      <c r="K37" s="155">
        <f t="shared" si="28"/>
        <v>1441.25</v>
      </c>
      <c r="L37" s="158">
        <f t="shared" si="28"/>
        <v>96.083333333333329</v>
      </c>
      <c r="M37" s="155">
        <f t="shared" si="28"/>
        <v>12.5</v>
      </c>
      <c r="N37" s="155">
        <f t="shared" si="28"/>
        <v>1089.6101041996806</v>
      </c>
      <c r="O37" s="158">
        <f t="shared" si="28"/>
        <v>87.007527122578836</v>
      </c>
      <c r="P37" s="159">
        <f>M37-J37</f>
        <v>-2.5</v>
      </c>
      <c r="Q37" s="160">
        <f>N37-K37</f>
        <v>-351.63989580031944</v>
      </c>
      <c r="R37" s="161">
        <f t="shared" ref="R37:R41" si="29">O37/L37</f>
        <v>0.90554234646222553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0">N37-K37</f>
        <v>-351.63989580031944</v>
      </c>
      <c r="AG37" s="124">
        <f t="shared" ref="AG37:AG41" si="31">N37/K37</f>
        <v>0.75601741835190328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1211</v>
      </c>
      <c r="H38" s="134">
        <f>F38*G38</f>
        <v>68336.73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1" si="32">K38/J38</f>
        <v>87.875</v>
      </c>
      <c r="M38" s="190">
        <v>16</v>
      </c>
      <c r="N38" s="140">
        <f>G38/W38*60</f>
        <v>1135.3124999999857</v>
      </c>
      <c r="O38" s="141">
        <f>N38/M38</f>
        <v>70.957031249999105</v>
      </c>
      <c r="P38" s="142">
        <f t="shared" ref="P38:P41" si="33">M38-J38</f>
        <v>0</v>
      </c>
      <c r="Q38" s="143">
        <f t="shared" ref="Q38:Q41" si="34">O38-L38</f>
        <v>-16.917968750000895</v>
      </c>
      <c r="R38" s="144">
        <f>O38/L38</f>
        <v>0.80747688477950619</v>
      </c>
      <c r="S38" s="437">
        <f>R48</f>
        <v>0.93020722568289571</v>
      </c>
      <c r="T38" s="191">
        <v>0.33333333333333298</v>
      </c>
      <c r="U38" s="191">
        <v>0.37777777777777799</v>
      </c>
      <c r="V38" s="192"/>
      <c r="W38" s="193">
        <f t="shared" si="17"/>
        <v>64.00000000000081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0"/>
        <v>-270.68750000001432</v>
      </c>
      <c r="AG38" s="195">
        <f t="shared" si="31"/>
        <v>0.80747688477950619</v>
      </c>
      <c r="AH38" s="443">
        <f>AG48</f>
        <v>0.94643089918368573</v>
      </c>
    </row>
    <row r="39" spans="1:34" ht="15" customHeight="1">
      <c r="A39" s="435"/>
      <c r="B39" s="75" t="s">
        <v>123</v>
      </c>
      <c r="C39" s="197"/>
      <c r="D39" s="198" t="s">
        <v>127</v>
      </c>
      <c r="E39" s="176"/>
      <c r="F39" s="75">
        <f>VLOOKUP(D39,廠價表!$C$1:$E$41,3,0)</f>
        <v>49.91</v>
      </c>
      <c r="G39" s="199">
        <v>2085</v>
      </c>
      <c r="H39" s="91">
        <f>F39*G39</f>
        <v>104062.34999999999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2"/>
        <v>92.058823529411768</v>
      </c>
      <c r="M39" s="201">
        <v>17</v>
      </c>
      <c r="N39" s="202">
        <f>G39/W39*60</f>
        <v>1544.4444444444453</v>
      </c>
      <c r="O39" s="203">
        <f t="shared" ref="O39:O41" si="35">N39/M39</f>
        <v>90.849673202614426</v>
      </c>
      <c r="P39" s="97">
        <f t="shared" si="33"/>
        <v>0</v>
      </c>
      <c r="Q39" s="98">
        <f t="shared" si="34"/>
        <v>-1.2091503267973422</v>
      </c>
      <c r="R39" s="99">
        <f t="shared" si="29"/>
        <v>0.98686545970891071</v>
      </c>
      <c r="S39" s="438"/>
      <c r="T39" s="20">
        <v>0.38888888888888901</v>
      </c>
      <c r="U39" s="20">
        <v>0.44513888888888897</v>
      </c>
      <c r="V39" s="92">
        <f>(T39-U38)*24*60</f>
        <v>15.999999999999863</v>
      </c>
      <c r="W39" s="205">
        <f t="shared" si="17"/>
        <v>80.999999999999957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0"/>
        <v>-20.555555555554747</v>
      </c>
      <c r="AG39" s="206">
        <f t="shared" si="31"/>
        <v>0.98686545970891071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1903</v>
      </c>
      <c r="H40" s="91">
        <f>F40*G40</f>
        <v>84302.9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2"/>
        <v>84.705882352941174</v>
      </c>
      <c r="M40" s="201">
        <v>17</v>
      </c>
      <c r="N40" s="202">
        <f>G40/W40*60</f>
        <v>1343.2941176470547</v>
      </c>
      <c r="O40" s="203">
        <f t="shared" si="35"/>
        <v>79.017301038062044</v>
      </c>
      <c r="P40" s="97">
        <f t="shared" si="33"/>
        <v>0</v>
      </c>
      <c r="Q40" s="98">
        <f t="shared" si="34"/>
        <v>-5.68858131487913</v>
      </c>
      <c r="R40" s="99">
        <f t="shared" si="29"/>
        <v>0.9328431372548992</v>
      </c>
      <c r="S40" s="425"/>
      <c r="T40" s="20">
        <v>0.452777777777778</v>
      </c>
      <c r="U40" s="20">
        <v>0.51180555555555596</v>
      </c>
      <c r="V40" s="92">
        <f>(T40-U39)*24*60</f>
        <v>11.000000000000201</v>
      </c>
      <c r="W40" s="205">
        <f t="shared" si="17"/>
        <v>85.000000000000256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0"/>
        <v>-96.705882352945309</v>
      </c>
      <c r="AG40" s="206">
        <f t="shared" si="31"/>
        <v>0.93284313725489909</v>
      </c>
      <c r="AH40" s="444"/>
    </row>
    <row r="41" spans="1:34" ht="15" customHeight="1">
      <c r="A41" s="435"/>
      <c r="B41" s="75" t="s">
        <v>123</v>
      </c>
      <c r="C41" s="207"/>
      <c r="D41" s="198" t="s">
        <v>128</v>
      </c>
      <c r="E41" s="178"/>
      <c r="F41" s="75">
        <f>VLOOKUP(D41,廠價表!$C$1:$E$41,3,0)</f>
        <v>44.3</v>
      </c>
      <c r="G41" s="199">
        <v>3130</v>
      </c>
      <c r="H41" s="91">
        <f>F41*G41</f>
        <v>138659</v>
      </c>
      <c r="I41" s="200"/>
      <c r="J41" s="148">
        <f>VLOOKUP(D41,產線配置圖!$A$3:$C$39,2,0)</f>
        <v>17</v>
      </c>
      <c r="K41" s="95">
        <f>VLOOKUP(D41,產線配置圖!$A$3:$C$39,3,0)</f>
        <v>1440</v>
      </c>
      <c r="L41" s="96">
        <f t="shared" si="32"/>
        <v>84.705882352941174</v>
      </c>
      <c r="M41" s="201">
        <v>18</v>
      </c>
      <c r="N41" s="202">
        <f>G41/W41*60</f>
        <v>1514.5161290322594</v>
      </c>
      <c r="O41" s="203">
        <f t="shared" si="35"/>
        <v>84.139784946236631</v>
      </c>
      <c r="P41" s="97">
        <f t="shared" si="33"/>
        <v>1</v>
      </c>
      <c r="Q41" s="98">
        <f t="shared" si="34"/>
        <v>-0.566097406704543</v>
      </c>
      <c r="R41" s="99">
        <f t="shared" si="29"/>
        <v>0.99331690561529362</v>
      </c>
      <c r="S41" s="425"/>
      <c r="T41" s="210">
        <v>0.56597222222222199</v>
      </c>
      <c r="U41" s="210">
        <v>0.65208333333333302</v>
      </c>
      <c r="V41" s="92">
        <f>(T41-U40)*24*60</f>
        <v>77.999999999999091</v>
      </c>
      <c r="W41" s="205">
        <f t="shared" si="17"/>
        <v>123.99999999999989</v>
      </c>
      <c r="X41" s="208">
        <v>0.51736111111111105</v>
      </c>
      <c r="Y41" s="209">
        <v>0.55902777777777801</v>
      </c>
      <c r="Z41" s="337"/>
      <c r="AA41" s="337"/>
      <c r="AB41" s="395"/>
      <c r="AC41" s="395"/>
      <c r="AD41" s="92"/>
      <c r="AE41" s="92"/>
      <c r="AF41" s="314">
        <f t="shared" si="30"/>
        <v>74.516129032259414</v>
      </c>
      <c r="AG41" s="206">
        <f t="shared" si="31"/>
        <v>1.0517473118279579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37">AVERAGE(J38:J47)</f>
        <v>16.75</v>
      </c>
      <c r="K48" s="155">
        <f t="shared" si="37"/>
        <v>1462.75</v>
      </c>
      <c r="L48" s="158">
        <f t="shared" si="37"/>
        <v>87.336397058823522</v>
      </c>
      <c r="M48" s="155">
        <f t="shared" si="37"/>
        <v>17</v>
      </c>
      <c r="N48" s="155">
        <f t="shared" si="37"/>
        <v>1384.3917977809363</v>
      </c>
      <c r="O48" s="158">
        <f t="shared" si="37"/>
        <v>81.240947609228044</v>
      </c>
      <c r="P48" s="221">
        <f>M48-J48</f>
        <v>0.25</v>
      </c>
      <c r="Q48" s="222">
        <f>N48-K48</f>
        <v>-78.358202219063742</v>
      </c>
      <c r="R48" s="223">
        <f>O48/L48</f>
        <v>0.93020722568289571</v>
      </c>
      <c r="S48" s="428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38">N48-K48</f>
        <v>-78.358202219063742</v>
      </c>
      <c r="AG48" s="162">
        <f t="shared" ref="AG48:AG53" si="39">N48/K48</f>
        <v>0.94643089918368573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1014</v>
      </c>
      <c r="H49" s="134">
        <f>F49*G49</f>
        <v>57666.18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0">K49/J49</f>
        <v>86.944444444444443</v>
      </c>
      <c r="M49" s="170">
        <v>18</v>
      </c>
      <c r="N49" s="140">
        <f>G49/W49*60</f>
        <v>1520.9999999999902</v>
      </c>
      <c r="O49" s="141">
        <f>N49/M49</f>
        <v>84.49999999999946</v>
      </c>
      <c r="P49" s="229">
        <f>M49-J49</f>
        <v>0</v>
      </c>
      <c r="Q49" s="230">
        <f>O49-L49</f>
        <v>-2.4444444444449829</v>
      </c>
      <c r="R49" s="52">
        <f>O49/L49</f>
        <v>0.9718849840255529</v>
      </c>
      <c r="S49" s="424">
        <f>R58</f>
        <v>0.98546854108400839</v>
      </c>
      <c r="T49" s="191">
        <v>0.29027777777777802</v>
      </c>
      <c r="U49" s="191">
        <v>0.31805555555555598</v>
      </c>
      <c r="V49" s="55"/>
      <c r="W49" s="193">
        <f t="shared" si="17"/>
        <v>40.000000000000256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38"/>
        <v>-44.000000000009777</v>
      </c>
      <c r="AG49" s="52">
        <f t="shared" si="39"/>
        <v>0.9718849840255529</v>
      </c>
      <c r="AH49" s="403">
        <f>AG58</f>
        <v>0.98561954333607427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2235</v>
      </c>
      <c r="H50" s="231">
        <f>F50*G50</f>
        <v>106631.85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0"/>
        <v>90</v>
      </c>
      <c r="M50" s="233">
        <v>16</v>
      </c>
      <c r="N50" s="234">
        <f>G50/W50*60</f>
        <v>1411.5789473684263</v>
      </c>
      <c r="O50" s="235">
        <f>N50/M50</f>
        <v>88.223684210526642</v>
      </c>
      <c r="P50" s="74">
        <f>M50-J50</f>
        <v>0</v>
      </c>
      <c r="Q50" s="83">
        <f>O50-L50</f>
        <v>-1.7763157894733581</v>
      </c>
      <c r="R50" s="72">
        <f>O50/L50</f>
        <v>0.9802631578947405</v>
      </c>
      <c r="S50" s="425"/>
      <c r="T50" s="21">
        <v>0.32361111111111102</v>
      </c>
      <c r="U50" s="21">
        <v>0.389583333333333</v>
      </c>
      <c r="V50" s="30">
        <f t="shared" ref="V50:V52" si="41">(T50-U49)*24*60</f>
        <v>7.9999999999992522</v>
      </c>
      <c r="W50" s="236">
        <f t="shared" si="17"/>
        <v>94.999999999999659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38"/>
        <v>-28.42105263157373</v>
      </c>
      <c r="AG50" s="72">
        <f t="shared" si="39"/>
        <v>0.9802631578947405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2864</v>
      </c>
      <c r="H51" s="231">
        <f>F51*G51</f>
        <v>143114.07999999999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0"/>
        <v>88.888888888888886</v>
      </c>
      <c r="M51" s="233">
        <v>18</v>
      </c>
      <c r="N51" s="234">
        <f>G51/W51*60</f>
        <v>1591.1111111111109</v>
      </c>
      <c r="O51" s="235">
        <f>N51/M51</f>
        <v>88.395061728395049</v>
      </c>
      <c r="P51" s="74">
        <f>M51-J51</f>
        <v>0</v>
      </c>
      <c r="Q51" s="83">
        <f>O51-L51</f>
        <v>-0.49382716049383646</v>
      </c>
      <c r="R51" s="72">
        <f>O51/L51</f>
        <v>0.99444444444444435</v>
      </c>
      <c r="S51" s="425"/>
      <c r="T51" s="21">
        <v>0.39722222222222198</v>
      </c>
      <c r="U51" s="19">
        <v>0.47222222222222199</v>
      </c>
      <c r="V51" s="30">
        <f t="shared" si="41"/>
        <v>11.000000000000121</v>
      </c>
      <c r="W51" s="236">
        <f t="shared" si="17"/>
        <v>108.00000000000001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38"/>
        <v>-8.8888888888891415</v>
      </c>
      <c r="AG51" s="72">
        <f t="shared" si="39"/>
        <v>0.99444444444444424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2680</v>
      </c>
      <c r="H52" s="231">
        <f>F52*G52</f>
        <v>133919.6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0"/>
        <v>88.888888888888886</v>
      </c>
      <c r="M52" s="233">
        <v>18</v>
      </c>
      <c r="N52" s="234">
        <f>G52/W52*60</f>
        <v>1592.0792079208129</v>
      </c>
      <c r="O52" s="235">
        <f>N52/M52</f>
        <v>88.448844884489603</v>
      </c>
      <c r="P52" s="74">
        <f>M52-J52</f>
        <v>0</v>
      </c>
      <c r="Q52" s="83">
        <f>O52-L52</f>
        <v>-0.44004400439928304</v>
      </c>
      <c r="R52" s="72">
        <f>O52/L52</f>
        <v>0.99504950495050803</v>
      </c>
      <c r="S52" s="425"/>
      <c r="T52" s="21">
        <v>0.530555555555556</v>
      </c>
      <c r="U52" s="21">
        <v>0.60069444444444398</v>
      </c>
      <c r="V52" s="30">
        <f t="shared" si="41"/>
        <v>84.000000000000981</v>
      </c>
      <c r="W52" s="236">
        <f t="shared" si="17"/>
        <v>100.99999999999868</v>
      </c>
      <c r="X52" s="22">
        <v>0.47916666666666702</v>
      </c>
      <c r="Y52" s="84">
        <v>0.52083333333333304</v>
      </c>
      <c r="Z52" s="90"/>
      <c r="AA52" s="90"/>
      <c r="AB52" s="395"/>
      <c r="AC52" s="395"/>
      <c r="AD52" s="92"/>
      <c r="AE52" s="92"/>
      <c r="AF52" s="307">
        <f t="shared" si="38"/>
        <v>-7.9207920791870947</v>
      </c>
      <c r="AG52" s="72">
        <f t="shared" si="39"/>
        <v>0.99504950495050803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38"/>
        <v>0</v>
      </c>
      <c r="AG53" s="72" t="e">
        <f t="shared" si="39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2">AVERAGE(J49:J57)</f>
        <v>17.5</v>
      </c>
      <c r="K58" s="120">
        <f t="shared" si="42"/>
        <v>1551.25</v>
      </c>
      <c r="L58" s="117">
        <f t="shared" si="42"/>
        <v>88.680555555555571</v>
      </c>
      <c r="M58" s="120">
        <f t="shared" si="42"/>
        <v>17.5</v>
      </c>
      <c r="N58" s="120">
        <f t="shared" si="42"/>
        <v>1528.9423166000852</v>
      </c>
      <c r="O58" s="117">
        <f t="shared" si="42"/>
        <v>87.391897705852699</v>
      </c>
      <c r="P58" s="121">
        <f>M58-J58</f>
        <v>0</v>
      </c>
      <c r="Q58" s="122">
        <f>N58-K58</f>
        <v>-22.307683399914822</v>
      </c>
      <c r="R58" s="123">
        <f t="shared" ref="R58:R60" si="43">O58/L58</f>
        <v>0.98546854108400839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44">N58-K58</f>
        <v>-22.307683399914822</v>
      </c>
      <c r="AG58" s="124">
        <f t="shared" ref="AG58:AG61" si="45">N58/K58</f>
        <v>0.98561954333607427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2886</v>
      </c>
      <c r="H59" s="243">
        <f>F59*G59</f>
        <v>77893.14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46">K59/J59</f>
        <v>120.38461538461539</v>
      </c>
      <c r="M59" s="244">
        <v>13</v>
      </c>
      <c r="N59" s="137">
        <f t="shared" ref="N59:N61" si="47">G59/W59*60</f>
        <v>1546.0714285714241</v>
      </c>
      <c r="O59" s="138">
        <f t="shared" ref="O59:O61" si="48">N59/M59</f>
        <v>118.92857142857109</v>
      </c>
      <c r="P59" s="56">
        <f t="shared" ref="P59:P61" si="49">M59-J59</f>
        <v>0</v>
      </c>
      <c r="Q59" s="230">
        <f t="shared" ref="Q59:Q61" si="50">O59-L59</f>
        <v>-1.4560439560442973</v>
      </c>
      <c r="R59" s="52">
        <f t="shared" si="43"/>
        <v>0.98790506617982377</v>
      </c>
      <c r="S59" s="424">
        <f>R69</f>
        <v>0.88850721051831127</v>
      </c>
      <c r="T59" s="245">
        <v>0.29027777777777802</v>
      </c>
      <c r="U59" s="245">
        <v>0.36805555555555602</v>
      </c>
      <c r="V59" s="55"/>
      <c r="W59" s="54">
        <f t="shared" si="17"/>
        <v>112.00000000000033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44"/>
        <v>-18.928571428575879</v>
      </c>
      <c r="AG59" s="246">
        <f t="shared" si="45"/>
        <v>0.98790506617982377</v>
      </c>
      <c r="AH59" s="403">
        <f>AG69</f>
        <v>0.89105587348399129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1230</v>
      </c>
      <c r="H60" s="78">
        <f>F60*G60</f>
        <v>34759.800000000003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6"/>
        <v>130.41666666666666</v>
      </c>
      <c r="M60" s="82">
        <v>12</v>
      </c>
      <c r="N60" s="80">
        <f t="shared" si="47"/>
        <v>1366.6666666666674</v>
      </c>
      <c r="O60" s="81">
        <f t="shared" si="48"/>
        <v>113.88888888888896</v>
      </c>
      <c r="P60" s="74">
        <f t="shared" si="49"/>
        <v>0</v>
      </c>
      <c r="Q60" s="83">
        <f t="shared" si="50"/>
        <v>-16.5277777777777</v>
      </c>
      <c r="R60" s="72">
        <f t="shared" si="43"/>
        <v>0.87326943556975567</v>
      </c>
      <c r="S60" s="451"/>
      <c r="T60" s="22">
        <v>0.389583333333333</v>
      </c>
      <c r="U60" s="22">
        <v>0.42708333333333298</v>
      </c>
      <c r="V60" s="30">
        <f t="shared" ref="V60:V61" si="51">(T60-U59)*24*60</f>
        <v>30.999999999998849</v>
      </c>
      <c r="W60" s="248">
        <f t="shared" si="17"/>
        <v>53.999999999999972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44"/>
        <v>-198.33333333333258</v>
      </c>
      <c r="AG60" s="249">
        <f t="shared" si="45"/>
        <v>0.87326943556975556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1652</v>
      </c>
      <c r="H61" s="254">
        <f>F61*G61</f>
        <v>46685.520000000004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6"/>
        <v>130.41666666666666</v>
      </c>
      <c r="M61" s="108">
        <v>12</v>
      </c>
      <c r="N61" s="107">
        <f t="shared" si="47"/>
        <v>1270.7692307692469</v>
      </c>
      <c r="O61" s="238">
        <f t="shared" si="48"/>
        <v>105.89743589743723</v>
      </c>
      <c r="P61" s="111">
        <f t="shared" si="49"/>
        <v>0</v>
      </c>
      <c r="Q61" s="255">
        <f t="shared" si="50"/>
        <v>-24.519230769229424</v>
      </c>
      <c r="R61" s="85">
        <f>O61/L61</f>
        <v>0.81199311870239421</v>
      </c>
      <c r="S61" s="425"/>
      <c r="T61" s="22">
        <v>0.43402777777777801</v>
      </c>
      <c r="U61" s="22">
        <v>0.48819444444444399</v>
      </c>
      <c r="V61" s="30">
        <f t="shared" si="51"/>
        <v>10.000000000000844</v>
      </c>
      <c r="W61" s="256">
        <f t="shared" si="17"/>
        <v>77.999999999999005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44"/>
        <v>-294.23076923075314</v>
      </c>
      <c r="AG61" s="247">
        <f t="shared" si="45"/>
        <v>0.81199311870239421</v>
      </c>
      <c r="AH61" s="404"/>
    </row>
    <row r="62" spans="1:34" ht="15" customHeight="1">
      <c r="A62" s="44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5"/>
      <c r="T62" s="22"/>
      <c r="V62" s="22"/>
      <c r="W62" s="248">
        <f>(V62-T62)*24*60</f>
        <v>0</v>
      </c>
      <c r="X62" s="22"/>
      <c r="Y62" s="84"/>
      <c r="Z62" s="90"/>
      <c r="AA62" s="90"/>
      <c r="AB62" s="395"/>
      <c r="AC62" s="395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2">AVERAGE(J59:J68)</f>
        <v>12.333333333333334</v>
      </c>
      <c r="K69" s="240">
        <f t="shared" si="52"/>
        <v>1565</v>
      </c>
      <c r="L69" s="268">
        <f t="shared" si="52"/>
        <v>127.07264957264958</v>
      </c>
      <c r="M69" s="240">
        <f t="shared" si="52"/>
        <v>12.333333333333334</v>
      </c>
      <c r="N69" s="240">
        <f t="shared" si="52"/>
        <v>1394.5024420024463</v>
      </c>
      <c r="O69" s="268">
        <f t="shared" si="52"/>
        <v>112.90496540496576</v>
      </c>
      <c r="P69" s="269">
        <f>M69-J69</f>
        <v>0</v>
      </c>
      <c r="Q69" s="222">
        <f>N69-K69</f>
        <v>-170.49755799755371</v>
      </c>
      <c r="R69" s="123">
        <f>O69/L69</f>
        <v>0.88850721051831127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-170.49755799755371</v>
      </c>
      <c r="AG69" s="124">
        <f>N69/K69</f>
        <v>0.89105587348399129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366">
        <f>VLOOKUP(D70,廠價表!$C$1:$E$41,3,0)</f>
        <v>50.67</v>
      </c>
      <c r="G70" s="367">
        <v>2414</v>
      </c>
      <c r="H70" s="43">
        <f>F70*G70</f>
        <v>122317.38</v>
      </c>
      <c r="I70" s="367"/>
      <c r="J70" s="45">
        <f>VLOOKUP(D70,產線配置圖!$A$3:$C$39,2,0)</f>
        <v>10</v>
      </c>
      <c r="K70" s="46">
        <f>VLOOKUP(D70,產線配置圖!$A$3:$C$39,3,0)</f>
        <v>1125</v>
      </c>
      <c r="L70" s="47">
        <f>K70/J70</f>
        <v>112.5</v>
      </c>
      <c r="M70" s="48">
        <v>10</v>
      </c>
      <c r="N70" s="46">
        <f>G70/W70*60</f>
        <v>905.25000000000102</v>
      </c>
      <c r="O70" s="47">
        <f>N70/M70</f>
        <v>90.525000000000105</v>
      </c>
      <c r="P70" s="49">
        <f>M70-J70</f>
        <v>0</v>
      </c>
      <c r="Q70" s="50">
        <f>O70-L70</f>
        <v>-21.974999999999895</v>
      </c>
      <c r="R70" s="51">
        <f>O70/L70</f>
        <v>0.80466666666666764</v>
      </c>
      <c r="S70" s="424">
        <f>R79</f>
        <v>0.80466666666666764</v>
      </c>
      <c r="T70" s="245">
        <v>0.33333333333333298</v>
      </c>
      <c r="U70" s="245">
        <v>0.44444444444444398</v>
      </c>
      <c r="V70" s="55"/>
      <c r="W70" s="54">
        <f t="shared" si="17"/>
        <v>159.99999999999983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-219.74999999999898</v>
      </c>
      <c r="AG70" s="246">
        <f>N70/K70</f>
        <v>0.80466666666666753</v>
      </c>
      <c r="AH70" s="403">
        <f>AG79</f>
        <v>0.80466666666666753</v>
      </c>
    </row>
    <row r="71" spans="1:36" ht="15" customHeight="1">
      <c r="A71" s="457"/>
      <c r="B71" s="75"/>
      <c r="C71" s="76"/>
      <c r="D71" s="59"/>
      <c r="E71" s="77"/>
      <c r="F71" s="207"/>
      <c r="G71" s="232"/>
      <c r="H71" s="231"/>
      <c r="I71" s="232"/>
      <c r="J71" s="362"/>
      <c r="K71" s="234"/>
      <c r="L71" s="235"/>
      <c r="M71" s="363"/>
      <c r="N71" s="234"/>
      <c r="O71" s="235"/>
      <c r="P71" s="364"/>
      <c r="Q71" s="365"/>
      <c r="R71" s="247"/>
      <c r="S71" s="425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ref="H76:H78" si="53"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53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53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54">AVERAGE(J70:J78)</f>
        <v>10</v>
      </c>
      <c r="K79" s="240">
        <f t="shared" si="54"/>
        <v>1125</v>
      </c>
      <c r="L79" s="268">
        <f t="shared" si="54"/>
        <v>112.5</v>
      </c>
      <c r="M79" s="240">
        <f t="shared" si="54"/>
        <v>10</v>
      </c>
      <c r="N79" s="240">
        <f t="shared" si="54"/>
        <v>905.25000000000102</v>
      </c>
      <c r="O79" s="268">
        <f t="shared" si="54"/>
        <v>90.525000000000105</v>
      </c>
      <c r="P79" s="269">
        <f>M79-J79</f>
        <v>0</v>
      </c>
      <c r="Q79" s="222">
        <f>N79-K79</f>
        <v>-219.74999999999898</v>
      </c>
      <c r="R79" s="223">
        <f>O79/L79</f>
        <v>0.80466666666666764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-219.74999999999898</v>
      </c>
      <c r="AG79" s="124">
        <f>N79/K79</f>
        <v>0.80466666666666753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59:A69"/>
    <mergeCell ref="S59:S69"/>
    <mergeCell ref="AB59:AC59"/>
    <mergeCell ref="D69:E69"/>
    <mergeCell ref="AB69:AC69"/>
    <mergeCell ref="D58:E58"/>
    <mergeCell ref="AB58:AC5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46:AC46"/>
    <mergeCell ref="AB47:AC47"/>
    <mergeCell ref="A27:A37"/>
    <mergeCell ref="S27:S37"/>
    <mergeCell ref="AB27:AC27"/>
    <mergeCell ref="D37:E37"/>
    <mergeCell ref="A38:A48"/>
    <mergeCell ref="S38:S48"/>
    <mergeCell ref="AB38:AC38"/>
    <mergeCell ref="D48:E48"/>
    <mergeCell ref="AB48:AC48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B5:AC5"/>
    <mergeCell ref="M3:M4"/>
    <mergeCell ref="N3:N4"/>
    <mergeCell ref="O3:O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F3:AF4"/>
    <mergeCell ref="AG3:AG4"/>
    <mergeCell ref="AF1:AH2"/>
    <mergeCell ref="AB1:AC2"/>
    <mergeCell ref="W3:W4"/>
    <mergeCell ref="X3:Y3"/>
    <mergeCell ref="Z3:AA3"/>
    <mergeCell ref="AH3:AH4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T1:Y2"/>
    <mergeCell ref="S3:S4"/>
    <mergeCell ref="H3:H4"/>
    <mergeCell ref="V3:V4"/>
    <mergeCell ref="P3:P4"/>
    <mergeCell ref="Q3:Q4"/>
    <mergeCell ref="R3:R4"/>
    <mergeCell ref="T3:U3"/>
    <mergeCell ref="I3:I4"/>
    <mergeCell ref="J3:J4"/>
    <mergeCell ref="K3:K4"/>
    <mergeCell ref="L3:L4"/>
  </mergeCells>
  <phoneticPr fontId="0" type="noConversion"/>
  <conditionalFormatting sqref="P5:P79">
    <cfRule type="cellIs" dxfId="148" priority="1" operator="greaterThan">
      <formula>0</formula>
    </cfRule>
  </conditionalFormatting>
  <conditionalFormatting sqref="Q5:Q79 AF5:AF79">
    <cfRule type="cellIs" dxfId="147" priority="4" operator="lessThan">
      <formula>0</formula>
    </cfRule>
  </conditionalFormatting>
  <conditionalFormatting sqref="R5:R79 AG5:AG79">
    <cfRule type="cellIs" dxfId="146" priority="2" operator="greaterThan">
      <formula>1</formula>
    </cfRule>
    <cfRule type="cellIs" dxfId="145" priority="3" operator="lessThan">
      <formula>0.8</formula>
    </cfRule>
  </conditionalFormatting>
  <conditionalFormatting sqref="S5:S10 S37:S62 AH59:AH62 S69:S76 AH69:AH76">
    <cfRule type="cellIs" dxfId="144" priority="7" operator="lessThan">
      <formula>0.8</formula>
    </cfRule>
  </conditionalFormatting>
  <conditionalFormatting sqref="S19:S25 AH19:AH25">
    <cfRule type="cellIs" dxfId="143" priority="6" operator="lessThan">
      <formula>0.8</formula>
    </cfRule>
  </conditionalFormatting>
  <conditionalFormatting sqref="S79">
    <cfRule type="cellIs" dxfId="142" priority="5" operator="lessThan">
      <formula>0.8</formula>
    </cfRule>
  </conditionalFormatting>
  <conditionalFormatting sqref="AH5:AH8 S15:S16 AH15:AH16 AH49 AH79">
    <cfRule type="cellIs" dxfId="141" priority="9" operator="lessThan">
      <formula>0.8</formula>
    </cfRule>
  </conditionalFormatting>
  <conditionalFormatting sqref="AH27 S27:S28">
    <cfRule type="cellIs" dxfId="1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8B15DA-F73C-4B0D-9E23-CABB867DE219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DC7A-E77A-4EF2-976C-F0C0674091C5}">
  <dimension ref="B1:O26"/>
  <sheetViews>
    <sheetView zoomScale="70" zoomScaleNormal="70" workbookViewId="0">
      <selection activeCell="J16" sqref="J1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46071</v>
      </c>
      <c r="E3" s="493"/>
      <c r="F3" s="3" t="s">
        <v>72</v>
      </c>
      <c r="G3" s="494">
        <f>'0218'!E1</f>
        <v>50350</v>
      </c>
      <c r="H3" s="494"/>
      <c r="I3" s="3" t="s">
        <v>2</v>
      </c>
      <c r="J3" s="495">
        <f>'0218'!G1</f>
        <v>2422907.4500000007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118.9147171455995</v>
      </c>
      <c r="G6" s="490"/>
      <c r="H6" s="491">
        <f>AVERAGE(D13:H13,J13)</f>
        <v>117.55506174109115</v>
      </c>
      <c r="I6" s="491"/>
      <c r="J6" s="491">
        <f>AVERAGE(I13)</f>
        <v>127.07264957264958</v>
      </c>
      <c r="K6" s="491"/>
      <c r="L6" s="497">
        <f>SUM(D18:J18)</f>
        <v>1</v>
      </c>
      <c r="M6" s="482">
        <f>SUM(D19:J19)</f>
        <v>1</v>
      </c>
      <c r="N6" s="498">
        <f>SUM(D20:J20)</f>
        <v>0</v>
      </c>
      <c r="O6" s="482">
        <f>SUM(D20:J20)</f>
        <v>0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108.46650267453074</v>
      </c>
      <c r="G7" s="479"/>
      <c r="H7" s="480">
        <f>AVERAGE(D14:H14,J14)</f>
        <v>108.38492263595538</v>
      </c>
      <c r="I7" s="480"/>
      <c r="J7" s="480">
        <f>AVERAGE(I14)</f>
        <v>108.95598290598302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0.91213691020030829</v>
      </c>
      <c r="G8" s="485"/>
      <c r="H8" s="485">
        <f>H7/H6</f>
        <v>0.9219928179244844</v>
      </c>
      <c r="I8" s="485"/>
      <c r="J8" s="485">
        <f>J7/J6</f>
        <v>0.85743063729611657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VALUE('0218'!L15)</f>
        <v>150.77724358974356</v>
      </c>
      <c r="E13" s="13">
        <f>VALUE('0218'!L26)</f>
        <v>176.42992424242425</v>
      </c>
      <c r="F13" s="13">
        <f>VALUE('0218'!L37)</f>
        <v>88.729411764705887</v>
      </c>
      <c r="G13" s="13">
        <f>VALUE('0218'!L48)</f>
        <v>88.213235294117638</v>
      </c>
      <c r="H13" s="13">
        <f>VALUE('0218'!L58)</f>
        <v>88.680555555555571</v>
      </c>
      <c r="I13" s="13">
        <f>VALUE('0218'!L69)</f>
        <v>127.07264957264958</v>
      </c>
      <c r="J13" s="13">
        <f>'0218'!L79</f>
        <v>112.5</v>
      </c>
    </row>
    <row r="14" spans="2:15" ht="39.950000000000003" customHeight="1">
      <c r="B14" s="473"/>
      <c r="C14" s="12" t="s">
        <v>100</v>
      </c>
      <c r="D14" s="13">
        <f>VALUE('0218'!O15)</f>
        <v>146.76980992519822</v>
      </c>
      <c r="E14" s="13">
        <f>VALUE('0218'!O26)</f>
        <v>163.0613134784534</v>
      </c>
      <c r="F14" s="13">
        <f>VALUE('0218'!O37)</f>
        <v>83.476374328164326</v>
      </c>
      <c r="G14" s="13">
        <f>VALUE('0218'!O48)</f>
        <v>79.440383798196237</v>
      </c>
      <c r="H14" s="13">
        <f>VALUE('0218'!O58)</f>
        <v>82.450543174608939</v>
      </c>
      <c r="I14" s="13">
        <f>VALUE('0218'!O69)</f>
        <v>108.95598290598302</v>
      </c>
      <c r="J14" s="13">
        <f>'0218'!O79</f>
        <v>95.111111111111114</v>
      </c>
    </row>
    <row r="15" spans="2:15" ht="39.950000000000003" customHeight="1">
      <c r="B15" s="474"/>
      <c r="C15" s="10" t="s">
        <v>26</v>
      </c>
      <c r="D15" s="14">
        <f>D14/D13</f>
        <v>0.97342149538527611</v>
      </c>
      <c r="E15" s="14">
        <f t="shared" ref="E15:I15" si="1">E14/E13</f>
        <v>0.92422707870348764</v>
      </c>
      <c r="F15" s="14">
        <f t="shared" si="1"/>
        <v>0.94079711189259707</v>
      </c>
      <c r="G15" s="14">
        <f t="shared" si="1"/>
        <v>0.90054948708466198</v>
      </c>
      <c r="H15" s="14">
        <f t="shared" si="1"/>
        <v>0.92974770690240294</v>
      </c>
      <c r="I15" s="14">
        <f t="shared" si="1"/>
        <v>0.85743063729611657</v>
      </c>
      <c r="J15" s="15">
        <f>'0218'!S70</f>
        <v>0.84543209876543213</v>
      </c>
    </row>
    <row r="16" spans="2:15" ht="17.25" customHeight="1">
      <c r="B16" s="475" t="s">
        <v>101</v>
      </c>
      <c r="C16" s="10" t="s">
        <v>34</v>
      </c>
      <c r="D16" s="16">
        <f>'0218'!T5</f>
        <v>0.29166666666666702</v>
      </c>
      <c r="E16" s="16">
        <f>'0218'!T16</f>
        <v>0.29027777777777802</v>
      </c>
      <c r="F16" s="16">
        <f>'0218'!T27</f>
        <v>0.29166666666666702</v>
      </c>
      <c r="G16" s="16">
        <f>'0218'!T38</f>
        <v>0.33333333333333298</v>
      </c>
      <c r="H16" s="16">
        <f>'0218'!T49</f>
        <v>0.29166666666666702</v>
      </c>
      <c r="I16" s="16">
        <f>'0218'!T59</f>
        <v>0.29166666666666702</v>
      </c>
      <c r="J16" s="16">
        <f>'0218'!T70</f>
        <v>0.33333333333333298</v>
      </c>
    </row>
    <row r="17" spans="2:10" ht="17.25" customHeight="1">
      <c r="B17" s="476"/>
      <c r="C17" s="10" t="s">
        <v>35</v>
      </c>
      <c r="D17" s="16">
        <v>0.57777777777777795</v>
      </c>
      <c r="E17" s="19">
        <v>0.60624999999999996</v>
      </c>
      <c r="F17" s="19">
        <v>0.656944444444444</v>
      </c>
      <c r="G17" s="20">
        <v>0.52430555555555602</v>
      </c>
      <c r="H17" s="21">
        <v>0.63749999999999996</v>
      </c>
      <c r="I17" s="22">
        <v>0.48611111111111099</v>
      </c>
      <c r="J17" s="272">
        <v>0.45833333333333298</v>
      </c>
    </row>
    <row r="18" spans="2:10" ht="17.25" customHeight="1">
      <c r="B18" s="477" t="s">
        <v>102</v>
      </c>
      <c r="C18" s="330" t="s">
        <v>36</v>
      </c>
      <c r="D18" s="358">
        <f>'0218'!Z15</f>
        <v>0</v>
      </c>
      <c r="E18" s="359">
        <f>'0218'!Z26</f>
        <v>1</v>
      </c>
      <c r="F18" s="359">
        <f>'0218'!Z37</f>
        <v>0</v>
      </c>
      <c r="G18" s="360">
        <f>'0218'!Z48</f>
        <v>0</v>
      </c>
      <c r="H18" s="360">
        <f>'0218'!Z58</f>
        <v>0</v>
      </c>
      <c r="I18" s="359">
        <f>'0218'!Z69</f>
        <v>0</v>
      </c>
      <c r="J18" s="359">
        <f>'0218'!AA79</f>
        <v>0</v>
      </c>
    </row>
    <row r="19" spans="2:10" ht="17.25" customHeight="1">
      <c r="B19" s="478"/>
      <c r="C19" s="330" t="s">
        <v>37</v>
      </c>
      <c r="D19" s="358">
        <f>'0218'!AA15</f>
        <v>0</v>
      </c>
      <c r="E19" s="359">
        <f>'0218'!AA26</f>
        <v>1</v>
      </c>
      <c r="F19" s="359">
        <f>'0218'!AA37</f>
        <v>0</v>
      </c>
      <c r="G19" s="360">
        <f>'0218'!AA48</f>
        <v>0</v>
      </c>
      <c r="H19" s="360">
        <f>'0218'!AA58</f>
        <v>0</v>
      </c>
      <c r="I19" s="359">
        <f>'0218'!AA69</f>
        <v>0</v>
      </c>
      <c r="J19" s="359">
        <f>'0218'!AB79</f>
        <v>0</v>
      </c>
    </row>
    <row r="20" spans="2:10" ht="17.25" customHeight="1">
      <c r="B20" s="477" t="s">
        <v>103</v>
      </c>
      <c r="C20" s="330" t="s">
        <v>36</v>
      </c>
      <c r="D20" s="358">
        <f>'0218'!AD15</f>
        <v>0</v>
      </c>
      <c r="E20" s="359">
        <f>'0218'!AD26</f>
        <v>0</v>
      </c>
      <c r="F20" s="359">
        <f>'0218'!AD37</f>
        <v>0</v>
      </c>
      <c r="G20" s="360">
        <f>'0218'!AD48</f>
        <v>0</v>
      </c>
      <c r="H20" s="360">
        <f>'0218'!AD58</f>
        <v>0</v>
      </c>
      <c r="I20" s="359">
        <f>'0218'!AD69</f>
        <v>0</v>
      </c>
      <c r="J20" s="359">
        <f>'0218'!AD79</f>
        <v>0</v>
      </c>
    </row>
    <row r="21" spans="2:10" ht="17.25" customHeight="1">
      <c r="B21" s="478"/>
      <c r="C21" s="330" t="s">
        <v>85</v>
      </c>
      <c r="D21" s="358">
        <f>'0218'!AE15</f>
        <v>0</v>
      </c>
      <c r="E21" s="359">
        <f>'0218'!AE26</f>
        <v>0</v>
      </c>
      <c r="F21" s="359">
        <f>'0218'!AE37</f>
        <v>0</v>
      </c>
      <c r="G21" s="360">
        <f>'0218'!AE48</f>
        <v>0</v>
      </c>
      <c r="H21" s="360">
        <f>'0218'!AE58</f>
        <v>0</v>
      </c>
      <c r="I21" s="359">
        <f>'0218'!AE69</f>
        <v>0</v>
      </c>
      <c r="J21" s="359">
        <f>'0218'!AE79</f>
        <v>0</v>
      </c>
    </row>
    <row r="22" spans="2:10" ht="17.25" customHeight="1">
      <c r="B22" s="460" t="s">
        <v>104</v>
      </c>
      <c r="C22" s="461"/>
      <c r="D22" s="23">
        <f>VALUE('0218'!M15)</f>
        <v>13.25</v>
      </c>
      <c r="E22" s="23">
        <f>VALUE('0218'!M26)</f>
        <v>11.5</v>
      </c>
      <c r="F22" s="23">
        <f>VALUE('0218'!M37)</f>
        <v>14.4</v>
      </c>
      <c r="G22" s="23">
        <f>VALUE('0218'!M48)</f>
        <v>15.333333333333334</v>
      </c>
      <c r="H22" s="23">
        <f>VALUE('0218'!M58)</f>
        <v>16</v>
      </c>
      <c r="I22" s="23">
        <f>VALUE('0218'!M69)</f>
        <v>12.333333333333334</v>
      </c>
      <c r="J22" s="23">
        <f>'0218'!M79</f>
        <v>9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C473-86F1-49AF-814F-005D639CEDC9}">
  <sheetPr>
    <tabColor theme="9" tint="0.79998168889431442"/>
  </sheetPr>
  <dimension ref="A1:AJ92"/>
  <sheetViews>
    <sheetView zoomScale="69" zoomScaleNormal="69" workbookViewId="0">
      <pane xSplit="5" ySplit="4" topLeftCell="M32" activePane="bottomRight" state="frozen"/>
      <selection activeCell="AB29" sqref="AB29:AC29"/>
      <selection pane="topRight" activeCell="AB29" sqref="AB29:AC29"/>
      <selection pane="bottomLeft" activeCell="AB29" sqref="AB29:AC29"/>
      <selection pane="bottomRight" activeCell="X39" sqref="X39:Y4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50350</v>
      </c>
      <c r="F1" s="30" t="s">
        <v>2</v>
      </c>
      <c r="G1" s="31">
        <f>SUM(H5:H79)</f>
        <v>2422907.4500000007</v>
      </c>
      <c r="H1" s="32" t="s">
        <v>3</v>
      </c>
      <c r="I1" s="33">
        <f>M15+M26+M48+M58+M69+M79+M37</f>
        <v>91.816666666666677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190</v>
      </c>
      <c r="B2" s="374"/>
      <c r="C2" s="28"/>
      <c r="D2" s="28" t="s">
        <v>14</v>
      </c>
      <c r="E2" s="35">
        <f>AVERAGE(O15,O26,O37,O48,O58,O69,O79)</f>
        <v>108.46650267453074</v>
      </c>
      <c r="F2" s="36" t="s">
        <v>15</v>
      </c>
      <c r="G2" s="37">
        <f>G1/E1</f>
        <v>48.121299900695149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1</v>
      </c>
      <c r="AA2" s="339">
        <f>AA15+AA26+AA37+AA48+AA58+AA69+AA79</f>
        <v>1</v>
      </c>
      <c r="AB2" s="370"/>
      <c r="AC2" s="370"/>
      <c r="AD2" s="340">
        <f>AD15+AD26+AD37+AD48+AD58+AD69+AD79</f>
        <v>0</v>
      </c>
      <c r="AE2" s="340">
        <f>AE15+AE26+AE37+AE48+AE58+AE69+AE79</f>
        <v>0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1680</v>
      </c>
      <c r="H5" s="43">
        <f>F5*G5</f>
        <v>96112.8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8" si="0">K5/J5</f>
        <v>175.41666666666666</v>
      </c>
      <c r="M5" s="48">
        <v>12</v>
      </c>
      <c r="N5" s="46">
        <f t="shared" ref="N5:N8" si="1">G5/W5*60</f>
        <v>2016.0000000000136</v>
      </c>
      <c r="O5" s="47">
        <f t="shared" ref="O5:O8" si="2">N5/M5</f>
        <v>168.00000000000114</v>
      </c>
      <c r="P5" s="49">
        <f t="shared" ref="P5:P8" si="3">M5-J5</f>
        <v>0</v>
      </c>
      <c r="Q5" s="50">
        <f t="shared" ref="Q5:Q8" si="4">O5-L5</f>
        <v>-7.4166666666655203</v>
      </c>
      <c r="R5" s="51">
        <f t="shared" ref="R5:R8" si="5">O5/L5</f>
        <v>0.95771971496437713</v>
      </c>
      <c r="S5" s="424">
        <f>R15</f>
        <v>0.97342149538527611</v>
      </c>
      <c r="T5" s="319">
        <v>0.29166666666666702</v>
      </c>
      <c r="U5" s="320">
        <v>0.32638888888888901</v>
      </c>
      <c r="V5" s="53"/>
      <c r="W5" s="54">
        <f t="shared" ref="W5:W14" si="6">(U5-T5)*24*60</f>
        <v>49.999999999999659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8" si="7">N5-K5</f>
        <v>-88.999999999986358</v>
      </c>
      <c r="AG5" s="52">
        <f t="shared" ref="AG5:AG8" si="8">N5/K5</f>
        <v>0.95771971496437702</v>
      </c>
      <c r="AH5" s="403">
        <f>AG15</f>
        <v>0.97312566957585012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1514</v>
      </c>
      <c r="H6" s="63">
        <f>F6*G6</f>
        <v>85207.92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1713.9622641509236</v>
      </c>
      <c r="O6" s="67">
        <f t="shared" si="2"/>
        <v>114.26415094339491</v>
      </c>
      <c r="P6" s="69">
        <f t="shared" si="3"/>
        <v>0</v>
      </c>
      <c r="Q6" s="70">
        <f t="shared" si="4"/>
        <v>-5.7358490566050904</v>
      </c>
      <c r="R6" s="71">
        <f t="shared" si="5"/>
        <v>0.95220125786162424</v>
      </c>
      <c r="S6" s="425"/>
      <c r="T6" s="16">
        <v>0.33819444444444402</v>
      </c>
      <c r="U6" s="16">
        <v>0.375</v>
      </c>
      <c r="V6" s="30">
        <f>(T6-U5)*24*60</f>
        <v>16.999999999999218</v>
      </c>
      <c r="W6" s="73">
        <f t="shared" si="6"/>
        <v>53.000000000000611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-86.037735849076398</v>
      </c>
      <c r="AG6" s="72">
        <f t="shared" si="8"/>
        <v>0.95220125786162424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4264</v>
      </c>
      <c r="H7" s="78">
        <f>F7*G7</f>
        <v>209532.96</v>
      </c>
      <c r="I7" s="73"/>
      <c r="J7" s="79">
        <f>VLOOKUP(D7,產線配置圖!$A$3:$C$39,2,0)</f>
        <v>13</v>
      </c>
      <c r="K7" s="80">
        <f>VLOOKUP(D7,產線配置圖!$A$3:$C$39,3,0)</f>
        <v>2000</v>
      </c>
      <c r="L7" s="81">
        <f t="shared" si="0"/>
        <v>153.84615384615384</v>
      </c>
      <c r="M7" s="82">
        <v>13</v>
      </c>
      <c r="N7" s="80">
        <f t="shared" si="1"/>
        <v>1998.7499999999975</v>
      </c>
      <c r="O7" s="81">
        <f t="shared" si="2"/>
        <v>153.7499999999998</v>
      </c>
      <c r="P7" s="74">
        <f t="shared" si="3"/>
        <v>0</v>
      </c>
      <c r="Q7" s="83">
        <f t="shared" si="4"/>
        <v>-9.6153846154038547E-2</v>
      </c>
      <c r="R7" s="72">
        <f t="shared" si="5"/>
        <v>0.99937499999999879</v>
      </c>
      <c r="S7" s="425"/>
      <c r="T7" s="18">
        <v>0.38888888888888901</v>
      </c>
      <c r="U7" s="18">
        <v>0.47777777777777802</v>
      </c>
      <c r="V7" s="30">
        <f>(T7-U6)*24*60</f>
        <v>20.000000000000171</v>
      </c>
      <c r="W7" s="73">
        <f t="shared" si="6"/>
        <v>128.00000000000017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-1.2500000000025011</v>
      </c>
      <c r="AG7" s="72">
        <f t="shared" si="8"/>
        <v>0.99937499999999879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1702</v>
      </c>
      <c r="H8" s="78">
        <f>F8*G8</f>
        <v>83636.28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1963.8461538461609</v>
      </c>
      <c r="O8" s="81">
        <f t="shared" si="2"/>
        <v>151.06508875739698</v>
      </c>
      <c r="P8" s="74">
        <f t="shared" si="3"/>
        <v>0</v>
      </c>
      <c r="Q8" s="83">
        <f t="shared" si="4"/>
        <v>-2.7810650887568613</v>
      </c>
      <c r="R8" s="72">
        <f t="shared" si="5"/>
        <v>0.98192307692308045</v>
      </c>
      <c r="S8" s="425"/>
      <c r="T8" s="16">
        <v>0.54166666666666696</v>
      </c>
      <c r="U8" s="16">
        <v>0.57777777777777795</v>
      </c>
      <c r="V8" s="30">
        <f>(T8-U7)*24*60</f>
        <v>92.000000000000071</v>
      </c>
      <c r="W8" s="73">
        <f t="shared" si="6"/>
        <v>51.999999999999815</v>
      </c>
      <c r="X8" s="22">
        <v>0.48611111111111099</v>
      </c>
      <c r="Y8" s="84">
        <v>0.52777777777777801</v>
      </c>
      <c r="Z8" s="90"/>
      <c r="AA8" s="90"/>
      <c r="AB8" s="407"/>
      <c r="AC8" s="407"/>
      <c r="AD8" s="149"/>
      <c r="AE8" s="149"/>
      <c r="AF8" s="307">
        <f t="shared" si="7"/>
        <v>-36.15384615383914</v>
      </c>
      <c r="AG8" s="72">
        <f t="shared" si="8"/>
        <v>0.98192307692308045</v>
      </c>
      <c r="AH8" s="404"/>
    </row>
    <row r="9" spans="1:34" ht="15" customHeight="1">
      <c r="A9" s="42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6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07"/>
      <c r="AC9" s="407"/>
      <c r="AD9" s="149"/>
      <c r="AE9" s="149"/>
      <c r="AF9" s="307"/>
      <c r="AG9" s="72"/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/>
      <c r="AG10" s="72"/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/>
      <c r="AG11" s="72"/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9">AVERAGE(J5:J14)</f>
        <v>13.25</v>
      </c>
      <c r="K15" s="120">
        <f t="shared" si="9"/>
        <v>1976.25</v>
      </c>
      <c r="L15" s="117">
        <f t="shared" si="9"/>
        <v>150.77724358974356</v>
      </c>
      <c r="M15" s="120">
        <f t="shared" si="9"/>
        <v>13.25</v>
      </c>
      <c r="N15" s="120">
        <f t="shared" si="9"/>
        <v>1923.1396044992739</v>
      </c>
      <c r="O15" s="117">
        <f t="shared" si="9"/>
        <v>146.76980992519822</v>
      </c>
      <c r="P15" s="121">
        <f t="shared" ref="P15:P19" si="10">M15-J15</f>
        <v>0</v>
      </c>
      <c r="Q15" s="122">
        <f t="shared" ref="Q15:Q19" si="11">O15-L15</f>
        <v>-4.0074336645453457</v>
      </c>
      <c r="R15" s="123">
        <f t="shared" ref="R15:R19" si="12">O15/L15</f>
        <v>0.97342149538527611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20" si="13">N15-K15</f>
        <v>-53.110395500726099</v>
      </c>
      <c r="AG15" s="124">
        <f t="shared" ref="AG15:AG20" si="14">N15/K15</f>
        <v>0.97312566957585012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1853</v>
      </c>
      <c r="H16" s="134">
        <f>F16*G16</f>
        <v>106010.13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19" si="15">K16/J16</f>
        <v>175.41666666666666</v>
      </c>
      <c r="M16" s="139">
        <v>12</v>
      </c>
      <c r="N16" s="140">
        <f t="shared" ref="N16:N19" si="16">G16/W16*60</f>
        <v>2021.4545454545705</v>
      </c>
      <c r="O16" s="141">
        <f>N16/M16</f>
        <v>168.45454545454754</v>
      </c>
      <c r="P16" s="142">
        <f>M16-J16</f>
        <v>0</v>
      </c>
      <c r="Q16" s="143">
        <f t="shared" si="11"/>
        <v>-6.9621212121191149</v>
      </c>
      <c r="R16" s="144">
        <f>O16/L16</f>
        <v>0.96031094795941596</v>
      </c>
      <c r="S16" s="417">
        <f>R26</f>
        <v>0.92422707870348764</v>
      </c>
      <c r="T16" s="145">
        <v>0.29027777777777802</v>
      </c>
      <c r="U16" s="145">
        <v>0.328472222222222</v>
      </c>
      <c r="V16" s="135"/>
      <c r="W16" s="146">
        <f t="shared" ref="W16:W78" si="17">(U16-T16)*24*60</f>
        <v>54.999999999999325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3"/>
        <v>-83.545454545429493</v>
      </c>
      <c r="AG16" s="52">
        <f t="shared" si="14"/>
        <v>0.96031094795941596</v>
      </c>
      <c r="AH16" s="403">
        <f>AG26</f>
        <v>0.92636606802759314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3697</v>
      </c>
      <c r="H17" s="78">
        <f>F17*G17</f>
        <v>187326.99000000002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5"/>
        <v>166.66666666666666</v>
      </c>
      <c r="M17" s="148">
        <v>12</v>
      </c>
      <c r="N17" s="95">
        <f>G17/W17*60</f>
        <v>1980.5357142857342</v>
      </c>
      <c r="O17" s="96">
        <f t="shared" ref="O17:O19" si="18">N17/M17</f>
        <v>165.04464285714451</v>
      </c>
      <c r="P17" s="97">
        <f t="shared" si="10"/>
        <v>0</v>
      </c>
      <c r="Q17" s="98">
        <f t="shared" si="11"/>
        <v>-1.6220238095221475</v>
      </c>
      <c r="R17" s="99">
        <f t="shared" si="12"/>
        <v>0.99026785714286714</v>
      </c>
      <c r="S17" s="418"/>
      <c r="T17" s="19">
        <v>0.33541666666666697</v>
      </c>
      <c r="U17" s="19">
        <v>0.41319444444444398</v>
      </c>
      <c r="V17" s="30">
        <f>(T17-U16)*24*60</f>
        <v>10.000000000000764</v>
      </c>
      <c r="W17" s="149">
        <f t="shared" si="17"/>
        <v>111.99999999999888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3"/>
        <v>-19.46428571426577</v>
      </c>
      <c r="AG17" s="72">
        <f t="shared" si="14"/>
        <v>0.99026785714286714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2528</v>
      </c>
      <c r="H18" s="78">
        <f>F18*G18</f>
        <v>127385.92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5"/>
        <v>181.81818181818181</v>
      </c>
      <c r="M18" s="148">
        <v>11</v>
      </c>
      <c r="N18" s="95">
        <f t="shared" si="16"/>
        <v>1827.4698795180682</v>
      </c>
      <c r="O18" s="96">
        <f t="shared" si="18"/>
        <v>166.13362541073346</v>
      </c>
      <c r="P18" s="97">
        <f t="shared" si="10"/>
        <v>0</v>
      </c>
      <c r="Q18" s="98">
        <f t="shared" si="11"/>
        <v>-15.684556407448355</v>
      </c>
      <c r="R18" s="99">
        <f t="shared" si="12"/>
        <v>0.91373493975903408</v>
      </c>
      <c r="S18" s="418"/>
      <c r="T18" s="19">
        <v>0.42013888888888901</v>
      </c>
      <c r="U18" s="19">
        <v>0.47777777777777802</v>
      </c>
      <c r="V18" s="30">
        <f>(T18-U17)*24*60</f>
        <v>10.000000000000844</v>
      </c>
      <c r="W18" s="149">
        <f t="shared" si="17"/>
        <v>83.000000000000185</v>
      </c>
      <c r="X18" s="22"/>
      <c r="Y18" s="84"/>
      <c r="Z18" s="90"/>
      <c r="AA18" s="90"/>
      <c r="AB18" s="395"/>
      <c r="AC18" s="395"/>
      <c r="AD18" s="92"/>
      <c r="AE18" s="92"/>
      <c r="AF18" s="307">
        <f t="shared" si="13"/>
        <v>-172.53012048193182</v>
      </c>
      <c r="AG18" s="72">
        <f t="shared" si="14"/>
        <v>0.91373493975903408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2658</v>
      </c>
      <c r="H19" s="78">
        <f>F19*G19</f>
        <v>133936.62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5"/>
        <v>181.81818181818181</v>
      </c>
      <c r="M19" s="148">
        <v>11</v>
      </c>
      <c r="N19" s="95">
        <f t="shared" si="16"/>
        <v>1678.7368421052693</v>
      </c>
      <c r="O19" s="96">
        <f t="shared" si="18"/>
        <v>152.61244019138812</v>
      </c>
      <c r="P19" s="97">
        <f t="shared" si="10"/>
        <v>0</v>
      </c>
      <c r="Q19" s="98">
        <f t="shared" si="11"/>
        <v>-29.205741626793696</v>
      </c>
      <c r="R19" s="99">
        <f t="shared" si="12"/>
        <v>0.83936842105263465</v>
      </c>
      <c r="S19" s="418"/>
      <c r="T19" s="19">
        <v>0.54027777777777797</v>
      </c>
      <c r="U19" s="19">
        <v>0.60624999999999996</v>
      </c>
      <c r="V19" s="30">
        <f>(T19-U18)*24*60</f>
        <v>89.999999999999915</v>
      </c>
      <c r="W19" s="149">
        <f t="shared" si="17"/>
        <v>94.999999999999659</v>
      </c>
      <c r="X19" s="22">
        <v>0.48611111111111099</v>
      </c>
      <c r="Y19" s="84">
        <v>0.52777777777777801</v>
      </c>
      <c r="Z19" s="90">
        <v>1</v>
      </c>
      <c r="AA19" s="90">
        <v>1</v>
      </c>
      <c r="AB19" s="407" t="s">
        <v>120</v>
      </c>
      <c r="AC19" s="407"/>
      <c r="AD19" s="149"/>
      <c r="AE19" s="149"/>
      <c r="AF19" s="307">
        <f t="shared" si="13"/>
        <v>-321.26315789473074</v>
      </c>
      <c r="AG19" s="72">
        <f t="shared" si="14"/>
        <v>0.83936842105263465</v>
      </c>
      <c r="AH19" s="405"/>
    </row>
    <row r="20" spans="1:34" ht="15" customHeight="1">
      <c r="A20" s="414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8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95"/>
      <c r="AC20" s="395"/>
      <c r="AD20" s="92"/>
      <c r="AE20" s="92"/>
      <c r="AF20" s="307">
        <f t="shared" si="13"/>
        <v>0</v>
      </c>
      <c r="AG20" s="72" t="e">
        <f t="shared" si="14"/>
        <v>#DIV/0!</v>
      </c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9"/>
      <c r="U21" s="19"/>
      <c r="V21" s="30"/>
      <c r="W21" s="149">
        <f t="shared" si="17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79"/>
      <c r="K22" s="95"/>
      <c r="L22" s="96"/>
      <c r="M22" s="148"/>
      <c r="N22" s="95"/>
      <c r="O22" s="96"/>
      <c r="P22" s="97"/>
      <c r="Q22" s="98"/>
      <c r="R22" s="99"/>
      <c r="S22" s="418"/>
      <c r="T22" s="19"/>
      <c r="U22" s="19"/>
      <c r="V22" s="30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7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0">AVERAGE(J16:J25)</f>
        <v>11.5</v>
      </c>
      <c r="K26" s="155">
        <f t="shared" si="20"/>
        <v>2026.25</v>
      </c>
      <c r="L26" s="158">
        <f t="shared" si="20"/>
        <v>176.42992424242425</v>
      </c>
      <c r="M26" s="155">
        <f t="shared" si="20"/>
        <v>11.5</v>
      </c>
      <c r="N26" s="155">
        <f t="shared" si="20"/>
        <v>1877.0492453409106</v>
      </c>
      <c r="O26" s="158">
        <f t="shared" si="20"/>
        <v>163.0613134784534</v>
      </c>
      <c r="P26" s="159">
        <f t="shared" ref="P26:P30" si="21">M26-J26</f>
        <v>0</v>
      </c>
      <c r="Q26" s="160">
        <f t="shared" ref="Q26:Q30" si="22">O26-L26</f>
        <v>-13.36861076397085</v>
      </c>
      <c r="R26" s="161">
        <f>O26/L26</f>
        <v>0.92422707870348764</v>
      </c>
      <c r="S26" s="419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1</v>
      </c>
      <c r="AB26" s="412"/>
      <c r="AC26" s="412"/>
      <c r="AD26" s="323">
        <f>SUM(AD16:AD25)</f>
        <v>0</v>
      </c>
      <c r="AE26" s="323">
        <f>SUM(AE16:AE25)</f>
        <v>0</v>
      </c>
      <c r="AF26" s="309">
        <f t="shared" ref="AF26:AF30" si="23">N26-K26</f>
        <v>-149.2007546590894</v>
      </c>
      <c r="AG26" s="124">
        <f t="shared" ref="AG26:AG30" si="24">N26/K26</f>
        <v>0.92636606802759314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1423</v>
      </c>
      <c r="H27" s="134">
        <f>F27*G27</f>
        <v>81537.899999999994</v>
      </c>
      <c r="I27" s="135"/>
      <c r="J27" s="136">
        <v>15</v>
      </c>
      <c r="K27" s="137">
        <f>VLOOKUP(D27,產線配置圖!$A$3:$C$39,3,0)</f>
        <v>1500</v>
      </c>
      <c r="L27" s="138">
        <f t="shared" ref="L27:L30" si="25">K27/J27</f>
        <v>100</v>
      </c>
      <c r="M27" s="170">
        <v>15</v>
      </c>
      <c r="N27" s="140">
        <f>G27/W27*60</f>
        <v>1423.0000000000241</v>
      </c>
      <c r="O27" s="141">
        <f>N27/M27</f>
        <v>94.86666666666828</v>
      </c>
      <c r="P27" s="142">
        <f t="shared" si="21"/>
        <v>0</v>
      </c>
      <c r="Q27" s="143">
        <f t="shared" si="22"/>
        <v>-5.1333333333317199</v>
      </c>
      <c r="R27" s="144">
        <f>O27/L27</f>
        <v>0.94866666666668276</v>
      </c>
      <c r="S27" s="417">
        <f>R37</f>
        <v>0.94079711189259707</v>
      </c>
      <c r="T27" s="171">
        <v>0.29166666666666702</v>
      </c>
      <c r="U27" s="171">
        <v>0.33333333333333298</v>
      </c>
      <c r="V27" s="135"/>
      <c r="W27" s="146">
        <f t="shared" si="17"/>
        <v>59.999999999998991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3"/>
        <v>-76.999999999975898</v>
      </c>
      <c r="AG27" s="172">
        <f t="shared" si="24"/>
        <v>0.94866666666668276</v>
      </c>
      <c r="AH27" s="403">
        <f>AG37</f>
        <v>0.84190639491212893</v>
      </c>
    </row>
    <row r="28" spans="1:34" ht="15" customHeight="1">
      <c r="A28" s="430"/>
      <c r="B28" s="75" t="s">
        <v>123</v>
      </c>
      <c r="C28" s="173"/>
      <c r="D28" s="59" t="s">
        <v>124</v>
      </c>
      <c r="E28" s="104"/>
      <c r="F28" s="75">
        <f>VLOOKUP(D28,廠價表!$C$1:$E$41,3,0)</f>
        <v>49.52</v>
      </c>
      <c r="G28" s="90">
        <v>2134</v>
      </c>
      <c r="H28" s="91">
        <f>F28*G28</f>
        <v>105675.68000000001</v>
      </c>
      <c r="I28" s="92"/>
      <c r="J28" s="79">
        <v>15</v>
      </c>
      <c r="K28" s="80">
        <f>VLOOKUP(D28,產線配置圖!$A$3:$C$39,3,0)</f>
        <v>1440</v>
      </c>
      <c r="L28" s="93">
        <f t="shared" si="25"/>
        <v>96</v>
      </c>
      <c r="M28" s="94">
        <v>13</v>
      </c>
      <c r="N28" s="95">
        <f>G28/W28*60</f>
        <v>1049.5081967213139</v>
      </c>
      <c r="O28" s="96">
        <f>N28/M28</f>
        <v>80.731399747793375</v>
      </c>
      <c r="P28" s="97">
        <f t="shared" si="21"/>
        <v>-2</v>
      </c>
      <c r="Q28" s="98">
        <f t="shared" si="22"/>
        <v>-15.268600252206625</v>
      </c>
      <c r="R28" s="99">
        <f t="shared" ref="R28:R30" si="26">O28/L28</f>
        <v>0.84095208070618099</v>
      </c>
      <c r="S28" s="418"/>
      <c r="T28" s="19">
        <v>0.34930555555555598</v>
      </c>
      <c r="U28" s="19">
        <v>0.43402777777777801</v>
      </c>
      <c r="V28" s="92">
        <f>(T28-U27)*24*60</f>
        <v>23.000000000001116</v>
      </c>
      <c r="W28" s="149">
        <f t="shared" si="17"/>
        <v>121.99999999999973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3"/>
        <v>-390.49180327868612</v>
      </c>
      <c r="AG28" s="99">
        <f t="shared" si="24"/>
        <v>0.72882513661202353</v>
      </c>
      <c r="AH28" s="432"/>
    </row>
    <row r="29" spans="1:34" ht="15" customHeight="1">
      <c r="A29" s="430"/>
      <c r="B29" s="75" t="s">
        <v>81</v>
      </c>
      <c r="C29" s="173"/>
      <c r="D29" s="59" t="s">
        <v>122</v>
      </c>
      <c r="E29" s="104"/>
      <c r="F29" s="75">
        <f>VLOOKUP(D29,廠價表!$C$1:$E$41,3,0)</f>
        <v>55.13</v>
      </c>
      <c r="G29" s="90">
        <v>799</v>
      </c>
      <c r="H29" s="91">
        <f>F29*G29</f>
        <v>44048.87</v>
      </c>
      <c r="I29" s="92"/>
      <c r="J29" s="79">
        <f>VLOOKUP(D29,產線配置圖!$A$3:$C$39,2,0)</f>
        <v>17</v>
      </c>
      <c r="K29" s="80">
        <f>VLOOKUP(D29,產線配置圖!$A$3:$C$39,3,0)</f>
        <v>1385</v>
      </c>
      <c r="L29" s="93">
        <f t="shared" si="25"/>
        <v>81.470588235294116</v>
      </c>
      <c r="M29" s="94">
        <v>14</v>
      </c>
      <c r="N29" s="95">
        <f>G29/W29*60</f>
        <v>1114.8837209302364</v>
      </c>
      <c r="O29" s="96">
        <f>N29/M29</f>
        <v>79.634551495016893</v>
      </c>
      <c r="P29" s="97">
        <f t="shared" si="21"/>
        <v>-3</v>
      </c>
      <c r="Q29" s="98">
        <f t="shared" si="22"/>
        <v>-1.8360367402772226</v>
      </c>
      <c r="R29" s="99">
        <f t="shared" si="26"/>
        <v>0.97746380896410634</v>
      </c>
      <c r="S29" s="418"/>
      <c r="T29" s="19">
        <v>0.44236111111111098</v>
      </c>
      <c r="U29" s="19">
        <v>0.47222222222222199</v>
      </c>
      <c r="V29" s="92">
        <f>(T29-U28)*24*60</f>
        <v>11.999999999999478</v>
      </c>
      <c r="W29" s="149">
        <f t="shared" si="17"/>
        <v>42.999999999999844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3"/>
        <v>-270.11627906976355</v>
      </c>
      <c r="AG29" s="99">
        <f t="shared" si="24"/>
        <v>0.80497019561749927</v>
      </c>
      <c r="AH29" s="432"/>
    </row>
    <row r="30" spans="1:34" ht="15" customHeight="1">
      <c r="A30" s="430"/>
      <c r="B30" s="75" t="s">
        <v>81</v>
      </c>
      <c r="C30" s="88"/>
      <c r="D30" s="59" t="s">
        <v>122</v>
      </c>
      <c r="E30" s="89"/>
      <c r="F30" s="75">
        <f>VLOOKUP(D30,廠價表!$C$1:$E$41,3,0)</f>
        <v>55.13</v>
      </c>
      <c r="G30" s="90">
        <v>800</v>
      </c>
      <c r="H30" s="91">
        <f>F30*G30</f>
        <v>44104</v>
      </c>
      <c r="I30" s="92"/>
      <c r="J30" s="79">
        <f>VLOOKUP(D30,產線配置圖!$A$3:$C$39,2,0)</f>
        <v>17</v>
      </c>
      <c r="K30" s="80">
        <f>VLOOKUP(D30,產線配置圖!$A$3:$C$39,3,0)</f>
        <v>1385</v>
      </c>
      <c r="L30" s="93">
        <f t="shared" si="25"/>
        <v>81.470588235294116</v>
      </c>
      <c r="M30" s="94">
        <v>15</v>
      </c>
      <c r="N30" s="95">
        <f>G30/W30*60</f>
        <v>1199.9999999999898</v>
      </c>
      <c r="O30" s="96">
        <f>N30/M30</f>
        <v>79.999999999999318</v>
      </c>
      <c r="P30" s="97">
        <f t="shared" si="21"/>
        <v>-2</v>
      </c>
      <c r="Q30" s="98">
        <f t="shared" si="22"/>
        <v>-1.4705882352947981</v>
      </c>
      <c r="R30" s="99">
        <f t="shared" si="26"/>
        <v>0.98194945848374615</v>
      </c>
      <c r="S30" s="418"/>
      <c r="T30" s="19">
        <v>0.52777777777777801</v>
      </c>
      <c r="U30" s="19">
        <v>0.55555555555555602</v>
      </c>
      <c r="V30" s="92">
        <f>(T30-U29)*24*60</f>
        <v>80.000000000000682</v>
      </c>
      <c r="W30" s="149">
        <f t="shared" si="17"/>
        <v>40.000000000000341</v>
      </c>
      <c r="X30" s="174">
        <v>0.47916666666666702</v>
      </c>
      <c r="Y30" s="301">
        <v>0.52083333333333304</v>
      </c>
      <c r="Z30" s="335"/>
      <c r="AA30" s="335"/>
      <c r="AB30" s="395"/>
      <c r="AC30" s="395"/>
      <c r="AD30" s="92"/>
      <c r="AE30" s="92"/>
      <c r="AF30" s="312">
        <f t="shared" si="23"/>
        <v>-185.00000000001023</v>
      </c>
      <c r="AG30" s="99">
        <f t="shared" si="24"/>
        <v>0.86642599277977606</v>
      </c>
      <c r="AH30" s="433"/>
    </row>
    <row r="31" spans="1:34" ht="15" customHeight="1">
      <c r="A31" s="430"/>
      <c r="B31" s="75" t="s">
        <v>123</v>
      </c>
      <c r="C31" s="88"/>
      <c r="D31" s="59" t="s">
        <v>128</v>
      </c>
      <c r="E31" s="89"/>
      <c r="F31" s="75">
        <f>VLOOKUP(D31,廠價表!$C$1:$E$41,3,0)</f>
        <v>44.3</v>
      </c>
      <c r="G31" s="90">
        <v>2752</v>
      </c>
      <c r="H31" s="91">
        <f>F31*G31</f>
        <v>121913.59999999999</v>
      </c>
      <c r="I31" s="92"/>
      <c r="J31" s="79">
        <f>VLOOKUP(D31,產線配置圖!$A$3:$C$39,2,0)</f>
        <v>17</v>
      </c>
      <c r="K31" s="80">
        <f>VLOOKUP(D31,產線配置圖!$A$3:$C$39,3,0)</f>
        <v>1440</v>
      </c>
      <c r="L31" s="93">
        <f>K31/J31</f>
        <v>84.705882352941174</v>
      </c>
      <c r="M31" s="94">
        <v>15</v>
      </c>
      <c r="N31" s="95">
        <f>G31/W31*60</f>
        <v>1232.2388059701566</v>
      </c>
      <c r="O31" s="96">
        <f>N31/M31</f>
        <v>82.149253731343777</v>
      </c>
      <c r="P31" s="97">
        <f>M31-J31</f>
        <v>-2</v>
      </c>
      <c r="Q31" s="98">
        <f>O31-L31</f>
        <v>-2.5566286215973975</v>
      </c>
      <c r="R31" s="99">
        <f>O31/L31</f>
        <v>0.9698175787728085</v>
      </c>
      <c r="S31" s="418"/>
      <c r="T31" s="19">
        <v>0.56388888888888899</v>
      </c>
      <c r="U31" s="19">
        <v>0.656944444444444</v>
      </c>
      <c r="V31" s="92">
        <f>(T31-U30)*24*60</f>
        <v>11.999999999999478</v>
      </c>
      <c r="W31" s="149">
        <f t="shared" si="17"/>
        <v>133.9999999999992</v>
      </c>
      <c r="X31" s="174"/>
      <c r="Y31" s="301"/>
      <c r="Z31" s="335"/>
      <c r="AA31" s="335"/>
      <c r="AB31" s="395"/>
      <c r="AC31" s="395"/>
      <c r="AD31" s="92"/>
      <c r="AE31" s="92"/>
      <c r="AF31" s="312">
        <f>N31-K31</f>
        <v>-207.76119402984341</v>
      </c>
      <c r="AG31" s="99">
        <f>N31/K31</f>
        <v>0.85572139303483097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9"/>
      <c r="U32" s="19"/>
      <c r="V32" s="92"/>
      <c r="W32" s="149">
        <f t="shared" si="17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28">AVERAGE(J27:J36)</f>
        <v>16.2</v>
      </c>
      <c r="K37" s="155">
        <f t="shared" si="28"/>
        <v>1430</v>
      </c>
      <c r="L37" s="158">
        <f t="shared" si="28"/>
        <v>88.729411764705887</v>
      </c>
      <c r="M37" s="155">
        <f t="shared" si="28"/>
        <v>14.4</v>
      </c>
      <c r="N37" s="155">
        <f t="shared" si="28"/>
        <v>1203.9261447243443</v>
      </c>
      <c r="O37" s="158">
        <f t="shared" si="28"/>
        <v>83.476374328164326</v>
      </c>
      <c r="P37" s="159">
        <f>M37-J37</f>
        <v>-1.7999999999999989</v>
      </c>
      <c r="Q37" s="160">
        <f>N37-K37</f>
        <v>-226.07385527565566</v>
      </c>
      <c r="R37" s="161">
        <f t="shared" ref="R37:R40" si="29">O37/L37</f>
        <v>0.94079711189259707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0">N37-K37</f>
        <v>-226.07385527565566</v>
      </c>
      <c r="AG37" s="124">
        <f t="shared" ref="AG37:AG41" si="31">N37/K37</f>
        <v>0.84190639491212893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1195</v>
      </c>
      <c r="H38" s="134">
        <f>F38*G38</f>
        <v>67433.850000000006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32">K38/J38</f>
        <v>87.875</v>
      </c>
      <c r="M38" s="190">
        <v>13</v>
      </c>
      <c r="N38" s="140">
        <f>G38/W38*60</f>
        <v>955.99999999998715</v>
      </c>
      <c r="O38" s="141">
        <f>N38/M38</f>
        <v>73.538461538460552</v>
      </c>
      <c r="P38" s="142">
        <f t="shared" ref="P38:P40" si="33">M38-J38</f>
        <v>-3</v>
      </c>
      <c r="Q38" s="143">
        <f t="shared" ref="Q38:Q40" si="34">O38-L38</f>
        <v>-14.336538461539448</v>
      </c>
      <c r="R38" s="144">
        <f>O38/L38</f>
        <v>0.83685304737935196</v>
      </c>
      <c r="S38" s="437">
        <f>R48</f>
        <v>0.90054948708466198</v>
      </c>
      <c r="T38" s="191">
        <v>0.33333333333333298</v>
      </c>
      <c r="U38" s="191">
        <v>0.38541666666666702</v>
      </c>
      <c r="V38" s="192"/>
      <c r="W38" s="193">
        <f t="shared" si="17"/>
        <v>75.000000000001009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0"/>
        <v>-450.00000000001285</v>
      </c>
      <c r="AG38" s="195">
        <f t="shared" si="31"/>
        <v>0.67994310099572342</v>
      </c>
      <c r="AH38" s="443">
        <f>AG48</f>
        <v>0.83321670493060596</v>
      </c>
    </row>
    <row r="39" spans="1:34" ht="15" customHeight="1">
      <c r="A39" s="435"/>
      <c r="B39" s="75" t="s">
        <v>123</v>
      </c>
      <c r="C39" s="197"/>
      <c r="D39" s="198" t="s">
        <v>127</v>
      </c>
      <c r="E39" s="176"/>
      <c r="F39" s="75">
        <f>VLOOKUP(D39,廠價表!$C$1:$E$41,3,0)</f>
        <v>49.91</v>
      </c>
      <c r="G39" s="199">
        <v>2077</v>
      </c>
      <c r="H39" s="91">
        <f>F39*G39</f>
        <v>103663.06999999999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2"/>
        <v>92.058823529411768</v>
      </c>
      <c r="M39" s="201">
        <v>16</v>
      </c>
      <c r="N39" s="202">
        <f>G39/W39*60</f>
        <v>1311.7894736842154</v>
      </c>
      <c r="O39" s="203">
        <f t="shared" ref="O39:O40" si="35">N39/M39</f>
        <v>81.986842105263463</v>
      </c>
      <c r="P39" s="97">
        <f t="shared" si="33"/>
        <v>-1</v>
      </c>
      <c r="Q39" s="98">
        <f t="shared" si="34"/>
        <v>-10.071981424148305</v>
      </c>
      <c r="R39" s="99">
        <f t="shared" si="29"/>
        <v>0.8905918950731494</v>
      </c>
      <c r="S39" s="438"/>
      <c r="T39" s="20">
        <v>0.39236111111111099</v>
      </c>
      <c r="U39" s="20">
        <v>0.45833333333333298</v>
      </c>
      <c r="V39" s="92">
        <f>(T39-U38)*24*60</f>
        <v>9.999999999999325</v>
      </c>
      <c r="W39" s="205">
        <f t="shared" si="17"/>
        <v>94.999999999999659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0"/>
        <v>-253.21052631578459</v>
      </c>
      <c r="AG39" s="206">
        <f t="shared" si="31"/>
        <v>0.83820413653943482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1994</v>
      </c>
      <c r="H40" s="91">
        <f>F40*G40</f>
        <v>88334.2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2"/>
        <v>84.705882352941174</v>
      </c>
      <c r="M40" s="201">
        <v>17</v>
      </c>
      <c r="N40" s="202">
        <f>G40/W40*60</f>
        <v>1407.5294117647002</v>
      </c>
      <c r="O40" s="203">
        <f t="shared" si="35"/>
        <v>82.795847750864709</v>
      </c>
      <c r="P40" s="97">
        <f t="shared" si="33"/>
        <v>0</v>
      </c>
      <c r="Q40" s="98">
        <f t="shared" si="34"/>
        <v>-1.9100346020764647</v>
      </c>
      <c r="R40" s="99">
        <f t="shared" si="29"/>
        <v>0.97745098039215284</v>
      </c>
      <c r="S40" s="425"/>
      <c r="T40" s="20">
        <v>0.46527777777777801</v>
      </c>
      <c r="U40" s="20">
        <v>0.52430555555555602</v>
      </c>
      <c r="V40" s="92">
        <f>(T40-U39)*24*60</f>
        <v>10.000000000000844</v>
      </c>
      <c r="W40" s="205">
        <f t="shared" si="17"/>
        <v>85.000000000000341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0"/>
        <v>-32.470588235299829</v>
      </c>
      <c r="AG40" s="206">
        <f t="shared" si="31"/>
        <v>0.97745098039215295</v>
      </c>
      <c r="AH40" s="444"/>
    </row>
    <row r="41" spans="1:34" ht="15" customHeight="1">
      <c r="A41" s="43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5"/>
      <c r="T41" s="210"/>
      <c r="U41" s="210"/>
      <c r="V41" s="92"/>
      <c r="W41" s="205">
        <f t="shared" si="17"/>
        <v>0</v>
      </c>
      <c r="X41" s="208"/>
      <c r="Y41" s="209"/>
      <c r="Z41" s="337"/>
      <c r="AA41" s="337"/>
      <c r="AB41" s="395"/>
      <c r="AC41" s="395"/>
      <c r="AD41" s="92"/>
      <c r="AE41" s="92"/>
      <c r="AF41" s="314">
        <f t="shared" si="30"/>
        <v>0</v>
      </c>
      <c r="AG41" s="206" t="e">
        <f t="shared" si="31"/>
        <v>#DIV/0!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37">AVERAGE(J38:J47)</f>
        <v>16.666666666666668</v>
      </c>
      <c r="K48" s="155">
        <f t="shared" si="37"/>
        <v>1470.3333333333333</v>
      </c>
      <c r="L48" s="158">
        <f t="shared" si="37"/>
        <v>88.213235294117638</v>
      </c>
      <c r="M48" s="155">
        <f t="shared" si="37"/>
        <v>15.333333333333334</v>
      </c>
      <c r="N48" s="155">
        <f t="shared" si="37"/>
        <v>1225.1062951496342</v>
      </c>
      <c r="O48" s="158">
        <f t="shared" si="37"/>
        <v>79.440383798196237</v>
      </c>
      <c r="P48" s="221">
        <f>M48-J48</f>
        <v>-1.3333333333333339</v>
      </c>
      <c r="Q48" s="222">
        <f>N48-K48</f>
        <v>-245.22703818369905</v>
      </c>
      <c r="R48" s="223">
        <f>O48/L48</f>
        <v>0.90054948708466198</v>
      </c>
      <c r="S48" s="428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38">N48-K48</f>
        <v>-245.22703818369905</v>
      </c>
      <c r="AG48" s="162">
        <f t="shared" ref="AG48:AG53" si="39">N48/K48</f>
        <v>0.83321670493060596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969</v>
      </c>
      <c r="H49" s="134">
        <f>F49*G49</f>
        <v>55107.03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0">K49/J49</f>
        <v>86.944444444444443</v>
      </c>
      <c r="M49" s="170">
        <v>16</v>
      </c>
      <c r="N49" s="140">
        <f>G49/W49*60</f>
        <v>1140.0000000000221</v>
      </c>
      <c r="O49" s="141">
        <f>N49/M49</f>
        <v>71.250000000001378</v>
      </c>
      <c r="P49" s="229">
        <f>M49-J49</f>
        <v>-2</v>
      </c>
      <c r="Q49" s="230">
        <f>O49-L49</f>
        <v>-15.694444444443064</v>
      </c>
      <c r="R49" s="52">
        <f>O49/L49</f>
        <v>0.81948881789138972</v>
      </c>
      <c r="S49" s="424">
        <f>R58</f>
        <v>0.92974770690240294</v>
      </c>
      <c r="T49" s="191">
        <v>0.29166666666666702</v>
      </c>
      <c r="U49" s="191">
        <v>0.327083333333333</v>
      </c>
      <c r="V49" s="55"/>
      <c r="W49" s="193">
        <f t="shared" si="17"/>
        <v>50.999999999999019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38"/>
        <v>-424.99999999997794</v>
      </c>
      <c r="AG49" s="52">
        <f t="shared" si="39"/>
        <v>0.72843450479234639</v>
      </c>
      <c r="AH49" s="403">
        <f>AG58</f>
        <v>0.85041656134971344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2223</v>
      </c>
      <c r="H50" s="231">
        <f>F50*G50</f>
        <v>106059.33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0"/>
        <v>90</v>
      </c>
      <c r="M50" s="233">
        <v>16</v>
      </c>
      <c r="N50" s="234">
        <f>G50/W50*60</f>
        <v>1375.0515463917541</v>
      </c>
      <c r="O50" s="235">
        <f>N50/M50</f>
        <v>85.94072164948463</v>
      </c>
      <c r="P50" s="74">
        <f>M50-J50</f>
        <v>0</v>
      </c>
      <c r="Q50" s="83">
        <f>O50-L50</f>
        <v>-4.0592783505153704</v>
      </c>
      <c r="R50" s="72">
        <f>O50/L50</f>
        <v>0.95489690721649589</v>
      </c>
      <c r="S50" s="425"/>
      <c r="T50" s="21">
        <v>0.33263888888888898</v>
      </c>
      <c r="U50" s="21">
        <v>0.4</v>
      </c>
      <c r="V50" s="30">
        <f t="shared" ref="V50:V52" si="41">(T50-U49)*24*60</f>
        <v>8.0000000000006111</v>
      </c>
      <c r="W50" s="236">
        <f t="shared" si="17"/>
        <v>96.999999999999901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38"/>
        <v>-64.948453608245927</v>
      </c>
      <c r="AG50" s="72">
        <f t="shared" si="39"/>
        <v>0.95489690721649589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2334</v>
      </c>
      <c r="H51" s="231">
        <f>F51*G51</f>
        <v>116629.98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0"/>
        <v>88.888888888888886</v>
      </c>
      <c r="M51" s="233">
        <v>16</v>
      </c>
      <c r="N51" s="234">
        <f>G51/W51*60</f>
        <v>1346.5384615384467</v>
      </c>
      <c r="O51" s="235">
        <f>N51/M51</f>
        <v>84.158653846152916</v>
      </c>
      <c r="P51" s="74">
        <f>M51-J51</f>
        <v>-2</v>
      </c>
      <c r="Q51" s="83">
        <f>O51-L51</f>
        <v>-4.7302350427359698</v>
      </c>
      <c r="R51" s="72">
        <f>O51/L51</f>
        <v>0.94678485576922033</v>
      </c>
      <c r="S51" s="425"/>
      <c r="T51" s="21">
        <v>0.406944444444444</v>
      </c>
      <c r="U51" s="19">
        <v>0.47916666666666702</v>
      </c>
      <c r="V51" s="30">
        <f t="shared" si="41"/>
        <v>9.999999999999325</v>
      </c>
      <c r="W51" s="236">
        <f t="shared" si="17"/>
        <v>104.00000000000115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38"/>
        <v>-253.46153846155335</v>
      </c>
      <c r="AG51" s="72">
        <f t="shared" si="39"/>
        <v>0.8415865384615292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3373</v>
      </c>
      <c r="H52" s="231">
        <f>F52*G52</f>
        <v>168548.81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0"/>
        <v>88.888888888888886</v>
      </c>
      <c r="M52" s="233">
        <v>16</v>
      </c>
      <c r="N52" s="234">
        <f>G52/W52*60</f>
        <v>1415.2447552447491</v>
      </c>
      <c r="O52" s="235">
        <f>N52/M52</f>
        <v>88.452797202796816</v>
      </c>
      <c r="P52" s="74">
        <f>M52-J52</f>
        <v>-2</v>
      </c>
      <c r="Q52" s="83">
        <f>O52-L52</f>
        <v>-0.43609168609206961</v>
      </c>
      <c r="R52" s="72">
        <f>O52/L52</f>
        <v>0.99509396853146426</v>
      </c>
      <c r="S52" s="425"/>
      <c r="T52" s="21">
        <v>0.53819444444444398</v>
      </c>
      <c r="U52" s="21">
        <v>0.63749999999999996</v>
      </c>
      <c r="V52" s="30">
        <f t="shared" si="41"/>
        <v>84.99999999999882</v>
      </c>
      <c r="W52" s="236">
        <f t="shared" si="17"/>
        <v>143.00000000000063</v>
      </c>
      <c r="X52" s="22">
        <v>0.48611111111111099</v>
      </c>
      <c r="Y52" s="84">
        <v>0.52777777777777801</v>
      </c>
      <c r="Z52" s="90"/>
      <c r="AA52" s="90"/>
      <c r="AB52" s="395"/>
      <c r="AC52" s="395"/>
      <c r="AD52" s="92"/>
      <c r="AE52" s="92"/>
      <c r="AF52" s="307">
        <f t="shared" si="38"/>
        <v>-184.75524475525094</v>
      </c>
      <c r="AG52" s="72">
        <f t="shared" si="39"/>
        <v>0.88452797202796818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38"/>
        <v>0</v>
      </c>
      <c r="AG53" s="72" t="e">
        <f t="shared" si="39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2">AVERAGE(J49:J57)</f>
        <v>17.5</v>
      </c>
      <c r="K58" s="120">
        <f t="shared" si="42"/>
        <v>1551.25</v>
      </c>
      <c r="L58" s="117">
        <f t="shared" si="42"/>
        <v>88.680555555555571</v>
      </c>
      <c r="M58" s="120">
        <f t="shared" si="42"/>
        <v>16</v>
      </c>
      <c r="N58" s="120">
        <f t="shared" si="42"/>
        <v>1319.208690793743</v>
      </c>
      <c r="O58" s="117">
        <f t="shared" si="42"/>
        <v>82.450543174608939</v>
      </c>
      <c r="P58" s="121">
        <f>M58-J58</f>
        <v>-1.5</v>
      </c>
      <c r="Q58" s="122">
        <f>N58-K58</f>
        <v>-232.04130920625698</v>
      </c>
      <c r="R58" s="123">
        <f t="shared" ref="R58:R61" si="43">O58/L58</f>
        <v>0.92974770690240294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44">N58-K58</f>
        <v>-232.04130920625698</v>
      </c>
      <c r="AG58" s="124">
        <f t="shared" ref="AG58:AG61" si="45">N58/K58</f>
        <v>0.85041656134971344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2909</v>
      </c>
      <c r="H59" s="243">
        <f>F59*G59</f>
        <v>78513.909999999989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46">K59/J59</f>
        <v>120.38461538461539</v>
      </c>
      <c r="M59" s="244">
        <v>13</v>
      </c>
      <c r="N59" s="137">
        <f t="shared" ref="N59:N61" si="47">G59/W59*60</f>
        <v>1454.5000000000061</v>
      </c>
      <c r="O59" s="138">
        <f t="shared" ref="O59:O61" si="48">N59/M59</f>
        <v>111.88461538461586</v>
      </c>
      <c r="P59" s="56">
        <f t="shared" ref="P59:P61" si="49">M59-J59</f>
        <v>0</v>
      </c>
      <c r="Q59" s="230">
        <f t="shared" ref="Q59:Q61" si="50">O59-L59</f>
        <v>-8.499999999999531</v>
      </c>
      <c r="R59" s="52">
        <f t="shared" si="43"/>
        <v>0.92939297124601028</v>
      </c>
      <c r="S59" s="424">
        <f>R69</f>
        <v>0.85743063729611657</v>
      </c>
      <c r="T59" s="245">
        <v>0.29166666666666702</v>
      </c>
      <c r="U59" s="245">
        <v>0.375</v>
      </c>
      <c r="V59" s="55"/>
      <c r="W59" s="54">
        <f t="shared" si="17"/>
        <v>119.99999999999949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44"/>
        <v>-110.49999999999386</v>
      </c>
      <c r="AG59" s="246">
        <f t="shared" si="45"/>
        <v>0.92939297124601028</v>
      </c>
      <c r="AH59" s="403">
        <f>AG69</f>
        <v>0.85927582534611391</v>
      </c>
    </row>
    <row r="60" spans="1:34" ht="15" customHeight="1">
      <c r="A60" s="448"/>
      <c r="B60" s="75" t="s">
        <v>132</v>
      </c>
      <c r="C60" s="86"/>
      <c r="D60" s="175" t="s">
        <v>135</v>
      </c>
      <c r="E60" s="87"/>
      <c r="F60" s="75">
        <f>VLOOKUP(D60,廠價表!$C$1:$E$41,3,0)</f>
        <v>28.26</v>
      </c>
      <c r="G60" s="30">
        <v>1621</v>
      </c>
      <c r="H60" s="78">
        <f>F60*G60</f>
        <v>45809.46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6"/>
        <v>130.41666666666666</v>
      </c>
      <c r="M60" s="82">
        <v>12</v>
      </c>
      <c r="N60" s="80">
        <f t="shared" si="47"/>
        <v>1296.800000000009</v>
      </c>
      <c r="O60" s="81">
        <f t="shared" si="48"/>
        <v>108.06666666666742</v>
      </c>
      <c r="P60" s="74">
        <f t="shared" si="49"/>
        <v>0</v>
      </c>
      <c r="Q60" s="83">
        <f t="shared" si="50"/>
        <v>-22.349999999999241</v>
      </c>
      <c r="R60" s="72">
        <f t="shared" si="43"/>
        <v>0.82862619808307292</v>
      </c>
      <c r="S60" s="451"/>
      <c r="T60" s="22">
        <v>0.38541666666666702</v>
      </c>
      <c r="U60" s="22">
        <v>0.4375</v>
      </c>
      <c r="V60" s="30">
        <f t="shared" ref="V60:V61" si="51">(T60-U59)*24*60</f>
        <v>15.000000000000506</v>
      </c>
      <c r="W60" s="248">
        <f t="shared" si="17"/>
        <v>74.999999999999488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44"/>
        <v>-268.19999999999095</v>
      </c>
      <c r="AG60" s="249">
        <f t="shared" si="45"/>
        <v>0.82862619808307292</v>
      </c>
      <c r="AH60" s="455"/>
    </row>
    <row r="61" spans="1:34" ht="15" customHeight="1">
      <c r="A61" s="449"/>
      <c r="B61" s="75" t="s">
        <v>132</v>
      </c>
      <c r="C61" s="86"/>
      <c r="D61" s="175" t="s">
        <v>134</v>
      </c>
      <c r="E61" s="87"/>
      <c r="F61" s="75">
        <f>VLOOKUP(D61,廠價表!$C$1:$E$41,3,0)</f>
        <v>28.26</v>
      </c>
      <c r="G61" s="30">
        <v>1283</v>
      </c>
      <c r="H61" s="78">
        <f>F61*G61</f>
        <v>36257.58</v>
      </c>
      <c r="I61" s="30"/>
      <c r="J61" s="79">
        <f>VLOOKUP(D61,產線配置圖!$A$3:$C$39,2,0)</f>
        <v>12</v>
      </c>
      <c r="K61" s="80">
        <f>VLOOKUP(D61,產線配置圖!$A$3:$C$39,3,0)</f>
        <v>1565</v>
      </c>
      <c r="L61" s="81">
        <f t="shared" si="46"/>
        <v>130.41666666666666</v>
      </c>
      <c r="M61" s="82">
        <v>12</v>
      </c>
      <c r="N61" s="80">
        <f t="shared" si="47"/>
        <v>1282.9999999999893</v>
      </c>
      <c r="O61" s="81">
        <f t="shared" si="48"/>
        <v>106.91666666666578</v>
      </c>
      <c r="P61" s="74">
        <f t="shared" si="49"/>
        <v>0</v>
      </c>
      <c r="Q61" s="83">
        <f t="shared" si="50"/>
        <v>-23.500000000000881</v>
      </c>
      <c r="R61" s="72">
        <f t="shared" si="43"/>
        <v>0.81980830670925842</v>
      </c>
      <c r="S61" s="425"/>
      <c r="T61" s="22">
        <v>0.44444444444444398</v>
      </c>
      <c r="U61" s="22">
        <v>0.48611111111111099</v>
      </c>
      <c r="V61" s="30">
        <f t="shared" si="51"/>
        <v>9.999999999999325</v>
      </c>
      <c r="W61" s="256">
        <f t="shared" si="17"/>
        <v>60.000000000000504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44"/>
        <v>-282.00000000001069</v>
      </c>
      <c r="AG61" s="247">
        <f t="shared" si="45"/>
        <v>0.81980830670925831</v>
      </c>
      <c r="AH61" s="404"/>
    </row>
    <row r="62" spans="1:34" ht="15" customHeight="1">
      <c r="A62" s="44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5"/>
      <c r="T62" s="22"/>
      <c r="U62" s="368"/>
      <c r="V62" s="22"/>
      <c r="W62" s="248">
        <f>(V62-T62)*24*60</f>
        <v>0</v>
      </c>
      <c r="X62" s="22"/>
      <c r="Y62" s="84"/>
      <c r="Z62" s="90"/>
      <c r="AA62" s="90"/>
      <c r="AB62" s="395"/>
      <c r="AC62" s="395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2">AVERAGE(J59:J68)</f>
        <v>12.333333333333334</v>
      </c>
      <c r="K69" s="240">
        <f t="shared" si="52"/>
        <v>1565</v>
      </c>
      <c r="L69" s="268">
        <f t="shared" si="52"/>
        <v>127.07264957264958</v>
      </c>
      <c r="M69" s="240">
        <f t="shared" si="52"/>
        <v>12.333333333333334</v>
      </c>
      <c r="N69" s="240">
        <f t="shared" si="52"/>
        <v>1344.7666666666682</v>
      </c>
      <c r="O69" s="268">
        <f t="shared" si="52"/>
        <v>108.95598290598302</v>
      </c>
      <c r="P69" s="269">
        <f>M69-J69</f>
        <v>0</v>
      </c>
      <c r="Q69" s="222">
        <f>N69-K69</f>
        <v>-220.23333333333176</v>
      </c>
      <c r="R69" s="123">
        <f>O69/L69</f>
        <v>0.85743063729611657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-220.23333333333176</v>
      </c>
      <c r="AG69" s="124">
        <f>N69/K69</f>
        <v>0.85927582534611391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366">
        <f>VLOOKUP(D70,廠價表!$C$1:$E$41,3,0)</f>
        <v>50.67</v>
      </c>
      <c r="G70" s="367">
        <v>2568</v>
      </c>
      <c r="H70" s="43">
        <f>F70*G70</f>
        <v>130120.56</v>
      </c>
      <c r="I70" s="367"/>
      <c r="J70" s="45">
        <f>VLOOKUP(D70,產線配置圖!$A$3:$C$39,2,0)</f>
        <v>10</v>
      </c>
      <c r="K70" s="46">
        <f>VLOOKUP(D70,產線配置圖!$A$3:$C$39,3,0)</f>
        <v>1125</v>
      </c>
      <c r="L70" s="47">
        <f>K70/J70</f>
        <v>112.5</v>
      </c>
      <c r="M70" s="48">
        <v>9</v>
      </c>
      <c r="N70" s="46">
        <f>G70/W70*60</f>
        <v>856</v>
      </c>
      <c r="O70" s="47">
        <f>N70/M70</f>
        <v>95.111111111111114</v>
      </c>
      <c r="P70" s="49">
        <f>M70-J70</f>
        <v>-1</v>
      </c>
      <c r="Q70" s="50">
        <f>O70-L70</f>
        <v>-17.388888888888886</v>
      </c>
      <c r="R70" s="51">
        <f>O70/L70</f>
        <v>0.84543209876543213</v>
      </c>
      <c r="S70" s="424">
        <f>R79</f>
        <v>0.84543209876543213</v>
      </c>
      <c r="T70" s="245">
        <v>0.33333333333333298</v>
      </c>
      <c r="U70" s="245">
        <v>0.45833333333333298</v>
      </c>
      <c r="V70" s="55"/>
      <c r="W70" s="54">
        <f t="shared" si="17"/>
        <v>180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-269</v>
      </c>
      <c r="AG70" s="246">
        <f>N70/K70</f>
        <v>0.76088888888888884</v>
      </c>
      <c r="AH70" s="403">
        <f>AG79</f>
        <v>0.76088888888888884</v>
      </c>
    </row>
    <row r="71" spans="1:36" ht="15" customHeight="1">
      <c r="A71" s="457"/>
      <c r="B71" s="75"/>
      <c r="C71" s="76"/>
      <c r="D71" s="59"/>
      <c r="E71" s="77"/>
      <c r="F71" s="207"/>
      <c r="G71" s="232"/>
      <c r="H71" s="231"/>
      <c r="I71" s="232"/>
      <c r="J71" s="362"/>
      <c r="K71" s="234"/>
      <c r="L71" s="235"/>
      <c r="M71" s="363"/>
      <c r="N71" s="234"/>
      <c r="O71" s="235"/>
      <c r="P71" s="364"/>
      <c r="Q71" s="365"/>
      <c r="R71" s="247"/>
      <c r="S71" s="425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446"/>
      <c r="AC71" s="446"/>
      <c r="AD71" s="200"/>
      <c r="AE71" s="200"/>
      <c r="AF71" s="311"/>
      <c r="AG71" s="99"/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395"/>
      <c r="AC72" s="395"/>
      <c r="AD72" s="92"/>
      <c r="AE72" s="92"/>
      <c r="AF72" s="311"/>
      <c r="AG72" s="99"/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ref="H76:H78" si="53"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53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53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54">AVERAGE(J70:J78)</f>
        <v>10</v>
      </c>
      <c r="K79" s="240">
        <f t="shared" si="54"/>
        <v>1125</v>
      </c>
      <c r="L79" s="268">
        <f t="shared" si="54"/>
        <v>112.5</v>
      </c>
      <c r="M79" s="240">
        <f t="shared" si="54"/>
        <v>9</v>
      </c>
      <c r="N79" s="240">
        <f t="shared" si="54"/>
        <v>856</v>
      </c>
      <c r="O79" s="268">
        <f t="shared" si="54"/>
        <v>95.111111111111114</v>
      </c>
      <c r="P79" s="269">
        <f>M79-J79</f>
        <v>-1</v>
      </c>
      <c r="Q79" s="222">
        <f>N79-K79</f>
        <v>-269</v>
      </c>
      <c r="R79" s="223">
        <f>O79/L79</f>
        <v>0.84543209876543213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-269</v>
      </c>
      <c r="AG79" s="124">
        <f>N79/K79</f>
        <v>0.76088888888888884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P3:P4"/>
    <mergeCell ref="Q3:Q4"/>
    <mergeCell ref="R3:R4"/>
    <mergeCell ref="AB1:AC2"/>
    <mergeCell ref="AF1:AH2"/>
    <mergeCell ref="AF3:AF4"/>
    <mergeCell ref="AG3:AG4"/>
    <mergeCell ref="AH3:AH4"/>
    <mergeCell ref="W3:W4"/>
    <mergeCell ref="X3:Y3"/>
    <mergeCell ref="Z3:AA3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T3:U3"/>
    <mergeCell ref="V3:V4"/>
    <mergeCell ref="A2:B2"/>
    <mergeCell ref="A3:A4"/>
    <mergeCell ref="B3:B4"/>
    <mergeCell ref="D3:E4"/>
    <mergeCell ref="F3:F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B5:AC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138" priority="1" operator="greaterThan">
      <formula>0</formula>
    </cfRule>
  </conditionalFormatting>
  <conditionalFormatting sqref="Q5:Q79">
    <cfRule type="cellIs" dxfId="137" priority="4" operator="lessThan">
      <formula>0</formula>
    </cfRule>
  </conditionalFormatting>
  <conditionalFormatting sqref="R5:R79">
    <cfRule type="cellIs" dxfId="136" priority="2" operator="greaterThan">
      <formula>1</formula>
    </cfRule>
    <cfRule type="cellIs" dxfId="135" priority="3" operator="lessThan">
      <formula>0.8</formula>
    </cfRule>
  </conditionalFormatting>
  <conditionalFormatting sqref="S5:S10 S37:S62 AH59:AH62 S69:S76 AH69:AH76">
    <cfRule type="cellIs" dxfId="134" priority="11" operator="lessThan">
      <formula>0.8</formula>
    </cfRule>
  </conditionalFormatting>
  <conditionalFormatting sqref="S19:S25 AH19:AH25">
    <cfRule type="cellIs" dxfId="133" priority="10" operator="lessThan">
      <formula>0.8</formula>
    </cfRule>
  </conditionalFormatting>
  <conditionalFormatting sqref="S79">
    <cfRule type="cellIs" dxfId="132" priority="9" operator="lessThan">
      <formula>0.8</formula>
    </cfRule>
  </conditionalFormatting>
  <conditionalFormatting sqref="AF5:AF79">
    <cfRule type="cellIs" dxfId="131" priority="8" operator="lessThan">
      <formula>0</formula>
    </cfRule>
  </conditionalFormatting>
  <conditionalFormatting sqref="AG5:AG79">
    <cfRule type="cellIs" dxfId="130" priority="6" operator="greaterThan">
      <formula>1</formula>
    </cfRule>
    <cfRule type="cellIs" dxfId="129" priority="7" operator="lessThan">
      <formula>0.8</formula>
    </cfRule>
  </conditionalFormatting>
  <conditionalFormatting sqref="AH5:AH8 S15:S16 AH15:AH16 AH49 AH79">
    <cfRule type="cellIs" dxfId="128" priority="13" operator="lessThan">
      <formula>0.8</formula>
    </cfRule>
  </conditionalFormatting>
  <conditionalFormatting sqref="AH27 S27:S28">
    <cfRule type="cellIs" dxfId="127" priority="12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DFEAF2-2159-402A-BDF6-93AABC6C72D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180C-4CED-444F-A4F0-240A27A21F29}">
  <dimension ref="B1:O26"/>
  <sheetViews>
    <sheetView zoomScale="70" zoomScaleNormal="70" workbookViewId="0">
      <selection activeCell="U52" sqref="U5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46072</v>
      </c>
      <c r="E3" s="493"/>
      <c r="F3" s="3" t="s">
        <v>72</v>
      </c>
      <c r="G3" s="494">
        <f>'0219'!E1</f>
        <v>50729</v>
      </c>
      <c r="H3" s="494"/>
      <c r="I3" s="3" t="s">
        <v>2</v>
      </c>
      <c r="J3" s="495">
        <f>'0219'!G1</f>
        <v>2436844.6399999997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120.01589954163482</v>
      </c>
      <c r="G6" s="490"/>
      <c r="H6" s="491">
        <f>AVERAGE(D13:H13,J13)</f>
        <v>118.83977453646571</v>
      </c>
      <c r="I6" s="491"/>
      <c r="J6" s="491">
        <f>AVERAGE(I13)</f>
        <v>127.07264957264958</v>
      </c>
      <c r="K6" s="491"/>
      <c r="L6" s="497">
        <f>SUM(D18:J18)</f>
        <v>3</v>
      </c>
      <c r="M6" s="482">
        <f>SUM(D19:J19)</f>
        <v>20</v>
      </c>
      <c r="N6" s="498">
        <f>SUM(D20:J20)</f>
        <v>0</v>
      </c>
      <c r="O6" s="482">
        <f>SUM(D20:J20)</f>
        <v>0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107.85488986851716</v>
      </c>
      <c r="G7" s="479"/>
      <c r="H7" s="480">
        <f>AVERAGE(D14:H14,J14)</f>
        <v>107.17766047781042</v>
      </c>
      <c r="I7" s="480"/>
      <c r="J7" s="480">
        <f>AVERAGE(I14)</f>
        <v>111.91826621275767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0.89867167833959472</v>
      </c>
      <c r="G8" s="485"/>
      <c r="H8" s="485">
        <f>H7/H6</f>
        <v>0.90186691194809698</v>
      </c>
      <c r="I8" s="485"/>
      <c r="J8" s="485">
        <f>J7/J6</f>
        <v>0.88074236737128953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VALUE('0219'!L15)</f>
        <v>153.95512820512818</v>
      </c>
      <c r="E13" s="13">
        <f>VALUE('0219'!L26)</f>
        <v>176.42992424242425</v>
      </c>
      <c r="F13" s="13">
        <f>VALUE('0219'!L37)</f>
        <v>93.259803921568619</v>
      </c>
      <c r="G13" s="13">
        <f>VALUE('0219'!L48)</f>
        <v>88.213235294117638</v>
      </c>
      <c r="H13" s="13">
        <f>VALUE('0219'!L58)</f>
        <v>88.680555555555571</v>
      </c>
      <c r="I13" s="13">
        <f>VALUE('0219'!L69)</f>
        <v>127.07264957264958</v>
      </c>
      <c r="J13" s="13">
        <f>'0219'!L79</f>
        <v>112.5</v>
      </c>
    </row>
    <row r="14" spans="2:15" ht="39.950000000000003" customHeight="1">
      <c r="B14" s="473"/>
      <c r="C14" s="12" t="s">
        <v>100</v>
      </c>
      <c r="D14" s="13">
        <f>VALUE('0219'!O15)</f>
        <v>149.39014689773808</v>
      </c>
      <c r="E14" s="13">
        <f>VALUE('0219'!O26)</f>
        <v>146.26997778319347</v>
      </c>
      <c r="F14" s="13">
        <f>VALUE('0219'!O37)</f>
        <v>91.806346573087751</v>
      </c>
      <c r="G14" s="13">
        <f>VALUE('0219'!O48)</f>
        <v>79.04386673854485</v>
      </c>
      <c r="H14" s="13">
        <f>VALUE('0219'!O58)</f>
        <v>85.334694641740668</v>
      </c>
      <c r="I14" s="13">
        <f>VALUE('0219'!O69)</f>
        <v>111.91826621275767</v>
      </c>
      <c r="J14" s="13">
        <f>'0219'!O79</f>
        <v>91.220930232557706</v>
      </c>
    </row>
    <row r="15" spans="2:15" ht="39.950000000000003" customHeight="1">
      <c r="B15" s="474"/>
      <c r="C15" s="10" t="s">
        <v>26</v>
      </c>
      <c r="D15" s="14">
        <f>D14/D13</f>
        <v>0.97034862455956794</v>
      </c>
      <c r="E15" s="14">
        <f t="shared" ref="E15:I15" si="1">E14/E13</f>
        <v>0.82905424582176102</v>
      </c>
      <c r="F15" s="14">
        <f t="shared" si="1"/>
        <v>0.98441496456819466</v>
      </c>
      <c r="G15" s="14">
        <f t="shared" si="1"/>
        <v>0.89605450332934078</v>
      </c>
      <c r="H15" s="14">
        <f t="shared" si="1"/>
        <v>0.9622706365239353</v>
      </c>
      <c r="I15" s="14">
        <f t="shared" si="1"/>
        <v>0.88074236737128953</v>
      </c>
      <c r="J15" s="15">
        <f>'0219'!S70</f>
        <v>0.81085271317829066</v>
      </c>
    </row>
    <row r="16" spans="2:15" ht="17.25" customHeight="1">
      <c r="B16" s="475" t="s">
        <v>101</v>
      </c>
      <c r="C16" s="10" t="s">
        <v>34</v>
      </c>
      <c r="D16" s="16">
        <f>'0219'!T5</f>
        <v>0.29166666666666702</v>
      </c>
      <c r="E16" s="16">
        <f>'0219'!T16</f>
        <v>0.29166666666666702</v>
      </c>
      <c r="F16" s="16">
        <f>'0219'!T27</f>
        <v>0.29027777777777802</v>
      </c>
      <c r="G16" s="16">
        <f>'0219'!T38</f>
        <v>0.33333333333333298</v>
      </c>
      <c r="H16" s="16">
        <f>'0219'!T49</f>
        <v>0.29027777777777802</v>
      </c>
      <c r="I16" s="16">
        <f>'0219'!T59</f>
        <v>0.29027777777777802</v>
      </c>
      <c r="J16" s="16">
        <f>'0219'!T70</f>
        <v>0.33333333333333298</v>
      </c>
    </row>
    <row r="17" spans="2:10" ht="17.25" customHeight="1">
      <c r="B17" s="476"/>
      <c r="C17" s="10" t="s">
        <v>35</v>
      </c>
      <c r="D17" s="16">
        <v>0.60486111111111096</v>
      </c>
      <c r="E17" s="19">
        <v>0.61944444444444402</v>
      </c>
      <c r="F17" s="19">
        <v>0.65208333333333302</v>
      </c>
      <c r="G17" s="20">
        <v>0.53472222222222199</v>
      </c>
      <c r="H17" s="21">
        <v>0.61666666666666703</v>
      </c>
      <c r="I17" s="22">
        <v>0.48055555555555601</v>
      </c>
      <c r="J17" s="272">
        <v>0.452777777777778</v>
      </c>
    </row>
    <row r="18" spans="2:10" ht="17.25" customHeight="1">
      <c r="B18" s="477" t="s">
        <v>102</v>
      </c>
      <c r="C18" s="330" t="s">
        <v>36</v>
      </c>
      <c r="D18" s="358">
        <f>'0219'!Z15</f>
        <v>0</v>
      </c>
      <c r="E18" s="359">
        <f>'0219'!Z26</f>
        <v>3</v>
      </c>
      <c r="F18" s="359">
        <f>'0219'!Z37</f>
        <v>0</v>
      </c>
      <c r="G18" s="360">
        <f>'0219'!Z48</f>
        <v>0</v>
      </c>
      <c r="H18" s="360">
        <f>'0219'!Z58</f>
        <v>0</v>
      </c>
      <c r="I18" s="359">
        <f>'0219'!Z69</f>
        <v>0</v>
      </c>
      <c r="J18" s="359">
        <f>'0219'!AA79</f>
        <v>0</v>
      </c>
    </row>
    <row r="19" spans="2:10" ht="17.25" customHeight="1">
      <c r="B19" s="478"/>
      <c r="C19" s="330" t="s">
        <v>37</v>
      </c>
      <c r="D19" s="358">
        <f>'0219'!AA15</f>
        <v>0</v>
      </c>
      <c r="E19" s="359">
        <f>'0219'!AA26</f>
        <v>20</v>
      </c>
      <c r="F19" s="359">
        <f>'0219'!AA37</f>
        <v>0</v>
      </c>
      <c r="G19" s="360">
        <f>'0219'!AA48</f>
        <v>0</v>
      </c>
      <c r="H19" s="360">
        <f>'0219'!AA58</f>
        <v>0</v>
      </c>
      <c r="I19" s="359">
        <f>'0219'!AA69</f>
        <v>0</v>
      </c>
      <c r="J19" s="359">
        <f>'0219'!AB79</f>
        <v>0</v>
      </c>
    </row>
    <row r="20" spans="2:10" ht="17.25" customHeight="1">
      <c r="B20" s="477" t="s">
        <v>103</v>
      </c>
      <c r="C20" s="330" t="s">
        <v>36</v>
      </c>
      <c r="D20" s="358">
        <f>'0219'!AD15</f>
        <v>0</v>
      </c>
      <c r="E20" s="359">
        <f>'0219'!AD26</f>
        <v>0</v>
      </c>
      <c r="F20" s="359">
        <f>'0219'!AD37</f>
        <v>0</v>
      </c>
      <c r="G20" s="360">
        <f>'0219'!AD48</f>
        <v>0</v>
      </c>
      <c r="H20" s="360">
        <f>'0219'!AD58</f>
        <v>0</v>
      </c>
      <c r="I20" s="359">
        <f>'0219'!AD69</f>
        <v>0</v>
      </c>
      <c r="J20" s="359">
        <f>'0219'!AD79</f>
        <v>0</v>
      </c>
    </row>
    <row r="21" spans="2:10" ht="17.25" customHeight="1">
      <c r="B21" s="478"/>
      <c r="C21" s="330" t="s">
        <v>85</v>
      </c>
      <c r="D21" s="358">
        <f>'0219'!AE15</f>
        <v>0</v>
      </c>
      <c r="E21" s="359">
        <f>'0219'!AE26</f>
        <v>0</v>
      </c>
      <c r="F21" s="359">
        <f>'0219'!AE37</f>
        <v>0</v>
      </c>
      <c r="G21" s="360">
        <f>'0219'!AE48</f>
        <v>0</v>
      </c>
      <c r="H21" s="360">
        <f>'0219'!AE58</f>
        <v>0</v>
      </c>
      <c r="I21" s="359">
        <f>'0219'!AE69</f>
        <v>0</v>
      </c>
      <c r="J21" s="359">
        <f>'0219'!AE79</f>
        <v>0</v>
      </c>
    </row>
    <row r="22" spans="2:10" ht="17.25" customHeight="1">
      <c r="B22" s="460" t="s">
        <v>104</v>
      </c>
      <c r="C22" s="461"/>
      <c r="D22" s="23">
        <f>VALUE('0219'!M15)</f>
        <v>13</v>
      </c>
      <c r="E22" s="23">
        <f>VALUE('0219'!M26)</f>
        <v>11.5</v>
      </c>
      <c r="F22" s="23">
        <f>VALUE('0219'!M37)</f>
        <v>15</v>
      </c>
      <c r="G22" s="23">
        <f>VALUE('0219'!M48)</f>
        <v>14.333333333333334</v>
      </c>
      <c r="H22" s="23">
        <f>VALUE('0219'!M58)</f>
        <v>16</v>
      </c>
      <c r="I22" s="23">
        <f>VALUE('0219'!M69)</f>
        <v>12.333333333333334</v>
      </c>
      <c r="J22" s="23">
        <f>'0219'!M79</f>
        <v>10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26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4DE4-9A61-4902-AA5B-5418BD7EAE44}">
  <sheetPr>
    <tabColor theme="9" tint="0.79998168889431442"/>
  </sheetPr>
  <dimension ref="A1:AJ92"/>
  <sheetViews>
    <sheetView zoomScale="69" zoomScaleNormal="69" workbookViewId="0">
      <pane xSplit="5" ySplit="4" topLeftCell="M26" activePane="bottomRight" state="frozen"/>
      <selection activeCell="U52" sqref="U52"/>
      <selection pane="topRight" activeCell="U52" sqref="U52"/>
      <selection pane="bottomLeft" activeCell="U52" sqref="U52"/>
      <selection pane="bottomRight" activeCell="X59" sqref="X59:Y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50729</v>
      </c>
      <c r="F1" s="30" t="s">
        <v>2</v>
      </c>
      <c r="G1" s="31">
        <f>SUM(H5:H79)</f>
        <v>2436844.6399999997</v>
      </c>
      <c r="H1" s="32" t="s">
        <v>3</v>
      </c>
      <c r="I1" s="33">
        <f>M15+M26+M48+M58+M69+M79+M37</f>
        <v>92.166666666666671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191</v>
      </c>
      <c r="B2" s="374"/>
      <c r="C2" s="28"/>
      <c r="D2" s="28" t="s">
        <v>14</v>
      </c>
      <c r="E2" s="35">
        <f>AVERAGE(O15,O26,O37,O48,O58,O69,O79)</f>
        <v>107.85488986851716</v>
      </c>
      <c r="F2" s="36" t="s">
        <v>15</v>
      </c>
      <c r="G2" s="37">
        <f>G1/E1</f>
        <v>48.036520333537027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3</v>
      </c>
      <c r="AA2" s="339">
        <f>AA15+AA26+AA37+AA48+AA58+AA69+AA79</f>
        <v>20</v>
      </c>
      <c r="AB2" s="370"/>
      <c r="AC2" s="370"/>
      <c r="AD2" s="340">
        <f>AD15+AD26+AD37+AD48+AD58+AD69+AD79</f>
        <v>0</v>
      </c>
      <c r="AE2" s="340">
        <f>AE15+AE26+AE37+AE48+AE58+AE69+AE79</f>
        <v>0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1675</v>
      </c>
      <c r="H5" s="43">
        <f>F5*G5</f>
        <v>95826.75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9" si="0">K5/J5</f>
        <v>175.41666666666666</v>
      </c>
      <c r="M5" s="48">
        <v>12</v>
      </c>
      <c r="N5" s="46">
        <f t="shared" ref="N5:N9" si="1">G5/W5*60</f>
        <v>2010.0000000000136</v>
      </c>
      <c r="O5" s="47">
        <f t="shared" ref="O5:O9" si="2">N5/M5</f>
        <v>167.50000000000114</v>
      </c>
      <c r="P5" s="49">
        <f t="shared" ref="P5:P9" si="3">M5-J5</f>
        <v>0</v>
      </c>
      <c r="Q5" s="50">
        <f t="shared" ref="Q5:Q9" si="4">O5-L5</f>
        <v>-7.9166666666655203</v>
      </c>
      <c r="R5" s="51">
        <f t="shared" ref="R5:R9" si="5">O5/L5</f>
        <v>0.95486935866984024</v>
      </c>
      <c r="S5" s="424">
        <f>R15</f>
        <v>0.97034862455956794</v>
      </c>
      <c r="T5" s="319">
        <v>0.29166666666666702</v>
      </c>
      <c r="U5" s="320">
        <v>0.32638888888888901</v>
      </c>
      <c r="V5" s="53"/>
      <c r="W5" s="54">
        <f t="shared" ref="W5:W14" si="6">(U5-T5)*24*60</f>
        <v>49.999999999999659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11" si="7">N5-K5</f>
        <v>-94.999999999986358</v>
      </c>
      <c r="AG5" s="52">
        <f t="shared" ref="AG5:AG11" si="8">N5/K5</f>
        <v>0.95486935866984024</v>
      </c>
      <c r="AH5" s="403">
        <f>AG15</f>
        <v>0.97001380457975928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1455</v>
      </c>
      <c r="H6" s="63">
        <f>F6*G6</f>
        <v>81887.400000000009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1711.7647058823859</v>
      </c>
      <c r="O6" s="67">
        <f t="shared" si="2"/>
        <v>114.11764705882572</v>
      </c>
      <c r="P6" s="69">
        <f t="shared" si="3"/>
        <v>0</v>
      </c>
      <c r="Q6" s="70">
        <f t="shared" si="4"/>
        <v>-5.8823529411742754</v>
      </c>
      <c r="R6" s="71">
        <f t="shared" si="5"/>
        <v>0.95098039215688102</v>
      </c>
      <c r="S6" s="425"/>
      <c r="T6" s="16">
        <v>0.33680555555555602</v>
      </c>
      <c r="U6" s="16">
        <v>0.37222222222222201</v>
      </c>
      <c r="V6" s="30">
        <f>(T6-U5)*24*60</f>
        <v>15.000000000000506</v>
      </c>
      <c r="W6" s="73">
        <f t="shared" si="6"/>
        <v>50.999999999999019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-88.235294117614103</v>
      </c>
      <c r="AG6" s="72">
        <f t="shared" si="8"/>
        <v>0.95098039215688102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3874</v>
      </c>
      <c r="H7" s="78">
        <f>F7*G7</f>
        <v>190368.36000000002</v>
      </c>
      <c r="I7" s="73"/>
      <c r="J7" s="79">
        <f>VLOOKUP(D7,產線配置圖!$A$3:$C$39,2,0)</f>
        <v>13</v>
      </c>
      <c r="K7" s="80">
        <f>VLOOKUP(D7,產線配置圖!$A$3:$C$39,3,0)</f>
        <v>2000</v>
      </c>
      <c r="L7" s="81">
        <f t="shared" si="0"/>
        <v>153.84615384615384</v>
      </c>
      <c r="M7" s="82">
        <v>13</v>
      </c>
      <c r="N7" s="80">
        <f t="shared" si="1"/>
        <v>1986.666666666667</v>
      </c>
      <c r="O7" s="81">
        <f t="shared" si="2"/>
        <v>152.82051282051285</v>
      </c>
      <c r="P7" s="74">
        <f t="shared" si="3"/>
        <v>0</v>
      </c>
      <c r="Q7" s="83">
        <f t="shared" si="4"/>
        <v>-1.0256410256409936</v>
      </c>
      <c r="R7" s="72">
        <f t="shared" si="5"/>
        <v>0.99333333333333351</v>
      </c>
      <c r="S7" s="425"/>
      <c r="T7" s="18">
        <v>0.37916666666666698</v>
      </c>
      <c r="U7" s="18">
        <v>0.46041666666666697</v>
      </c>
      <c r="V7" s="30">
        <f>(T7-U6)*24*60</f>
        <v>10.000000000000764</v>
      </c>
      <c r="W7" s="73">
        <f t="shared" si="6"/>
        <v>116.99999999999999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-13.33333333333303</v>
      </c>
      <c r="AG7" s="72">
        <f t="shared" si="8"/>
        <v>0.99333333333333351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2007</v>
      </c>
      <c r="H8" s="78">
        <f t="shared" ref="H8:H9" si="9">F8*G8</f>
        <v>98623.98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1942.2580645161108</v>
      </c>
      <c r="O8" s="81">
        <f t="shared" si="2"/>
        <v>149.40446650123928</v>
      </c>
      <c r="P8" s="74">
        <f t="shared" si="3"/>
        <v>0</v>
      </c>
      <c r="Q8" s="83">
        <f t="shared" si="4"/>
        <v>-4.4416873449145555</v>
      </c>
      <c r="R8" s="72">
        <f t="shared" si="5"/>
        <v>0.97112903225805536</v>
      </c>
      <c r="S8" s="425"/>
      <c r="T8" s="16">
        <v>0.52083333333333304</v>
      </c>
      <c r="U8" s="16">
        <v>0.56388888888888899</v>
      </c>
      <c r="V8" s="30">
        <f t="shared" ref="V8:V9" si="10">(T8-U7)*24*60</f>
        <v>86.999999999999133</v>
      </c>
      <c r="W8" s="73">
        <f t="shared" si="6"/>
        <v>62.000000000000583</v>
      </c>
      <c r="X8" s="22">
        <v>0.48611111111111099</v>
      </c>
      <c r="Y8" s="84">
        <v>0.52777777777777801</v>
      </c>
      <c r="Z8" s="90"/>
      <c r="AA8" s="90"/>
      <c r="AB8" s="407"/>
      <c r="AC8" s="407"/>
      <c r="AD8" s="149"/>
      <c r="AE8" s="149"/>
      <c r="AF8" s="307">
        <f t="shared" si="7"/>
        <v>-57.741935483889165</v>
      </c>
      <c r="AG8" s="72">
        <f t="shared" si="8"/>
        <v>0.97112903225805547</v>
      </c>
      <c r="AH8" s="404"/>
    </row>
    <row r="9" spans="1:34" ht="15" customHeight="1">
      <c r="A9" s="422"/>
      <c r="B9" s="75" t="s">
        <v>81</v>
      </c>
      <c r="C9" s="76"/>
      <c r="D9" s="59" t="s">
        <v>118</v>
      </c>
      <c r="E9" s="77"/>
      <c r="F9" s="75">
        <f>VLOOKUP(D9,廠價表!$C$1:$E$41,3,0)</f>
        <v>50.67</v>
      </c>
      <c r="G9" s="66">
        <v>1207</v>
      </c>
      <c r="H9" s="78">
        <f t="shared" si="9"/>
        <v>61158.69</v>
      </c>
      <c r="I9" s="73"/>
      <c r="J9" s="79">
        <f>VLOOKUP(D9,產線配置圖!$A$3:$C$39,2,0)</f>
        <v>12</v>
      </c>
      <c r="K9" s="80">
        <f>VLOOKUP(D9,產線配置圖!$A$3:$C$39,3,0)</f>
        <v>2000</v>
      </c>
      <c r="L9" s="81">
        <f t="shared" si="0"/>
        <v>166.66666666666666</v>
      </c>
      <c r="M9" s="82">
        <v>12</v>
      </c>
      <c r="N9" s="80">
        <f t="shared" si="1"/>
        <v>1957.2972972973378</v>
      </c>
      <c r="O9" s="81">
        <f t="shared" si="2"/>
        <v>163.10810810811148</v>
      </c>
      <c r="P9" s="74">
        <f t="shared" si="3"/>
        <v>0</v>
      </c>
      <c r="Q9" s="83">
        <f t="shared" si="4"/>
        <v>-3.5585585585551769</v>
      </c>
      <c r="R9" s="72">
        <f t="shared" si="5"/>
        <v>0.97864864864866896</v>
      </c>
      <c r="S9" s="426"/>
      <c r="T9" s="16">
        <v>0.57916666666666705</v>
      </c>
      <c r="U9" s="16">
        <v>0.60486111111111096</v>
      </c>
      <c r="V9" s="30">
        <f t="shared" si="10"/>
        <v>22.000000000000401</v>
      </c>
      <c r="W9" s="73">
        <f t="shared" si="6"/>
        <v>36.999999999999233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-42.702702702662236</v>
      </c>
      <c r="AG9" s="72">
        <f t="shared" si="8"/>
        <v>0.97864864864866885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1">AVERAGE(J5:J14)</f>
        <v>13</v>
      </c>
      <c r="K15" s="120">
        <f t="shared" si="11"/>
        <v>1981</v>
      </c>
      <c r="L15" s="117">
        <f t="shared" si="11"/>
        <v>153.95512820512818</v>
      </c>
      <c r="M15" s="120">
        <f t="shared" si="11"/>
        <v>13</v>
      </c>
      <c r="N15" s="120">
        <f t="shared" si="11"/>
        <v>1921.5973468725031</v>
      </c>
      <c r="O15" s="117">
        <f t="shared" si="11"/>
        <v>149.39014689773808</v>
      </c>
      <c r="P15" s="121">
        <f t="shared" ref="P15:P19" si="12">M15-J15</f>
        <v>0</v>
      </c>
      <c r="Q15" s="122">
        <f t="shared" ref="Q15:Q19" si="13">O15-L15</f>
        <v>-4.5649813073900987</v>
      </c>
      <c r="R15" s="123">
        <f t="shared" ref="R15:R19" si="14">O15/L15</f>
        <v>0.97034862455956794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5">N15-K15</f>
        <v>-59.402653127496933</v>
      </c>
      <c r="AG15" s="124">
        <f t="shared" ref="AG15:AG19" si="16">N15/K15</f>
        <v>0.97001380457975928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1850</v>
      </c>
      <c r="H16" s="134">
        <f>F16*G16</f>
        <v>105838.5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19" si="17">K16/J16</f>
        <v>175.41666666666666</v>
      </c>
      <c r="M16" s="139">
        <v>12</v>
      </c>
      <c r="N16" s="140">
        <f t="shared" ref="N16:N19" si="18">G16/W16*60</f>
        <v>1982.1428571428528</v>
      </c>
      <c r="O16" s="141">
        <f>N16/M16</f>
        <v>165.17857142857108</v>
      </c>
      <c r="P16" s="142">
        <f>M16-J16</f>
        <v>0</v>
      </c>
      <c r="Q16" s="143">
        <f t="shared" si="13"/>
        <v>-10.238095238095582</v>
      </c>
      <c r="R16" s="144">
        <f>O16/L16</f>
        <v>0.94163556158805373</v>
      </c>
      <c r="S16" s="417">
        <f>R26</f>
        <v>0.82905424582176102</v>
      </c>
      <c r="T16" s="145">
        <v>0.29166666666666702</v>
      </c>
      <c r="U16" s="145">
        <v>0.33055555555555599</v>
      </c>
      <c r="V16" s="135"/>
      <c r="W16" s="146">
        <f t="shared" ref="W16:W78" si="19">(U16-T16)*24*60</f>
        <v>56.000000000000121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5"/>
        <v>-122.85714285714721</v>
      </c>
      <c r="AG16" s="52">
        <f t="shared" si="16"/>
        <v>0.94163556158805362</v>
      </c>
      <c r="AH16" s="403">
        <f>AG26</f>
        <v>0.83116833949930824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2413</v>
      </c>
      <c r="H17" s="78">
        <f>F17*G17</f>
        <v>122266.71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7"/>
        <v>166.66666666666666</v>
      </c>
      <c r="M17" s="148">
        <v>12</v>
      </c>
      <c r="N17" s="95">
        <f>G17/W17*60</f>
        <v>1626.7415730337225</v>
      </c>
      <c r="O17" s="96">
        <f t="shared" ref="O17:O19" si="20">N17/M17</f>
        <v>135.56179775281021</v>
      </c>
      <c r="P17" s="97">
        <f t="shared" si="12"/>
        <v>0</v>
      </c>
      <c r="Q17" s="98">
        <f t="shared" si="13"/>
        <v>-31.10486891385645</v>
      </c>
      <c r="R17" s="99">
        <f t="shared" si="14"/>
        <v>0.81337078651686134</v>
      </c>
      <c r="S17" s="418"/>
      <c r="T17" s="19">
        <v>0.33888888888888902</v>
      </c>
      <c r="U17" s="19">
        <v>0.40069444444444402</v>
      </c>
      <c r="V17" s="30">
        <f>(T17-U16)*24*60</f>
        <v>11.999999999999558</v>
      </c>
      <c r="W17" s="149">
        <f t="shared" si="19"/>
        <v>88.999999999999204</v>
      </c>
      <c r="X17" s="19"/>
      <c r="Y17" s="297"/>
      <c r="Z17" s="90">
        <v>3</v>
      </c>
      <c r="AA17" s="90">
        <v>20</v>
      </c>
      <c r="AB17" s="395" t="s">
        <v>192</v>
      </c>
      <c r="AC17" s="395"/>
      <c r="AD17" s="92"/>
      <c r="AE17" s="92"/>
      <c r="AF17" s="307">
        <f t="shared" si="15"/>
        <v>-373.25842696627751</v>
      </c>
      <c r="AG17" s="72">
        <f t="shared" si="16"/>
        <v>0.81337078651686123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2017</v>
      </c>
      <c r="H18" s="78">
        <f>F18*G18</f>
        <v>101636.63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7"/>
        <v>181.81818181818181</v>
      </c>
      <c r="M18" s="148">
        <v>11</v>
      </c>
      <c r="N18" s="95">
        <f t="shared" si="18"/>
        <v>1174.9514563106757</v>
      </c>
      <c r="O18" s="96">
        <f t="shared" si="20"/>
        <v>106.81376875551597</v>
      </c>
      <c r="P18" s="97">
        <f t="shared" si="12"/>
        <v>0</v>
      </c>
      <c r="Q18" s="98">
        <f t="shared" si="13"/>
        <v>-75.004413062665847</v>
      </c>
      <c r="R18" s="99">
        <f t="shared" si="14"/>
        <v>0.58747572815533788</v>
      </c>
      <c r="S18" s="418"/>
      <c r="T18" s="19">
        <v>0.42708333333333298</v>
      </c>
      <c r="U18" s="19">
        <v>0.49861111111111101</v>
      </c>
      <c r="V18" s="30">
        <f>(T18-U17)*24*60</f>
        <v>38.000000000000107</v>
      </c>
      <c r="W18" s="149">
        <f t="shared" si="19"/>
        <v>103.00000000000036</v>
      </c>
      <c r="X18" s="22">
        <v>0.48611111111111099</v>
      </c>
      <c r="Y18" s="84">
        <v>0.52777777777777801</v>
      </c>
      <c r="Z18" s="90"/>
      <c r="AA18" s="90"/>
      <c r="AB18" s="395" t="s">
        <v>193</v>
      </c>
      <c r="AC18" s="395"/>
      <c r="AD18" s="92"/>
      <c r="AE18" s="92"/>
      <c r="AF18" s="307">
        <f t="shared" si="15"/>
        <v>-825.04854368932433</v>
      </c>
      <c r="AG18" s="72">
        <f t="shared" si="16"/>
        <v>0.58747572815533788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3157</v>
      </c>
      <c r="H19" s="78">
        <f>F19*G19</f>
        <v>159081.23000000001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7"/>
        <v>181.81818181818181</v>
      </c>
      <c r="M19" s="148">
        <v>11</v>
      </c>
      <c r="N19" s="95">
        <f t="shared" si="18"/>
        <v>1952.7835051546426</v>
      </c>
      <c r="O19" s="96">
        <f t="shared" si="20"/>
        <v>177.52577319587661</v>
      </c>
      <c r="P19" s="97">
        <f t="shared" si="12"/>
        <v>0</v>
      </c>
      <c r="Q19" s="98">
        <f t="shared" si="13"/>
        <v>-4.2924086223052029</v>
      </c>
      <c r="R19" s="99">
        <f t="shared" si="14"/>
        <v>0.97639175257732136</v>
      </c>
      <c r="S19" s="418"/>
      <c r="T19" s="19">
        <v>0.55208333333333304</v>
      </c>
      <c r="U19" s="19">
        <v>0.61944444444444402</v>
      </c>
      <c r="V19" s="30">
        <f>(T19-U18)*24*60</f>
        <v>76.99999999999973</v>
      </c>
      <c r="W19" s="149">
        <f t="shared" si="19"/>
        <v>96.999999999999815</v>
      </c>
      <c r="X19" s="22"/>
      <c r="Y19" s="84"/>
      <c r="Z19" s="90"/>
      <c r="AA19" s="90"/>
      <c r="AB19" s="407"/>
      <c r="AC19" s="407"/>
      <c r="AD19" s="149"/>
      <c r="AE19" s="149"/>
      <c r="AF19" s="307">
        <f t="shared" si="15"/>
        <v>-47.216494845357374</v>
      </c>
      <c r="AG19" s="72">
        <f t="shared" si="16"/>
        <v>0.97639175257732136</v>
      </c>
      <c r="AH19" s="405"/>
    </row>
    <row r="20" spans="1:34" ht="15" customHeight="1">
      <c r="A20" s="414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8"/>
      <c r="T20" s="19"/>
      <c r="U20" s="19"/>
      <c r="V20" s="30"/>
      <c r="W20" s="149">
        <f t="shared" si="19"/>
        <v>0</v>
      </c>
      <c r="X20" s="19"/>
      <c r="Y20" s="297"/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50"/>
      <c r="U21" s="150"/>
      <c r="V21" s="30"/>
      <c r="W21" s="149">
        <f t="shared" si="19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9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21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9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21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9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2">AVERAGE(J16:J25)</f>
        <v>11.5</v>
      </c>
      <c r="K26" s="155">
        <f t="shared" si="22"/>
        <v>2026.25</v>
      </c>
      <c r="L26" s="158">
        <f t="shared" si="22"/>
        <v>176.42992424242425</v>
      </c>
      <c r="M26" s="155">
        <f t="shared" si="22"/>
        <v>11.5</v>
      </c>
      <c r="N26" s="155">
        <f t="shared" si="22"/>
        <v>1684.1548479104733</v>
      </c>
      <c r="O26" s="158">
        <f t="shared" si="22"/>
        <v>146.26997778319347</v>
      </c>
      <c r="P26" s="159">
        <f t="shared" ref="P26:P30" si="23">M26-J26</f>
        <v>0</v>
      </c>
      <c r="Q26" s="160">
        <f t="shared" ref="Q26:Q30" si="24">O26-L26</f>
        <v>-30.159946459230781</v>
      </c>
      <c r="R26" s="161">
        <f>O26/L26</f>
        <v>0.82905424582176102</v>
      </c>
      <c r="S26" s="419"/>
      <c r="T26" s="163"/>
      <c r="U26" s="163"/>
      <c r="V26" s="164"/>
      <c r="W26" s="165"/>
      <c r="X26" s="166"/>
      <c r="Y26" s="299"/>
      <c r="Z26" s="334">
        <f>SUM(Z16:Z25)</f>
        <v>3</v>
      </c>
      <c r="AA26" s="334">
        <f>SUM(AA16:AA25)</f>
        <v>20</v>
      </c>
      <c r="AB26" s="412"/>
      <c r="AC26" s="412"/>
      <c r="AD26" s="323">
        <f>SUM(AD16:AD25)</f>
        <v>0</v>
      </c>
      <c r="AE26" s="323">
        <f>SUM(AE16:AE25)</f>
        <v>0</v>
      </c>
      <c r="AF26" s="309">
        <f t="shared" ref="AF26:AF31" si="25">N26-K26</f>
        <v>-342.09515208952666</v>
      </c>
      <c r="AG26" s="124">
        <f t="shared" ref="AG26:AG31" si="26">N26/K26</f>
        <v>0.83116833949930824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1310</v>
      </c>
      <c r="H27" s="134">
        <f>F27*G27</f>
        <v>75063</v>
      </c>
      <c r="I27" s="135"/>
      <c r="J27" s="136">
        <v>15</v>
      </c>
      <c r="K27" s="137">
        <f>VLOOKUP(D27,產線配置圖!$A$3:$C$39,3,0)</f>
        <v>1500</v>
      </c>
      <c r="L27" s="138">
        <f t="shared" ref="L27:L30" si="27">K27/J27</f>
        <v>100</v>
      </c>
      <c r="M27" s="170">
        <v>15</v>
      </c>
      <c r="N27" s="140">
        <f>G27/W27*60</f>
        <v>1483.0188679245514</v>
      </c>
      <c r="O27" s="141">
        <f>N27/M27</f>
        <v>98.867924528303419</v>
      </c>
      <c r="P27" s="142">
        <f t="shared" si="23"/>
        <v>0</v>
      </c>
      <c r="Q27" s="143">
        <f t="shared" si="24"/>
        <v>-1.1320754716965808</v>
      </c>
      <c r="R27" s="144">
        <f>O27/L27</f>
        <v>0.98867924528303419</v>
      </c>
      <c r="S27" s="417">
        <f>R37</f>
        <v>0.98441496456819466</v>
      </c>
      <c r="T27" s="171">
        <v>0.29027777777777802</v>
      </c>
      <c r="U27" s="171">
        <v>0.327083333333333</v>
      </c>
      <c r="V27" s="135"/>
      <c r="W27" s="146">
        <f t="shared" si="19"/>
        <v>52.999999999999176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5"/>
        <v>-16.981132075448613</v>
      </c>
      <c r="AG27" s="172">
        <f t="shared" si="26"/>
        <v>0.9886792452830343</v>
      </c>
      <c r="AH27" s="403">
        <f>AG37</f>
        <v>0.95403266149134203</v>
      </c>
    </row>
    <row r="28" spans="1:34" ht="15" customHeight="1">
      <c r="A28" s="430"/>
      <c r="B28" s="75" t="s">
        <v>123</v>
      </c>
      <c r="C28" s="173"/>
      <c r="D28" s="59" t="s">
        <v>124</v>
      </c>
      <c r="E28" s="104"/>
      <c r="F28" s="75">
        <f>VLOOKUP(D28,廠價表!$C$1:$E$41,3,0)</f>
        <v>49.52</v>
      </c>
      <c r="G28" s="90">
        <v>2207</v>
      </c>
      <c r="H28" s="91">
        <f>F28*G28</f>
        <v>109290.64000000001</v>
      </c>
      <c r="I28" s="92"/>
      <c r="J28" s="79">
        <f>VLOOKUP(D28,產線配置圖!$A$3:$C$39,2,0)</f>
        <v>15</v>
      </c>
      <c r="K28" s="80">
        <f>VLOOKUP(D28,產線配置圖!$A$3:$C$39,3,0)</f>
        <v>1440</v>
      </c>
      <c r="L28" s="93">
        <f t="shared" si="27"/>
        <v>96</v>
      </c>
      <c r="M28" s="94">
        <v>14</v>
      </c>
      <c r="N28" s="95">
        <f>G28/W28*60</f>
        <v>1298.2352941176346</v>
      </c>
      <c r="O28" s="96">
        <f>N28/M28</f>
        <v>92.731092436973896</v>
      </c>
      <c r="P28" s="97">
        <f t="shared" si="23"/>
        <v>-1</v>
      </c>
      <c r="Q28" s="98">
        <f t="shared" si="24"/>
        <v>-3.2689075630261044</v>
      </c>
      <c r="R28" s="99">
        <f t="shared" ref="R28:R30" si="28">O28/L28</f>
        <v>0.96594887955181141</v>
      </c>
      <c r="S28" s="418"/>
      <c r="T28" s="19">
        <v>0.33194444444444399</v>
      </c>
      <c r="U28" s="19">
        <v>0.40277777777777801</v>
      </c>
      <c r="V28" s="92">
        <f>(T28-U27)*24*60</f>
        <v>6.9999999999998153</v>
      </c>
      <c r="W28" s="149">
        <f t="shared" si="19"/>
        <v>102.00000000000099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5"/>
        <v>-141.76470588236543</v>
      </c>
      <c r="AG28" s="99">
        <f t="shared" si="26"/>
        <v>0.9015522875816907</v>
      </c>
      <c r="AH28" s="432"/>
    </row>
    <row r="29" spans="1:34" ht="15" customHeight="1">
      <c r="A29" s="430"/>
      <c r="B29" s="75" t="s">
        <v>81</v>
      </c>
      <c r="C29" s="173"/>
      <c r="D29" s="59" t="s">
        <v>122</v>
      </c>
      <c r="E29" s="104"/>
      <c r="F29" s="75">
        <f>VLOOKUP(D29,廠價表!$C$1:$E$41,3,0)</f>
        <v>55.13</v>
      </c>
      <c r="G29" s="90">
        <v>1643</v>
      </c>
      <c r="H29" s="91">
        <f>F29*G29</f>
        <v>90578.590000000011</v>
      </c>
      <c r="I29" s="92"/>
      <c r="J29" s="79">
        <v>15</v>
      </c>
      <c r="K29" s="80">
        <f>VLOOKUP(D29,產線配置圖!$A$3:$C$39,3,0)</f>
        <v>1385</v>
      </c>
      <c r="L29" s="93">
        <f t="shared" si="27"/>
        <v>92.333333333333329</v>
      </c>
      <c r="M29" s="94">
        <v>15</v>
      </c>
      <c r="N29" s="95">
        <f>G29/W29*60</f>
        <v>1369.166666666667</v>
      </c>
      <c r="O29" s="96">
        <f>N29/M29</f>
        <v>91.2777777777778</v>
      </c>
      <c r="P29" s="97">
        <f t="shared" si="23"/>
        <v>0</v>
      </c>
      <c r="Q29" s="98">
        <f t="shared" si="24"/>
        <v>-1.0555555555555287</v>
      </c>
      <c r="R29" s="99">
        <f t="shared" si="28"/>
        <v>0.98856799037304477</v>
      </c>
      <c r="S29" s="418"/>
      <c r="T29" s="19">
        <v>0.40833333333333299</v>
      </c>
      <c r="U29" s="19">
        <v>0.45833333333333298</v>
      </c>
      <c r="V29" s="92">
        <f>(T29-U28)*24*60</f>
        <v>7.9999999999991722</v>
      </c>
      <c r="W29" s="149">
        <f t="shared" si="19"/>
        <v>71.999999999999986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5"/>
        <v>-15.83333333333303</v>
      </c>
      <c r="AG29" s="99">
        <f t="shared" si="26"/>
        <v>0.98856799037304477</v>
      </c>
      <c r="AH29" s="432"/>
    </row>
    <row r="30" spans="1:34" ht="15" customHeight="1">
      <c r="A30" s="430"/>
      <c r="B30" s="75" t="s">
        <v>123</v>
      </c>
      <c r="C30" s="88"/>
      <c r="D30" s="59" t="s">
        <v>128</v>
      </c>
      <c r="E30" s="89"/>
      <c r="F30" s="75">
        <f>VLOOKUP(D30,廠價表!$C$1:$E$41,3,0)</f>
        <v>44.3</v>
      </c>
      <c r="G30" s="90">
        <v>3194</v>
      </c>
      <c r="H30" s="91">
        <f>F30*G30</f>
        <v>141494.19999999998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si="27"/>
        <v>84.705882352941174</v>
      </c>
      <c r="M30" s="94">
        <v>16</v>
      </c>
      <c r="N30" s="95">
        <f>G30/W30*60</f>
        <v>1349.577464788734</v>
      </c>
      <c r="O30" s="96">
        <f>N30/M30</f>
        <v>84.348591549295875</v>
      </c>
      <c r="P30" s="97">
        <f t="shared" si="23"/>
        <v>-1</v>
      </c>
      <c r="Q30" s="98">
        <f t="shared" si="24"/>
        <v>-0.35729080364529864</v>
      </c>
      <c r="R30" s="99">
        <f t="shared" si="28"/>
        <v>0.99578198356807635</v>
      </c>
      <c r="S30" s="418"/>
      <c r="T30" s="19">
        <v>0.55347222222222203</v>
      </c>
      <c r="U30" s="19">
        <v>0.65208333333333302</v>
      </c>
      <c r="V30" s="92">
        <f>(T30-U29)*24*60</f>
        <v>137.00000000000023</v>
      </c>
      <c r="W30" s="149">
        <f t="shared" si="19"/>
        <v>141.99999999999983</v>
      </c>
      <c r="X30" s="174">
        <v>0.47916666666666702</v>
      </c>
      <c r="Y30" s="301" t="s">
        <v>194</v>
      </c>
      <c r="Z30" s="335"/>
      <c r="AA30" s="335"/>
      <c r="AB30" s="395"/>
      <c r="AC30" s="395"/>
      <c r="AD30" s="92"/>
      <c r="AE30" s="92"/>
      <c r="AF30" s="312">
        <f t="shared" si="25"/>
        <v>-90.422535211265995</v>
      </c>
      <c r="AG30" s="99">
        <f t="shared" si="26"/>
        <v>0.93720657276995412</v>
      </c>
      <c r="AH30" s="433"/>
    </row>
    <row r="31" spans="1:34" ht="15" customHeight="1">
      <c r="A31" s="43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8"/>
      <c r="T31" s="19"/>
      <c r="U31" s="19"/>
      <c r="V31" s="92"/>
      <c r="W31" s="149">
        <f t="shared" si="19"/>
        <v>0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5"/>
        <v>0</v>
      </c>
      <c r="AG31" s="99" t="e">
        <f t="shared" si="26"/>
        <v>#DIV/0!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50"/>
      <c r="U32" s="150"/>
      <c r="V32" s="92"/>
      <c r="W32" s="149">
        <f t="shared" si="19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9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9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9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29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9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0">AVERAGE(J27:J36)</f>
        <v>15.5</v>
      </c>
      <c r="K37" s="155">
        <f t="shared" si="30"/>
        <v>1441.25</v>
      </c>
      <c r="L37" s="158">
        <f t="shared" si="30"/>
        <v>93.259803921568619</v>
      </c>
      <c r="M37" s="155">
        <f t="shared" si="30"/>
        <v>15</v>
      </c>
      <c r="N37" s="155">
        <f t="shared" si="30"/>
        <v>1374.9995733743967</v>
      </c>
      <c r="O37" s="158">
        <f t="shared" si="30"/>
        <v>91.806346573087751</v>
      </c>
      <c r="P37" s="159">
        <f>M37-J37</f>
        <v>-0.5</v>
      </c>
      <c r="Q37" s="160">
        <f>N37-K37</f>
        <v>-66.250426625603268</v>
      </c>
      <c r="R37" s="161">
        <f t="shared" ref="R37:R40" si="31">O37/L37</f>
        <v>0.98441496456819466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2">N37-K37</f>
        <v>-66.250426625603268</v>
      </c>
      <c r="AG37" s="124">
        <f t="shared" ref="AG37:AG41" si="33">N37/K37</f>
        <v>0.95403266149134203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1202</v>
      </c>
      <c r="H38" s="134">
        <f>F38*G38</f>
        <v>67828.86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34">K38/J38</f>
        <v>87.875</v>
      </c>
      <c r="M38" s="190">
        <v>13</v>
      </c>
      <c r="N38" s="140">
        <f>G38/W38*60</f>
        <v>801.33333333333337</v>
      </c>
      <c r="O38" s="141">
        <f>N38/M38</f>
        <v>61.641025641025642</v>
      </c>
      <c r="P38" s="142">
        <f t="shared" ref="P38:P40" si="35">M38-J38</f>
        <v>-3</v>
      </c>
      <c r="Q38" s="143">
        <f t="shared" ref="Q38:Q40" si="36">O38-L38</f>
        <v>-26.233974358974358</v>
      </c>
      <c r="R38" s="144">
        <f>O38/L38</f>
        <v>0.70146259619943829</v>
      </c>
      <c r="S38" s="437">
        <f>R48</f>
        <v>0.89605450332934078</v>
      </c>
      <c r="T38" s="191">
        <v>0.33333333333333298</v>
      </c>
      <c r="U38" s="191">
        <v>0.39583333333333298</v>
      </c>
      <c r="V38" s="192"/>
      <c r="W38" s="193">
        <f t="shared" si="19"/>
        <v>90</v>
      </c>
      <c r="X38" s="194"/>
      <c r="Y38" s="302"/>
      <c r="Z38" s="336"/>
      <c r="AA38" s="336"/>
      <c r="AB38" s="439" t="s">
        <v>195</v>
      </c>
      <c r="AC38" s="439"/>
      <c r="AD38" s="192"/>
      <c r="AE38" s="192"/>
      <c r="AF38" s="313">
        <f t="shared" si="32"/>
        <v>-604.66666666666663</v>
      </c>
      <c r="AG38" s="195">
        <f t="shared" si="33"/>
        <v>0.56993835941204363</v>
      </c>
      <c r="AH38" s="443">
        <f>AG48</f>
        <v>0.77666148637548171</v>
      </c>
    </row>
    <row r="39" spans="1:34" ht="15" customHeight="1">
      <c r="A39" s="435"/>
      <c r="B39" s="75" t="s">
        <v>123</v>
      </c>
      <c r="C39" s="197"/>
      <c r="D39" s="198" t="s">
        <v>127</v>
      </c>
      <c r="E39" s="176"/>
      <c r="F39" s="75">
        <f>VLOOKUP(D39,廠價表!$C$1:$E$41,3,0)</f>
        <v>49.91</v>
      </c>
      <c r="G39" s="199">
        <v>2203</v>
      </c>
      <c r="H39" s="91">
        <f>F39*G39</f>
        <v>109951.73</v>
      </c>
      <c r="I39" s="200"/>
      <c r="J39" s="148">
        <f>VLOOKUP(D39,產線配置圖!$A$3:$C$39,2,0)</f>
        <v>17</v>
      </c>
      <c r="K39" s="95">
        <f>VLOOKUP(D39,產線配置圖!$A$3:$C$39,3,0)</f>
        <v>1565</v>
      </c>
      <c r="L39" s="96">
        <f t="shared" si="34"/>
        <v>92.058823529411768</v>
      </c>
      <c r="M39" s="201">
        <v>14</v>
      </c>
      <c r="N39" s="202">
        <f>G39/W39*60</f>
        <v>1283.3009708737829</v>
      </c>
      <c r="O39" s="203">
        <f t="shared" ref="O39:O40" si="37">N39/M39</f>
        <v>91.664355062413065</v>
      </c>
      <c r="P39" s="97">
        <f t="shared" si="35"/>
        <v>-3</v>
      </c>
      <c r="Q39" s="98">
        <f t="shared" si="36"/>
        <v>-0.39446846699870264</v>
      </c>
      <c r="R39" s="99">
        <f t="shared" si="31"/>
        <v>0.9957150390166275</v>
      </c>
      <c r="S39" s="438"/>
      <c r="T39" s="20">
        <v>0.40138888888888902</v>
      </c>
      <c r="U39" s="20">
        <v>0.47291666666666698</v>
      </c>
      <c r="V39" s="92">
        <f>(T39-U38)*24*60</f>
        <v>8.000000000000691</v>
      </c>
      <c r="W39" s="205">
        <f t="shared" si="19"/>
        <v>103.00000000000027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2"/>
        <v>-281.69902912621706</v>
      </c>
      <c r="AG39" s="206">
        <f t="shared" si="33"/>
        <v>0.82000062036663446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1833</v>
      </c>
      <c r="H40" s="91">
        <f>F40*G40</f>
        <v>81201.899999999994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4"/>
        <v>84.705882352941174</v>
      </c>
      <c r="M40" s="201">
        <v>16</v>
      </c>
      <c r="N40" s="202">
        <f>G40/W40*60</f>
        <v>1341.2195121951333</v>
      </c>
      <c r="O40" s="203">
        <f t="shared" si="37"/>
        <v>83.826219512195834</v>
      </c>
      <c r="P40" s="97">
        <f t="shared" si="35"/>
        <v>-1</v>
      </c>
      <c r="Q40" s="98">
        <f t="shared" si="36"/>
        <v>-0.87966284074533974</v>
      </c>
      <c r="R40" s="99">
        <f t="shared" si="31"/>
        <v>0.98961509146342308</v>
      </c>
      <c r="S40" s="425"/>
      <c r="T40" s="20">
        <v>0.47777777777777802</v>
      </c>
      <c r="U40" s="20">
        <v>0.53472222222222199</v>
      </c>
      <c r="V40" s="92">
        <f>(T40-U39)*24*60</f>
        <v>6.9999999999998952</v>
      </c>
      <c r="W40" s="205">
        <f t="shared" si="19"/>
        <v>81.999999999999304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2"/>
        <v>-98.780487804866652</v>
      </c>
      <c r="AG40" s="206">
        <f t="shared" si="33"/>
        <v>0.93140243902439812</v>
      </c>
      <c r="AH40" s="444"/>
    </row>
    <row r="41" spans="1:34" ht="15" customHeight="1">
      <c r="A41" s="43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5"/>
      <c r="T41" s="20"/>
      <c r="U41" s="210"/>
      <c r="V41" s="92"/>
      <c r="W41" s="205">
        <f t="shared" si="19"/>
        <v>0</v>
      </c>
      <c r="X41" s="208"/>
      <c r="Y41" s="209"/>
      <c r="Z41" s="337"/>
      <c r="AA41" s="337"/>
      <c r="AB41" s="395"/>
      <c r="AC41" s="395"/>
      <c r="AD41" s="92"/>
      <c r="AE41" s="92"/>
      <c r="AF41" s="314">
        <f t="shared" si="32"/>
        <v>0</v>
      </c>
      <c r="AG41" s="206" t="e">
        <f t="shared" si="33"/>
        <v>#DIV/0!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9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8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8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8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29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8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39">AVERAGE(J38:J47)</f>
        <v>16.666666666666668</v>
      </c>
      <c r="K48" s="155">
        <f t="shared" si="39"/>
        <v>1470.3333333333333</v>
      </c>
      <c r="L48" s="158">
        <f t="shared" si="39"/>
        <v>88.213235294117638</v>
      </c>
      <c r="M48" s="155">
        <f t="shared" si="39"/>
        <v>14.333333333333334</v>
      </c>
      <c r="N48" s="155">
        <f t="shared" si="39"/>
        <v>1141.9512721340832</v>
      </c>
      <c r="O48" s="158">
        <f t="shared" si="39"/>
        <v>79.04386673854485</v>
      </c>
      <c r="P48" s="221">
        <f>M48-J48</f>
        <v>-2.3333333333333339</v>
      </c>
      <c r="Q48" s="222">
        <f>N48-K48</f>
        <v>-328.38206119925007</v>
      </c>
      <c r="R48" s="223">
        <f>O48/L48</f>
        <v>0.89605450332934078</v>
      </c>
      <c r="S48" s="428"/>
      <c r="T48" s="224"/>
      <c r="U48" s="224"/>
      <c r="V48" s="225"/>
      <c r="W48" s="226">
        <f t="shared" si="38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40">N48-K48</f>
        <v>-328.38206119925007</v>
      </c>
      <c r="AG48" s="162">
        <f t="shared" ref="AG48:AG53" si="41">N48/K48</f>
        <v>0.77666148637548171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1007</v>
      </c>
      <c r="H49" s="134">
        <f>F49*G49</f>
        <v>57268.09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2" si="42">K49/J49</f>
        <v>86.944444444444443</v>
      </c>
      <c r="M49" s="170">
        <v>16</v>
      </c>
      <c r="N49" s="140">
        <f>G49/W49*60</f>
        <v>1208.4000000000083</v>
      </c>
      <c r="O49" s="141">
        <f>N49/M49</f>
        <v>75.525000000000517</v>
      </c>
      <c r="P49" s="229">
        <f>M49-J49</f>
        <v>-2</v>
      </c>
      <c r="Q49" s="230">
        <f>O49-L49</f>
        <v>-11.419444444443926</v>
      </c>
      <c r="R49" s="52">
        <f>O49/L49</f>
        <v>0.86865814696486221</v>
      </c>
      <c r="S49" s="424">
        <f>R58</f>
        <v>0.9622706365239353</v>
      </c>
      <c r="T49" s="191">
        <v>0.29027777777777802</v>
      </c>
      <c r="U49" s="191">
        <v>0.32500000000000001</v>
      </c>
      <c r="V49" s="55"/>
      <c r="W49" s="193">
        <f t="shared" si="19"/>
        <v>49.999999999999659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40"/>
        <v>-356.59999999999172</v>
      </c>
      <c r="AG49" s="52">
        <f t="shared" si="41"/>
        <v>0.77214057507987754</v>
      </c>
      <c r="AH49" s="403">
        <f>AG58</f>
        <v>0.88016445722343317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2271</v>
      </c>
      <c r="H50" s="231">
        <f>F50*G50</f>
        <v>108349.41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2"/>
        <v>90</v>
      </c>
      <c r="M50" s="233">
        <v>16</v>
      </c>
      <c r="N50" s="234">
        <f>G50/W50*60</f>
        <v>1419.374999999992</v>
      </c>
      <c r="O50" s="235">
        <f>N50/M50</f>
        <v>88.710937499999503</v>
      </c>
      <c r="P50" s="74">
        <f>M50-J50</f>
        <v>0</v>
      </c>
      <c r="Q50" s="83">
        <f>O50-L50</f>
        <v>-1.2890625000004974</v>
      </c>
      <c r="R50" s="72">
        <f>O50/L50</f>
        <v>0.98567708333332782</v>
      </c>
      <c r="S50" s="425"/>
      <c r="T50" s="21">
        <v>0.33263888888888898</v>
      </c>
      <c r="U50" s="21">
        <v>0.39930555555555602</v>
      </c>
      <c r="V50" s="30">
        <f t="shared" ref="V50:V52" si="43">(T50-U49)*24*60</f>
        <v>11.000000000000121</v>
      </c>
      <c r="W50" s="236">
        <f t="shared" si="19"/>
        <v>96.00000000000054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0"/>
        <v>-20.625000000007958</v>
      </c>
      <c r="AG50" s="72">
        <f t="shared" si="41"/>
        <v>0.98567708333332782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2872</v>
      </c>
      <c r="H51" s="231">
        <f>F51*G51</f>
        <v>143513.84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2"/>
        <v>88.888888888888886</v>
      </c>
      <c r="M51" s="233">
        <v>16</v>
      </c>
      <c r="N51" s="234">
        <f>G51/W51*60</f>
        <v>1412.4590163934467</v>
      </c>
      <c r="O51" s="235">
        <f>N51/M51</f>
        <v>88.278688524590422</v>
      </c>
      <c r="P51" s="74">
        <f>M51-J51</f>
        <v>-2</v>
      </c>
      <c r="Q51" s="83">
        <f>O51-L51</f>
        <v>-0.61020036429846414</v>
      </c>
      <c r="R51" s="72">
        <f>O51/L51</f>
        <v>0.99313524590164226</v>
      </c>
      <c r="S51" s="425"/>
      <c r="T51" s="21">
        <v>0.40416666666666701</v>
      </c>
      <c r="U51" s="19">
        <v>0.48888888888888898</v>
      </c>
      <c r="V51" s="30">
        <f t="shared" si="43"/>
        <v>6.9999999999998153</v>
      </c>
      <c r="W51" s="236">
        <f t="shared" si="19"/>
        <v>121.99999999999964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40"/>
        <v>-187.54098360655325</v>
      </c>
      <c r="AG51" s="72">
        <f t="shared" si="41"/>
        <v>0.88278688524590421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2795</v>
      </c>
      <c r="H52" s="231">
        <f>F52*G52</f>
        <v>139666.15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2"/>
        <v>88.888888888888886</v>
      </c>
      <c r="M52" s="233">
        <v>16</v>
      </c>
      <c r="N52" s="234">
        <f>G52/W52*60</f>
        <v>1421.1864406779557</v>
      </c>
      <c r="O52" s="235">
        <f>N52/M52</f>
        <v>88.824152542372232</v>
      </c>
      <c r="P52" s="74">
        <f>M52-J52</f>
        <v>-2</v>
      </c>
      <c r="Q52" s="83">
        <f>O52-L52</f>
        <v>-6.4736346516653498E-2</v>
      </c>
      <c r="R52" s="72">
        <f>O52/L52</f>
        <v>0.99927171610168763</v>
      </c>
      <c r="S52" s="425"/>
      <c r="T52" s="21">
        <v>0.53472222222222199</v>
      </c>
      <c r="U52" s="21">
        <v>0.61666666666666703</v>
      </c>
      <c r="V52" s="30">
        <f t="shared" si="43"/>
        <v>65.999999999999531</v>
      </c>
      <c r="W52" s="236">
        <f t="shared" si="19"/>
        <v>118.00000000000085</v>
      </c>
      <c r="X52" s="22">
        <v>0.48611111111111099</v>
      </c>
      <c r="Y52" s="84">
        <v>0.52777777777777801</v>
      </c>
      <c r="Z52" s="90"/>
      <c r="AA52" s="90"/>
      <c r="AB52" s="395"/>
      <c r="AC52" s="395"/>
      <c r="AD52" s="92"/>
      <c r="AE52" s="92"/>
      <c r="AF52" s="307">
        <f t="shared" si="40"/>
        <v>-178.81355932204428</v>
      </c>
      <c r="AG52" s="72">
        <f t="shared" si="41"/>
        <v>0.88824152542372237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9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40"/>
        <v>0</v>
      </c>
      <c r="AG53" s="72" t="e">
        <f t="shared" si="41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9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9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9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9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4">AVERAGE(J49:J57)</f>
        <v>17.5</v>
      </c>
      <c r="K58" s="120">
        <f t="shared" si="44"/>
        <v>1551.25</v>
      </c>
      <c r="L58" s="117">
        <f t="shared" si="44"/>
        <v>88.680555555555571</v>
      </c>
      <c r="M58" s="120">
        <f t="shared" si="44"/>
        <v>16</v>
      </c>
      <c r="N58" s="120">
        <f t="shared" si="44"/>
        <v>1365.3551142678507</v>
      </c>
      <c r="O58" s="117">
        <f t="shared" si="44"/>
        <v>85.334694641740668</v>
      </c>
      <c r="P58" s="121">
        <f>M58-J58</f>
        <v>-1.5</v>
      </c>
      <c r="Q58" s="122">
        <f>N58-K58</f>
        <v>-185.89488573214931</v>
      </c>
      <c r="R58" s="123">
        <f t="shared" ref="R58:R60" si="45">O58/L58</f>
        <v>0.9622706365239353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46">N58-K58</f>
        <v>-185.89488573214931</v>
      </c>
      <c r="AG58" s="124">
        <f t="shared" ref="AG58:AG61" si="47">N58/K58</f>
        <v>0.88016445722343317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3077</v>
      </c>
      <c r="H59" s="243">
        <f>F59*G59</f>
        <v>83048.23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48">K59/J59</f>
        <v>120.38461538461539</v>
      </c>
      <c r="M59" s="244">
        <v>13</v>
      </c>
      <c r="N59" s="137">
        <f t="shared" ref="N59:N61" si="49">G59/W59*60</f>
        <v>1564.5762711864495</v>
      </c>
      <c r="O59" s="138">
        <f t="shared" ref="O59:O61" si="50">N59/M59</f>
        <v>120.35202086049611</v>
      </c>
      <c r="P59" s="56">
        <f t="shared" ref="P59:P61" si="51">M59-J59</f>
        <v>0</v>
      </c>
      <c r="Q59" s="230">
        <f t="shared" ref="Q59:Q61" si="52">O59-L59</f>
        <v>-3.2594524119275547E-2</v>
      </c>
      <c r="R59" s="52">
        <f t="shared" si="45"/>
        <v>0.99972924676450448</v>
      </c>
      <c r="S59" s="424">
        <f>R69</f>
        <v>0.88074236737128953</v>
      </c>
      <c r="T59" s="245">
        <v>0.29027777777777802</v>
      </c>
      <c r="U59" s="245">
        <v>0.37222222222222201</v>
      </c>
      <c r="V59" s="55"/>
      <c r="W59" s="54">
        <f t="shared" si="19"/>
        <v>117.99999999999935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46"/>
        <v>-0.42372881355049685</v>
      </c>
      <c r="AG59" s="246">
        <f t="shared" si="47"/>
        <v>0.99972924676450448</v>
      </c>
      <c r="AH59" s="403">
        <f>AG69</f>
        <v>0.88379331299675667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1284</v>
      </c>
      <c r="H60" s="78">
        <f>F60*G60</f>
        <v>36285.840000000004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8"/>
        <v>130.41666666666666</v>
      </c>
      <c r="M60" s="82">
        <v>12</v>
      </c>
      <c r="N60" s="80">
        <f t="shared" si="49"/>
        <v>1283.9999999999893</v>
      </c>
      <c r="O60" s="81">
        <f t="shared" si="50"/>
        <v>106.9999999999991</v>
      </c>
      <c r="P60" s="74">
        <f t="shared" si="51"/>
        <v>0</v>
      </c>
      <c r="Q60" s="83">
        <f t="shared" si="52"/>
        <v>-23.416666666667552</v>
      </c>
      <c r="R60" s="72">
        <f t="shared" si="45"/>
        <v>0.82044728434504111</v>
      </c>
      <c r="S60" s="451"/>
      <c r="T60" s="22">
        <v>0.37847222222222199</v>
      </c>
      <c r="U60" s="22">
        <v>0.42013888888888901</v>
      </c>
      <c r="V60" s="30">
        <f t="shared" ref="V60:V61" si="53">(T60-U59)*24*60</f>
        <v>8.999999999999968</v>
      </c>
      <c r="W60" s="248">
        <f t="shared" si="19"/>
        <v>60.000000000000504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46"/>
        <v>-281.00000000001069</v>
      </c>
      <c r="AG60" s="249">
        <f t="shared" si="47"/>
        <v>0.82044728434504111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1561</v>
      </c>
      <c r="H61" s="254">
        <f>F61*G61</f>
        <v>44113.86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8"/>
        <v>130.41666666666666</v>
      </c>
      <c r="M61" s="108">
        <v>12</v>
      </c>
      <c r="N61" s="107">
        <f t="shared" si="49"/>
        <v>1300.8333333333337</v>
      </c>
      <c r="O61" s="238">
        <f t="shared" si="50"/>
        <v>108.40277777777781</v>
      </c>
      <c r="P61" s="111">
        <f t="shared" si="51"/>
        <v>0</v>
      </c>
      <c r="Q61" s="255">
        <f t="shared" si="52"/>
        <v>-22.013888888888843</v>
      </c>
      <c r="R61" s="85">
        <f>O61/L61</f>
        <v>0.83120340788072455</v>
      </c>
      <c r="S61" s="425"/>
      <c r="T61" s="22">
        <v>0.43055555555555602</v>
      </c>
      <c r="U61" s="22">
        <v>0.48055555555555601</v>
      </c>
      <c r="V61" s="30">
        <f t="shared" si="53"/>
        <v>15.000000000000506</v>
      </c>
      <c r="W61" s="256">
        <f t="shared" si="19"/>
        <v>71.999999999999986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46"/>
        <v>-264.16666666666629</v>
      </c>
      <c r="AG61" s="247">
        <f t="shared" si="47"/>
        <v>0.83120340788072444</v>
      </c>
      <c r="AH61" s="404"/>
    </row>
    <row r="62" spans="1:34" ht="15" customHeight="1">
      <c r="A62" s="44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5"/>
      <c r="T62" s="22"/>
      <c r="U62" s="22"/>
      <c r="V62" s="30"/>
      <c r="W62" s="248">
        <f t="shared" si="19"/>
        <v>0</v>
      </c>
      <c r="X62" s="22"/>
      <c r="Y62" s="84"/>
      <c r="Z62" s="90"/>
      <c r="AA62" s="90"/>
      <c r="AB62" s="395"/>
      <c r="AC62" s="395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9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9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9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9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9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9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4">AVERAGE(J59:J68)</f>
        <v>12.333333333333334</v>
      </c>
      <c r="K69" s="240">
        <f t="shared" si="54"/>
        <v>1565</v>
      </c>
      <c r="L69" s="268">
        <f t="shared" si="54"/>
        <v>127.07264957264958</v>
      </c>
      <c r="M69" s="240">
        <f t="shared" si="54"/>
        <v>12.333333333333334</v>
      </c>
      <c r="N69" s="240">
        <f t="shared" si="54"/>
        <v>1383.1365348399243</v>
      </c>
      <c r="O69" s="268">
        <f t="shared" si="54"/>
        <v>111.91826621275767</v>
      </c>
      <c r="P69" s="269">
        <f>M69-J69</f>
        <v>0</v>
      </c>
      <c r="Q69" s="222">
        <f>N69-K69</f>
        <v>-181.86346516007575</v>
      </c>
      <c r="R69" s="123">
        <f>O69/L69</f>
        <v>0.88074236737128953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-181.86346516007575</v>
      </c>
      <c r="AG69" s="124">
        <f>N69/K69</f>
        <v>0.88379331299675667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2615</v>
      </c>
      <c r="H70" s="243">
        <f>F70*G70</f>
        <v>132502.05000000002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912.20930232557703</v>
      </c>
      <c r="O70" s="138">
        <f>N70/M70</f>
        <v>91.220930232557706</v>
      </c>
      <c r="P70" s="56">
        <f>M70-J70</f>
        <v>0</v>
      </c>
      <c r="Q70" s="230">
        <f>O70-L70</f>
        <v>-21.279069767442294</v>
      </c>
      <c r="R70" s="52">
        <f>O70/L70</f>
        <v>0.81085271317829066</v>
      </c>
      <c r="S70" s="424">
        <f>R79</f>
        <v>0.81085271317829066</v>
      </c>
      <c r="T70" s="245">
        <v>0.33333333333333298</v>
      </c>
      <c r="U70" s="245">
        <v>0.452777777777778</v>
      </c>
      <c r="V70" s="55"/>
      <c r="W70" s="54">
        <f t="shared" si="19"/>
        <v>172.00000000000082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-212.79069767442297</v>
      </c>
      <c r="AG70" s="246">
        <f>N70/K70</f>
        <v>0.81085271317829066</v>
      </c>
      <c r="AH70" s="403">
        <f>AG79</f>
        <v>0.81085271317829066</v>
      </c>
    </row>
    <row r="71" spans="1:36" ht="15" customHeight="1">
      <c r="A71" s="45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5"/>
      <c r="T71" s="22"/>
      <c r="U71" s="22"/>
      <c r="V71" s="30"/>
      <c r="W71" s="73">
        <f t="shared" si="19"/>
        <v>0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9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9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9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55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9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55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9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55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9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55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9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56">AVERAGE(J70:J78)</f>
        <v>10</v>
      </c>
      <c r="K79" s="240">
        <f t="shared" si="56"/>
        <v>1125</v>
      </c>
      <c r="L79" s="268">
        <f t="shared" si="56"/>
        <v>112.5</v>
      </c>
      <c r="M79" s="240">
        <f t="shared" si="56"/>
        <v>10</v>
      </c>
      <c r="N79" s="240">
        <f t="shared" si="56"/>
        <v>912.20930232557703</v>
      </c>
      <c r="O79" s="268">
        <f t="shared" si="56"/>
        <v>91.220930232557706</v>
      </c>
      <c r="P79" s="269">
        <f>M79-J79</f>
        <v>0</v>
      </c>
      <c r="Q79" s="222">
        <f>N79-K79</f>
        <v>-212.79069767442297</v>
      </c>
      <c r="R79" s="223">
        <f>O79/L79</f>
        <v>0.81085271317829066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-212.79069767442297</v>
      </c>
      <c r="AG79" s="124">
        <f>N79/K79</f>
        <v>0.81085271317829066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R3:R4"/>
    <mergeCell ref="A2:B2"/>
    <mergeCell ref="A3:A4"/>
    <mergeCell ref="B3:B4"/>
    <mergeCell ref="D3:E4"/>
    <mergeCell ref="F3:F4"/>
    <mergeCell ref="P1:S2"/>
    <mergeCell ref="A5:A15"/>
    <mergeCell ref="S5:S15"/>
    <mergeCell ref="AB5:AC5"/>
    <mergeCell ref="AH5:AH15"/>
    <mergeCell ref="AB6:AC6"/>
    <mergeCell ref="AB7:AC7"/>
    <mergeCell ref="H3:H4"/>
    <mergeCell ref="I3:I4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G3:G4"/>
    <mergeCell ref="A16:A26"/>
    <mergeCell ref="S16:S26"/>
    <mergeCell ref="AB16:AC16"/>
    <mergeCell ref="D26:E26"/>
    <mergeCell ref="AB26:AC26"/>
    <mergeCell ref="W3:W4"/>
    <mergeCell ref="X3:Y3"/>
    <mergeCell ref="Z3:AA3"/>
    <mergeCell ref="AB3:AC4"/>
    <mergeCell ref="N3:N4"/>
    <mergeCell ref="O3:O4"/>
    <mergeCell ref="P3:P4"/>
    <mergeCell ref="Q3:Q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125" priority="1" operator="greaterThan">
      <formula>0</formula>
    </cfRule>
  </conditionalFormatting>
  <conditionalFormatting sqref="Q5:Q79 AF5:AF79">
    <cfRule type="cellIs" dxfId="124" priority="4" operator="lessThan">
      <formula>0</formula>
    </cfRule>
  </conditionalFormatting>
  <conditionalFormatting sqref="R5:R79 AG5:AG79">
    <cfRule type="cellIs" dxfId="123" priority="2" operator="greaterThan">
      <formula>1</formula>
    </cfRule>
    <cfRule type="cellIs" dxfId="122" priority="3" operator="lessThan">
      <formula>0.8</formula>
    </cfRule>
  </conditionalFormatting>
  <conditionalFormatting sqref="S5:S10 S37:S62 AH59:AH62 S69:S76 AH69:AH76">
    <cfRule type="cellIs" dxfId="121" priority="7" operator="lessThan">
      <formula>0.8</formula>
    </cfRule>
  </conditionalFormatting>
  <conditionalFormatting sqref="S19:S25 AH19:AH25">
    <cfRule type="cellIs" dxfId="120" priority="6" operator="lessThan">
      <formula>0.8</formula>
    </cfRule>
  </conditionalFormatting>
  <conditionalFormatting sqref="S79">
    <cfRule type="cellIs" dxfId="119" priority="5" operator="lessThan">
      <formula>0.8</formula>
    </cfRule>
  </conditionalFormatting>
  <conditionalFormatting sqref="AH5:AH8 S15:S16 AH15:AH16 AH49 AH79">
    <cfRule type="cellIs" dxfId="118" priority="9" operator="lessThan">
      <formula>0.8</formula>
    </cfRule>
  </conditionalFormatting>
  <conditionalFormatting sqref="AH27 S27:S28">
    <cfRule type="cellIs" dxfId="117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AF2C6F3-AC7A-4067-B695-6BB6C8741029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B0BF-D733-4668-9A0C-3029FBC5C3A1}">
  <dimension ref="B1:O26"/>
  <sheetViews>
    <sheetView zoomScale="70" zoomScaleNormal="70" workbookViewId="0">
      <selection activeCell="U53" sqref="U5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46073</v>
      </c>
      <c r="E3" s="493"/>
      <c r="F3" s="3" t="s">
        <v>72</v>
      </c>
      <c r="G3" s="494">
        <f>'0220'!E1</f>
        <v>47891</v>
      </c>
      <c r="H3" s="494"/>
      <c r="I3" s="3" t="s">
        <v>2</v>
      </c>
      <c r="J3" s="495">
        <f>'0220'!G1</f>
        <v>2296241.9599999995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120.92080958257428</v>
      </c>
      <c r="G6" s="490"/>
      <c r="H6" s="491">
        <f>AVERAGE(D13:H13,J13)</f>
        <v>119.89550291756173</v>
      </c>
      <c r="I6" s="491"/>
      <c r="J6" s="491">
        <f>AVERAGE(I13)</f>
        <v>127.07264957264958</v>
      </c>
      <c r="K6" s="491"/>
      <c r="L6" s="497">
        <f>SUM(D18:J18)</f>
        <v>1</v>
      </c>
      <c r="M6" s="482">
        <f>SUM(D19:J19)</f>
        <v>12</v>
      </c>
      <c r="N6" s="498">
        <f>SUM(D20:J20)</f>
        <v>2</v>
      </c>
      <c r="O6" s="482">
        <f>SUM(D20:J20)</f>
        <v>2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113.68557043401879</v>
      </c>
      <c r="G7" s="479"/>
      <c r="H7" s="480">
        <f>AVERAGE(D14:H14,J14)</f>
        <v>113.84818846319622</v>
      </c>
      <c r="I7" s="480"/>
      <c r="J7" s="480">
        <f>AVERAGE(I14)</f>
        <v>112.70986225895415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0.94016547545842633</v>
      </c>
      <c r="G8" s="485"/>
      <c r="H8" s="485">
        <f>H7/H6</f>
        <v>0.94956179083277592</v>
      </c>
      <c r="I8" s="485"/>
      <c r="J8" s="485">
        <f>J7/J6</f>
        <v>0.88697184357138958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VALUE('0220'!L15)</f>
        <v>150.77724358974356</v>
      </c>
      <c r="E13" s="13">
        <f>VALUE('0220'!L26)</f>
        <v>176.42992424242425</v>
      </c>
      <c r="F13" s="13">
        <f>VALUE('0220'!L37)</f>
        <v>93.191176470588232</v>
      </c>
      <c r="G13" s="13">
        <f>VALUE('0220'!L48)</f>
        <v>95.026960784313715</v>
      </c>
      <c r="H13" s="13">
        <f>VALUE('0220'!L58)</f>
        <v>91.447712418300654</v>
      </c>
      <c r="I13" s="13">
        <f>VALUE('0220'!L69)</f>
        <v>127.07264957264958</v>
      </c>
      <c r="J13" s="13">
        <f>'0220'!L79</f>
        <v>112.5</v>
      </c>
    </row>
    <row r="14" spans="2:15" ht="39.950000000000003" customHeight="1">
      <c r="B14" s="473"/>
      <c r="C14" s="12" t="s">
        <v>100</v>
      </c>
      <c r="D14" s="13">
        <f>VALUE('0220'!O15)</f>
        <v>144.69756078100733</v>
      </c>
      <c r="E14" s="13">
        <f>VALUE('0220'!O26)</f>
        <v>172.5066318661311</v>
      </c>
      <c r="F14" s="13">
        <f>VALUE('0220'!O37)</f>
        <v>90.242624717923007</v>
      </c>
      <c r="G14" s="13">
        <f>VALUE('0220'!O48)</f>
        <v>94.157043759453344</v>
      </c>
      <c r="H14" s="13">
        <f>VALUE('0220'!O58)</f>
        <v>89.541607682832392</v>
      </c>
      <c r="I14" s="13">
        <f>VALUE('0220'!O69)</f>
        <v>112.70986225895415</v>
      </c>
      <c r="J14" s="13">
        <f>'0220'!O79</f>
        <v>91.943661971830281</v>
      </c>
    </row>
    <row r="15" spans="2:15" ht="39.950000000000003" customHeight="1">
      <c r="B15" s="474"/>
      <c r="C15" s="10" t="s">
        <v>26</v>
      </c>
      <c r="D15" s="14">
        <f>D14/D13</f>
        <v>0.95967771618588071</v>
      </c>
      <c r="E15" s="14">
        <f t="shared" ref="E15:I15" si="1">E14/E13</f>
        <v>0.9777628857851669</v>
      </c>
      <c r="F15" s="14">
        <f t="shared" si="1"/>
        <v>0.96836018318112116</v>
      </c>
      <c r="G15" s="14">
        <f t="shared" si="1"/>
        <v>0.99084557669023154</v>
      </c>
      <c r="H15" s="14">
        <f t="shared" si="1"/>
        <v>0.97915634317073619</v>
      </c>
      <c r="I15" s="14">
        <f t="shared" si="1"/>
        <v>0.88697184357138958</v>
      </c>
      <c r="J15" s="15">
        <f>'0220'!S70</f>
        <v>0.81727699530515807</v>
      </c>
    </row>
    <row r="16" spans="2:15" ht="17.25" customHeight="1">
      <c r="B16" s="475" t="s">
        <v>101</v>
      </c>
      <c r="C16" s="10" t="s">
        <v>34</v>
      </c>
      <c r="D16" s="16">
        <f>'0220'!T5</f>
        <v>0.29097222222222202</v>
      </c>
      <c r="E16" s="16">
        <f>'0220'!T16</f>
        <v>0.29027777777777802</v>
      </c>
      <c r="F16" s="16">
        <f>'0220'!T27</f>
        <v>0.28819444444444398</v>
      </c>
      <c r="G16" s="16">
        <f>'0220'!T38</f>
        <v>0.33333333333333298</v>
      </c>
      <c r="H16" s="16">
        <f>'0220'!T49</f>
        <v>0.28819444444444398</v>
      </c>
      <c r="I16" s="16">
        <f>'0220'!T59</f>
        <v>0.29166666666666702</v>
      </c>
      <c r="J16" s="16">
        <f>'0220'!T70</f>
        <v>0.58958333333333302</v>
      </c>
    </row>
    <row r="17" spans="2:10" ht="17.25" customHeight="1">
      <c r="B17" s="476"/>
      <c r="C17" s="10" t="s">
        <v>35</v>
      </c>
      <c r="D17" s="16">
        <v>0.56874999999999998</v>
      </c>
      <c r="E17" s="19">
        <v>0.59930555555555598</v>
      </c>
      <c r="F17" s="19">
        <v>0.62013888888888902</v>
      </c>
      <c r="G17" s="20">
        <v>0.52986111111111101</v>
      </c>
      <c r="H17" s="21">
        <v>0.62083333333333302</v>
      </c>
      <c r="I17" s="22">
        <v>0.48611111111111099</v>
      </c>
      <c r="J17" s="272">
        <v>0.63888888888888895</v>
      </c>
    </row>
    <row r="18" spans="2:10" ht="17.25" customHeight="1">
      <c r="B18" s="477" t="s">
        <v>102</v>
      </c>
      <c r="C18" s="330" t="s">
        <v>36</v>
      </c>
      <c r="D18" s="358">
        <f>'0220'!Z15</f>
        <v>0</v>
      </c>
      <c r="E18" s="359">
        <f>'0220'!Z26</f>
        <v>1</v>
      </c>
      <c r="F18" s="359">
        <f>'0220'!Z37</f>
        <v>0</v>
      </c>
      <c r="G18" s="360">
        <f>'0220'!Z48</f>
        <v>0</v>
      </c>
      <c r="H18" s="360">
        <f>'0220'!Z58</f>
        <v>0</v>
      </c>
      <c r="I18" s="359">
        <f>'0220'!Z69</f>
        <v>0</v>
      </c>
      <c r="J18" s="359">
        <f>'0220'!AA79</f>
        <v>0</v>
      </c>
    </row>
    <row r="19" spans="2:10" ht="17.25" customHeight="1">
      <c r="B19" s="478"/>
      <c r="C19" s="330" t="s">
        <v>37</v>
      </c>
      <c r="D19" s="358">
        <f>'0220'!AA15</f>
        <v>0</v>
      </c>
      <c r="E19" s="359">
        <f>'0220'!AA26</f>
        <v>12</v>
      </c>
      <c r="F19" s="359">
        <f>'0220'!AA37</f>
        <v>0</v>
      </c>
      <c r="G19" s="360">
        <f>'0220'!AA48</f>
        <v>0</v>
      </c>
      <c r="H19" s="360">
        <f>'0220'!AA58</f>
        <v>0</v>
      </c>
      <c r="I19" s="359">
        <f>'0220'!AA69</f>
        <v>0</v>
      </c>
      <c r="J19" s="359">
        <f>'0220'!AB79</f>
        <v>0</v>
      </c>
    </row>
    <row r="20" spans="2:10" ht="17.25" customHeight="1">
      <c r="B20" s="477" t="s">
        <v>103</v>
      </c>
      <c r="C20" s="330" t="s">
        <v>36</v>
      </c>
      <c r="D20" s="358">
        <f>'0220'!AD15</f>
        <v>1</v>
      </c>
      <c r="E20" s="359">
        <f>'0220'!AD26</f>
        <v>1</v>
      </c>
      <c r="F20" s="359">
        <f>'0220'!AD37</f>
        <v>0</v>
      </c>
      <c r="G20" s="360">
        <f>'0220'!AD48</f>
        <v>0</v>
      </c>
      <c r="H20" s="360">
        <f>'0220'!AD58</f>
        <v>0</v>
      </c>
      <c r="I20" s="359">
        <f>'0220'!AD69</f>
        <v>0</v>
      </c>
      <c r="J20" s="359">
        <f>'0220'!AD79</f>
        <v>0</v>
      </c>
    </row>
    <row r="21" spans="2:10" ht="17.25" customHeight="1">
      <c r="B21" s="478"/>
      <c r="C21" s="330" t="s">
        <v>85</v>
      </c>
      <c r="D21" s="358">
        <f>'0220'!AE15</f>
        <v>1</v>
      </c>
      <c r="E21" s="359">
        <f>'0220'!AE26</f>
        <v>1</v>
      </c>
      <c r="F21" s="359">
        <f>'0220'!AE37</f>
        <v>0</v>
      </c>
      <c r="G21" s="360">
        <f>'0220'!AE48</f>
        <v>0</v>
      </c>
      <c r="H21" s="360">
        <f>'0220'!AE58</f>
        <v>0</v>
      </c>
      <c r="I21" s="359">
        <f>'0220'!AE69</f>
        <v>0</v>
      </c>
      <c r="J21" s="359">
        <f>'0220'!AE79</f>
        <v>0</v>
      </c>
    </row>
    <row r="22" spans="2:10" ht="17.25" customHeight="1">
      <c r="B22" s="460" t="s">
        <v>104</v>
      </c>
      <c r="C22" s="461"/>
      <c r="D22" s="23">
        <f>VALUE('0220'!M15)</f>
        <v>13</v>
      </c>
      <c r="E22" s="23">
        <f>VALUE('0220'!M26)</f>
        <v>11.5</v>
      </c>
      <c r="F22" s="23">
        <f>VALUE('0220'!M37)</f>
        <v>14.25</v>
      </c>
      <c r="G22" s="23">
        <f>VALUE('0220'!M48)</f>
        <v>11</v>
      </c>
      <c r="H22" s="23">
        <f>VALUE('0220'!M58)</f>
        <v>16</v>
      </c>
      <c r="I22" s="23">
        <f>VALUE('0220'!M69)</f>
        <v>11.333333333333334</v>
      </c>
      <c r="J22" s="23">
        <f>'0220'!M79</f>
        <v>10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16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3D2BD-9663-49BA-B3D6-B66E0E59D483}">
  <sheetPr>
    <tabColor theme="9" tint="0.79998168889431442"/>
  </sheetPr>
  <dimension ref="A1:AJ92"/>
  <sheetViews>
    <sheetView zoomScale="69" zoomScaleNormal="69" workbookViewId="0">
      <pane xSplit="5" ySplit="4" topLeftCell="T44" activePane="bottomRight" state="frozen"/>
      <selection activeCell="U53" sqref="U53"/>
      <selection pane="topRight" activeCell="U53" sqref="U53"/>
      <selection pane="bottomLeft" activeCell="U53" sqref="U53"/>
      <selection pane="bottomRight" activeCell="X61" sqref="X61:Y6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47891</v>
      </c>
      <c r="F1" s="30" t="s">
        <v>2</v>
      </c>
      <c r="G1" s="31">
        <f>SUM(H5:H79)</f>
        <v>2296241.9599999995</v>
      </c>
      <c r="H1" s="32" t="s">
        <v>3</v>
      </c>
      <c r="I1" s="33">
        <f>M15+M26+M48+M58+M69+M79+M37</f>
        <v>87.083333333333343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196</v>
      </c>
      <c r="B2" s="374"/>
      <c r="C2" s="28"/>
      <c r="D2" s="28" t="s">
        <v>14</v>
      </c>
      <c r="E2" s="35">
        <f>AVERAGE(O15,O26,O37,O48,O58,O69,O79)</f>
        <v>113.68557043401879</v>
      </c>
      <c r="F2" s="36" t="s">
        <v>15</v>
      </c>
      <c r="G2" s="37">
        <f>G1/E1</f>
        <v>47.947254390177683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1</v>
      </c>
      <c r="AA2" s="339">
        <f>AA15+AA26+AA37+AA48+AA58+AA69+AA79</f>
        <v>12</v>
      </c>
      <c r="AB2" s="370"/>
      <c r="AC2" s="370"/>
      <c r="AD2" s="340">
        <f>AD15+AD26+AD37+AD48+AD58+AD69+AD79</f>
        <v>2</v>
      </c>
      <c r="AE2" s="340">
        <f>AE15+AE26+AE37+AE48+AE58+AE69+AE79</f>
        <v>2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1792</v>
      </c>
      <c r="H5" s="43">
        <f>F5*G5</f>
        <v>102520.32000000001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8" si="0">K5/J5</f>
        <v>175.41666666666666</v>
      </c>
      <c r="M5" s="48">
        <v>12</v>
      </c>
      <c r="N5" s="46">
        <f t="shared" ref="N5:N8" si="1">G5/W5*60</f>
        <v>1991.1111111111122</v>
      </c>
      <c r="O5" s="47">
        <f t="shared" ref="O5:O8" si="2">N5/M5</f>
        <v>165.92592592592601</v>
      </c>
      <c r="P5" s="49">
        <f t="shared" ref="P5:P8" si="3">M5-J5</f>
        <v>0</v>
      </c>
      <c r="Q5" s="50">
        <f t="shared" ref="Q5:Q8" si="4">O5-L5</f>
        <v>-9.4907407407406481</v>
      </c>
      <c r="R5" s="51">
        <f t="shared" ref="R5:R8" si="5">O5/L5</f>
        <v>0.9458960147796257</v>
      </c>
      <c r="S5" s="424">
        <f>R15</f>
        <v>0.95967771618588071</v>
      </c>
      <c r="T5" s="319">
        <v>0.29097222222222202</v>
      </c>
      <c r="U5" s="320">
        <v>0.328472222222222</v>
      </c>
      <c r="V5" s="53"/>
      <c r="W5" s="54">
        <f t="shared" ref="W5:W14" si="6">(U5-T5)*24*60</f>
        <v>53.999999999999972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11" si="7">N5-K5</f>
        <v>-113.88888888888778</v>
      </c>
      <c r="AG5" s="52">
        <f t="shared" ref="AG5:AG11" si="8">N5/K5</f>
        <v>0.9458960147796257</v>
      </c>
      <c r="AH5" s="403">
        <f>AG15</f>
        <v>0.94447847396929463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1408</v>
      </c>
      <c r="H6" s="63">
        <f>F6*G6</f>
        <v>79242.240000000005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14</v>
      </c>
      <c r="N6" s="66">
        <f t="shared" si="1"/>
        <v>1508.5714285714641</v>
      </c>
      <c r="O6" s="67">
        <f t="shared" si="2"/>
        <v>107.75510204081887</v>
      </c>
      <c r="P6" s="69">
        <f t="shared" si="3"/>
        <v>-1</v>
      </c>
      <c r="Q6" s="70">
        <f t="shared" si="4"/>
        <v>-12.244897959181131</v>
      </c>
      <c r="R6" s="71">
        <f t="shared" si="5"/>
        <v>0.89795918367349059</v>
      </c>
      <c r="S6" s="425"/>
      <c r="T6" s="16">
        <v>0.33680555555555602</v>
      </c>
      <c r="U6" s="16">
        <v>0.375694444444444</v>
      </c>
      <c r="V6" s="30">
        <f>(T6-U5)*24*60</f>
        <v>12.000000000000997</v>
      </c>
      <c r="W6" s="73">
        <f t="shared" si="6"/>
        <v>55.999999999998678</v>
      </c>
      <c r="X6" s="22"/>
      <c r="Y6" s="84"/>
      <c r="Z6" s="90"/>
      <c r="AA6" s="90"/>
      <c r="AB6" s="407" t="s">
        <v>161</v>
      </c>
      <c r="AC6" s="407"/>
      <c r="AD6" s="149">
        <v>1</v>
      </c>
      <c r="AE6" s="149">
        <v>1</v>
      </c>
      <c r="AF6" s="307">
        <f t="shared" si="7"/>
        <v>-291.42857142853586</v>
      </c>
      <c r="AG6" s="72">
        <f t="shared" si="8"/>
        <v>0.83809523809525788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4539</v>
      </c>
      <c r="H7" s="78">
        <f>F7*G7</f>
        <v>223046.46</v>
      </c>
      <c r="I7" s="73"/>
      <c r="J7" s="79">
        <f>VLOOKUP(D7,產線配置圖!$A$3:$C$39,2,0)</f>
        <v>13</v>
      </c>
      <c r="K7" s="80">
        <f>VLOOKUP(D7,產線配置圖!$A$3:$C$39,3,0)</f>
        <v>2000</v>
      </c>
      <c r="L7" s="81">
        <f t="shared" si="0"/>
        <v>153.84615384615384</v>
      </c>
      <c r="M7" s="82">
        <v>13</v>
      </c>
      <c r="N7" s="80">
        <f t="shared" si="1"/>
        <v>1987.8832116788301</v>
      </c>
      <c r="O7" s="81">
        <f t="shared" si="2"/>
        <v>152.91409320606385</v>
      </c>
      <c r="P7" s="74">
        <f t="shared" si="3"/>
        <v>0</v>
      </c>
      <c r="Q7" s="83">
        <f t="shared" si="4"/>
        <v>-0.93206064008998624</v>
      </c>
      <c r="R7" s="72">
        <f t="shared" si="5"/>
        <v>0.99394160583941504</v>
      </c>
      <c r="S7" s="425"/>
      <c r="T7" s="18">
        <v>0.38333333333333303</v>
      </c>
      <c r="U7" s="18">
        <v>0.47847222222222202</v>
      </c>
      <c r="V7" s="30">
        <f>(T7-U6)*24*60</f>
        <v>11.000000000000201</v>
      </c>
      <c r="W7" s="73">
        <f t="shared" si="6"/>
        <v>137.00000000000014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-12.116788321169906</v>
      </c>
      <c r="AG7" s="72">
        <f t="shared" si="8"/>
        <v>0.99394160583941504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1352</v>
      </c>
      <c r="H8" s="78">
        <f>F8*G8</f>
        <v>66437.279999999999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1978.5365853658682</v>
      </c>
      <c r="O8" s="81">
        <f t="shared" si="2"/>
        <v>152.19512195122064</v>
      </c>
      <c r="P8" s="74">
        <f t="shared" si="3"/>
        <v>0</v>
      </c>
      <c r="Q8" s="83">
        <f t="shared" si="4"/>
        <v>-1.6510318949331975</v>
      </c>
      <c r="R8" s="72">
        <f t="shared" si="5"/>
        <v>0.98926829268293426</v>
      </c>
      <c r="S8" s="425"/>
      <c r="T8" s="16">
        <v>0.54027777777777797</v>
      </c>
      <c r="U8" s="16">
        <v>0.56874999999999998</v>
      </c>
      <c r="V8" s="30">
        <f>(T8-U7)*24*60</f>
        <v>89.000000000000568</v>
      </c>
      <c r="W8" s="73">
        <f t="shared" si="6"/>
        <v>40.999999999999694</v>
      </c>
      <c r="X8" s="22">
        <v>0.48611111111111099</v>
      </c>
      <c r="Y8" s="84">
        <v>0.52777777777777801</v>
      </c>
      <c r="Z8" s="90"/>
      <c r="AA8" s="90"/>
      <c r="AB8" s="407"/>
      <c r="AC8" s="407"/>
      <c r="AD8" s="149"/>
      <c r="AE8" s="149"/>
      <c r="AF8" s="307">
        <f t="shared" si="7"/>
        <v>-21.463414634131823</v>
      </c>
      <c r="AG8" s="72">
        <f t="shared" si="8"/>
        <v>0.98926829268293404</v>
      </c>
      <c r="AH8" s="404"/>
    </row>
    <row r="9" spans="1:34" ht="15" customHeight="1">
      <c r="A9" s="42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6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0</v>
      </c>
      <c r="AG9" s="72" t="e">
        <f t="shared" si="8"/>
        <v>#DIV/0!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9">AVERAGE(J5:J14)</f>
        <v>13.25</v>
      </c>
      <c r="K15" s="120">
        <f t="shared" si="9"/>
        <v>1976.25</v>
      </c>
      <c r="L15" s="117">
        <f t="shared" si="9"/>
        <v>150.77724358974356</v>
      </c>
      <c r="M15" s="120">
        <f t="shared" si="9"/>
        <v>13</v>
      </c>
      <c r="N15" s="120">
        <f t="shared" si="9"/>
        <v>1866.5255841818184</v>
      </c>
      <c r="O15" s="117">
        <f t="shared" si="9"/>
        <v>144.69756078100733</v>
      </c>
      <c r="P15" s="121">
        <f t="shared" ref="P15:P19" si="10">M15-J15</f>
        <v>-0.25</v>
      </c>
      <c r="Q15" s="122">
        <f t="shared" ref="Q15:Q19" si="11">O15-L15</f>
        <v>-6.0796828087362371</v>
      </c>
      <c r="R15" s="123">
        <f t="shared" ref="R15:R19" si="12">O15/L15</f>
        <v>0.95967771618588071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1</v>
      </c>
      <c r="AE15" s="323">
        <f>SUM(AE5:AE14)</f>
        <v>1</v>
      </c>
      <c r="AF15" s="309">
        <f t="shared" ref="AF15:AF19" si="13">N15-K15</f>
        <v>-109.72441581818157</v>
      </c>
      <c r="AG15" s="124">
        <f t="shared" ref="AG15:AG19" si="14">N15/K15</f>
        <v>0.94447847396929463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1901</v>
      </c>
      <c r="H16" s="134">
        <f>F16*G16</f>
        <v>108756.21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19" si="15">K16/J16</f>
        <v>175.41666666666666</v>
      </c>
      <c r="M16" s="139">
        <v>12</v>
      </c>
      <c r="N16" s="140">
        <f t="shared" ref="N16:N19" si="16">G16/W16*60</f>
        <v>1966.5517241379221</v>
      </c>
      <c r="O16" s="141">
        <f>N16/M16</f>
        <v>163.87931034482685</v>
      </c>
      <c r="P16" s="142">
        <f>M16-J16</f>
        <v>0</v>
      </c>
      <c r="Q16" s="143">
        <f t="shared" si="11"/>
        <v>-11.537356321839809</v>
      </c>
      <c r="R16" s="144">
        <f>O16/L16</f>
        <v>0.93422884757145952</v>
      </c>
      <c r="S16" s="417">
        <f>R26</f>
        <v>0.9777628857851669</v>
      </c>
      <c r="T16" s="145">
        <v>0.29027777777777802</v>
      </c>
      <c r="U16" s="145">
        <v>0.33055555555555599</v>
      </c>
      <c r="V16" s="135"/>
      <c r="W16" s="146">
        <f t="shared" ref="W16:W78" si="17">(U16-T16)*24*60</f>
        <v>58.00000000000027</v>
      </c>
      <c r="X16" s="141"/>
      <c r="Y16" s="296"/>
      <c r="Z16" s="169">
        <v>1</v>
      </c>
      <c r="AA16" s="169">
        <v>12</v>
      </c>
      <c r="AB16" s="402" t="s">
        <v>140</v>
      </c>
      <c r="AC16" s="402"/>
      <c r="AD16" s="135"/>
      <c r="AE16" s="135"/>
      <c r="AF16" s="229">
        <f t="shared" si="13"/>
        <v>-138.44827586207794</v>
      </c>
      <c r="AG16" s="52">
        <f t="shared" si="14"/>
        <v>0.93422884757145941</v>
      </c>
      <c r="AH16" s="403">
        <f>AG26</f>
        <v>0.97719033117751097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3817</v>
      </c>
      <c r="H17" s="78">
        <f>F17*G17</f>
        <v>193407.39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5"/>
        <v>166.66666666666666</v>
      </c>
      <c r="M17" s="148">
        <v>12</v>
      </c>
      <c r="N17" s="95">
        <f>G17/W17*60</f>
        <v>1991.478260869568</v>
      </c>
      <c r="O17" s="96">
        <f t="shared" ref="O17:O19" si="18">N17/M17</f>
        <v>165.95652173913066</v>
      </c>
      <c r="P17" s="97">
        <f t="shared" si="10"/>
        <v>0</v>
      </c>
      <c r="Q17" s="98">
        <f t="shared" si="11"/>
        <v>-0.71014492753599257</v>
      </c>
      <c r="R17" s="99">
        <f t="shared" si="12"/>
        <v>0.99573913043478401</v>
      </c>
      <c r="S17" s="418"/>
      <c r="T17" s="19">
        <v>0.33680555555555602</v>
      </c>
      <c r="U17" s="19">
        <v>0.41666666666666702</v>
      </c>
      <c r="V17" s="30">
        <f>(T17-U16)*24*60</f>
        <v>9.000000000000048</v>
      </c>
      <c r="W17" s="149">
        <f t="shared" si="17"/>
        <v>114.99999999999983</v>
      </c>
      <c r="X17" s="19"/>
      <c r="Y17" s="297"/>
      <c r="Z17" s="90"/>
      <c r="AA17" s="90"/>
      <c r="AB17" s="407" t="s">
        <v>161</v>
      </c>
      <c r="AC17" s="407"/>
      <c r="AD17" s="92">
        <v>1</v>
      </c>
      <c r="AE17" s="92">
        <v>1</v>
      </c>
      <c r="AF17" s="307">
        <f t="shared" si="13"/>
        <v>-8.5217391304320245</v>
      </c>
      <c r="AG17" s="72">
        <f t="shared" si="14"/>
        <v>0.99573913043478401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2606</v>
      </c>
      <c r="H18" s="78">
        <f>F18*G18</f>
        <v>131316.34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5"/>
        <v>181.81818181818181</v>
      </c>
      <c r="M18" s="148">
        <v>11</v>
      </c>
      <c r="N18" s="95">
        <f t="shared" si="16"/>
        <v>1979.2405063291167</v>
      </c>
      <c r="O18" s="96">
        <f t="shared" si="18"/>
        <v>179.9309551208288</v>
      </c>
      <c r="P18" s="97">
        <f t="shared" si="10"/>
        <v>0</v>
      </c>
      <c r="Q18" s="98">
        <f t="shared" si="11"/>
        <v>-1.8872266973530145</v>
      </c>
      <c r="R18" s="99">
        <f t="shared" si="12"/>
        <v>0.98962025316455837</v>
      </c>
      <c r="S18" s="418"/>
      <c r="T18" s="19">
        <v>0.42361111111111099</v>
      </c>
      <c r="U18" s="19">
        <v>0.47847222222222202</v>
      </c>
      <c r="V18" s="30">
        <f>(T18-U17)*24*60</f>
        <v>9.999999999999325</v>
      </c>
      <c r="W18" s="149">
        <f t="shared" si="17"/>
        <v>78.999999999999886</v>
      </c>
      <c r="X18" s="22"/>
      <c r="Y18" s="84"/>
      <c r="Z18" s="90"/>
      <c r="AA18" s="90"/>
      <c r="AB18" s="395"/>
      <c r="AC18" s="395"/>
      <c r="AD18" s="92"/>
      <c r="AE18" s="92"/>
      <c r="AF18" s="307">
        <f t="shared" si="13"/>
        <v>-20.75949367088333</v>
      </c>
      <c r="AG18" s="72">
        <f t="shared" si="14"/>
        <v>0.98962025316455837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2776</v>
      </c>
      <c r="H19" s="78">
        <f>F19*G19</f>
        <v>139882.64000000001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5"/>
        <v>181.81818181818181</v>
      </c>
      <c r="M19" s="148">
        <v>11</v>
      </c>
      <c r="N19" s="95">
        <f t="shared" si="16"/>
        <v>1982.8571428571197</v>
      </c>
      <c r="O19" s="96">
        <f t="shared" si="18"/>
        <v>180.25974025973815</v>
      </c>
      <c r="P19" s="97">
        <f t="shared" si="10"/>
        <v>0</v>
      </c>
      <c r="Q19" s="98">
        <f t="shared" si="11"/>
        <v>-1.5584415584436613</v>
      </c>
      <c r="R19" s="99">
        <f t="shared" si="12"/>
        <v>0.99142857142855989</v>
      </c>
      <c r="S19" s="418"/>
      <c r="T19" s="19">
        <v>0.54097222222222197</v>
      </c>
      <c r="U19" s="19">
        <v>0.59930555555555598</v>
      </c>
      <c r="V19" s="30">
        <f>(T19-U18)*24*60</f>
        <v>89.999999999999915</v>
      </c>
      <c r="W19" s="149">
        <f t="shared" si="17"/>
        <v>84.000000000000981</v>
      </c>
      <c r="X19" s="22">
        <v>0.48611111111111099</v>
      </c>
      <c r="Y19" s="84">
        <v>0.52777777777777801</v>
      </c>
      <c r="Z19" s="90"/>
      <c r="AA19" s="90"/>
      <c r="AB19" s="407"/>
      <c r="AC19" s="407"/>
      <c r="AD19" s="149"/>
      <c r="AE19" s="149"/>
      <c r="AF19" s="307">
        <f t="shared" si="13"/>
        <v>-17.142857142880302</v>
      </c>
      <c r="AG19" s="72">
        <f t="shared" si="14"/>
        <v>0.99142857142855989</v>
      </c>
      <c r="AH19" s="405"/>
    </row>
    <row r="20" spans="1:34" ht="15" customHeight="1">
      <c r="A20" s="414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8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7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0">AVERAGE(J16:J25)</f>
        <v>11.5</v>
      </c>
      <c r="K26" s="155">
        <f t="shared" si="20"/>
        <v>2026.25</v>
      </c>
      <c r="L26" s="158">
        <f t="shared" si="20"/>
        <v>176.42992424242425</v>
      </c>
      <c r="M26" s="155">
        <f t="shared" si="20"/>
        <v>11.5</v>
      </c>
      <c r="N26" s="155">
        <f t="shared" si="20"/>
        <v>1980.0319085484316</v>
      </c>
      <c r="O26" s="158">
        <f t="shared" si="20"/>
        <v>172.5066318661311</v>
      </c>
      <c r="P26" s="159">
        <f t="shared" ref="P26:P30" si="21">M26-J26</f>
        <v>0</v>
      </c>
      <c r="Q26" s="160">
        <f t="shared" ref="Q26:Q30" si="22">O26-L26</f>
        <v>-3.9232923762931478</v>
      </c>
      <c r="R26" s="161">
        <f>O26/L26</f>
        <v>0.9777628857851669</v>
      </c>
      <c r="S26" s="419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12</v>
      </c>
      <c r="AB26" s="412"/>
      <c r="AC26" s="412"/>
      <c r="AD26" s="323">
        <f>SUM(AD16:AD25)</f>
        <v>1</v>
      </c>
      <c r="AE26" s="323">
        <f>SUM(AE16:AE25)</f>
        <v>1</v>
      </c>
      <c r="AF26" s="309">
        <f t="shared" ref="AF26:AF31" si="23">N26-K26</f>
        <v>-46.218091451568398</v>
      </c>
      <c r="AG26" s="124">
        <f t="shared" ref="AG26:AG31" si="24">N26/K26</f>
        <v>0.97719033117751097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1272</v>
      </c>
      <c r="H27" s="134">
        <f>F27*G27</f>
        <v>72885.599999999991</v>
      </c>
      <c r="I27" s="135"/>
      <c r="J27" s="136">
        <v>15</v>
      </c>
      <c r="K27" s="137">
        <f>VLOOKUP(D27,產線配置圖!$A$3:$C$39,3,0)</f>
        <v>1500</v>
      </c>
      <c r="L27" s="138">
        <f t="shared" ref="L27:L30" si="25">K27/J27</f>
        <v>100</v>
      </c>
      <c r="M27" s="170">
        <v>14</v>
      </c>
      <c r="N27" s="140">
        <f>G27/W27*60</f>
        <v>1387.6363636363424</v>
      </c>
      <c r="O27" s="141">
        <f>N27/M27</f>
        <v>99.116883116881596</v>
      </c>
      <c r="P27" s="142">
        <f t="shared" si="21"/>
        <v>-1</v>
      </c>
      <c r="Q27" s="143">
        <f t="shared" si="22"/>
        <v>-0.88311688311840442</v>
      </c>
      <c r="R27" s="144">
        <f>O27/L27</f>
        <v>0.99116883116881593</v>
      </c>
      <c r="S27" s="417">
        <f>R37</f>
        <v>0.96836018318112116</v>
      </c>
      <c r="T27" s="171">
        <v>0.28819444444444398</v>
      </c>
      <c r="U27" s="171">
        <v>0.32638888888888901</v>
      </c>
      <c r="V27" s="135"/>
      <c r="W27" s="146">
        <f t="shared" si="17"/>
        <v>55.000000000000846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3"/>
        <v>-112.36363636365763</v>
      </c>
      <c r="AG27" s="172">
        <f t="shared" si="24"/>
        <v>0.92509090909089486</v>
      </c>
      <c r="AH27" s="403">
        <f>AG37</f>
        <v>0.86424823860890321</v>
      </c>
    </row>
    <row r="28" spans="1:34" ht="15" customHeight="1">
      <c r="A28" s="430"/>
      <c r="B28" s="75" t="s">
        <v>123</v>
      </c>
      <c r="C28" s="173"/>
      <c r="D28" s="59" t="s">
        <v>127</v>
      </c>
      <c r="E28" s="104"/>
      <c r="F28" s="75">
        <f>VLOOKUP(D28,廠價表!$C$1:$E$41,3,0)</f>
        <v>49.91</v>
      </c>
      <c r="G28" s="90">
        <v>1341</v>
      </c>
      <c r="H28" s="91">
        <f>F28*G28</f>
        <v>66929.31</v>
      </c>
      <c r="I28" s="92"/>
      <c r="J28" s="79">
        <f>VLOOKUP(D28,產線配置圖!$A$3:$C$39,2,0)</f>
        <v>17</v>
      </c>
      <c r="K28" s="80">
        <f>VLOOKUP(D28,產線配置圖!$A$3:$C$39,3,0)</f>
        <v>1565</v>
      </c>
      <c r="L28" s="93">
        <f t="shared" si="25"/>
        <v>92.058823529411768</v>
      </c>
      <c r="M28" s="94">
        <v>14</v>
      </c>
      <c r="N28" s="95">
        <f>G28/W28*60</f>
        <v>1257.1874999999841</v>
      </c>
      <c r="O28" s="96">
        <f>N28/M28</f>
        <v>89.799107142856002</v>
      </c>
      <c r="P28" s="97">
        <f t="shared" si="21"/>
        <v>-3</v>
      </c>
      <c r="Q28" s="98">
        <f t="shared" si="22"/>
        <v>-2.2597163865557661</v>
      </c>
      <c r="R28" s="99">
        <f t="shared" ref="R28:R30" si="26">O28/L28</f>
        <v>0.97545356001824413</v>
      </c>
      <c r="S28" s="418"/>
      <c r="T28" s="19">
        <v>0.33194444444444399</v>
      </c>
      <c r="U28" s="19">
        <v>0.37638888888888899</v>
      </c>
      <c r="V28" s="92">
        <f>(T28-U27)*24*60</f>
        <v>7.9999999999991722</v>
      </c>
      <c r="W28" s="149">
        <f t="shared" si="17"/>
        <v>64.00000000000081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3"/>
        <v>-307.81250000001592</v>
      </c>
      <c r="AG28" s="99">
        <f t="shared" si="24"/>
        <v>0.80331469648561282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2046</v>
      </c>
      <c r="H29" s="91">
        <f>F29*G29</f>
        <v>101317.92000000001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5"/>
        <v>96</v>
      </c>
      <c r="M29" s="94">
        <v>14</v>
      </c>
      <c r="N29" s="95">
        <f>G29/W29*60</f>
        <v>1227.5999999999897</v>
      </c>
      <c r="O29" s="96">
        <f>N29/M29</f>
        <v>87.685714285713544</v>
      </c>
      <c r="P29" s="97">
        <f t="shared" si="21"/>
        <v>-1</v>
      </c>
      <c r="Q29" s="98">
        <f t="shared" si="22"/>
        <v>-8.3142857142864557</v>
      </c>
      <c r="R29" s="99">
        <f t="shared" si="26"/>
        <v>0.91339285714284946</v>
      </c>
      <c r="S29" s="418"/>
      <c r="T29" s="19">
        <v>0.38194444444444398</v>
      </c>
      <c r="U29" s="19">
        <v>0.45138888888888901</v>
      </c>
      <c r="V29" s="92">
        <f>(T29-U28)*24*60</f>
        <v>7.9999999999991722</v>
      </c>
      <c r="W29" s="149">
        <f t="shared" si="17"/>
        <v>100.00000000000084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3"/>
        <v>-212.40000000001032</v>
      </c>
      <c r="AG29" s="99">
        <f t="shared" si="24"/>
        <v>0.85249999999999282</v>
      </c>
      <c r="AH29" s="432"/>
    </row>
    <row r="30" spans="1:34" ht="15" customHeight="1">
      <c r="A30" s="430"/>
      <c r="B30" s="75" t="s">
        <v>123</v>
      </c>
      <c r="C30" s="88"/>
      <c r="D30" s="59" t="s">
        <v>128</v>
      </c>
      <c r="E30" s="89"/>
      <c r="F30" s="75">
        <f>VLOOKUP(D30,廠價表!$C$1:$E$41,3,0)</f>
        <v>44.3</v>
      </c>
      <c r="G30" s="90">
        <v>2974</v>
      </c>
      <c r="H30" s="91">
        <f>F30*G30</f>
        <v>131748.19999999998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si="25"/>
        <v>84.705882352941174</v>
      </c>
      <c r="M30" s="94">
        <v>15</v>
      </c>
      <c r="N30" s="95">
        <f>G30/W30*60</f>
        <v>1265.5319148936128</v>
      </c>
      <c r="O30" s="96">
        <f>N30/M30</f>
        <v>84.36879432624086</v>
      </c>
      <c r="P30" s="97">
        <f t="shared" si="21"/>
        <v>-2</v>
      </c>
      <c r="Q30" s="98">
        <f t="shared" si="22"/>
        <v>-0.33708802670031446</v>
      </c>
      <c r="R30" s="99">
        <f t="shared" si="26"/>
        <v>0.99602048857367687</v>
      </c>
      <c r="S30" s="418"/>
      <c r="T30" s="19">
        <v>0.52222222222222203</v>
      </c>
      <c r="U30" s="19">
        <v>0.62013888888888902</v>
      </c>
      <c r="V30" s="92">
        <f>(T30-U29)*24*60</f>
        <v>101.99999999999956</v>
      </c>
      <c r="W30" s="149">
        <f t="shared" si="17"/>
        <v>141.00000000000045</v>
      </c>
      <c r="X30" s="174">
        <v>0.45833333333333298</v>
      </c>
      <c r="Y30" s="301">
        <v>0.5</v>
      </c>
      <c r="Z30" s="335"/>
      <c r="AA30" s="335"/>
      <c r="AB30" s="395"/>
      <c r="AC30" s="395"/>
      <c r="AD30" s="92"/>
      <c r="AE30" s="92"/>
      <c r="AF30" s="312">
        <f t="shared" si="23"/>
        <v>-174.46808510638721</v>
      </c>
      <c r="AG30" s="99">
        <f t="shared" si="24"/>
        <v>0.87884160756500884</v>
      </c>
      <c r="AH30" s="433"/>
    </row>
    <row r="31" spans="1:34" ht="15" customHeight="1">
      <c r="A31" s="43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8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3"/>
        <v>0</v>
      </c>
      <c r="AG31" s="99" t="e">
        <f t="shared" si="24"/>
        <v>#DIV/0!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28">AVERAGE(J27:J36)</f>
        <v>16</v>
      </c>
      <c r="K37" s="155">
        <f t="shared" si="28"/>
        <v>1486.25</v>
      </c>
      <c r="L37" s="158">
        <f t="shared" si="28"/>
        <v>93.191176470588232</v>
      </c>
      <c r="M37" s="155">
        <f t="shared" si="28"/>
        <v>14.25</v>
      </c>
      <c r="N37" s="155">
        <f t="shared" si="28"/>
        <v>1284.4889446324823</v>
      </c>
      <c r="O37" s="158">
        <f t="shared" si="28"/>
        <v>90.242624717923007</v>
      </c>
      <c r="P37" s="159">
        <f>M37-J37</f>
        <v>-1.75</v>
      </c>
      <c r="Q37" s="160">
        <f>N37-K37</f>
        <v>-201.76105536751766</v>
      </c>
      <c r="R37" s="161">
        <f t="shared" ref="R37:R40" si="29">O37/L37</f>
        <v>0.96836018318112116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0">N37-K37</f>
        <v>-201.76105536751766</v>
      </c>
      <c r="AG37" s="124">
        <f t="shared" ref="AG37:AG41" si="31">N37/K37</f>
        <v>0.86424823860890321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1114</v>
      </c>
      <c r="H38" s="134">
        <f>F38*G38</f>
        <v>62863.02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0" si="32">K38/J38</f>
        <v>87.875</v>
      </c>
      <c r="M38" s="190">
        <v>11</v>
      </c>
      <c r="N38" s="140">
        <f>G38/W38*60</f>
        <v>954.85714285714516</v>
      </c>
      <c r="O38" s="141">
        <f>N38/M38</f>
        <v>86.805194805195015</v>
      </c>
      <c r="P38" s="142">
        <f t="shared" ref="P38:P40" si="33">M38-J38</f>
        <v>-5</v>
      </c>
      <c r="Q38" s="143">
        <f t="shared" ref="Q38:Q40" si="34">O38-L38</f>
        <v>-1.0698051948049851</v>
      </c>
      <c r="R38" s="144">
        <f>O38/L38</f>
        <v>0.98782582993109547</v>
      </c>
      <c r="S38" s="437">
        <f>R48</f>
        <v>0.99084557669023154</v>
      </c>
      <c r="T38" s="191">
        <v>0.33333333333333298</v>
      </c>
      <c r="U38" s="191">
        <v>0.38194444444444398</v>
      </c>
      <c r="V38" s="192"/>
      <c r="W38" s="193">
        <f t="shared" si="17"/>
        <v>69.999999999999829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0"/>
        <v>-451.14285714285484</v>
      </c>
      <c r="AG38" s="195">
        <f t="shared" si="31"/>
        <v>0.67913025807762817</v>
      </c>
      <c r="AH38" s="443">
        <f>AG48</f>
        <v>0.775272580377664</v>
      </c>
    </row>
    <row r="39" spans="1:34" ht="15" customHeight="1">
      <c r="A39" s="435"/>
      <c r="B39" s="75" t="s">
        <v>81</v>
      </c>
      <c r="C39" s="197"/>
      <c r="D39" s="198" t="s">
        <v>136</v>
      </c>
      <c r="E39" s="176"/>
      <c r="F39" s="75">
        <f>VLOOKUP(D39,廠價表!$C$1:$E$41,3,0)</f>
        <v>50.67</v>
      </c>
      <c r="G39" s="199">
        <v>1551</v>
      </c>
      <c r="H39" s="91">
        <f>F39*G39</f>
        <v>78589.17</v>
      </c>
      <c r="I39" s="200"/>
      <c r="J39" s="148">
        <f>VLOOKUP(D39,產線配置圖!$A$3:$C$39,2,0)</f>
        <v>10</v>
      </c>
      <c r="K39" s="95">
        <f>VLOOKUP(D39,產線配置圖!$A$3:$C$39,3,0)</f>
        <v>1125</v>
      </c>
      <c r="L39" s="96">
        <f t="shared" si="32"/>
        <v>112.5</v>
      </c>
      <c r="M39" s="201">
        <v>10</v>
      </c>
      <c r="N39" s="202">
        <f>G39/W39*60</f>
        <v>1121.2048192771058</v>
      </c>
      <c r="O39" s="203">
        <f t="shared" ref="O39:O40" si="35">N39/M39</f>
        <v>112.12048192771059</v>
      </c>
      <c r="P39" s="97">
        <f t="shared" si="33"/>
        <v>0</v>
      </c>
      <c r="Q39" s="98">
        <f t="shared" si="34"/>
        <v>-0.37951807228941448</v>
      </c>
      <c r="R39" s="99">
        <f t="shared" si="29"/>
        <v>0.99662650602409408</v>
      </c>
      <c r="S39" s="438"/>
      <c r="T39" s="20">
        <v>0.38888888888888901</v>
      </c>
      <c r="U39" s="20">
        <v>0.44652777777777802</v>
      </c>
      <c r="V39" s="92">
        <f>(T39-U38)*24*60</f>
        <v>10.000000000000844</v>
      </c>
      <c r="W39" s="205">
        <f t="shared" si="17"/>
        <v>83.000000000000185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0"/>
        <v>-3.7951807228942016</v>
      </c>
      <c r="AG39" s="206">
        <f t="shared" si="31"/>
        <v>0.99662650602409408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1838</v>
      </c>
      <c r="H40" s="91">
        <f>F40*G40</f>
        <v>81423.399999999994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2"/>
        <v>84.705882352941174</v>
      </c>
      <c r="M40" s="201">
        <v>12</v>
      </c>
      <c r="N40" s="202">
        <f>G40/W40*60</f>
        <v>1002.5454545454529</v>
      </c>
      <c r="O40" s="203">
        <f t="shared" si="35"/>
        <v>83.545454545454405</v>
      </c>
      <c r="P40" s="97">
        <f t="shared" si="33"/>
        <v>-5</v>
      </c>
      <c r="Q40" s="98">
        <f t="shared" si="34"/>
        <v>-1.1604278074867693</v>
      </c>
      <c r="R40" s="99">
        <f t="shared" si="29"/>
        <v>0.98630050505050337</v>
      </c>
      <c r="S40" s="425"/>
      <c r="T40" s="20">
        <v>0.453472222222222</v>
      </c>
      <c r="U40" s="20">
        <v>0.52986111111111101</v>
      </c>
      <c r="V40" s="92">
        <f>(T40-U39)*24*60</f>
        <v>9.999999999999325</v>
      </c>
      <c r="W40" s="205">
        <f t="shared" si="17"/>
        <v>110.00000000000017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0"/>
        <v>-437.45454545454709</v>
      </c>
      <c r="AG40" s="206">
        <f t="shared" si="31"/>
        <v>0.69621212121212006</v>
      </c>
      <c r="AH40" s="444"/>
    </row>
    <row r="41" spans="1:34" ht="15" customHeight="1">
      <c r="A41" s="43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5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95"/>
      <c r="AC41" s="395"/>
      <c r="AD41" s="92"/>
      <c r="AE41" s="92"/>
      <c r="AF41" s="314">
        <f t="shared" si="30"/>
        <v>0</v>
      </c>
      <c r="AG41" s="206" t="e">
        <f t="shared" si="31"/>
        <v>#DIV/0!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37">AVERAGE(J38:J47)</f>
        <v>14.333333333333334</v>
      </c>
      <c r="K48" s="155">
        <f t="shared" si="37"/>
        <v>1323.6666666666667</v>
      </c>
      <c r="L48" s="158">
        <f t="shared" si="37"/>
        <v>95.026960784313715</v>
      </c>
      <c r="M48" s="155">
        <f t="shared" si="37"/>
        <v>11</v>
      </c>
      <c r="N48" s="155">
        <f t="shared" si="37"/>
        <v>1026.202472226568</v>
      </c>
      <c r="O48" s="158">
        <f t="shared" si="37"/>
        <v>94.157043759453344</v>
      </c>
      <c r="P48" s="221">
        <f>M48-J48</f>
        <v>-3.3333333333333339</v>
      </c>
      <c r="Q48" s="222">
        <f>N48-K48</f>
        <v>-297.46419444009871</v>
      </c>
      <c r="R48" s="223">
        <f>O48/L48</f>
        <v>0.99084557669023154</v>
      </c>
      <c r="S48" s="428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38">N48-K48</f>
        <v>-297.46419444009871</v>
      </c>
      <c r="AG48" s="162">
        <f t="shared" ref="AG48:AG53" si="39">N48/K48</f>
        <v>0.775272580377664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1051</v>
      </c>
      <c r="H49" s="134">
        <f>F49*G49</f>
        <v>59770.369999999995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3" si="40">K49/J49</f>
        <v>86.944444444444443</v>
      </c>
      <c r="M49" s="170">
        <v>16</v>
      </c>
      <c r="N49" s="140">
        <f>G49/W49*60</f>
        <v>1370.8695652173676</v>
      </c>
      <c r="O49" s="141">
        <f>N49/M49</f>
        <v>85.679347826085476</v>
      </c>
      <c r="P49" s="229">
        <f>M49-J49</f>
        <v>-2</v>
      </c>
      <c r="Q49" s="230">
        <f>O49-L49</f>
        <v>-1.2650966183589674</v>
      </c>
      <c r="R49" s="52">
        <f>O49/L49</f>
        <v>0.98544936796775628</v>
      </c>
      <c r="S49" s="424">
        <f>R58</f>
        <v>0.97915634317073619</v>
      </c>
      <c r="T49" s="191">
        <v>0.28819444444444398</v>
      </c>
      <c r="U49" s="191">
        <v>0.32013888888888897</v>
      </c>
      <c r="V49" s="55"/>
      <c r="W49" s="193">
        <f t="shared" si="17"/>
        <v>46.000000000000796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38"/>
        <v>-194.13043478263239</v>
      </c>
      <c r="AG49" s="52">
        <f t="shared" si="39"/>
        <v>0.87595499374911667</v>
      </c>
      <c r="AH49" s="403">
        <f>AG58</f>
        <v>0.92192131462375693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2332</v>
      </c>
      <c r="H50" s="231">
        <f>F50*G50</f>
        <v>111259.72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0"/>
        <v>90</v>
      </c>
      <c r="M50" s="233">
        <v>16</v>
      </c>
      <c r="N50" s="234">
        <f>G50/W50*60</f>
        <v>1427.7551020408073</v>
      </c>
      <c r="O50" s="235">
        <f>N50/M50</f>
        <v>89.234693877550455</v>
      </c>
      <c r="P50" s="74">
        <f>M50-J50</f>
        <v>0</v>
      </c>
      <c r="Q50" s="83">
        <f>O50-L50</f>
        <v>-0.76530612244954455</v>
      </c>
      <c r="R50" s="72">
        <f>O50/L50</f>
        <v>0.9914965986394495</v>
      </c>
      <c r="S50" s="425"/>
      <c r="T50" s="21">
        <v>0.32569444444444401</v>
      </c>
      <c r="U50" s="21">
        <v>0.39374999999999999</v>
      </c>
      <c r="V50" s="30">
        <f t="shared" ref="V50:V53" si="41">(T50-U49)*24*60</f>
        <v>7.9999999999992522</v>
      </c>
      <c r="W50" s="236">
        <f t="shared" si="17"/>
        <v>98.000000000000611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38"/>
        <v>-12.244897959192713</v>
      </c>
      <c r="AG50" s="72">
        <f t="shared" si="39"/>
        <v>0.9914965986394495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2900</v>
      </c>
      <c r="H51" s="231">
        <f>F51*G51</f>
        <v>144913</v>
      </c>
      <c r="I51" s="232"/>
      <c r="J51" s="79">
        <v>17</v>
      </c>
      <c r="K51" s="80">
        <f>VLOOKUP(D51,產線配置圖!$A$3:$C$39,3,0)</f>
        <v>1600</v>
      </c>
      <c r="L51" s="81">
        <f t="shared" si="40"/>
        <v>94.117647058823536</v>
      </c>
      <c r="M51" s="233">
        <v>16</v>
      </c>
      <c r="N51" s="234">
        <f>G51/W51*60</f>
        <v>1499.9999999999918</v>
      </c>
      <c r="O51" s="235">
        <f>N51/M51</f>
        <v>93.749999999999488</v>
      </c>
      <c r="P51" s="74">
        <f>M51-J51</f>
        <v>-1</v>
      </c>
      <c r="Q51" s="83">
        <f>O51-L51</f>
        <v>-0.36764705882404769</v>
      </c>
      <c r="R51" s="72">
        <f>O51/L51</f>
        <v>0.99609374999999445</v>
      </c>
      <c r="S51" s="425"/>
      <c r="T51" s="21">
        <v>0.4</v>
      </c>
      <c r="U51" s="19">
        <v>0.48055555555555601</v>
      </c>
      <c r="V51" s="30">
        <f t="shared" si="41"/>
        <v>9.000000000000048</v>
      </c>
      <c r="W51" s="236">
        <f t="shared" si="17"/>
        <v>116.00000000000063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38"/>
        <v>-100.00000000000819</v>
      </c>
      <c r="AG51" s="72">
        <f t="shared" si="39"/>
        <v>0.93749999999999489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1902</v>
      </c>
      <c r="H52" s="231">
        <f t="shared" ref="H52:H53" si="42">F52*G52</f>
        <v>95042.94</v>
      </c>
      <c r="I52" s="232"/>
      <c r="J52" s="79">
        <v>17</v>
      </c>
      <c r="K52" s="80">
        <f>VLOOKUP(D52,產線配置圖!$A$3:$C$39,3,0)</f>
        <v>1600</v>
      </c>
      <c r="L52" s="81">
        <f t="shared" si="40"/>
        <v>94.117647058823536</v>
      </c>
      <c r="M52" s="233">
        <v>16</v>
      </c>
      <c r="N52" s="234">
        <f t="shared" ref="N52:N53" si="43">G52/W52*60</f>
        <v>1501.5789473684138</v>
      </c>
      <c r="O52" s="235">
        <f t="shared" ref="O52:O53" si="44">N52/M52</f>
        <v>93.84868421052586</v>
      </c>
      <c r="P52" s="74">
        <f t="shared" ref="P52:P53" si="45">M52-J52</f>
        <v>-1</v>
      </c>
      <c r="Q52" s="83">
        <f t="shared" ref="Q52:Q53" si="46">O52-L52</f>
        <v>-0.26896284829767581</v>
      </c>
      <c r="R52" s="72">
        <f t="shared" ref="R52:R53" si="47">O52/L52</f>
        <v>0.99714226973683717</v>
      </c>
      <c r="S52" s="425"/>
      <c r="T52" s="21">
        <v>0.54097222222222197</v>
      </c>
      <c r="U52" s="21">
        <v>0.59375</v>
      </c>
      <c r="V52" s="30">
        <f t="shared" si="41"/>
        <v>86.999999999998977</v>
      </c>
      <c r="W52" s="236">
        <f t="shared" si="17"/>
        <v>76.000000000000369</v>
      </c>
      <c r="X52" s="22">
        <v>0.48611111111111099</v>
      </c>
      <c r="Y52" s="84">
        <v>0.52777777777777801</v>
      </c>
      <c r="Z52" s="90"/>
      <c r="AA52" s="90"/>
      <c r="AB52" s="395"/>
      <c r="AC52" s="395"/>
      <c r="AD52" s="92"/>
      <c r="AE52" s="92"/>
      <c r="AF52" s="307">
        <f t="shared" si="38"/>
        <v>-98.421052631586235</v>
      </c>
      <c r="AG52" s="72">
        <f t="shared" si="39"/>
        <v>0.93848684210525857</v>
      </c>
      <c r="AH52" s="404"/>
    </row>
    <row r="53" spans="1:34" ht="15" customHeight="1">
      <c r="A53" s="453"/>
      <c r="B53" s="101" t="s">
        <v>123</v>
      </c>
      <c r="C53" s="102"/>
      <c r="D53" s="103" t="s">
        <v>127</v>
      </c>
      <c r="E53" s="104"/>
      <c r="F53" s="75">
        <f>VLOOKUP(D53,廠價表!$C$1:$E$41,3,0)</f>
        <v>49.91</v>
      </c>
      <c r="G53" s="202">
        <v>727</v>
      </c>
      <c r="H53" s="231">
        <f t="shared" si="42"/>
        <v>36284.57</v>
      </c>
      <c r="I53" s="232"/>
      <c r="J53" s="79">
        <f>VLOOKUP(D53,產線配置圖!$A$3:$C$39,2,0)</f>
        <v>17</v>
      </c>
      <c r="K53" s="80">
        <f>VLOOKUP(D53,產線配置圖!$A$3:$C$39,3,0)</f>
        <v>1565</v>
      </c>
      <c r="L53" s="81">
        <f t="shared" si="40"/>
        <v>92.058823529411768</v>
      </c>
      <c r="M53" s="108">
        <v>16</v>
      </c>
      <c r="N53" s="234">
        <f t="shared" si="43"/>
        <v>1363.1250000000118</v>
      </c>
      <c r="O53" s="235">
        <f t="shared" si="44"/>
        <v>85.195312500000739</v>
      </c>
      <c r="P53" s="74">
        <f t="shared" si="45"/>
        <v>-1</v>
      </c>
      <c r="Q53" s="83">
        <f t="shared" si="46"/>
        <v>-6.8635110294110291</v>
      </c>
      <c r="R53" s="72">
        <f t="shared" si="47"/>
        <v>0.92544428913738819</v>
      </c>
      <c r="S53" s="425"/>
      <c r="T53" s="21">
        <v>0.59861111111111098</v>
      </c>
      <c r="U53" s="21">
        <v>0.62083333333333302</v>
      </c>
      <c r="V53" s="30">
        <f t="shared" si="41"/>
        <v>6.9999999999998153</v>
      </c>
      <c r="W53" s="236">
        <f t="shared" si="17"/>
        <v>31.999999999999726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38"/>
        <v>-201.87499999998818</v>
      </c>
      <c r="AG53" s="72">
        <f t="shared" si="39"/>
        <v>0.87100638977636535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8">AVERAGE(J49:J57)</f>
        <v>17</v>
      </c>
      <c r="K58" s="120">
        <f t="shared" si="48"/>
        <v>1554</v>
      </c>
      <c r="L58" s="117">
        <f t="shared" si="48"/>
        <v>91.447712418300654</v>
      </c>
      <c r="M58" s="120">
        <f t="shared" si="48"/>
        <v>16</v>
      </c>
      <c r="N58" s="120">
        <f t="shared" si="48"/>
        <v>1432.6657229253183</v>
      </c>
      <c r="O58" s="117">
        <f t="shared" si="48"/>
        <v>89.541607682832392</v>
      </c>
      <c r="P58" s="121">
        <f>M58-J58</f>
        <v>-1</v>
      </c>
      <c r="Q58" s="122">
        <f>N58-K58</f>
        <v>-121.33427707468172</v>
      </c>
      <c r="R58" s="123">
        <f t="shared" ref="R58:R60" si="49">O58/L58</f>
        <v>0.97915634317073619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50">N58-K58</f>
        <v>-121.33427707468172</v>
      </c>
      <c r="AG58" s="124">
        <f t="shared" ref="AG58:AG61" si="51">N58/K58</f>
        <v>0.92192131462375693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2962</v>
      </c>
      <c r="H59" s="243">
        <f>F59*G59</f>
        <v>79944.37999999999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52">K59/J59</f>
        <v>120.38461538461539</v>
      </c>
      <c r="M59" s="244">
        <v>12</v>
      </c>
      <c r="N59" s="137">
        <f t="shared" ref="N59:N61" si="53">G59/W59*60</f>
        <v>1421.7600000000095</v>
      </c>
      <c r="O59" s="138">
        <f t="shared" ref="O59:O61" si="54">N59/M59</f>
        <v>118.4800000000008</v>
      </c>
      <c r="P59" s="56">
        <f t="shared" ref="P59:P61" si="55">M59-J59</f>
        <v>-1</v>
      </c>
      <c r="Q59" s="230">
        <f t="shared" ref="Q59:Q61" si="56">O59-L59</f>
        <v>-1.904615384614587</v>
      </c>
      <c r="R59" s="52">
        <f t="shared" si="49"/>
        <v>0.9841789137380258</v>
      </c>
      <c r="S59" s="424">
        <f>R69</f>
        <v>0.88697184357138958</v>
      </c>
      <c r="T59" s="245">
        <v>0.29166666666666702</v>
      </c>
      <c r="U59" s="245">
        <v>0.37847222222222199</v>
      </c>
      <c r="V59" s="55"/>
      <c r="W59" s="54">
        <f t="shared" si="17"/>
        <v>124.99999999999916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50"/>
        <v>-143.23999999999046</v>
      </c>
      <c r="AG59" s="246">
        <f t="shared" si="51"/>
        <v>0.90847284345048529</v>
      </c>
      <c r="AH59" s="403">
        <f>AG69</f>
        <v>0.8174452512343956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1150</v>
      </c>
      <c r="H60" s="78">
        <f>F60*G60</f>
        <v>32499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2"/>
        <v>130.41666666666666</v>
      </c>
      <c r="M60" s="82">
        <v>11</v>
      </c>
      <c r="N60" s="80">
        <f t="shared" si="53"/>
        <v>1254.54545454547</v>
      </c>
      <c r="O60" s="81">
        <f t="shared" si="54"/>
        <v>114.04958677686091</v>
      </c>
      <c r="P60" s="74">
        <f t="shared" si="55"/>
        <v>-1</v>
      </c>
      <c r="Q60" s="83">
        <f t="shared" si="56"/>
        <v>-16.367079889805751</v>
      </c>
      <c r="R60" s="72">
        <f t="shared" si="49"/>
        <v>0.87450162384813479</v>
      </c>
      <c r="S60" s="451"/>
      <c r="T60" s="22">
        <v>0.38541666666666702</v>
      </c>
      <c r="U60" s="22">
        <v>0.42361111111111099</v>
      </c>
      <c r="V60" s="30">
        <f t="shared" ref="V60:V61" si="57">(T60-U59)*24*60</f>
        <v>10.000000000000844</v>
      </c>
      <c r="W60" s="248">
        <f t="shared" si="17"/>
        <v>54.999999999999325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50"/>
        <v>-310.45454545453003</v>
      </c>
      <c r="AG60" s="249">
        <f t="shared" si="51"/>
        <v>0.80162648852745688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1452</v>
      </c>
      <c r="H61" s="254">
        <f>F61*G61</f>
        <v>41033.520000000004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2"/>
        <v>130.41666666666666</v>
      </c>
      <c r="M61" s="108">
        <v>11</v>
      </c>
      <c r="N61" s="107">
        <f t="shared" si="53"/>
        <v>1161.6000000000079</v>
      </c>
      <c r="O61" s="238">
        <f t="shared" si="54"/>
        <v>105.60000000000072</v>
      </c>
      <c r="P61" s="111">
        <f t="shared" si="55"/>
        <v>-1</v>
      </c>
      <c r="Q61" s="255">
        <f t="shared" si="56"/>
        <v>-24.816666666665938</v>
      </c>
      <c r="R61" s="85">
        <f>O61/L61</f>
        <v>0.80971246006390329</v>
      </c>
      <c r="S61" s="425"/>
      <c r="T61" s="22">
        <v>0.43402777777777801</v>
      </c>
      <c r="U61" s="22">
        <v>0.48611111111111099</v>
      </c>
      <c r="V61" s="30">
        <f t="shared" si="57"/>
        <v>15.000000000000506</v>
      </c>
      <c r="W61" s="256">
        <f t="shared" si="17"/>
        <v>74.999999999999488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50"/>
        <v>-403.39999999999213</v>
      </c>
      <c r="AG61" s="247">
        <f t="shared" si="51"/>
        <v>0.74223642172524462</v>
      </c>
      <c r="AH61" s="404"/>
    </row>
    <row r="62" spans="1:34" ht="15" customHeight="1">
      <c r="A62" s="44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5"/>
      <c r="T62" s="22"/>
      <c r="U62" s="22"/>
      <c r="V62" s="30"/>
      <c r="W62" s="248">
        <f t="shared" si="17"/>
        <v>0</v>
      </c>
      <c r="X62" s="22"/>
      <c r="Y62" s="84"/>
      <c r="Z62" s="90"/>
      <c r="AA62" s="90"/>
      <c r="AB62" s="395"/>
      <c r="AC62" s="395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8">AVERAGE(J59:J68)</f>
        <v>12.333333333333334</v>
      </c>
      <c r="K69" s="240">
        <f t="shared" si="58"/>
        <v>1565</v>
      </c>
      <c r="L69" s="268">
        <f t="shared" si="58"/>
        <v>127.07264957264958</v>
      </c>
      <c r="M69" s="240">
        <f t="shared" si="58"/>
        <v>11.333333333333334</v>
      </c>
      <c r="N69" s="240">
        <f t="shared" si="58"/>
        <v>1279.301818181829</v>
      </c>
      <c r="O69" s="268">
        <f t="shared" si="58"/>
        <v>112.70986225895415</v>
      </c>
      <c r="P69" s="269">
        <f>M69-J69</f>
        <v>-1</v>
      </c>
      <c r="Q69" s="222">
        <f>N69-K69</f>
        <v>-285.69818181817095</v>
      </c>
      <c r="R69" s="123">
        <f>O69/L69</f>
        <v>0.88697184357138958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-285.69818181817095</v>
      </c>
      <c r="AG69" s="124">
        <f>N69/K69</f>
        <v>0.8174452512343956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1088</v>
      </c>
      <c r="H70" s="243">
        <f>F70*G70</f>
        <v>55128.959999999999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919.43661971830284</v>
      </c>
      <c r="O70" s="138">
        <f>N70/M70</f>
        <v>91.943661971830281</v>
      </c>
      <c r="P70" s="56">
        <f>M70-J70</f>
        <v>0</v>
      </c>
      <c r="Q70" s="230">
        <f>O70-L70</f>
        <v>-20.556338028169719</v>
      </c>
      <c r="R70" s="52">
        <f>O70/L70</f>
        <v>0.81727699530515807</v>
      </c>
      <c r="S70" s="424">
        <f>R79</f>
        <v>0.81727699530515807</v>
      </c>
      <c r="T70" s="245">
        <v>0.58958333333333302</v>
      </c>
      <c r="U70" s="245">
        <v>0.63888888888888895</v>
      </c>
      <c r="V70" s="55"/>
      <c r="W70" s="54">
        <f t="shared" si="17"/>
        <v>71.00000000000054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-205.56338028169716</v>
      </c>
      <c r="AG70" s="246">
        <f>N70/K70</f>
        <v>0.81727699530515807</v>
      </c>
      <c r="AH70" s="403">
        <f>AG79</f>
        <v>0.81727699530515807</v>
      </c>
    </row>
    <row r="71" spans="1:36" ht="15" customHeight="1">
      <c r="A71" s="45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5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59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59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59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59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60">AVERAGE(J70:J78)</f>
        <v>10</v>
      </c>
      <c r="K79" s="240">
        <f t="shared" si="60"/>
        <v>1125</v>
      </c>
      <c r="L79" s="268">
        <f t="shared" si="60"/>
        <v>112.5</v>
      </c>
      <c r="M79" s="240">
        <f t="shared" si="60"/>
        <v>10</v>
      </c>
      <c r="N79" s="240">
        <f t="shared" si="60"/>
        <v>919.43661971830284</v>
      </c>
      <c r="O79" s="268">
        <f t="shared" si="60"/>
        <v>91.943661971830281</v>
      </c>
      <c r="P79" s="269">
        <f>M79-J79</f>
        <v>0</v>
      </c>
      <c r="Q79" s="222">
        <f>N79-K79</f>
        <v>-205.56338028169716</v>
      </c>
      <c r="R79" s="223">
        <f>O79/L79</f>
        <v>0.81727699530515807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-205.56338028169716</v>
      </c>
      <c r="AG79" s="124">
        <f>N79/K79</f>
        <v>0.81727699530515807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R3:R4"/>
    <mergeCell ref="A2:B2"/>
    <mergeCell ref="A3:A4"/>
    <mergeCell ref="B3:B4"/>
    <mergeCell ref="D3:E4"/>
    <mergeCell ref="F3:F4"/>
    <mergeCell ref="P1:S2"/>
    <mergeCell ref="A5:A15"/>
    <mergeCell ref="S5:S15"/>
    <mergeCell ref="AB5:AC5"/>
    <mergeCell ref="AH5:AH15"/>
    <mergeCell ref="AB6:AC6"/>
    <mergeCell ref="AB7:AC7"/>
    <mergeCell ref="H3:H4"/>
    <mergeCell ref="I3:I4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G3:G4"/>
    <mergeCell ref="A16:A26"/>
    <mergeCell ref="S16:S26"/>
    <mergeCell ref="AB16:AC16"/>
    <mergeCell ref="D26:E26"/>
    <mergeCell ref="AB26:AC26"/>
    <mergeCell ref="W3:W4"/>
    <mergeCell ref="X3:Y3"/>
    <mergeCell ref="Z3:AA3"/>
    <mergeCell ref="AB3:AC4"/>
    <mergeCell ref="N3:N4"/>
    <mergeCell ref="O3:O4"/>
    <mergeCell ref="P3:P4"/>
    <mergeCell ref="Q3:Q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115" priority="1" operator="greaterThan">
      <formula>0</formula>
    </cfRule>
  </conditionalFormatting>
  <conditionalFormatting sqref="Q5:Q79 AF5:AF79">
    <cfRule type="cellIs" dxfId="114" priority="4" operator="lessThan">
      <formula>0</formula>
    </cfRule>
  </conditionalFormatting>
  <conditionalFormatting sqref="R5:R79 AG5:AG79">
    <cfRule type="cellIs" dxfId="113" priority="2" operator="greaterThan">
      <formula>1</formula>
    </cfRule>
    <cfRule type="cellIs" dxfId="112" priority="3" operator="lessThan">
      <formula>0.8</formula>
    </cfRule>
  </conditionalFormatting>
  <conditionalFormatting sqref="S5:S10 S37:S62 AH59:AH62 S69:S76 AH69:AH76">
    <cfRule type="cellIs" dxfId="111" priority="7" operator="lessThan">
      <formula>0.8</formula>
    </cfRule>
  </conditionalFormatting>
  <conditionalFormatting sqref="S19:S25 AH19:AH25">
    <cfRule type="cellIs" dxfId="110" priority="6" operator="lessThan">
      <formula>0.8</formula>
    </cfRule>
  </conditionalFormatting>
  <conditionalFormatting sqref="S79">
    <cfRule type="cellIs" dxfId="109" priority="5" operator="lessThan">
      <formula>0.8</formula>
    </cfRule>
  </conditionalFormatting>
  <conditionalFormatting sqref="AH5:AH8 S15:S16 AH15:AH16 AH49 AH79">
    <cfRule type="cellIs" dxfId="108" priority="9" operator="lessThan">
      <formula>0.8</formula>
    </cfRule>
  </conditionalFormatting>
  <conditionalFormatting sqref="AH27 S27:S28">
    <cfRule type="cellIs" dxfId="107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1DC732-DD3B-4F67-BF3D-D7CA159E106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A43E-7614-46B0-AD66-8F4ECC040103}">
  <dimension ref="B1:O26"/>
  <sheetViews>
    <sheetView zoomScale="70" zoomScaleNormal="70" workbookViewId="0">
      <selection activeCell="N43" sqref="N4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46074</v>
      </c>
      <c r="E3" s="493"/>
      <c r="F3" s="3" t="s">
        <v>72</v>
      </c>
      <c r="G3" s="494">
        <f>'0221'!E1</f>
        <v>53236</v>
      </c>
      <c r="H3" s="494"/>
      <c r="I3" s="3" t="s">
        <v>2</v>
      </c>
      <c r="J3" s="495">
        <f>'0221'!G1</f>
        <v>2551960.88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AVERAGE(D13:I13)</f>
        <v>122.92816537356977</v>
      </c>
      <c r="G6" s="490"/>
      <c r="H6" s="491">
        <f>AVERAGE(D13:H13)</f>
        <v>122.09926853375381</v>
      </c>
      <c r="I6" s="491"/>
      <c r="J6" s="491">
        <f>AVERAGE(I13)</f>
        <v>127.07264957264958</v>
      </c>
      <c r="K6" s="491"/>
      <c r="L6" s="497">
        <f>SUM(D18:J18)</f>
        <v>0</v>
      </c>
      <c r="M6" s="482">
        <f>SUM(D19:J19)</f>
        <v>0</v>
      </c>
      <c r="N6" s="498">
        <f>SUM(D20:J20)</f>
        <v>0</v>
      </c>
      <c r="O6" s="482">
        <f>SUM(D20:J20)</f>
        <v>0</v>
      </c>
    </row>
    <row r="7" spans="2:15" ht="39.6" customHeight="1">
      <c r="B7" s="486"/>
      <c r="C7" s="486"/>
      <c r="D7" s="484" t="s">
        <v>87</v>
      </c>
      <c r="E7" s="484"/>
      <c r="F7" s="479">
        <f>AVERAGE(D14:I14)</f>
        <v>117.34559716361547</v>
      </c>
      <c r="G7" s="479"/>
      <c r="H7" s="480">
        <f>AVERAGE(D14:H14)</f>
        <v>117.34745715327264</v>
      </c>
      <c r="I7" s="480"/>
      <c r="J7" s="480">
        <f>AVERAGE(I14)</f>
        <v>117.33629721532954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0.95458674427468038</v>
      </c>
      <c r="G8" s="485"/>
      <c r="H8" s="485">
        <f>H7/H6</f>
        <v>0.96108239273220908</v>
      </c>
      <c r="I8" s="485"/>
      <c r="J8" s="485">
        <f>J7/J6</f>
        <v>0.92337963841893766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VALUE('0221'!L15)</f>
        <v>150.77724358974356</v>
      </c>
      <c r="E13" s="13">
        <f>VALUE('0221'!L26)</f>
        <v>176.42992424242425</v>
      </c>
      <c r="F13" s="13">
        <f>VALUE('0221'!L37)</f>
        <v>96.207843137254898</v>
      </c>
      <c r="G13" s="13">
        <f>VALUE('0221'!L48)</f>
        <v>95.27022058823529</v>
      </c>
      <c r="H13" s="13">
        <f>VALUE('0221'!L58)</f>
        <v>91.811111111111117</v>
      </c>
      <c r="I13" s="13">
        <f>VALUE('0221'!L69)</f>
        <v>127.07264957264958</v>
      </c>
      <c r="J13" s="13">
        <f>'0221'!L79</f>
        <v>0</v>
      </c>
    </row>
    <row r="14" spans="2:15" ht="39.950000000000003" customHeight="1">
      <c r="B14" s="473"/>
      <c r="C14" s="12" t="s">
        <v>100</v>
      </c>
      <c r="D14" s="13">
        <f>VALUE('0221'!O15)</f>
        <v>147.65037265366351</v>
      </c>
      <c r="E14" s="13">
        <f>VALUE('0221'!O26)</f>
        <v>169.37546762546765</v>
      </c>
      <c r="F14" s="13">
        <f>VALUE('0221'!O37)</f>
        <v>92.066639539750852</v>
      </c>
      <c r="G14" s="13">
        <f>VALUE('0221'!O48)</f>
        <v>87.159590690207693</v>
      </c>
      <c r="H14" s="13">
        <f>VALUE('0221'!O58)</f>
        <v>90.485215257273552</v>
      </c>
      <c r="I14" s="13">
        <f>VALUE('0221'!O69)</f>
        <v>117.33629721532954</v>
      </c>
      <c r="J14" s="13">
        <f>'0221'!O79</f>
        <v>0</v>
      </c>
    </row>
    <row r="15" spans="2:15" ht="39.950000000000003" customHeight="1">
      <c r="B15" s="474"/>
      <c r="C15" s="10" t="s">
        <v>26</v>
      </c>
      <c r="D15" s="14">
        <f>D14/D13</f>
        <v>0.97926165207935423</v>
      </c>
      <c r="E15" s="14">
        <f t="shared" ref="E15:I15" si="1">E14/E13</f>
        <v>0.96001553224461289</v>
      </c>
      <c r="F15" s="14">
        <f t="shared" si="1"/>
        <v>0.956955654939733</v>
      </c>
      <c r="G15" s="14">
        <f t="shared" si="1"/>
        <v>0.91486710277409433</v>
      </c>
      <c r="H15" s="14">
        <f t="shared" si="1"/>
        <v>0.98555843799523413</v>
      </c>
      <c r="I15" s="14">
        <f t="shared" si="1"/>
        <v>0.92337963841893766</v>
      </c>
      <c r="J15" s="15">
        <f>'0221'!S70</f>
        <v>0</v>
      </c>
    </row>
    <row r="16" spans="2:15" ht="17.25" customHeight="1">
      <c r="B16" s="475" t="s">
        <v>101</v>
      </c>
      <c r="C16" s="10" t="s">
        <v>34</v>
      </c>
      <c r="D16" s="16">
        <f>'0221'!T5</f>
        <v>0.29166666666666702</v>
      </c>
      <c r="E16" s="16">
        <f>'0221'!T16</f>
        <v>0.29027777777777802</v>
      </c>
      <c r="F16" s="16">
        <f>'0221'!T27</f>
        <v>0.29166666666666702</v>
      </c>
      <c r="G16" s="16">
        <f>'0221'!T38</f>
        <v>0.33333333333333298</v>
      </c>
      <c r="H16" s="16">
        <f>'0221'!T49</f>
        <v>0.28958333333333303</v>
      </c>
      <c r="I16" s="16">
        <f>'0221'!T59</f>
        <v>0.28888888888888897</v>
      </c>
      <c r="J16" s="16">
        <f>'0221'!T70</f>
        <v>0</v>
      </c>
    </row>
    <row r="17" spans="2:10" ht="17.25" customHeight="1">
      <c r="B17" s="476"/>
      <c r="C17" s="10" t="s">
        <v>35</v>
      </c>
      <c r="D17" s="16">
        <v>0.56874999999999998</v>
      </c>
      <c r="E17" s="19">
        <v>0.59930555555555598</v>
      </c>
      <c r="F17" s="19">
        <v>0.62013888888888902</v>
      </c>
      <c r="G17" s="20">
        <v>0.52986111111111101</v>
      </c>
      <c r="H17" s="21">
        <v>0.62083333333333302</v>
      </c>
      <c r="I17" s="22">
        <v>0.48611111111111099</v>
      </c>
      <c r="J17" s="272">
        <v>0.63888888888888895</v>
      </c>
    </row>
    <row r="18" spans="2:10" ht="17.25" customHeight="1">
      <c r="B18" s="477" t="s">
        <v>102</v>
      </c>
      <c r="C18" s="330" t="s">
        <v>36</v>
      </c>
      <c r="D18" s="358">
        <f>'0221'!Z15</f>
        <v>0</v>
      </c>
      <c r="E18" s="359">
        <f>'0221'!Z26</f>
        <v>0</v>
      </c>
      <c r="F18" s="359">
        <f>'0221'!Z37</f>
        <v>0</v>
      </c>
      <c r="G18" s="360">
        <f>'0221'!Z48</f>
        <v>0</v>
      </c>
      <c r="H18" s="360">
        <f>'0221'!Z58</f>
        <v>0</v>
      </c>
      <c r="I18" s="359">
        <f>'0221'!Z69</f>
        <v>0</v>
      </c>
      <c r="J18" s="359">
        <f>'0221'!AA79</f>
        <v>0</v>
      </c>
    </row>
    <row r="19" spans="2:10" ht="17.25" customHeight="1">
      <c r="B19" s="478"/>
      <c r="C19" s="330" t="s">
        <v>37</v>
      </c>
      <c r="D19" s="358">
        <f>'0221'!AA15</f>
        <v>0</v>
      </c>
      <c r="E19" s="359">
        <f>'0221'!AA26</f>
        <v>0</v>
      </c>
      <c r="F19" s="359">
        <f>'0221'!AA37</f>
        <v>0</v>
      </c>
      <c r="G19" s="360">
        <f>'0221'!AA48</f>
        <v>0</v>
      </c>
      <c r="H19" s="360">
        <f>'0221'!AA58</f>
        <v>0</v>
      </c>
      <c r="I19" s="359">
        <f>'0221'!AA69</f>
        <v>0</v>
      </c>
      <c r="J19" s="359">
        <f>'0221'!AB79</f>
        <v>0</v>
      </c>
    </row>
    <row r="20" spans="2:10" ht="17.25" customHeight="1">
      <c r="B20" s="477" t="s">
        <v>103</v>
      </c>
      <c r="C20" s="330" t="s">
        <v>36</v>
      </c>
      <c r="D20" s="358">
        <f>'0221'!AD15</f>
        <v>0</v>
      </c>
      <c r="E20" s="359">
        <f>'0221'!AD26</f>
        <v>0</v>
      </c>
      <c r="F20" s="359">
        <f>'0221'!AD37</f>
        <v>0</v>
      </c>
      <c r="G20" s="360">
        <f>'0221'!AD48</f>
        <v>0</v>
      </c>
      <c r="H20" s="360">
        <f>'0221'!AD58</f>
        <v>0</v>
      </c>
      <c r="I20" s="359">
        <f>'0221'!AD69</f>
        <v>0</v>
      </c>
      <c r="J20" s="359">
        <f>'0221'!AD79</f>
        <v>0</v>
      </c>
    </row>
    <row r="21" spans="2:10" ht="17.25" customHeight="1">
      <c r="B21" s="478"/>
      <c r="C21" s="330" t="s">
        <v>85</v>
      </c>
      <c r="D21" s="358">
        <f>'0221'!AE15</f>
        <v>0</v>
      </c>
      <c r="E21" s="359">
        <f>'0221'!AE26</f>
        <v>0</v>
      </c>
      <c r="F21" s="359">
        <f>'0221'!AE37</f>
        <v>0</v>
      </c>
      <c r="G21" s="360">
        <f>'0221'!AE48</f>
        <v>0</v>
      </c>
      <c r="H21" s="360">
        <f>'0221'!AE58</f>
        <v>0</v>
      </c>
      <c r="I21" s="359">
        <f>'0221'!AE69</f>
        <v>0</v>
      </c>
      <c r="J21" s="359">
        <f>'0221'!AE79</f>
        <v>0</v>
      </c>
    </row>
    <row r="22" spans="2:10" ht="17.25" customHeight="1">
      <c r="B22" s="460" t="s">
        <v>104</v>
      </c>
      <c r="C22" s="461"/>
      <c r="D22" s="23">
        <f>VALUE('0221'!M15)</f>
        <v>13.25</v>
      </c>
      <c r="E22" s="23">
        <f>VALUE('0221'!M26)</f>
        <v>11.5</v>
      </c>
      <c r="F22" s="23">
        <f>VALUE('0221'!M37)</f>
        <v>14.8</v>
      </c>
      <c r="G22" s="23">
        <f>VALUE('0221'!M48)</f>
        <v>13.5</v>
      </c>
      <c r="H22" s="23">
        <f>VALUE('0221'!M58)</f>
        <v>15.8</v>
      </c>
      <c r="I22" s="23">
        <f>VALUE('0221'!M69)</f>
        <v>12.333333333333334</v>
      </c>
      <c r="J22" s="23">
        <f>'0221'!M79</f>
        <v>0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106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0690-257C-44E8-A422-835C306658C6}">
  <sheetPr>
    <tabColor theme="9" tint="0.79998168889431442"/>
  </sheetPr>
  <dimension ref="A1:AJ92"/>
  <sheetViews>
    <sheetView zoomScale="69" zoomScaleNormal="69" workbookViewId="0">
      <pane xSplit="5" ySplit="4" topLeftCell="L29" activePane="bottomRight" state="frozen"/>
      <selection activeCell="N43" sqref="N43"/>
      <selection pane="topRight" activeCell="N43" sqref="N43"/>
      <selection pane="bottomLeft" activeCell="N43" sqref="N43"/>
      <selection pane="bottomRight" activeCell="X61" sqref="X61:Y6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53236</v>
      </c>
      <c r="F1" s="30" t="s">
        <v>2</v>
      </c>
      <c r="G1" s="31">
        <f>SUM(H5:H79)</f>
        <v>2551960.88</v>
      </c>
      <c r="H1" s="32" t="s">
        <v>3</v>
      </c>
      <c r="I1" s="33">
        <f>M15+M26+M48+M58+M69+M79+M37</f>
        <v>81.183333333333323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197</v>
      </c>
      <c r="B2" s="374"/>
      <c r="C2" s="28"/>
      <c r="D2" s="28" t="s">
        <v>14</v>
      </c>
      <c r="E2" s="35">
        <f>AVERAGE(O15,O26,O37,O48,O58,O69,O79)</f>
        <v>117.34559716361547</v>
      </c>
      <c r="F2" s="36" t="s">
        <v>15</v>
      </c>
      <c r="G2" s="37">
        <f>G1/E1</f>
        <v>47.936751070704034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0</v>
      </c>
      <c r="AA2" s="339">
        <f>AA15+AA26+AA37+AA48+AA58+AA69+AA79</f>
        <v>0</v>
      </c>
      <c r="AB2" s="370"/>
      <c r="AC2" s="370"/>
      <c r="AD2" s="340">
        <f>AD15+AD26+AD37+AD48+AD58+AD69+AD79</f>
        <v>0</v>
      </c>
      <c r="AE2" s="340">
        <f>AE15+AE26+AE37+AE48+AE58+AE69+AE79</f>
        <v>0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2061</v>
      </c>
      <c r="H5" s="43">
        <f>F5*G5</f>
        <v>117909.81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8" si="0">K5/J5</f>
        <v>175.41666666666666</v>
      </c>
      <c r="M5" s="48">
        <v>12</v>
      </c>
      <c r="N5" s="46">
        <f t="shared" ref="N5:N8" si="1">G5/W5*60</f>
        <v>2061.0000000000346</v>
      </c>
      <c r="O5" s="47">
        <f t="shared" ref="O5:O8" si="2">N5/M5</f>
        <v>171.75000000000287</v>
      </c>
      <c r="P5" s="49">
        <f t="shared" ref="P5:P8" si="3">M5-J5</f>
        <v>0</v>
      </c>
      <c r="Q5" s="50">
        <f t="shared" ref="Q5:Q8" si="4">O5-L5</f>
        <v>-3.6666666666637866</v>
      </c>
      <c r="R5" s="51">
        <f t="shared" ref="R5:R8" si="5">O5/L5</f>
        <v>0.9790973871734131</v>
      </c>
      <c r="S5" s="424">
        <f>R15</f>
        <v>0.97926165207935423</v>
      </c>
      <c r="T5" s="319">
        <v>0.29166666666666702</v>
      </c>
      <c r="U5" s="320">
        <v>0.33333333333333298</v>
      </c>
      <c r="V5" s="53"/>
      <c r="W5" s="54">
        <f t="shared" ref="W5:W14" si="6">(U5-T5)*24*60</f>
        <v>59.999999999998991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11" si="7">N5-K5</f>
        <v>-43.999999999965439</v>
      </c>
      <c r="AG5" s="52">
        <f t="shared" ref="AG5:AG11" si="8">N5/K5</f>
        <v>0.9790973871734131</v>
      </c>
      <c r="AH5" s="403">
        <f>AG15</f>
        <v>0.97952207584686268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1689</v>
      </c>
      <c r="H6" s="63">
        <f>F6*G6</f>
        <v>95056.92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1777.8947368421218</v>
      </c>
      <c r="O6" s="67">
        <f t="shared" si="2"/>
        <v>118.52631578947479</v>
      </c>
      <c r="P6" s="69">
        <f t="shared" si="3"/>
        <v>0</v>
      </c>
      <c r="Q6" s="70">
        <f t="shared" si="4"/>
        <v>-1.4736842105252066</v>
      </c>
      <c r="R6" s="71">
        <f t="shared" si="5"/>
        <v>0.98771929824562332</v>
      </c>
      <c r="S6" s="425"/>
      <c r="T6" s="16">
        <v>0.34236111111111101</v>
      </c>
      <c r="U6" s="16">
        <v>0.38194444444444398</v>
      </c>
      <c r="V6" s="30">
        <f>(T6-U5)*24*60</f>
        <v>13.000000000000353</v>
      </c>
      <c r="W6" s="73">
        <f t="shared" si="6"/>
        <v>56.999999999999474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-22.105263157878198</v>
      </c>
      <c r="AG6" s="72">
        <f t="shared" si="8"/>
        <v>0.98771929824562321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3963</v>
      </c>
      <c r="H7" s="78">
        <f>F7*G7</f>
        <v>194741.82</v>
      </c>
      <c r="I7" s="73"/>
      <c r="J7" s="79">
        <f>VLOOKUP(D7,產線配置圖!$A$3:$C$39,2,0)</f>
        <v>13</v>
      </c>
      <c r="K7" s="80">
        <f>VLOOKUP(D7,產線配置圖!$A$3:$C$39,3,0)</f>
        <v>2000</v>
      </c>
      <c r="L7" s="81">
        <f t="shared" si="0"/>
        <v>153.84615384615384</v>
      </c>
      <c r="M7" s="82">
        <v>13</v>
      </c>
      <c r="N7" s="80">
        <f t="shared" si="1"/>
        <v>1981.5000000000084</v>
      </c>
      <c r="O7" s="81">
        <f t="shared" si="2"/>
        <v>152.42307692307756</v>
      </c>
      <c r="P7" s="74">
        <f t="shared" si="3"/>
        <v>0</v>
      </c>
      <c r="Q7" s="83">
        <f t="shared" si="4"/>
        <v>-1.4230769230762803</v>
      </c>
      <c r="R7" s="72">
        <f t="shared" si="5"/>
        <v>0.99075000000000413</v>
      </c>
      <c r="S7" s="425"/>
      <c r="T7" s="18">
        <v>0.39236111111111099</v>
      </c>
      <c r="U7" s="18">
        <v>0.47569444444444398</v>
      </c>
      <c r="V7" s="30">
        <f>(T7-U6)*24*60</f>
        <v>15.000000000000506</v>
      </c>
      <c r="W7" s="73">
        <f t="shared" si="6"/>
        <v>119.99999999999949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-18.499999999991587</v>
      </c>
      <c r="AG7" s="72">
        <f t="shared" si="8"/>
        <v>0.99075000000000424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2115</v>
      </c>
      <c r="H8" s="78">
        <f>F8*G8</f>
        <v>103931.1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1922.7272727272843</v>
      </c>
      <c r="O8" s="81">
        <f t="shared" si="2"/>
        <v>147.9020979020988</v>
      </c>
      <c r="P8" s="74">
        <f t="shared" si="3"/>
        <v>0</v>
      </c>
      <c r="Q8" s="83">
        <f t="shared" si="4"/>
        <v>-5.9440559440550373</v>
      </c>
      <c r="R8" s="72">
        <f t="shared" si="5"/>
        <v>0.9613636363636423</v>
      </c>
      <c r="S8" s="425"/>
      <c r="T8" s="16">
        <v>0.54166666666666696</v>
      </c>
      <c r="U8" s="16">
        <v>0.58750000000000002</v>
      </c>
      <c r="V8" s="30">
        <f>(T8-U7)*24*60</f>
        <v>95.000000000001108</v>
      </c>
      <c r="W8" s="73">
        <f t="shared" si="6"/>
        <v>65.999999999999602</v>
      </c>
      <c r="X8" s="22">
        <v>0.48611111111111099</v>
      </c>
      <c r="Y8" s="84">
        <v>0.52777777777777801</v>
      </c>
      <c r="Z8" s="90"/>
      <c r="AA8" s="90"/>
      <c r="AB8" s="407"/>
      <c r="AC8" s="407"/>
      <c r="AD8" s="149"/>
      <c r="AE8" s="149"/>
      <c r="AF8" s="307">
        <f t="shared" si="7"/>
        <v>-77.272727272715656</v>
      </c>
      <c r="AG8" s="72">
        <f t="shared" si="8"/>
        <v>0.96136363636364219</v>
      </c>
      <c r="AH8" s="404"/>
    </row>
    <row r="9" spans="1:34" ht="15" customHeight="1">
      <c r="A9" s="42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6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0</v>
      </c>
      <c r="AG9" s="72" t="e">
        <f t="shared" si="8"/>
        <v>#DIV/0!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9">AVERAGE(J5:J14)</f>
        <v>13.25</v>
      </c>
      <c r="K15" s="120">
        <f t="shared" si="9"/>
        <v>1976.25</v>
      </c>
      <c r="L15" s="117">
        <f t="shared" si="9"/>
        <v>150.77724358974356</v>
      </c>
      <c r="M15" s="120">
        <f t="shared" si="9"/>
        <v>13.25</v>
      </c>
      <c r="N15" s="120">
        <f t="shared" si="9"/>
        <v>1935.7805023923625</v>
      </c>
      <c r="O15" s="117">
        <f t="shared" si="9"/>
        <v>147.65037265366351</v>
      </c>
      <c r="P15" s="121">
        <f t="shared" ref="P15:P19" si="10">M15-J15</f>
        <v>0</v>
      </c>
      <c r="Q15" s="122">
        <f t="shared" ref="Q15:Q19" si="11">O15-L15</f>
        <v>-3.1268709360800528</v>
      </c>
      <c r="R15" s="123">
        <f t="shared" ref="R15:R19" si="12">O15/L15</f>
        <v>0.97926165207935423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3">N15-K15</f>
        <v>-40.46949760763755</v>
      </c>
      <c r="AG15" s="124">
        <f t="shared" ref="AG15:AG19" si="14">N15/K15</f>
        <v>0.97952207584686268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1914</v>
      </c>
      <c r="H16" s="134">
        <f>F16*G16</f>
        <v>109499.94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19" si="15">K16/J16</f>
        <v>175.41666666666666</v>
      </c>
      <c r="M16" s="139">
        <v>12</v>
      </c>
      <c r="N16" s="140">
        <f t="shared" ref="N16:N19" si="16">G16/W16*60</f>
        <v>2088.0000000000259</v>
      </c>
      <c r="O16" s="141">
        <f>N16/M16</f>
        <v>174.00000000000216</v>
      </c>
      <c r="P16" s="142">
        <f>M16-J16</f>
        <v>0</v>
      </c>
      <c r="Q16" s="143">
        <f t="shared" si="11"/>
        <v>-1.4166666666644971</v>
      </c>
      <c r="R16" s="144">
        <f>O16/L16</f>
        <v>0.99192399049882474</v>
      </c>
      <c r="S16" s="417">
        <f>R26</f>
        <v>0.96001553224461289</v>
      </c>
      <c r="T16" s="145">
        <v>0.29027777777777802</v>
      </c>
      <c r="U16" s="145">
        <v>0.328472222222222</v>
      </c>
      <c r="V16" s="135"/>
      <c r="W16" s="146">
        <f t="shared" ref="W16:W78" si="17">(U16-T16)*24*60</f>
        <v>54.999999999999325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3"/>
        <v>-16.999999999974079</v>
      </c>
      <c r="AG16" s="52">
        <f t="shared" si="14"/>
        <v>0.99192399049882463</v>
      </c>
      <c r="AH16" s="403">
        <f>AG26</f>
        <v>0.96065684764019166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4022</v>
      </c>
      <c r="H17" s="78">
        <f>F17*G17</f>
        <v>203794.74000000002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5"/>
        <v>166.66666666666666</v>
      </c>
      <c r="M17" s="148">
        <v>12</v>
      </c>
      <c r="N17" s="95">
        <f>G17/W17*60</f>
        <v>1915.2380952380959</v>
      </c>
      <c r="O17" s="96">
        <f t="shared" ref="O17:O19" si="18">N17/M17</f>
        <v>159.60317460317466</v>
      </c>
      <c r="P17" s="97">
        <f t="shared" si="10"/>
        <v>0</v>
      </c>
      <c r="Q17" s="98">
        <f t="shared" si="11"/>
        <v>-7.0634920634919922</v>
      </c>
      <c r="R17" s="99">
        <f t="shared" si="12"/>
        <v>0.95761904761904804</v>
      </c>
      <c r="S17" s="418"/>
      <c r="T17" s="19">
        <v>0.33680555555555602</v>
      </c>
      <c r="U17" s="19">
        <v>0.42430555555555599</v>
      </c>
      <c r="V17" s="30">
        <f>(T17-U16)*24*60</f>
        <v>12.000000000000997</v>
      </c>
      <c r="W17" s="149">
        <f t="shared" si="17"/>
        <v>125.99999999999996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3"/>
        <v>-84.761904761904134</v>
      </c>
      <c r="AG17" s="72">
        <f t="shared" si="14"/>
        <v>0.95761904761904793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1942</v>
      </c>
      <c r="H18" s="78">
        <f>F18*G18</f>
        <v>97857.38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5"/>
        <v>181.81818181818181</v>
      </c>
      <c r="M18" s="148">
        <v>11</v>
      </c>
      <c r="N18" s="95">
        <f t="shared" si="16"/>
        <v>1792.61538461538</v>
      </c>
      <c r="O18" s="96">
        <f t="shared" si="18"/>
        <v>162.96503496503453</v>
      </c>
      <c r="P18" s="97">
        <f t="shared" si="10"/>
        <v>0</v>
      </c>
      <c r="Q18" s="98">
        <f t="shared" si="11"/>
        <v>-18.85314685314728</v>
      </c>
      <c r="R18" s="99">
        <f t="shared" si="12"/>
        <v>0.89630769230768992</v>
      </c>
      <c r="S18" s="418"/>
      <c r="T18" s="19">
        <v>0.43263888888888902</v>
      </c>
      <c r="U18" s="19">
        <v>0.47777777777777802</v>
      </c>
      <c r="V18" s="30">
        <f>(T18-U17)*24*60</f>
        <v>11.999999999999558</v>
      </c>
      <c r="W18" s="149">
        <f t="shared" si="17"/>
        <v>65.000000000000171</v>
      </c>
      <c r="X18" s="22"/>
      <c r="Y18" s="84"/>
      <c r="Z18" s="90"/>
      <c r="AA18" s="90"/>
      <c r="AB18" s="395"/>
      <c r="AC18" s="395"/>
      <c r="AD18" s="92"/>
      <c r="AE18" s="92"/>
      <c r="AF18" s="307">
        <f t="shared" si="13"/>
        <v>-207.38461538462002</v>
      </c>
      <c r="AG18" s="72">
        <f t="shared" si="14"/>
        <v>0.89630769230769003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3682</v>
      </c>
      <c r="H19" s="78">
        <f>F19*G19</f>
        <v>185535.98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5"/>
        <v>181.81818181818181</v>
      </c>
      <c r="M19" s="148">
        <v>11</v>
      </c>
      <c r="N19" s="95">
        <f t="shared" si="16"/>
        <v>1990.2702702702513</v>
      </c>
      <c r="O19" s="96">
        <f t="shared" si="18"/>
        <v>180.93366093365921</v>
      </c>
      <c r="P19" s="97">
        <f t="shared" si="10"/>
        <v>0</v>
      </c>
      <c r="Q19" s="98">
        <f t="shared" si="11"/>
        <v>-0.88452088452260114</v>
      </c>
      <c r="R19" s="99">
        <f t="shared" si="12"/>
        <v>0.99513513513512575</v>
      </c>
      <c r="S19" s="418"/>
      <c r="T19" s="19">
        <v>0.54097222222222197</v>
      </c>
      <c r="U19" s="19">
        <v>0.61805555555555602</v>
      </c>
      <c r="V19" s="30">
        <f>(T19-U18)*24*60</f>
        <v>90.999999999999275</v>
      </c>
      <c r="W19" s="149">
        <f t="shared" si="17"/>
        <v>111.00000000000105</v>
      </c>
      <c r="X19" s="22">
        <v>0.48611111111111099</v>
      </c>
      <c r="Y19" s="84">
        <v>0.52777777777777801</v>
      </c>
      <c r="Z19" s="90"/>
      <c r="AA19" s="90"/>
      <c r="AB19" s="407"/>
      <c r="AC19" s="407"/>
      <c r="AD19" s="149"/>
      <c r="AE19" s="149"/>
      <c r="AF19" s="307">
        <f t="shared" si="13"/>
        <v>-9.7297297297486693</v>
      </c>
      <c r="AG19" s="72">
        <f t="shared" si="14"/>
        <v>0.99513513513512564</v>
      </c>
      <c r="AH19" s="405"/>
    </row>
    <row r="20" spans="1:34" ht="15" customHeight="1">
      <c r="A20" s="414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8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7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0">AVERAGE(J16:J25)</f>
        <v>11.5</v>
      </c>
      <c r="K26" s="155">
        <f t="shared" si="20"/>
        <v>2026.25</v>
      </c>
      <c r="L26" s="158">
        <f t="shared" si="20"/>
        <v>176.42992424242425</v>
      </c>
      <c r="M26" s="155">
        <f t="shared" si="20"/>
        <v>11.5</v>
      </c>
      <c r="N26" s="155">
        <f t="shared" si="20"/>
        <v>1946.5309375309384</v>
      </c>
      <c r="O26" s="158">
        <f t="shared" si="20"/>
        <v>169.37546762546765</v>
      </c>
      <c r="P26" s="159">
        <f t="shared" ref="P26:P31" si="21">M26-J26</f>
        <v>0</v>
      </c>
      <c r="Q26" s="160">
        <f t="shared" ref="Q26:Q31" si="22">O26-L26</f>
        <v>-7.0544566169565996</v>
      </c>
      <c r="R26" s="161">
        <f>O26/L26</f>
        <v>0.96001553224461289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0</v>
      </c>
      <c r="AE26" s="323">
        <f>SUM(AE16:AE25)</f>
        <v>0</v>
      </c>
      <c r="AF26" s="309">
        <f t="shared" ref="AF26:AF31" si="23">N26-K26</f>
        <v>-79.719062469061555</v>
      </c>
      <c r="AG26" s="124">
        <f t="shared" ref="AG26:AG31" si="24">N26/K26</f>
        <v>0.96065684764019166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1497</v>
      </c>
      <c r="H27" s="134">
        <f>F27*G27</f>
        <v>85778.099999999991</v>
      </c>
      <c r="I27" s="135"/>
      <c r="J27" s="136">
        <v>15</v>
      </c>
      <c r="K27" s="137">
        <f>VLOOKUP(D27,產線配置圖!$A$3:$C$39,3,0)</f>
        <v>1500</v>
      </c>
      <c r="L27" s="138">
        <f t="shared" ref="L27:L31" si="25">K27/J27</f>
        <v>100</v>
      </c>
      <c r="M27" s="170">
        <v>13</v>
      </c>
      <c r="N27" s="140">
        <f>G27/W27*60</f>
        <v>1283.1428571428603</v>
      </c>
      <c r="O27" s="141">
        <f>N27/M27</f>
        <v>98.703296703296942</v>
      </c>
      <c r="P27" s="142">
        <f t="shared" si="21"/>
        <v>-2</v>
      </c>
      <c r="Q27" s="143">
        <f t="shared" si="22"/>
        <v>-1.2967032967030576</v>
      </c>
      <c r="R27" s="144">
        <f>O27/L27</f>
        <v>0.98703296703296939</v>
      </c>
      <c r="S27" s="417">
        <f>R37</f>
        <v>0.956955654939733</v>
      </c>
      <c r="T27" s="171">
        <v>0.29166666666666702</v>
      </c>
      <c r="U27" s="171">
        <v>0.34027777777777801</v>
      </c>
      <c r="V27" s="135"/>
      <c r="W27" s="146">
        <f t="shared" si="17"/>
        <v>69.999999999999829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3"/>
        <v>-216.85714285713971</v>
      </c>
      <c r="AG27" s="172">
        <f t="shared" si="24"/>
        <v>0.85542857142857354</v>
      </c>
      <c r="AH27" s="403">
        <f>AG37</f>
        <v>0.91696572352479744</v>
      </c>
    </row>
    <row r="28" spans="1:34" ht="15" customHeight="1">
      <c r="A28" s="430"/>
      <c r="B28" s="75" t="s">
        <v>123</v>
      </c>
      <c r="C28" s="173"/>
      <c r="D28" s="59" t="s">
        <v>127</v>
      </c>
      <c r="E28" s="104"/>
      <c r="F28" s="75">
        <f>VLOOKUP(D28,廠價表!$C$1:$E$41,3,0)</f>
        <v>49.91</v>
      </c>
      <c r="G28" s="90">
        <v>1849</v>
      </c>
      <c r="H28" s="91">
        <f>F28*G28</f>
        <v>92283.59</v>
      </c>
      <c r="I28" s="92"/>
      <c r="J28" s="79">
        <v>15</v>
      </c>
      <c r="K28" s="80">
        <f>VLOOKUP(D28,產線配置圖!$A$3:$C$39,3,0)</f>
        <v>1565</v>
      </c>
      <c r="L28" s="93">
        <f t="shared" si="25"/>
        <v>104.33333333333333</v>
      </c>
      <c r="M28" s="94">
        <v>14</v>
      </c>
      <c r="N28" s="95">
        <f>G28/W28*60</f>
        <v>1386.7499999999882</v>
      </c>
      <c r="O28" s="96">
        <f>N28/M28</f>
        <v>99.053571428570578</v>
      </c>
      <c r="P28" s="97">
        <f t="shared" si="21"/>
        <v>-1</v>
      </c>
      <c r="Q28" s="98">
        <f t="shared" si="22"/>
        <v>-5.2797619047627506</v>
      </c>
      <c r="R28" s="99">
        <f t="shared" ref="R28:R31" si="26">O28/L28</f>
        <v>0.94939525330898322</v>
      </c>
      <c r="S28" s="418"/>
      <c r="T28" s="19">
        <v>0.34722222222222199</v>
      </c>
      <c r="U28" s="19">
        <v>0.40277777777777801</v>
      </c>
      <c r="V28" s="92">
        <f>(T28-U27)*24*60</f>
        <v>9.999999999999325</v>
      </c>
      <c r="W28" s="149">
        <f t="shared" si="17"/>
        <v>80.000000000000682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3"/>
        <v>-178.25000000001182</v>
      </c>
      <c r="AG28" s="99">
        <f t="shared" si="24"/>
        <v>0.8861022364217177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1625</v>
      </c>
      <c r="H29" s="91">
        <f>F29*G29</f>
        <v>80470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5"/>
        <v>96</v>
      </c>
      <c r="M29" s="94">
        <v>15</v>
      </c>
      <c r="N29" s="95">
        <f>G29/W29*60</f>
        <v>1373.2394366197061</v>
      </c>
      <c r="O29" s="96">
        <f>N29/M29</f>
        <v>91.549295774647078</v>
      </c>
      <c r="P29" s="97">
        <f t="shared" si="21"/>
        <v>0</v>
      </c>
      <c r="Q29" s="98">
        <f t="shared" si="22"/>
        <v>-4.4507042253529221</v>
      </c>
      <c r="R29" s="99">
        <f t="shared" si="26"/>
        <v>0.95363849765257369</v>
      </c>
      <c r="S29" s="418"/>
      <c r="T29" s="19">
        <v>0.40972222222222199</v>
      </c>
      <c r="U29" s="19">
        <v>0.45902777777777798</v>
      </c>
      <c r="V29" s="92">
        <f>(T29-U28)*24*60</f>
        <v>9.999999999999325</v>
      </c>
      <c r="W29" s="149">
        <f t="shared" si="17"/>
        <v>71.000000000000625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3"/>
        <v>-66.760563380293888</v>
      </c>
      <c r="AG29" s="99">
        <f t="shared" si="24"/>
        <v>0.95363849765257369</v>
      </c>
      <c r="AH29" s="432"/>
    </row>
    <row r="30" spans="1:34" ht="15" customHeight="1">
      <c r="A30" s="430"/>
      <c r="B30" s="75" t="s">
        <v>123</v>
      </c>
      <c r="C30" s="88"/>
      <c r="D30" s="59" t="s">
        <v>124</v>
      </c>
      <c r="E30" s="89"/>
      <c r="F30" s="75">
        <f>VLOOKUP(D30,廠價表!$C$1:$E$41,3,0)</f>
        <v>49.52</v>
      </c>
      <c r="G30" s="90">
        <v>894</v>
      </c>
      <c r="H30" s="91">
        <f t="shared" ref="H30:H31" si="27">F30*G30</f>
        <v>44270.880000000005</v>
      </c>
      <c r="I30" s="92"/>
      <c r="J30" s="79">
        <f>VLOOKUP(D30,產線配置圖!$A$3:$C$39,2,0)</f>
        <v>15</v>
      </c>
      <c r="K30" s="80">
        <f>VLOOKUP(D30,產線配置圖!$A$3:$C$39,3,0)</f>
        <v>1440</v>
      </c>
      <c r="L30" s="93">
        <f t="shared" si="25"/>
        <v>96</v>
      </c>
      <c r="M30" s="94">
        <v>15</v>
      </c>
      <c r="N30" s="95">
        <f t="shared" ref="N30:N31" si="28">G30/W30*60</f>
        <v>1340.9999999999941</v>
      </c>
      <c r="O30" s="96">
        <f t="shared" ref="O30:O31" si="29">N30/M30</f>
        <v>89.399999999999608</v>
      </c>
      <c r="P30" s="97">
        <f t="shared" si="21"/>
        <v>0</v>
      </c>
      <c r="Q30" s="98">
        <f t="shared" si="22"/>
        <v>-6.6000000000003922</v>
      </c>
      <c r="R30" s="99">
        <f t="shared" si="26"/>
        <v>0.93124999999999591</v>
      </c>
      <c r="S30" s="418"/>
      <c r="T30" s="19">
        <v>0.51736111111111105</v>
      </c>
      <c r="U30" s="19">
        <v>0.54513888888888895</v>
      </c>
      <c r="V30" s="92">
        <f>(T30-U29)*24*60</f>
        <v>83.999999999999616</v>
      </c>
      <c r="W30" s="149">
        <f t="shared" si="17"/>
        <v>40.000000000000178</v>
      </c>
      <c r="X30" s="174">
        <v>0.46527777777777801</v>
      </c>
      <c r="Y30" s="301">
        <v>0.50694444444444398</v>
      </c>
      <c r="Z30" s="335"/>
      <c r="AA30" s="335"/>
      <c r="AB30" s="395"/>
      <c r="AC30" s="395"/>
      <c r="AD30" s="92"/>
      <c r="AE30" s="92"/>
      <c r="AF30" s="312">
        <f t="shared" si="23"/>
        <v>-99.000000000005912</v>
      </c>
      <c r="AG30" s="99">
        <f t="shared" si="24"/>
        <v>0.93124999999999591</v>
      </c>
      <c r="AH30" s="433"/>
    </row>
    <row r="31" spans="1:34" ht="15" customHeight="1">
      <c r="A31" s="430"/>
      <c r="B31" s="75" t="s">
        <v>123</v>
      </c>
      <c r="C31" s="88"/>
      <c r="D31" s="59" t="s">
        <v>128</v>
      </c>
      <c r="E31" s="89"/>
      <c r="F31" s="75">
        <f>VLOOKUP(D31,廠價表!$C$1:$E$41,3,0)</f>
        <v>44.3</v>
      </c>
      <c r="G31" s="90">
        <v>3261</v>
      </c>
      <c r="H31" s="91">
        <f t="shared" si="27"/>
        <v>144462.29999999999</v>
      </c>
      <c r="I31" s="92"/>
      <c r="J31" s="79">
        <f>VLOOKUP(D31,產線配置圖!$A$3:$C$39,2,0)</f>
        <v>17</v>
      </c>
      <c r="K31" s="80">
        <f>VLOOKUP(D31,產線配置圖!$A$3:$C$39,3,0)</f>
        <v>1440</v>
      </c>
      <c r="L31" s="93">
        <f t="shared" si="25"/>
        <v>84.705882352941174</v>
      </c>
      <c r="M31" s="94">
        <v>17</v>
      </c>
      <c r="N31" s="95">
        <f t="shared" si="28"/>
        <v>1387.6595744680808</v>
      </c>
      <c r="O31" s="96">
        <f t="shared" si="29"/>
        <v>81.627033792240042</v>
      </c>
      <c r="P31" s="97">
        <f t="shared" si="21"/>
        <v>0</v>
      </c>
      <c r="Q31" s="98">
        <f t="shared" si="22"/>
        <v>-3.0788485607011324</v>
      </c>
      <c r="R31" s="99">
        <f t="shared" si="26"/>
        <v>0.96365248226950051</v>
      </c>
      <c r="S31" s="418"/>
      <c r="T31" s="19">
        <v>0.55208333333333304</v>
      </c>
      <c r="U31" s="19">
        <v>0.65</v>
      </c>
      <c r="V31" s="92">
        <f>(T31-U30)*24*60</f>
        <v>9.9999999999994849</v>
      </c>
      <c r="W31" s="149">
        <f t="shared" si="17"/>
        <v>141.00000000000045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3"/>
        <v>-52.340425531919209</v>
      </c>
      <c r="AG31" s="99">
        <f t="shared" si="24"/>
        <v>0.96365248226950051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30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1">AVERAGE(J27:J36)</f>
        <v>15.4</v>
      </c>
      <c r="K37" s="155">
        <f t="shared" si="31"/>
        <v>1477</v>
      </c>
      <c r="L37" s="158">
        <f t="shared" si="31"/>
        <v>96.207843137254898</v>
      </c>
      <c r="M37" s="155">
        <f t="shared" si="31"/>
        <v>14.8</v>
      </c>
      <c r="N37" s="155">
        <f t="shared" si="31"/>
        <v>1354.3583736461258</v>
      </c>
      <c r="O37" s="158">
        <f t="shared" si="31"/>
        <v>92.066639539750852</v>
      </c>
      <c r="P37" s="159">
        <f>M37-J37</f>
        <v>-0.59999999999999964</v>
      </c>
      <c r="Q37" s="160">
        <f>N37-K37</f>
        <v>-122.64162635387424</v>
      </c>
      <c r="R37" s="161">
        <f t="shared" ref="R37:R41" si="32">O37/L37</f>
        <v>0.956955654939733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3">N37-K37</f>
        <v>-122.64162635387424</v>
      </c>
      <c r="AG37" s="124">
        <f t="shared" ref="AG37:AG41" si="34">N37/K37</f>
        <v>0.91696572352479744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125</v>
      </c>
      <c r="E38" s="185"/>
      <c r="F38" s="39">
        <f>VLOOKUP(D38,廠價表!$C$1:$E$41,3,0)</f>
        <v>56.43</v>
      </c>
      <c r="G38" s="186">
        <v>1536</v>
      </c>
      <c r="H38" s="134">
        <f>F38*G38</f>
        <v>86676.479999999996</v>
      </c>
      <c r="I38" s="135"/>
      <c r="J38" s="187">
        <f>VLOOKUP(D38,產線配置圖!$A$3:$C$39,2,0)</f>
        <v>16</v>
      </c>
      <c r="K38" s="188">
        <f>VLOOKUP(D38,產線配置圖!$A$3:$C$39,3,0)</f>
        <v>1406</v>
      </c>
      <c r="L38" s="189">
        <f t="shared" ref="L38:L41" si="35">K38/J38</f>
        <v>87.875</v>
      </c>
      <c r="M38" s="190">
        <v>14</v>
      </c>
      <c r="N38" s="140">
        <f>G38/W38*60</f>
        <v>1024</v>
      </c>
      <c r="O38" s="141">
        <f>N38/M38</f>
        <v>73.142857142857139</v>
      </c>
      <c r="P38" s="142">
        <f t="shared" ref="P38:P41" si="36">M38-J38</f>
        <v>-2</v>
      </c>
      <c r="Q38" s="143">
        <f t="shared" ref="Q38:Q41" si="37">O38-L38</f>
        <v>-14.732142857142861</v>
      </c>
      <c r="R38" s="144">
        <f>O38/L38</f>
        <v>0.83235114814062183</v>
      </c>
      <c r="S38" s="437">
        <f>R48</f>
        <v>0.91486710277409433</v>
      </c>
      <c r="T38" s="191">
        <v>0.33333333333333298</v>
      </c>
      <c r="U38" s="191">
        <v>0.39583333333333298</v>
      </c>
      <c r="V38" s="192"/>
      <c r="W38" s="193">
        <f t="shared" si="17"/>
        <v>90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3"/>
        <v>-382</v>
      </c>
      <c r="AG38" s="195">
        <f t="shared" si="34"/>
        <v>0.72830725462304413</v>
      </c>
      <c r="AH38" s="443">
        <f>AG48</f>
        <v>0.86433793832371231</v>
      </c>
    </row>
    <row r="39" spans="1:34" ht="15" customHeight="1">
      <c r="A39" s="435"/>
      <c r="B39" s="75" t="s">
        <v>81</v>
      </c>
      <c r="C39" s="197"/>
      <c r="D39" s="198" t="s">
        <v>136</v>
      </c>
      <c r="E39" s="176"/>
      <c r="F39" s="75">
        <f>VLOOKUP(D39,廠價表!$C$1:$E$41,3,0)</f>
        <v>50.67</v>
      </c>
      <c r="G39" s="199">
        <v>984</v>
      </c>
      <c r="H39" s="91">
        <f>F39*G39</f>
        <v>49859.28</v>
      </c>
      <c r="I39" s="200"/>
      <c r="J39" s="148">
        <v>15</v>
      </c>
      <c r="K39" s="95">
        <v>1440</v>
      </c>
      <c r="L39" s="96">
        <f t="shared" si="35"/>
        <v>96</v>
      </c>
      <c r="M39" s="201">
        <v>15</v>
      </c>
      <c r="N39" s="202">
        <f>G39/W39*60</f>
        <v>1439.9999999999602</v>
      </c>
      <c r="O39" s="203">
        <f t="shared" ref="O39:O41" si="38">N39/M39</f>
        <v>95.999999999997343</v>
      </c>
      <c r="P39" s="97">
        <f t="shared" si="36"/>
        <v>0</v>
      </c>
      <c r="Q39" s="98">
        <f t="shared" si="37"/>
        <v>-2.6574298317427747E-12</v>
      </c>
      <c r="R39" s="99">
        <f t="shared" si="32"/>
        <v>0.99999999999997236</v>
      </c>
      <c r="S39" s="438"/>
      <c r="T39" s="20">
        <v>0.40208333333333302</v>
      </c>
      <c r="U39" s="20">
        <v>0.43055555555555602</v>
      </c>
      <c r="V39" s="92">
        <f>(T39-U38)*24*60</f>
        <v>9.000000000000048</v>
      </c>
      <c r="W39" s="205">
        <f t="shared" si="17"/>
        <v>41.000000000001137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3"/>
        <v>-3.979039320256561E-11</v>
      </c>
      <c r="AG39" s="206">
        <f t="shared" si="34"/>
        <v>0.99999999999997236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1860</v>
      </c>
      <c r="H40" s="91">
        <f>F40*G40</f>
        <v>82398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5"/>
        <v>84.705882352941174</v>
      </c>
      <c r="M40" s="201">
        <v>15</v>
      </c>
      <c r="N40" s="202">
        <f>G40/W40*60</f>
        <v>1253.9325842696539</v>
      </c>
      <c r="O40" s="203">
        <f t="shared" si="38"/>
        <v>83.595505617976926</v>
      </c>
      <c r="P40" s="97">
        <f t="shared" si="36"/>
        <v>-2</v>
      </c>
      <c r="Q40" s="98">
        <f t="shared" si="37"/>
        <v>-1.1103767349642482</v>
      </c>
      <c r="R40" s="99">
        <f t="shared" si="32"/>
        <v>0.98689138576778324</v>
      </c>
      <c r="S40" s="425"/>
      <c r="T40" s="20">
        <v>0.43611111111111101</v>
      </c>
      <c r="U40" s="20">
        <v>0.49791666666666701</v>
      </c>
      <c r="V40" s="92">
        <f>(T40-U39)*24*60</f>
        <v>7.9999999999991722</v>
      </c>
      <c r="W40" s="205">
        <f t="shared" si="17"/>
        <v>89.000000000000639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3"/>
        <v>-186.06741573034606</v>
      </c>
      <c r="AG40" s="206">
        <f t="shared" si="34"/>
        <v>0.87078651685392638</v>
      </c>
      <c r="AH40" s="444"/>
    </row>
    <row r="41" spans="1:34" ht="15" customHeight="1">
      <c r="A41" s="435"/>
      <c r="B41" s="75" t="s">
        <v>81</v>
      </c>
      <c r="C41" s="207"/>
      <c r="D41" s="198" t="s">
        <v>136</v>
      </c>
      <c r="E41" s="178"/>
      <c r="F41" s="75">
        <f>VLOOKUP(D41,廠價表!$C$1:$E$41,3,0)</f>
        <v>50.67</v>
      </c>
      <c r="G41" s="199">
        <v>1918</v>
      </c>
      <c r="H41" s="91">
        <f>F41*G41</f>
        <v>97185.06</v>
      </c>
      <c r="I41" s="200"/>
      <c r="J41" s="148">
        <f>VLOOKUP(D41,產線配置圖!$A$3:$C$39,2,0)</f>
        <v>10</v>
      </c>
      <c r="K41" s="95">
        <f>VLOOKUP(D41,產線配置圖!$A$3:$C$39,3,0)</f>
        <v>1125</v>
      </c>
      <c r="L41" s="96">
        <f t="shared" si="35"/>
        <v>112.5</v>
      </c>
      <c r="M41" s="201">
        <v>10</v>
      </c>
      <c r="N41" s="202">
        <f>G41/W41*60</f>
        <v>958.99999999999318</v>
      </c>
      <c r="O41" s="203">
        <f t="shared" si="38"/>
        <v>95.899999999999324</v>
      </c>
      <c r="P41" s="97">
        <f t="shared" si="36"/>
        <v>0</v>
      </c>
      <c r="Q41" s="98">
        <f t="shared" si="37"/>
        <v>-16.600000000000676</v>
      </c>
      <c r="R41" s="99">
        <f t="shared" si="32"/>
        <v>0.85244444444443845</v>
      </c>
      <c r="S41" s="425"/>
      <c r="T41" s="20">
        <v>0.55208333333333304</v>
      </c>
      <c r="U41" s="210">
        <v>0.63541666666666696</v>
      </c>
      <c r="V41" s="92">
        <f>(T41-U40)*24*60</f>
        <v>77.999999999999091</v>
      </c>
      <c r="W41" s="205">
        <f t="shared" si="17"/>
        <v>120.00000000000085</v>
      </c>
      <c r="X41" s="208">
        <v>0.5</v>
      </c>
      <c r="Y41" s="209">
        <v>0.54166666666666696</v>
      </c>
      <c r="Z41" s="337"/>
      <c r="AA41" s="337"/>
      <c r="AB41" s="395"/>
      <c r="AC41" s="395"/>
      <c r="AD41" s="92"/>
      <c r="AE41" s="92"/>
      <c r="AF41" s="314">
        <f t="shared" si="33"/>
        <v>-166.00000000000682</v>
      </c>
      <c r="AG41" s="206">
        <f t="shared" si="34"/>
        <v>0.85244444444443834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9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9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9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30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9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40">AVERAGE(J38:J47)</f>
        <v>14.5</v>
      </c>
      <c r="K48" s="155">
        <f t="shared" si="40"/>
        <v>1352.75</v>
      </c>
      <c r="L48" s="158">
        <f t="shared" si="40"/>
        <v>95.27022058823529</v>
      </c>
      <c r="M48" s="155">
        <f t="shared" si="40"/>
        <v>13.5</v>
      </c>
      <c r="N48" s="155">
        <f t="shared" si="40"/>
        <v>1169.2331460674018</v>
      </c>
      <c r="O48" s="158">
        <f t="shared" si="40"/>
        <v>87.159590690207693</v>
      </c>
      <c r="P48" s="221">
        <f>M48-J48</f>
        <v>-1</v>
      </c>
      <c r="Q48" s="222">
        <f>N48-K48</f>
        <v>-183.51685393259822</v>
      </c>
      <c r="R48" s="223">
        <f>O48/L48</f>
        <v>0.91486710277409433</v>
      </c>
      <c r="S48" s="428"/>
      <c r="T48" s="224"/>
      <c r="U48" s="224"/>
      <c r="V48" s="225"/>
      <c r="W48" s="226">
        <f t="shared" si="39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41">N48-K48</f>
        <v>-183.51685393259822</v>
      </c>
      <c r="AG48" s="162">
        <f t="shared" ref="AG48:AG53" si="42">N48/K48</f>
        <v>0.86433793832371231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129</v>
      </c>
      <c r="E49" s="132"/>
      <c r="F49" s="129">
        <f>VLOOKUP(D49,廠價表!$C$1:$E$41,3,0)</f>
        <v>56.87</v>
      </c>
      <c r="G49" s="228">
        <v>1370</v>
      </c>
      <c r="H49" s="134">
        <f>F49*G49</f>
        <v>77911.899999999994</v>
      </c>
      <c r="I49" s="135"/>
      <c r="J49" s="136">
        <f>VLOOKUP(D49,產線配置圖!$A$3:$C$39,2,0)</f>
        <v>18</v>
      </c>
      <c r="K49" s="137">
        <f>VLOOKUP(D49,產線配置圖!$A$3:$C$39,3,0)</f>
        <v>1565</v>
      </c>
      <c r="L49" s="138">
        <f t="shared" ref="L49:L53" si="43">K49/J49</f>
        <v>86.944444444444443</v>
      </c>
      <c r="M49" s="170">
        <v>16</v>
      </c>
      <c r="N49" s="140">
        <f>G49/W49*60</f>
        <v>1369.9999999999905</v>
      </c>
      <c r="O49" s="141">
        <f>N49/M49</f>
        <v>85.624999999999403</v>
      </c>
      <c r="P49" s="229">
        <f>M49-J49</f>
        <v>-2</v>
      </c>
      <c r="Q49" s="230">
        <f>O49-L49</f>
        <v>-1.3194444444450397</v>
      </c>
      <c r="R49" s="52">
        <f>O49/L49</f>
        <v>0.98482428115015286</v>
      </c>
      <c r="S49" s="424">
        <f>R58</f>
        <v>0.98555843799523413</v>
      </c>
      <c r="T49" s="191">
        <v>0.28958333333333303</v>
      </c>
      <c r="U49" s="191">
        <v>0.33124999999999999</v>
      </c>
      <c r="V49" s="55"/>
      <c r="W49" s="193">
        <f t="shared" si="17"/>
        <v>60.000000000000426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41"/>
        <v>-195.00000000000955</v>
      </c>
      <c r="AG49" s="52">
        <f t="shared" si="42"/>
        <v>0.87539936102235816</v>
      </c>
      <c r="AH49" s="403">
        <f>AG58</f>
        <v>0.91876669505558384</v>
      </c>
    </row>
    <row r="50" spans="1:34" ht="15" customHeight="1">
      <c r="A50" s="453"/>
      <c r="B50" s="75" t="s">
        <v>81</v>
      </c>
      <c r="C50" s="76"/>
      <c r="D50" s="59" t="s">
        <v>130</v>
      </c>
      <c r="E50" s="77"/>
      <c r="F50" s="75">
        <f>VLOOKUP(D50,廠價表!$C$1:$E$41,3,0)</f>
        <v>47.71</v>
      </c>
      <c r="G50" s="202">
        <v>2661</v>
      </c>
      <c r="H50" s="231">
        <f>F50*G50</f>
        <v>126956.31</v>
      </c>
      <c r="I50" s="232"/>
      <c r="J50" s="79">
        <f>VLOOKUP(D50,產線配置圖!$A$3:$C$39,2,0)</f>
        <v>16</v>
      </c>
      <c r="K50" s="80">
        <f>VLOOKUP(D50,產線配置圖!$A$3:$C$39,3,0)</f>
        <v>1440</v>
      </c>
      <c r="L50" s="81">
        <f t="shared" si="43"/>
        <v>90</v>
      </c>
      <c r="M50" s="233">
        <v>16</v>
      </c>
      <c r="N50" s="234">
        <f>G50/W50*60</f>
        <v>1438.3783783783845</v>
      </c>
      <c r="O50" s="235">
        <f>N50/M50</f>
        <v>89.898648648649029</v>
      </c>
      <c r="P50" s="74">
        <f>M50-J50</f>
        <v>0</v>
      </c>
      <c r="Q50" s="83">
        <f>O50-L50</f>
        <v>-0.10135135135097073</v>
      </c>
      <c r="R50" s="72">
        <f>O50/L50</f>
        <v>0.99887387387387805</v>
      </c>
      <c r="S50" s="425"/>
      <c r="T50" s="21">
        <v>0.33541666666666697</v>
      </c>
      <c r="U50" s="21">
        <v>0.41249999999999998</v>
      </c>
      <c r="V50" s="30">
        <f t="shared" ref="V50:V53" si="44">(T50-U49)*24*60</f>
        <v>6.0000000000004583</v>
      </c>
      <c r="W50" s="236">
        <f t="shared" si="17"/>
        <v>110.99999999999953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1"/>
        <v>-1.6216216216155317</v>
      </c>
      <c r="AG50" s="72">
        <f t="shared" si="42"/>
        <v>0.99887387387387805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2540</v>
      </c>
      <c r="H51" s="231">
        <f>F51*G51</f>
        <v>126923.8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3"/>
        <v>88.888888888888886</v>
      </c>
      <c r="M51" s="233">
        <v>16</v>
      </c>
      <c r="N51" s="234">
        <f>G51/W51*60</f>
        <v>1411.1111111111109</v>
      </c>
      <c r="O51" s="235">
        <f>N51/M51</f>
        <v>88.194444444444429</v>
      </c>
      <c r="P51" s="74">
        <f>M51-J51</f>
        <v>-2</v>
      </c>
      <c r="Q51" s="83">
        <f>O51-L51</f>
        <v>-0.69444444444445708</v>
      </c>
      <c r="R51" s="72">
        <f>O51/L51</f>
        <v>0.99218749999999989</v>
      </c>
      <c r="S51" s="425"/>
      <c r="T51" s="21">
        <v>0.41736111111111102</v>
      </c>
      <c r="U51" s="19">
        <v>0.49236111111111103</v>
      </c>
      <c r="V51" s="30">
        <f t="shared" si="44"/>
        <v>6.9999999999998952</v>
      </c>
      <c r="W51" s="236">
        <f t="shared" si="17"/>
        <v>108.00000000000001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41"/>
        <v>-188.88888888888914</v>
      </c>
      <c r="AG51" s="72">
        <f t="shared" si="42"/>
        <v>0.88194444444444431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2815</v>
      </c>
      <c r="H52" s="231">
        <f t="shared" ref="H52:H53" si="45">F52*G52</f>
        <v>140665.54999999999</v>
      </c>
      <c r="I52" s="232"/>
      <c r="J52" s="79">
        <f>VLOOKUP(D52,產線配置圖!$A$3:$C$39,2,0)</f>
        <v>18</v>
      </c>
      <c r="K52" s="80">
        <f>VLOOKUP(D52,產線配置圖!$A$3:$C$39,3,0)</f>
        <v>1600</v>
      </c>
      <c r="L52" s="81">
        <f t="shared" si="43"/>
        <v>88.888888888888886</v>
      </c>
      <c r="M52" s="233">
        <v>16</v>
      </c>
      <c r="N52" s="234">
        <f t="shared" ref="N52:N53" si="46">G52/W52*60</f>
        <v>1419.3277310924345</v>
      </c>
      <c r="O52" s="235">
        <f t="shared" ref="O52:O53" si="47">N52/M52</f>
        <v>88.707983193277158</v>
      </c>
      <c r="P52" s="74">
        <f t="shared" ref="P52:P53" si="48">M52-J52</f>
        <v>-2</v>
      </c>
      <c r="Q52" s="83">
        <f t="shared" ref="Q52:Q53" si="49">O52-L52</f>
        <v>-0.18090569561172742</v>
      </c>
      <c r="R52" s="72">
        <f t="shared" ref="R52:R53" si="50">O52/L52</f>
        <v>0.99796481092436806</v>
      </c>
      <c r="S52" s="425"/>
      <c r="T52" s="21">
        <v>0.54583333333333295</v>
      </c>
      <c r="U52" s="21">
        <v>0.62847222222222199</v>
      </c>
      <c r="V52" s="30">
        <f t="shared" si="44"/>
        <v>76.999999999999574</v>
      </c>
      <c r="W52" s="236">
        <f t="shared" si="17"/>
        <v>119.00000000000021</v>
      </c>
      <c r="X52" s="22">
        <v>0.5</v>
      </c>
      <c r="Y52" s="84">
        <v>0.54166666666666696</v>
      </c>
      <c r="Z52" s="90"/>
      <c r="AA52" s="90"/>
      <c r="AB52" s="395"/>
      <c r="AC52" s="395"/>
      <c r="AD52" s="92"/>
      <c r="AE52" s="92"/>
      <c r="AF52" s="307">
        <f t="shared" si="41"/>
        <v>-180.67226890756547</v>
      </c>
      <c r="AG52" s="72">
        <f t="shared" si="42"/>
        <v>0.88707983193277162</v>
      </c>
      <c r="AH52" s="404"/>
    </row>
    <row r="53" spans="1:34" ht="15" customHeight="1">
      <c r="A53" s="453"/>
      <c r="B53" s="101" t="s">
        <v>123</v>
      </c>
      <c r="C53" s="102"/>
      <c r="D53" s="103" t="s">
        <v>127</v>
      </c>
      <c r="E53" s="104"/>
      <c r="F53" s="75">
        <f>VLOOKUP(D53,廠價表!$C$1:$E$41,3,0)</f>
        <v>49.91</v>
      </c>
      <c r="G53" s="202">
        <v>600</v>
      </c>
      <c r="H53" s="231">
        <f t="shared" si="45"/>
        <v>29945.999999999996</v>
      </c>
      <c r="I53" s="232"/>
      <c r="J53" s="79">
        <v>15</v>
      </c>
      <c r="K53" s="80">
        <f>VLOOKUP(D53,產線配置圖!$A$3:$C$39,3,0)</f>
        <v>1565</v>
      </c>
      <c r="L53" s="81">
        <f t="shared" si="43"/>
        <v>104.33333333333333</v>
      </c>
      <c r="M53" s="108">
        <v>15</v>
      </c>
      <c r="N53" s="234">
        <f t="shared" si="46"/>
        <v>1499.9999999999654</v>
      </c>
      <c r="O53" s="235">
        <f t="shared" si="47"/>
        <v>99.999999999997698</v>
      </c>
      <c r="P53" s="74">
        <f t="shared" si="48"/>
        <v>0</v>
      </c>
      <c r="Q53" s="83">
        <f t="shared" si="49"/>
        <v>-4.3333333333356308</v>
      </c>
      <c r="R53" s="72">
        <f t="shared" si="50"/>
        <v>0.95846645367409944</v>
      </c>
      <c r="S53" s="425"/>
      <c r="T53" s="21">
        <v>0.63472222222222197</v>
      </c>
      <c r="U53" s="21">
        <v>0.65138888888888902</v>
      </c>
      <c r="V53" s="30">
        <f t="shared" si="44"/>
        <v>8.999999999999968</v>
      </c>
      <c r="W53" s="236">
        <f t="shared" si="17"/>
        <v>24.000000000000554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41"/>
        <v>-65.000000000034561</v>
      </c>
      <c r="AG53" s="72">
        <f t="shared" si="42"/>
        <v>0.95846645367409933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51">AVERAGE(J49:J57)</f>
        <v>17</v>
      </c>
      <c r="K58" s="120">
        <f t="shared" si="51"/>
        <v>1554</v>
      </c>
      <c r="L58" s="117">
        <f t="shared" si="51"/>
        <v>91.811111111111117</v>
      </c>
      <c r="M58" s="120">
        <f t="shared" si="51"/>
        <v>15.8</v>
      </c>
      <c r="N58" s="120">
        <f t="shared" si="51"/>
        <v>1427.7634441163773</v>
      </c>
      <c r="O58" s="117">
        <f t="shared" si="51"/>
        <v>90.485215257273552</v>
      </c>
      <c r="P58" s="121">
        <f>M58-J58</f>
        <v>-1.1999999999999993</v>
      </c>
      <c r="Q58" s="122">
        <f>N58-K58</f>
        <v>-126.23655588362271</v>
      </c>
      <c r="R58" s="123">
        <f t="shared" ref="R58:R60" si="52">O58/L58</f>
        <v>0.98555843799523413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53">N58-K58</f>
        <v>-126.23655588362271</v>
      </c>
      <c r="AG58" s="124">
        <f t="shared" ref="AG58:AG61" si="54">N58/K58</f>
        <v>0.91876669505558384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3222</v>
      </c>
      <c r="H59" s="243">
        <f>F59*G59</f>
        <v>86961.78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55">K59/J59</f>
        <v>120.38461538461539</v>
      </c>
      <c r="M59" s="244">
        <v>13</v>
      </c>
      <c r="N59" s="137">
        <f t="shared" ref="N59:N61" si="56">G59/W59*60</f>
        <v>1559.0322580645177</v>
      </c>
      <c r="O59" s="138">
        <f t="shared" ref="O59:O61" si="57">N59/M59</f>
        <v>119.92555831265521</v>
      </c>
      <c r="P59" s="56">
        <f t="shared" ref="P59:P61" si="58">M59-J59</f>
        <v>0</v>
      </c>
      <c r="Q59" s="230">
        <f t="shared" ref="Q59:Q61" si="59">O59-L59</f>
        <v>-0.45905707196017431</v>
      </c>
      <c r="R59" s="52">
        <f t="shared" si="52"/>
        <v>0.99618674636710403</v>
      </c>
      <c r="S59" s="424">
        <f>R69</f>
        <v>0.92337963841893766</v>
      </c>
      <c r="T59" s="245">
        <v>0.28888888888888897</v>
      </c>
      <c r="U59" s="245">
        <v>0.375</v>
      </c>
      <c r="V59" s="55"/>
      <c r="W59" s="54">
        <f t="shared" si="17"/>
        <v>123.99999999999989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53"/>
        <v>-5.9677419354823087</v>
      </c>
      <c r="AG59" s="246">
        <f t="shared" si="54"/>
        <v>0.99618674636710391</v>
      </c>
      <c r="AH59" s="403">
        <f>AG69</f>
        <v>0.9252464873406856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1492</v>
      </c>
      <c r="H60" s="78">
        <f>F60*G60</f>
        <v>42163.920000000006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5"/>
        <v>130.41666666666666</v>
      </c>
      <c r="M60" s="82">
        <v>12</v>
      </c>
      <c r="N60" s="80">
        <f t="shared" si="56"/>
        <v>1491.9999999999875</v>
      </c>
      <c r="O60" s="81">
        <f t="shared" si="57"/>
        <v>124.33333333333229</v>
      </c>
      <c r="P60" s="74">
        <f t="shared" si="58"/>
        <v>0</v>
      </c>
      <c r="Q60" s="83">
        <f t="shared" si="59"/>
        <v>-6.083333333334366</v>
      </c>
      <c r="R60" s="72">
        <f t="shared" si="52"/>
        <v>0.95335463258785147</v>
      </c>
      <c r="S60" s="451"/>
      <c r="T60" s="22">
        <v>0.38194444444444398</v>
      </c>
      <c r="U60" s="22">
        <v>0.42361111111111099</v>
      </c>
      <c r="V60" s="30">
        <f t="shared" ref="V60:V61" si="60">(T60-U59)*24*60</f>
        <v>9.999999999999325</v>
      </c>
      <c r="W60" s="248">
        <f t="shared" si="17"/>
        <v>60.000000000000504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53"/>
        <v>-73.000000000012506</v>
      </c>
      <c r="AG60" s="249">
        <f t="shared" si="54"/>
        <v>0.95335463258785147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1724</v>
      </c>
      <c r="H61" s="254">
        <f>F61*G61</f>
        <v>48720.240000000005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5"/>
        <v>130.41666666666666</v>
      </c>
      <c r="M61" s="108">
        <v>12</v>
      </c>
      <c r="N61" s="107">
        <f t="shared" si="56"/>
        <v>1293.0000000000134</v>
      </c>
      <c r="O61" s="238">
        <f t="shared" si="57"/>
        <v>107.75000000000112</v>
      </c>
      <c r="P61" s="111">
        <f t="shared" si="58"/>
        <v>0</v>
      </c>
      <c r="Q61" s="255">
        <f t="shared" si="59"/>
        <v>-22.666666666665535</v>
      </c>
      <c r="R61" s="85">
        <f>O61/L61</f>
        <v>0.8261980830671013</v>
      </c>
      <c r="S61" s="425"/>
      <c r="T61" s="22">
        <v>0.43055555555555602</v>
      </c>
      <c r="U61" s="22">
        <v>0.48611111111111099</v>
      </c>
      <c r="V61" s="30">
        <f t="shared" si="60"/>
        <v>10.000000000000844</v>
      </c>
      <c r="W61" s="256">
        <f t="shared" si="17"/>
        <v>79.999999999999162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53"/>
        <v>-271.99999999998658</v>
      </c>
      <c r="AG61" s="247">
        <f t="shared" si="54"/>
        <v>0.82619808306710119</v>
      </c>
      <c r="AH61" s="404"/>
    </row>
    <row r="62" spans="1:34" ht="15" customHeight="1">
      <c r="A62" s="44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5"/>
      <c r="T62" s="22"/>
      <c r="U62" s="22"/>
      <c r="V62" s="30"/>
      <c r="W62" s="248">
        <f t="shared" si="17"/>
        <v>0</v>
      </c>
      <c r="X62" s="22"/>
      <c r="Y62" s="84"/>
      <c r="Z62" s="90"/>
      <c r="AA62" s="90"/>
      <c r="AB62" s="395"/>
      <c r="AC62" s="395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61">AVERAGE(J59:J68)</f>
        <v>12.333333333333334</v>
      </c>
      <c r="K69" s="240">
        <f t="shared" si="61"/>
        <v>1565</v>
      </c>
      <c r="L69" s="268">
        <f t="shared" si="61"/>
        <v>127.07264957264958</v>
      </c>
      <c r="M69" s="240">
        <f t="shared" si="61"/>
        <v>12.333333333333334</v>
      </c>
      <c r="N69" s="240">
        <f t="shared" si="61"/>
        <v>1448.0107526881729</v>
      </c>
      <c r="O69" s="268">
        <f t="shared" si="61"/>
        <v>117.33629721532954</v>
      </c>
      <c r="P69" s="269">
        <f>M69-J69</f>
        <v>0</v>
      </c>
      <c r="Q69" s="222">
        <f>N69-K69</f>
        <v>-116.98924731182706</v>
      </c>
      <c r="R69" s="123">
        <f>O69/L69</f>
        <v>0.92337963841893766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-116.98924731182706</v>
      </c>
      <c r="AG69" s="124">
        <f>N69/K69</f>
        <v>0.9252464873406856</v>
      </c>
      <c r="AH69" s="406"/>
    </row>
    <row r="70" spans="1:36" ht="15" customHeight="1">
      <c r="A70" s="456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424">
        <f>R79</f>
        <v>0</v>
      </c>
      <c r="T70" s="245"/>
      <c r="U70" s="245"/>
      <c r="V70" s="55"/>
      <c r="W70" s="54">
        <f t="shared" si="17"/>
        <v>0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0</v>
      </c>
      <c r="AG70" s="246" t="e">
        <f>N70/K70</f>
        <v>#DIV/0!</v>
      </c>
      <c r="AH70" s="403" t="e">
        <f>AG79</f>
        <v>#DIV/0!</v>
      </c>
    </row>
    <row r="71" spans="1:36" ht="15" customHeight="1">
      <c r="A71" s="457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425"/>
      <c r="T71" s="22"/>
      <c r="U71" s="22"/>
      <c r="V71" s="30"/>
      <c r="W71" s="73">
        <f t="shared" si="17"/>
        <v>0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425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62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62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62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62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T1:Y2"/>
    <mergeCell ref="AB1:AC2"/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R3:R4"/>
    <mergeCell ref="A2:B2"/>
    <mergeCell ref="A3:A4"/>
    <mergeCell ref="B3:B4"/>
    <mergeCell ref="D3:E4"/>
    <mergeCell ref="F3:F4"/>
    <mergeCell ref="P1:S2"/>
    <mergeCell ref="A5:A15"/>
    <mergeCell ref="S5:S15"/>
    <mergeCell ref="AB5:AC5"/>
    <mergeCell ref="AH5:AH15"/>
    <mergeCell ref="AB6:AC6"/>
    <mergeCell ref="AB7:AC7"/>
    <mergeCell ref="H3:H4"/>
    <mergeCell ref="I3:I4"/>
    <mergeCell ref="AB14:AC14"/>
    <mergeCell ref="D15:E15"/>
    <mergeCell ref="AB15:AC15"/>
    <mergeCell ref="AB8:AC8"/>
    <mergeCell ref="AB9:AC9"/>
    <mergeCell ref="AB10:AC10"/>
    <mergeCell ref="AB11:AC11"/>
    <mergeCell ref="AB12:AC12"/>
    <mergeCell ref="AB13:AC13"/>
    <mergeCell ref="G3:G4"/>
    <mergeCell ref="A16:A26"/>
    <mergeCell ref="S16:S26"/>
    <mergeCell ref="AB16:AC16"/>
    <mergeCell ref="D26:E26"/>
    <mergeCell ref="AB26:AC26"/>
    <mergeCell ref="W3:W4"/>
    <mergeCell ref="X3:Y3"/>
    <mergeCell ref="Z3:AA3"/>
    <mergeCell ref="AB3:AC4"/>
    <mergeCell ref="N3:N4"/>
    <mergeCell ref="O3:O4"/>
    <mergeCell ref="P3:P4"/>
    <mergeCell ref="Q3:Q4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105" priority="1" operator="greaterThan">
      <formula>0</formula>
    </cfRule>
  </conditionalFormatting>
  <conditionalFormatting sqref="Q5:Q79 AF5:AF79">
    <cfRule type="cellIs" dxfId="104" priority="4" operator="lessThan">
      <formula>0</formula>
    </cfRule>
  </conditionalFormatting>
  <conditionalFormatting sqref="R5:R79 AG5:AG79">
    <cfRule type="cellIs" dxfId="103" priority="2" operator="greaterThan">
      <formula>1</formula>
    </cfRule>
    <cfRule type="cellIs" dxfId="102" priority="3" operator="lessThan">
      <formula>0.8</formula>
    </cfRule>
  </conditionalFormatting>
  <conditionalFormatting sqref="S5:S10 S37:S62 AH59:AH62 S69:S76 AH69:AH76">
    <cfRule type="cellIs" dxfId="101" priority="7" operator="lessThan">
      <formula>0.8</formula>
    </cfRule>
  </conditionalFormatting>
  <conditionalFormatting sqref="S19:S25 AH19:AH25">
    <cfRule type="cellIs" dxfId="100" priority="6" operator="lessThan">
      <formula>0.8</formula>
    </cfRule>
  </conditionalFormatting>
  <conditionalFormatting sqref="S79">
    <cfRule type="cellIs" dxfId="99" priority="5" operator="lessThan">
      <formula>0.8</formula>
    </cfRule>
  </conditionalFormatting>
  <conditionalFormatting sqref="AH5:AH8 S15:S16 AH15:AH16 AH49 AH79">
    <cfRule type="cellIs" dxfId="98" priority="9" operator="lessThan">
      <formula>0.8</formula>
    </cfRule>
  </conditionalFormatting>
  <conditionalFormatting sqref="AH27 S27:S28">
    <cfRule type="cellIs" dxfId="97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02DF2E-B284-4806-85DB-425DE2F09AB2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5748-E378-4AD8-9FFA-7CC02157ABFA}">
  <dimension ref="B1:O26"/>
  <sheetViews>
    <sheetView zoomScale="70" zoomScaleNormal="70" workbookViewId="0">
      <selection activeCell="U51" sqref="U5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46075</v>
      </c>
      <c r="E3" s="493"/>
      <c r="F3" s="3" t="s">
        <v>72</v>
      </c>
      <c r="G3" s="494">
        <f>'0222'!E1</f>
        <v>62969</v>
      </c>
      <c r="H3" s="494"/>
      <c r="I3" s="3" t="s">
        <v>2</v>
      </c>
      <c r="J3" s="495">
        <f>'0222'!G1</f>
        <v>3017825.8299999991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118.76760244113184</v>
      </c>
      <c r="G6" s="490"/>
      <c r="H6" s="491">
        <f>AVERAGE(D13:H13,J13)</f>
        <v>117.24409387362817</v>
      </c>
      <c r="I6" s="491"/>
      <c r="J6" s="491">
        <f>AVERAGE(I13)</f>
        <v>127.90865384615384</v>
      </c>
      <c r="K6" s="491"/>
      <c r="L6" s="497">
        <f>SUM(D18:J18)</f>
        <v>0</v>
      </c>
      <c r="M6" s="482">
        <f>SUM(D19:J19)</f>
        <v>0</v>
      </c>
      <c r="N6" s="498">
        <f>SUM(D20:J20)</f>
        <v>0</v>
      </c>
      <c r="O6" s="482">
        <f>SUM(D20:J20)</f>
        <v>0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111.68087410873287</v>
      </c>
      <c r="G7" s="479"/>
      <c r="H7" s="480">
        <f>AVERAGE(D14:H14,J14)</f>
        <v>110.95154128753148</v>
      </c>
      <c r="I7" s="480"/>
      <c r="J7" s="480">
        <f>AVERAGE(I14)</f>
        <v>116.05687103594124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0.94033113250802913</v>
      </c>
      <c r="G8" s="485"/>
      <c r="H8" s="485">
        <f>H7/H6</f>
        <v>0.94632947060958883</v>
      </c>
      <c r="I8" s="485"/>
      <c r="J8" s="485">
        <f>J7/J6</f>
        <v>0.90734182204381808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VALUE('0222'!L15)</f>
        <v>153.95512820512818</v>
      </c>
      <c r="E13" s="13">
        <f>VALUE('0222'!L26)</f>
        <v>174.47727272727272</v>
      </c>
      <c r="F13" s="13">
        <f>VALUE('0222'!L37)</f>
        <v>100.13333333333333</v>
      </c>
      <c r="G13" s="13">
        <f>VALUE('0222'!L48)</f>
        <v>85.452069716775597</v>
      </c>
      <c r="H13" s="13">
        <f>VALUE('0222'!L58)</f>
        <v>89.259259259259252</v>
      </c>
      <c r="I13" s="13">
        <f>VALUE('0222'!L69)</f>
        <v>127.90865384615384</v>
      </c>
      <c r="J13" s="13">
        <f>'0222'!L79</f>
        <v>100.1875</v>
      </c>
    </row>
    <row r="14" spans="2:15" ht="39.950000000000003" customHeight="1">
      <c r="B14" s="473"/>
      <c r="C14" s="12" t="s">
        <v>100</v>
      </c>
      <c r="D14" s="13">
        <f>VALUE('0222'!O15)</f>
        <v>150.92869914859961</v>
      </c>
      <c r="E14" s="13">
        <f>VALUE('0222'!O26)</f>
        <v>162.88783211964255</v>
      </c>
      <c r="F14" s="13">
        <f>VALUE('0222'!O37)</f>
        <v>93.895059447616546</v>
      </c>
      <c r="G14" s="13">
        <f>VALUE('0222'!O48)</f>
        <v>83.271513039805697</v>
      </c>
      <c r="H14" s="13">
        <f>VALUE('0222'!O58)</f>
        <v>88.743627827475095</v>
      </c>
      <c r="I14" s="13">
        <f>VALUE('0222'!O69)</f>
        <v>116.05687103594124</v>
      </c>
      <c r="J14" s="13">
        <f>'0222'!O79</f>
        <v>85.982516142049391</v>
      </c>
    </row>
    <row r="15" spans="2:15" ht="39.950000000000003" customHeight="1">
      <c r="B15" s="474"/>
      <c r="C15" s="10" t="s">
        <v>26</v>
      </c>
      <c r="D15" s="14">
        <f>D14/D13</f>
        <v>0.98034213545328486</v>
      </c>
      <c r="E15" s="14">
        <f t="shared" ref="E15:I15" si="1">E14/E13</f>
        <v>0.93357621639498145</v>
      </c>
      <c r="F15" s="14">
        <f t="shared" si="1"/>
        <v>0.93770032737300157</v>
      </c>
      <c r="G15" s="14">
        <f t="shared" si="1"/>
        <v>0.97448210810812197</v>
      </c>
      <c r="H15" s="14">
        <f t="shared" si="1"/>
        <v>0.9942232163244098</v>
      </c>
      <c r="I15" s="14">
        <f t="shared" si="1"/>
        <v>0.90734182204381808</v>
      </c>
      <c r="J15" s="15">
        <f>'0222'!S70</f>
        <v>0.85821600640847806</v>
      </c>
    </row>
    <row r="16" spans="2:15" ht="17.25" customHeight="1">
      <c r="B16" s="475" t="s">
        <v>101</v>
      </c>
      <c r="C16" s="10" t="s">
        <v>34</v>
      </c>
      <c r="D16" s="16">
        <f>'0222'!T5</f>
        <v>0.29166666666666702</v>
      </c>
      <c r="E16" s="16">
        <f>'0222'!T16</f>
        <v>0.29027777777777802</v>
      </c>
      <c r="F16" s="16">
        <f>'0222'!T27</f>
        <v>0.29166666666666702</v>
      </c>
      <c r="G16" s="16">
        <f>'0222'!T38</f>
        <v>0.33680555555555602</v>
      </c>
      <c r="H16" s="16">
        <f>'0222'!T49</f>
        <v>0.28888888888888897</v>
      </c>
      <c r="I16" s="16">
        <f>'0222'!T59</f>
        <v>0.29166666666666702</v>
      </c>
      <c r="J16" s="16">
        <f>'0222'!T70</f>
        <v>0.33472222222222198</v>
      </c>
    </row>
    <row r="17" spans="2:10" ht="17.25" customHeight="1">
      <c r="B17" s="476"/>
      <c r="C17" s="10" t="s">
        <v>35</v>
      </c>
      <c r="D17" s="16">
        <v>0.65625</v>
      </c>
      <c r="E17" s="19">
        <v>0.66736111111111096</v>
      </c>
      <c r="F17" s="20">
        <v>0.62361111111111101</v>
      </c>
      <c r="G17" s="20">
        <v>0.67222222222222205</v>
      </c>
      <c r="H17" s="19">
        <v>0.62013888888888902</v>
      </c>
      <c r="I17" s="22">
        <v>0.58333333333333304</v>
      </c>
      <c r="J17" s="272">
        <v>0.62152777777777801</v>
      </c>
    </row>
    <row r="18" spans="2:10" ht="17.25" customHeight="1">
      <c r="B18" s="477" t="s">
        <v>102</v>
      </c>
      <c r="C18" s="330" t="s">
        <v>36</v>
      </c>
      <c r="D18" s="358">
        <f>'0222'!Z15</f>
        <v>0</v>
      </c>
      <c r="E18" s="359">
        <f>'0222'!Z26</f>
        <v>0</v>
      </c>
      <c r="F18" s="359">
        <f>'0222'!Z37</f>
        <v>0</v>
      </c>
      <c r="G18" s="360">
        <f>'0222'!Z48</f>
        <v>0</v>
      </c>
      <c r="H18" s="360">
        <f>'0222'!Z58</f>
        <v>0</v>
      </c>
      <c r="I18" s="359">
        <f>'0222'!Z69</f>
        <v>0</v>
      </c>
      <c r="J18" s="359">
        <f>'0222'!AA79</f>
        <v>0</v>
      </c>
    </row>
    <row r="19" spans="2:10" ht="17.25" customHeight="1">
      <c r="B19" s="478"/>
      <c r="C19" s="330" t="s">
        <v>37</v>
      </c>
      <c r="D19" s="358">
        <f>'0222'!AA15</f>
        <v>0</v>
      </c>
      <c r="E19" s="359">
        <f>'0222'!AA26</f>
        <v>0</v>
      </c>
      <c r="F19" s="359">
        <f>'0222'!AA37</f>
        <v>0</v>
      </c>
      <c r="G19" s="360">
        <f>'0222'!AA48</f>
        <v>0</v>
      </c>
      <c r="H19" s="360">
        <f>'0222'!AA58</f>
        <v>0</v>
      </c>
      <c r="I19" s="359">
        <f>'0222'!AA69</f>
        <v>0</v>
      </c>
      <c r="J19" s="359">
        <f>'0222'!AB79</f>
        <v>0</v>
      </c>
    </row>
    <row r="20" spans="2:10" ht="17.25" customHeight="1">
      <c r="B20" s="477" t="s">
        <v>103</v>
      </c>
      <c r="C20" s="330" t="s">
        <v>36</v>
      </c>
      <c r="D20" s="358">
        <f>'0222'!AD15</f>
        <v>0</v>
      </c>
      <c r="E20" s="359">
        <f>'0222'!AD26</f>
        <v>0</v>
      </c>
      <c r="F20" s="359">
        <f>'0222'!AD37</f>
        <v>0</v>
      </c>
      <c r="G20" s="360">
        <f>'0222'!AD48</f>
        <v>0</v>
      </c>
      <c r="H20" s="360">
        <f>'0222'!AD58</f>
        <v>0</v>
      </c>
      <c r="I20" s="359">
        <f>'0222'!AD69</f>
        <v>0</v>
      </c>
      <c r="J20" s="359">
        <f>'0222'!AD79</f>
        <v>0</v>
      </c>
    </row>
    <row r="21" spans="2:10" ht="17.25" customHeight="1">
      <c r="B21" s="478"/>
      <c r="C21" s="330" t="s">
        <v>85</v>
      </c>
      <c r="D21" s="358">
        <f>'0222'!AE15</f>
        <v>0</v>
      </c>
      <c r="E21" s="359">
        <f>'0222'!AE26</f>
        <v>0</v>
      </c>
      <c r="F21" s="359">
        <f>'0222'!AE37</f>
        <v>0</v>
      </c>
      <c r="G21" s="360">
        <f>'0222'!AE48</f>
        <v>0</v>
      </c>
      <c r="H21" s="360">
        <f>'0222'!AE58</f>
        <v>0</v>
      </c>
      <c r="I21" s="359">
        <f>'0222'!AE69</f>
        <v>0</v>
      </c>
      <c r="J21" s="359">
        <f>'0222'!AE79</f>
        <v>0</v>
      </c>
    </row>
    <row r="22" spans="2:10" ht="17.25" customHeight="1">
      <c r="B22" s="460" t="s">
        <v>104</v>
      </c>
      <c r="C22" s="461"/>
      <c r="D22" s="23">
        <f>VALUE('0222'!M15)</f>
        <v>13</v>
      </c>
      <c r="E22" s="23">
        <f>VALUE('0222'!M26)</f>
        <v>11.6</v>
      </c>
      <c r="F22" s="23">
        <f>VALUE('0222'!M37)</f>
        <v>12.8</v>
      </c>
      <c r="G22" s="23">
        <f>VALUE('0222'!M48)</f>
        <v>15.666666666666666</v>
      </c>
      <c r="H22" s="23">
        <f>VALUE('0222'!M58)</f>
        <v>16.666666666666668</v>
      </c>
      <c r="I22" s="23">
        <f>VALUE('0222'!M69)</f>
        <v>11.5</v>
      </c>
      <c r="J22" s="23">
        <f>'0222'!M79</f>
        <v>10.75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96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4B628-EE03-4781-B16E-2BC1F1F6E012}">
  <sheetPr>
    <tabColor theme="9" tint="0.79998168889431442"/>
  </sheetPr>
  <dimension ref="A1:AJ92"/>
  <sheetViews>
    <sheetView zoomScale="69" zoomScaleNormal="69" workbookViewId="0">
      <pane xSplit="5" ySplit="4" topLeftCell="M38" activePane="bottomRight" state="frozen"/>
      <selection activeCell="U51" sqref="U51"/>
      <selection pane="topRight" activeCell="U51" sqref="U51"/>
      <selection pane="bottomLeft" activeCell="U51" sqref="U51"/>
      <selection pane="bottomRight" activeCell="Z82" sqref="Z8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62969</v>
      </c>
      <c r="F1" s="30" t="s">
        <v>2</v>
      </c>
      <c r="G1" s="31">
        <f>SUM(H5:H79)</f>
        <v>3017825.8299999991</v>
      </c>
      <c r="H1" s="32" t="s">
        <v>3</v>
      </c>
      <c r="I1" s="33">
        <f>M15+M26+M48+M58+M69+M79+M37</f>
        <v>91.983333333333334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198</v>
      </c>
      <c r="B2" s="374"/>
      <c r="C2" s="28"/>
      <c r="D2" s="28" t="s">
        <v>14</v>
      </c>
      <c r="E2" s="35">
        <f>AVERAGE(O15,O26,O37,O48,O58,O69,O79)</f>
        <v>111.68087410873287</v>
      </c>
      <c r="F2" s="36" t="s">
        <v>15</v>
      </c>
      <c r="G2" s="37">
        <f>G1/E1</f>
        <v>47.925579729708254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0</v>
      </c>
      <c r="AA2" s="339">
        <f>AA15+AA26+AA37+AA48+AA58+AA69+AA79</f>
        <v>0</v>
      </c>
      <c r="AB2" s="370"/>
      <c r="AC2" s="370"/>
      <c r="AD2" s="340">
        <f>AD15+AD26+AD37+AD48+AD58+AD69+AD79</f>
        <v>0</v>
      </c>
      <c r="AE2" s="340">
        <f>AE15+AE26+AE37+AE48+AE58+AE69+AE79</f>
        <v>0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2699</v>
      </c>
      <c r="H5" s="43">
        <f>F5*G5</f>
        <v>154409.79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9" si="0">K5/J5</f>
        <v>175.41666666666666</v>
      </c>
      <c r="M5" s="48">
        <v>12</v>
      </c>
      <c r="N5" s="46">
        <f t="shared" ref="N5:N9" si="1">G5/W5*60</f>
        <v>2076.1538461538726</v>
      </c>
      <c r="O5" s="47">
        <f t="shared" ref="O5:O9" si="2">N5/M5</f>
        <v>173.01282051282271</v>
      </c>
      <c r="P5" s="49">
        <f t="shared" ref="P5:P9" si="3">M5-J5</f>
        <v>0</v>
      </c>
      <c r="Q5" s="50">
        <f t="shared" ref="Q5:Q9" si="4">O5-L5</f>
        <v>-2.4038461538439435</v>
      </c>
      <c r="R5" s="51">
        <f t="shared" ref="R5:R9" si="5">O5/L5</f>
        <v>0.98629636396858555</v>
      </c>
      <c r="S5" s="424">
        <f>R15</f>
        <v>0.98034213545328486</v>
      </c>
      <c r="T5" s="319">
        <v>0.29166666666666702</v>
      </c>
      <c r="U5" s="320">
        <v>0.34583333333333299</v>
      </c>
      <c r="V5" s="53"/>
      <c r="W5" s="54">
        <f t="shared" ref="W5:W14" si="6">(U5-T5)*24*60</f>
        <v>77.999999999999005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11" si="7">N5-K5</f>
        <v>-28.846153846127436</v>
      </c>
      <c r="AG5" s="52">
        <f t="shared" ref="AG5:AG11" si="8">N5/K5</f>
        <v>0.98629636396858555</v>
      </c>
      <c r="AH5" s="403">
        <f>AG15</f>
        <v>0.9801702698083028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1726</v>
      </c>
      <c r="H6" s="63">
        <f>F6*G6</f>
        <v>97139.28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1755.2542372881467</v>
      </c>
      <c r="O6" s="67">
        <f t="shared" si="2"/>
        <v>117.01694915254311</v>
      </c>
      <c r="P6" s="69">
        <f t="shared" si="3"/>
        <v>0</v>
      </c>
      <c r="Q6" s="70">
        <f t="shared" si="4"/>
        <v>-2.9830508474568944</v>
      </c>
      <c r="R6" s="71">
        <f t="shared" si="5"/>
        <v>0.9751412429378592</v>
      </c>
      <c r="S6" s="425"/>
      <c r="T6" s="16">
        <v>0.35416666666666702</v>
      </c>
      <c r="U6" s="16">
        <v>0.39513888888888898</v>
      </c>
      <c r="V6" s="30">
        <f>(T6-U5)*24*60</f>
        <v>12.000000000000997</v>
      </c>
      <c r="W6" s="73">
        <f t="shared" si="6"/>
        <v>58.999999999999631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-44.745762711853331</v>
      </c>
      <c r="AG6" s="72">
        <f t="shared" si="8"/>
        <v>0.97514124293785931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3179</v>
      </c>
      <c r="H7" s="78">
        <f>F7*G7</f>
        <v>156216.06</v>
      </c>
      <c r="I7" s="73"/>
      <c r="J7" s="79">
        <f>VLOOKUP(D7,產線配置圖!$A$3:$C$39,2,0)</f>
        <v>13</v>
      </c>
      <c r="K7" s="80">
        <f>VLOOKUP(D7,產線配置圖!$A$3:$C$39,3,0)</f>
        <v>2000</v>
      </c>
      <c r="L7" s="81">
        <f t="shared" si="0"/>
        <v>153.84615384615384</v>
      </c>
      <c r="M7" s="82">
        <v>13</v>
      </c>
      <c r="N7" s="80">
        <f t="shared" si="1"/>
        <v>1946.3265306122612</v>
      </c>
      <c r="O7" s="81">
        <f t="shared" si="2"/>
        <v>149.7174254317124</v>
      </c>
      <c r="P7" s="74">
        <f t="shared" si="3"/>
        <v>0</v>
      </c>
      <c r="Q7" s="83">
        <f t="shared" si="4"/>
        <v>-4.12872841444144</v>
      </c>
      <c r="R7" s="72">
        <f t="shared" si="5"/>
        <v>0.97316326530613062</v>
      </c>
      <c r="S7" s="425"/>
      <c r="T7" s="18">
        <v>0.40416666666666701</v>
      </c>
      <c r="U7" s="18">
        <v>0.47222222222222199</v>
      </c>
      <c r="V7" s="30">
        <f>(T7-U6)*24*60</f>
        <v>13.000000000000353</v>
      </c>
      <c r="W7" s="73">
        <f t="shared" si="6"/>
        <v>97.999999999999176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-53.673469387738805</v>
      </c>
      <c r="AG7" s="72">
        <f t="shared" si="8"/>
        <v>0.97316326530613062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4317</v>
      </c>
      <c r="H8" s="78">
        <f t="shared" ref="H8:H9" si="9">F8*G8</f>
        <v>212137.38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1977.2519083969514</v>
      </c>
      <c r="O8" s="81">
        <f t="shared" si="2"/>
        <v>152.09630064591934</v>
      </c>
      <c r="P8" s="74">
        <f t="shared" si="3"/>
        <v>0</v>
      </c>
      <c r="Q8" s="83">
        <f t="shared" si="4"/>
        <v>-1.7498532002344973</v>
      </c>
      <c r="R8" s="72">
        <f t="shared" si="5"/>
        <v>0.98862595419847576</v>
      </c>
      <c r="S8" s="425"/>
      <c r="T8" s="16">
        <v>0.54166666666666696</v>
      </c>
      <c r="U8" s="16">
        <v>0.63263888888888897</v>
      </c>
      <c r="V8" s="30">
        <f t="shared" ref="V8:V9" si="10">(T8-U7)*24*60</f>
        <v>100.00000000000077</v>
      </c>
      <c r="W8" s="73">
        <f t="shared" si="6"/>
        <v>130.99999999999969</v>
      </c>
      <c r="X8" s="22">
        <v>0.48611111111111099</v>
      </c>
      <c r="Y8" s="84">
        <v>0.52777777777777801</v>
      </c>
      <c r="Z8" s="90"/>
      <c r="AA8" s="90"/>
      <c r="AB8" s="407"/>
      <c r="AC8" s="407"/>
      <c r="AD8" s="149"/>
      <c r="AE8" s="149"/>
      <c r="AF8" s="307">
        <f t="shared" si="7"/>
        <v>-22.748091603048579</v>
      </c>
      <c r="AG8" s="72">
        <f t="shared" si="8"/>
        <v>0.98862595419847576</v>
      </c>
      <c r="AH8" s="404"/>
    </row>
    <row r="9" spans="1:34" ht="15" customHeight="1">
      <c r="A9" s="422"/>
      <c r="B9" s="75" t="s">
        <v>81</v>
      </c>
      <c r="C9" s="76"/>
      <c r="D9" s="59" t="s">
        <v>118</v>
      </c>
      <c r="E9" s="77"/>
      <c r="F9" s="75">
        <f>VLOOKUP(D9,廠價表!$C$1:$E$41,3,0)</f>
        <v>50.67</v>
      </c>
      <c r="G9" s="66">
        <v>814</v>
      </c>
      <c r="H9" s="78">
        <f t="shared" si="9"/>
        <v>41245.380000000005</v>
      </c>
      <c r="I9" s="73"/>
      <c r="J9" s="79">
        <f>VLOOKUP(D9,產線配置圖!$A$3:$C$39,2,0)</f>
        <v>12</v>
      </c>
      <c r="K9" s="80">
        <f>VLOOKUP(D9,產線配置圖!$A$3:$C$39,3,0)</f>
        <v>2000</v>
      </c>
      <c r="L9" s="81">
        <f t="shared" si="0"/>
        <v>166.66666666666666</v>
      </c>
      <c r="M9" s="82">
        <v>12</v>
      </c>
      <c r="N9" s="80">
        <f t="shared" si="1"/>
        <v>1953.600000000007</v>
      </c>
      <c r="O9" s="81">
        <f t="shared" si="2"/>
        <v>162.80000000000058</v>
      </c>
      <c r="P9" s="74">
        <f t="shared" si="3"/>
        <v>0</v>
      </c>
      <c r="Q9" s="83">
        <f t="shared" si="4"/>
        <v>-3.8666666666660774</v>
      </c>
      <c r="R9" s="72">
        <f t="shared" si="5"/>
        <v>0.97680000000000355</v>
      </c>
      <c r="S9" s="426"/>
      <c r="T9" s="16">
        <v>0.63888888888888895</v>
      </c>
      <c r="U9" s="16">
        <v>0.65625</v>
      </c>
      <c r="V9" s="30">
        <f t="shared" si="10"/>
        <v>8.999999999999968</v>
      </c>
      <c r="W9" s="73">
        <f t="shared" si="6"/>
        <v>24.999999999999911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-46.399999999993042</v>
      </c>
      <c r="AG9" s="72">
        <f t="shared" si="8"/>
        <v>0.97680000000000344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11">AVERAGE(J5:J14)</f>
        <v>13</v>
      </c>
      <c r="K15" s="120">
        <f t="shared" si="11"/>
        <v>1981</v>
      </c>
      <c r="L15" s="117">
        <f t="shared" si="11"/>
        <v>153.95512820512818</v>
      </c>
      <c r="M15" s="120">
        <f t="shared" si="11"/>
        <v>13</v>
      </c>
      <c r="N15" s="120">
        <f t="shared" si="11"/>
        <v>1941.7173044902479</v>
      </c>
      <c r="O15" s="117">
        <f t="shared" si="11"/>
        <v>150.92869914859961</v>
      </c>
      <c r="P15" s="121">
        <f t="shared" ref="P15:P20" si="12">M15-J15</f>
        <v>0</v>
      </c>
      <c r="Q15" s="122">
        <f t="shared" ref="Q15:Q20" si="13">O15-L15</f>
        <v>-3.0264290565285705</v>
      </c>
      <c r="R15" s="123">
        <f t="shared" ref="R15:R20" si="14">O15/L15</f>
        <v>0.98034213545328486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5">N15-K15</f>
        <v>-39.282695509752102</v>
      </c>
      <c r="AG15" s="124">
        <f t="shared" ref="AG15:AG19" si="16">N15/K15</f>
        <v>0.9801702698083028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2173</v>
      </c>
      <c r="H16" s="134">
        <f>F16*G16</f>
        <v>124317.33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20" si="17">K16/J16</f>
        <v>175.41666666666666</v>
      </c>
      <c r="M16" s="139">
        <v>12</v>
      </c>
      <c r="N16" s="140">
        <f t="shared" ref="N16:N20" si="18">G16/W16*60</f>
        <v>1945.9701492537217</v>
      </c>
      <c r="O16" s="141">
        <f>N16/M16</f>
        <v>162.1641791044768</v>
      </c>
      <c r="P16" s="142">
        <f>M16-J16</f>
        <v>0</v>
      </c>
      <c r="Q16" s="143">
        <f t="shared" si="13"/>
        <v>-13.252487562189856</v>
      </c>
      <c r="R16" s="144">
        <f>O16/L16</f>
        <v>0.92445137731768257</v>
      </c>
      <c r="S16" s="417">
        <f>R26</f>
        <v>0.93357621639498145</v>
      </c>
      <c r="T16" s="145">
        <v>0.29027777777777802</v>
      </c>
      <c r="U16" s="145">
        <v>0.33680555555555602</v>
      </c>
      <c r="V16" s="135"/>
      <c r="W16" s="146">
        <f t="shared" ref="W16:W78" si="19">(U16-T16)*24*60</f>
        <v>67.000000000000327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5"/>
        <v>-159.02985074627827</v>
      </c>
      <c r="AG16" s="52">
        <f t="shared" si="16"/>
        <v>0.92445137731768257</v>
      </c>
      <c r="AH16" s="403">
        <f>AG26</f>
        <v>0.93501699243001846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3191</v>
      </c>
      <c r="H17" s="78">
        <f>F17*G17</f>
        <v>161687.97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7"/>
        <v>166.66666666666666</v>
      </c>
      <c r="M17" s="148">
        <v>12</v>
      </c>
      <c r="N17" s="95">
        <f>G17/W17*60</f>
        <v>1994.3749999999907</v>
      </c>
      <c r="O17" s="96">
        <f t="shared" ref="O17:O20" si="20">N17/M17</f>
        <v>166.19791666666589</v>
      </c>
      <c r="P17" s="97">
        <f t="shared" si="12"/>
        <v>0</v>
      </c>
      <c r="Q17" s="98">
        <f t="shared" si="13"/>
        <v>-0.46875000000076739</v>
      </c>
      <c r="R17" s="99">
        <f t="shared" si="14"/>
        <v>0.99718749999999534</v>
      </c>
      <c r="S17" s="418"/>
      <c r="T17" s="19">
        <v>0.34513888888888899</v>
      </c>
      <c r="U17" s="19">
        <v>0.41180555555555598</v>
      </c>
      <c r="V17" s="30">
        <f>(T17-U16)*24*60</f>
        <v>11.999999999999478</v>
      </c>
      <c r="W17" s="149">
        <f t="shared" si="19"/>
        <v>96.000000000000455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5"/>
        <v>-5.6250000000093223</v>
      </c>
      <c r="AG17" s="72">
        <f t="shared" si="16"/>
        <v>0.99718749999999534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2225</v>
      </c>
      <c r="H18" s="78">
        <f>F18*G18</f>
        <v>112117.75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7"/>
        <v>181.81818181818181</v>
      </c>
      <c r="M18" s="148">
        <v>11</v>
      </c>
      <c r="N18" s="95">
        <f t="shared" si="18"/>
        <v>1668.7499999999857</v>
      </c>
      <c r="O18" s="96">
        <f t="shared" si="20"/>
        <v>151.70454545454416</v>
      </c>
      <c r="P18" s="97">
        <f t="shared" si="12"/>
        <v>0</v>
      </c>
      <c r="Q18" s="98">
        <f t="shared" si="13"/>
        <v>-30.113636363637653</v>
      </c>
      <c r="R18" s="99">
        <f t="shared" si="14"/>
        <v>0.83437499999999287</v>
      </c>
      <c r="S18" s="418"/>
      <c r="T18" s="19">
        <v>0.42361111111111099</v>
      </c>
      <c r="U18" s="19">
        <v>0.47916666666666702</v>
      </c>
      <c r="V18" s="30">
        <f>(T18-U17)*24*60</f>
        <v>16.999999999999218</v>
      </c>
      <c r="W18" s="149">
        <f t="shared" si="19"/>
        <v>80.000000000000682</v>
      </c>
      <c r="X18" s="22"/>
      <c r="Y18" s="84"/>
      <c r="Z18" s="90"/>
      <c r="AA18" s="90"/>
      <c r="AB18" s="395"/>
      <c r="AC18" s="395"/>
      <c r="AD18" s="92"/>
      <c r="AE18" s="92"/>
      <c r="AF18" s="307">
        <f t="shared" si="15"/>
        <v>-331.25000000001432</v>
      </c>
      <c r="AG18" s="72">
        <f t="shared" si="16"/>
        <v>0.83437499999999287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4700</v>
      </c>
      <c r="H19" s="78">
        <f t="shared" ref="H19:H20" si="21">F19*G19</f>
        <v>236833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7"/>
        <v>181.81818181818181</v>
      </c>
      <c r="M19" s="148">
        <v>11</v>
      </c>
      <c r="N19" s="95">
        <f t="shared" si="18"/>
        <v>1905.4054054054182</v>
      </c>
      <c r="O19" s="96">
        <f t="shared" si="20"/>
        <v>173.21867321867438</v>
      </c>
      <c r="P19" s="97">
        <f t="shared" si="12"/>
        <v>0</v>
      </c>
      <c r="Q19" s="98">
        <f t="shared" si="13"/>
        <v>-8.5995085995074305</v>
      </c>
      <c r="R19" s="99">
        <f t="shared" si="14"/>
        <v>0.95270270270270918</v>
      </c>
      <c r="S19" s="418"/>
      <c r="T19" s="19">
        <v>0.54166666666666696</v>
      </c>
      <c r="U19" s="19">
        <v>0.64444444444444404</v>
      </c>
      <c r="V19" s="30">
        <f>(T19-U18)*24*60</f>
        <v>89.999999999999915</v>
      </c>
      <c r="W19" s="149">
        <f t="shared" si="19"/>
        <v>147.99999999999901</v>
      </c>
      <c r="X19" s="22">
        <v>0.48611111111111099</v>
      </c>
      <c r="Y19" s="84">
        <v>0.52777777777777801</v>
      </c>
      <c r="Z19" s="90"/>
      <c r="AA19" s="90"/>
      <c r="AB19" s="407"/>
      <c r="AC19" s="407"/>
      <c r="AD19" s="149"/>
      <c r="AE19" s="149"/>
      <c r="AF19" s="307">
        <f t="shared" si="15"/>
        <v>-94.594594594581849</v>
      </c>
      <c r="AG19" s="72">
        <f t="shared" si="16"/>
        <v>0.95270270270270907</v>
      </c>
      <c r="AH19" s="405"/>
    </row>
    <row r="20" spans="1:34" ht="15" customHeight="1">
      <c r="A20" s="414"/>
      <c r="B20" s="75" t="s">
        <v>81</v>
      </c>
      <c r="C20" s="76"/>
      <c r="D20" s="59" t="s">
        <v>118</v>
      </c>
      <c r="E20" s="77"/>
      <c r="F20" s="75">
        <f>VLOOKUP(D20,廠價表!$C$1:$E$41,3,0)</f>
        <v>50.67</v>
      </c>
      <c r="G20" s="147">
        <v>838</v>
      </c>
      <c r="H20" s="78">
        <f t="shared" si="21"/>
        <v>42461.46</v>
      </c>
      <c r="I20" s="30"/>
      <c r="J20" s="79">
        <f>VLOOKUP(D20,產線配置圖!$A$3:$C$39,2,0)</f>
        <v>12</v>
      </c>
      <c r="K20" s="80">
        <f>VLOOKUP(D20,產線配置圖!$A$3:$C$39,3,0)</f>
        <v>2000</v>
      </c>
      <c r="L20" s="81">
        <f t="shared" si="17"/>
        <v>166.66666666666666</v>
      </c>
      <c r="M20" s="148">
        <v>12</v>
      </c>
      <c r="N20" s="95">
        <f t="shared" si="18"/>
        <v>1933.8461538462202</v>
      </c>
      <c r="O20" s="96">
        <f t="shared" si="20"/>
        <v>161.15384615385167</v>
      </c>
      <c r="P20" s="97">
        <f t="shared" si="12"/>
        <v>0</v>
      </c>
      <c r="Q20" s="98">
        <f t="shared" si="13"/>
        <v>-5.512820512814983</v>
      </c>
      <c r="R20" s="99">
        <f t="shared" si="14"/>
        <v>0.96692307692311008</v>
      </c>
      <c r="S20" s="418"/>
      <c r="T20" s="19">
        <v>0.64930555555555602</v>
      </c>
      <c r="U20" s="19">
        <v>0.66736111111111096</v>
      </c>
      <c r="V20" s="30">
        <f>(T20-U19)*24*60</f>
        <v>7.0000000000012541</v>
      </c>
      <c r="W20" s="149">
        <f t="shared" si="19"/>
        <v>25.999999999999108</v>
      </c>
      <c r="X20" s="19"/>
      <c r="Y20" s="297"/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50"/>
      <c r="U21" s="150"/>
      <c r="V21" s="30"/>
      <c r="W21" s="149">
        <f t="shared" si="19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9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22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9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22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9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3">AVERAGE(J16:J25)</f>
        <v>11.6</v>
      </c>
      <c r="K26" s="155">
        <f t="shared" si="23"/>
        <v>2021</v>
      </c>
      <c r="L26" s="158">
        <f t="shared" si="23"/>
        <v>174.47727272727272</v>
      </c>
      <c r="M26" s="155">
        <f t="shared" si="23"/>
        <v>11.6</v>
      </c>
      <c r="N26" s="155">
        <f t="shared" si="23"/>
        <v>1889.6693417010672</v>
      </c>
      <c r="O26" s="158">
        <f t="shared" si="23"/>
        <v>162.88783211964255</v>
      </c>
      <c r="P26" s="159">
        <f t="shared" ref="P26:P31" si="24">M26-J26</f>
        <v>0</v>
      </c>
      <c r="Q26" s="160">
        <f t="shared" ref="Q26:Q31" si="25">O26-L26</f>
        <v>-11.589440607630166</v>
      </c>
      <c r="R26" s="161">
        <f>O26/L26</f>
        <v>0.93357621639498145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0</v>
      </c>
      <c r="AE26" s="323">
        <f>SUM(AE16:AE25)</f>
        <v>0</v>
      </c>
      <c r="AF26" s="309">
        <f t="shared" ref="AF26:AF31" si="26">N26-K26</f>
        <v>-131.3306582989328</v>
      </c>
      <c r="AG26" s="124">
        <f t="shared" ref="AG26:AG31" si="27">N26/K26</f>
        <v>0.93501699243001846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1480</v>
      </c>
      <c r="H27" s="134">
        <f>F27*G27</f>
        <v>84804</v>
      </c>
      <c r="I27" s="135"/>
      <c r="J27" s="136">
        <v>15</v>
      </c>
      <c r="K27" s="137">
        <f>VLOOKUP(D27,產線配置圖!$A$3:$C$39,3,0)</f>
        <v>1500</v>
      </c>
      <c r="L27" s="138">
        <f t="shared" ref="L27:L31" si="28">K27/J27</f>
        <v>100</v>
      </c>
      <c r="M27" s="170">
        <v>15</v>
      </c>
      <c r="N27" s="140">
        <f>G27/W27*60</f>
        <v>1480.0000000000248</v>
      </c>
      <c r="O27" s="141">
        <f>N27/M27</f>
        <v>98.66666666666832</v>
      </c>
      <c r="P27" s="142">
        <f t="shared" si="24"/>
        <v>0</v>
      </c>
      <c r="Q27" s="143">
        <f t="shared" si="25"/>
        <v>-1.3333333333316801</v>
      </c>
      <c r="R27" s="144">
        <f>O27/L27</f>
        <v>0.98666666666668323</v>
      </c>
      <c r="S27" s="417">
        <f>R37</f>
        <v>0.93770032737300157</v>
      </c>
      <c r="T27" s="171">
        <v>0.29166666666666702</v>
      </c>
      <c r="U27" s="171">
        <v>0.33333333333333298</v>
      </c>
      <c r="V27" s="135"/>
      <c r="W27" s="146">
        <f t="shared" si="19"/>
        <v>59.999999999998991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6"/>
        <v>-19.999999999975216</v>
      </c>
      <c r="AG27" s="172">
        <f t="shared" si="27"/>
        <v>0.98666666666668323</v>
      </c>
      <c r="AH27" s="403">
        <f>AG37</f>
        <v>0.802836046412437</v>
      </c>
    </row>
    <row r="28" spans="1:34" ht="15" customHeight="1">
      <c r="A28" s="430"/>
      <c r="B28" s="75" t="s">
        <v>123</v>
      </c>
      <c r="C28" s="173"/>
      <c r="D28" s="59" t="s">
        <v>127</v>
      </c>
      <c r="E28" s="104"/>
      <c r="F28" s="75">
        <f>VLOOKUP(D28,廠價表!$C$1:$E$41,3,0)</f>
        <v>49.91</v>
      </c>
      <c r="G28" s="90">
        <v>1640</v>
      </c>
      <c r="H28" s="91">
        <f>F28*G28</f>
        <v>81852.399999999994</v>
      </c>
      <c r="I28" s="92"/>
      <c r="J28" s="79">
        <v>15</v>
      </c>
      <c r="K28" s="80">
        <f>VLOOKUP(D28,產線配置圖!$A$3:$C$39,3,0)</f>
        <v>1565</v>
      </c>
      <c r="L28" s="93">
        <f t="shared" si="28"/>
        <v>104.33333333333333</v>
      </c>
      <c r="M28" s="94">
        <v>13</v>
      </c>
      <c r="N28" s="95">
        <f>G28/W28*60</f>
        <v>1294.7368421052583</v>
      </c>
      <c r="O28" s="96">
        <f>N28/M28</f>
        <v>99.595141700404483</v>
      </c>
      <c r="P28" s="97">
        <f t="shared" si="24"/>
        <v>-2</v>
      </c>
      <c r="Q28" s="98">
        <f t="shared" si="25"/>
        <v>-4.7381916329288458</v>
      </c>
      <c r="R28" s="99">
        <f t="shared" ref="R28:R31" si="29">O28/L28</f>
        <v>0.95458602268758297</v>
      </c>
      <c r="S28" s="418"/>
      <c r="T28" s="19">
        <v>0.33888888888888902</v>
      </c>
      <c r="U28" s="19">
        <v>0.391666666666667</v>
      </c>
      <c r="V28" s="92">
        <f>(T28-U27)*24*60</f>
        <v>8.000000000000691</v>
      </c>
      <c r="W28" s="149">
        <f t="shared" si="19"/>
        <v>76.000000000000284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6"/>
        <v>-270.26315789474165</v>
      </c>
      <c r="AG28" s="99">
        <f t="shared" si="27"/>
        <v>0.82730788632923857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1950</v>
      </c>
      <c r="H29" s="91">
        <f>F29*G29</f>
        <v>96564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8"/>
        <v>96</v>
      </c>
      <c r="M29" s="94">
        <v>12</v>
      </c>
      <c r="N29" s="95">
        <f>G29/W29*60</f>
        <v>1035.3982300884986</v>
      </c>
      <c r="O29" s="96">
        <f>N29/M29</f>
        <v>86.283185840708214</v>
      </c>
      <c r="P29" s="97">
        <f t="shared" si="24"/>
        <v>-3</v>
      </c>
      <c r="Q29" s="98">
        <f t="shared" si="25"/>
        <v>-9.7168141592917863</v>
      </c>
      <c r="R29" s="99">
        <f t="shared" si="29"/>
        <v>0.8987831858407106</v>
      </c>
      <c r="S29" s="418"/>
      <c r="T29" s="19">
        <v>0.39722222222222198</v>
      </c>
      <c r="U29" s="19">
        <v>0.47569444444444398</v>
      </c>
      <c r="V29" s="92">
        <f>(T29-U28)*24*60</f>
        <v>7.9999999999991722</v>
      </c>
      <c r="W29" s="149">
        <f t="shared" si="19"/>
        <v>112.99999999999967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6"/>
        <v>-404.60176991150138</v>
      </c>
      <c r="AG29" s="99">
        <f t="shared" si="27"/>
        <v>0.71902654867256843</v>
      </c>
      <c r="AH29" s="432"/>
    </row>
    <row r="30" spans="1:34" ht="15" customHeight="1">
      <c r="A30" s="430"/>
      <c r="B30" s="75" t="s">
        <v>123</v>
      </c>
      <c r="C30" s="88"/>
      <c r="D30" s="59" t="s">
        <v>124</v>
      </c>
      <c r="E30" s="89"/>
      <c r="F30" s="75">
        <f>VLOOKUP(D30,廠價表!$C$1:$E$41,3,0)</f>
        <v>49.52</v>
      </c>
      <c r="G30" s="90">
        <v>869</v>
      </c>
      <c r="H30" s="91">
        <f t="shared" ref="H30:H31" si="30">F30*G30</f>
        <v>43032.880000000005</v>
      </c>
      <c r="I30" s="92"/>
      <c r="J30" s="79">
        <f>VLOOKUP(D30,產線配置圖!$A$3:$C$39,2,0)</f>
        <v>15</v>
      </c>
      <c r="K30" s="80">
        <f>VLOOKUP(D30,產線配置圖!$A$3:$C$39,3,0)</f>
        <v>1440</v>
      </c>
      <c r="L30" s="93">
        <f t="shared" si="28"/>
        <v>96</v>
      </c>
      <c r="M30" s="94">
        <v>12</v>
      </c>
      <c r="N30" s="95">
        <f t="shared" ref="N30:N31" si="31">G30/W30*60</f>
        <v>1042.7999999999772</v>
      </c>
      <c r="O30" s="96">
        <f t="shared" ref="O30:O31" si="32">N30/M30</f>
        <v>86.899999999998101</v>
      </c>
      <c r="P30" s="97">
        <f t="shared" si="24"/>
        <v>-3</v>
      </c>
      <c r="Q30" s="98">
        <f t="shared" si="25"/>
        <v>-9.1000000000018986</v>
      </c>
      <c r="R30" s="99">
        <f t="shared" si="29"/>
        <v>0.90520833333331352</v>
      </c>
      <c r="S30" s="418"/>
      <c r="T30" s="19">
        <v>0.53819444444444398</v>
      </c>
      <c r="U30" s="19">
        <v>0.57291666666666696</v>
      </c>
      <c r="V30" s="92">
        <f>(T30-U29)*24*60</f>
        <v>90</v>
      </c>
      <c r="W30" s="149">
        <f t="shared" si="19"/>
        <v>50.000000000001101</v>
      </c>
      <c r="X30" s="174">
        <v>0.47916666666666702</v>
      </c>
      <c r="Y30" s="301">
        <v>0.52083333333333304</v>
      </c>
      <c r="Z30" s="335"/>
      <c r="AA30" s="335"/>
      <c r="AB30" s="395"/>
      <c r="AC30" s="395"/>
      <c r="AD30" s="92"/>
      <c r="AE30" s="92"/>
      <c r="AF30" s="312">
        <f t="shared" si="26"/>
        <v>-397.20000000002278</v>
      </c>
      <c r="AG30" s="99">
        <f t="shared" si="27"/>
        <v>0.72416666666665086</v>
      </c>
      <c r="AH30" s="433"/>
    </row>
    <row r="31" spans="1:34" ht="15" customHeight="1">
      <c r="A31" s="430"/>
      <c r="B31" s="75" t="s">
        <v>123</v>
      </c>
      <c r="C31" s="88"/>
      <c r="D31" s="59" t="s">
        <v>127</v>
      </c>
      <c r="E31" s="89"/>
      <c r="F31" s="75">
        <f>VLOOKUP(D31,廠價表!$C$1:$E$41,3,0)</f>
        <v>49.91</v>
      </c>
      <c r="G31" s="90">
        <v>1294</v>
      </c>
      <c r="H31" s="91">
        <f t="shared" si="30"/>
        <v>64583.539999999994</v>
      </c>
      <c r="I31" s="92"/>
      <c r="J31" s="79">
        <v>15</v>
      </c>
      <c r="K31" s="80">
        <f>VLOOKUP(D31,產線配置圖!$A$3:$C$39,3,0)</f>
        <v>1565</v>
      </c>
      <c r="L31" s="93">
        <f t="shared" si="28"/>
        <v>104.33333333333333</v>
      </c>
      <c r="M31" s="94">
        <v>12</v>
      </c>
      <c r="N31" s="95">
        <f t="shared" si="31"/>
        <v>1176.3636363636433</v>
      </c>
      <c r="O31" s="96">
        <f t="shared" si="32"/>
        <v>98.030303030303614</v>
      </c>
      <c r="P31" s="97">
        <f t="shared" si="24"/>
        <v>-3</v>
      </c>
      <c r="Q31" s="98">
        <f t="shared" si="25"/>
        <v>-6.3030303030297148</v>
      </c>
      <c r="R31" s="99">
        <f t="shared" si="29"/>
        <v>0.93958756898054585</v>
      </c>
      <c r="S31" s="418"/>
      <c r="T31" s="19">
        <v>0.57777777777777795</v>
      </c>
      <c r="U31" s="19">
        <v>0.62361111111111101</v>
      </c>
      <c r="V31" s="92">
        <f>(T31-U30)*24*60</f>
        <v>6.9999999999998153</v>
      </c>
      <c r="W31" s="149">
        <f t="shared" si="19"/>
        <v>65.999999999999602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6"/>
        <v>-388.63636363635669</v>
      </c>
      <c r="AG31" s="99">
        <f t="shared" si="27"/>
        <v>0.75167005518443664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50"/>
      <c r="U32" s="150"/>
      <c r="V32" s="92"/>
      <c r="W32" s="149">
        <f t="shared" si="19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9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9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9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33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9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4">AVERAGE(J27:J36)</f>
        <v>15</v>
      </c>
      <c r="K37" s="155">
        <f t="shared" si="34"/>
        <v>1502</v>
      </c>
      <c r="L37" s="158">
        <f t="shared" si="34"/>
        <v>100.13333333333333</v>
      </c>
      <c r="M37" s="155">
        <f t="shared" si="34"/>
        <v>12.8</v>
      </c>
      <c r="N37" s="155">
        <f t="shared" si="34"/>
        <v>1205.8597417114804</v>
      </c>
      <c r="O37" s="158">
        <f t="shared" si="34"/>
        <v>93.895059447616546</v>
      </c>
      <c r="P37" s="159">
        <f>M37-J37</f>
        <v>-2.1999999999999993</v>
      </c>
      <c r="Q37" s="160">
        <f>N37-K37</f>
        <v>-296.14025828851959</v>
      </c>
      <c r="R37" s="161">
        <f t="shared" ref="R37:R40" si="35">O37/L37</f>
        <v>0.93770032737300157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6">N37-K37</f>
        <v>-296.14025828851959</v>
      </c>
      <c r="AG37" s="124">
        <f t="shared" ref="AG37:AG41" si="37">N37/K37</f>
        <v>0.802836046412437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56.87</v>
      </c>
      <c r="G38" s="186">
        <v>1563</v>
      </c>
      <c r="H38" s="134">
        <f>F38*G38</f>
        <v>88887.81</v>
      </c>
      <c r="I38" s="135"/>
      <c r="J38" s="187">
        <f>VLOOKUP(D38,產線配置圖!$A$3:$C$39,2,0)</f>
        <v>18</v>
      </c>
      <c r="K38" s="188">
        <f>VLOOKUP(D38,產線配置圖!$A$3:$C$39,3,0)</f>
        <v>1565</v>
      </c>
      <c r="L38" s="189">
        <f t="shared" ref="L38:L40" si="38">K38/J38</f>
        <v>86.944444444444443</v>
      </c>
      <c r="M38" s="190">
        <v>15</v>
      </c>
      <c r="N38" s="140">
        <f>G38/W38*60</f>
        <v>1217.9220779220834</v>
      </c>
      <c r="O38" s="141">
        <f>N38/M38</f>
        <v>81.194805194805568</v>
      </c>
      <c r="P38" s="142">
        <f t="shared" ref="P38:P40" si="39">M38-J38</f>
        <v>-3</v>
      </c>
      <c r="Q38" s="143">
        <f t="shared" ref="Q38:Q40" si="40">O38-L38</f>
        <v>-5.7496392496388751</v>
      </c>
      <c r="R38" s="144">
        <f>O38/L38</f>
        <v>0.93386996390191712</v>
      </c>
      <c r="S38" s="437">
        <f>R48</f>
        <v>0.97448210810812197</v>
      </c>
      <c r="T38" s="191">
        <v>0.33680555555555602</v>
      </c>
      <c r="U38" s="191">
        <v>0.390277777777778</v>
      </c>
      <c r="V38" s="192"/>
      <c r="W38" s="193">
        <f t="shared" si="19"/>
        <v>76.999999999999645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6"/>
        <v>-347.07792207791658</v>
      </c>
      <c r="AG38" s="195">
        <f t="shared" si="37"/>
        <v>0.77822496991826418</v>
      </c>
      <c r="AH38" s="443">
        <f>AG48</f>
        <v>0.8809533904872594</v>
      </c>
    </row>
    <row r="39" spans="1:34" ht="15" customHeight="1">
      <c r="A39" s="435"/>
      <c r="B39" s="75" t="s">
        <v>123</v>
      </c>
      <c r="C39" s="197"/>
      <c r="D39" s="198" t="s">
        <v>128</v>
      </c>
      <c r="E39" s="176"/>
      <c r="F39" s="75">
        <f>VLOOKUP(D39,廠價表!$C$1:$E$41,3,0)</f>
        <v>44.3</v>
      </c>
      <c r="G39" s="199">
        <v>2963</v>
      </c>
      <c r="H39" s="91">
        <f>F39*G39</f>
        <v>131260.9</v>
      </c>
      <c r="I39" s="200"/>
      <c r="J39" s="148">
        <f>VLOOKUP(D39,產線配置圖!$A$3:$C$39,2,0)</f>
        <v>17</v>
      </c>
      <c r="K39" s="95">
        <f>VLOOKUP(D39,產線配置圖!$A$3:$C$39,3,0)</f>
        <v>1440</v>
      </c>
      <c r="L39" s="96">
        <f t="shared" si="38"/>
        <v>84.705882352941174</v>
      </c>
      <c r="M39" s="201">
        <v>16</v>
      </c>
      <c r="N39" s="202">
        <f>G39/W39*60</f>
        <v>1346.8181818181768</v>
      </c>
      <c r="O39" s="203">
        <f t="shared" ref="O39:O40" si="41">N39/M39</f>
        <v>84.176136363636047</v>
      </c>
      <c r="P39" s="97">
        <f t="shared" si="39"/>
        <v>-1</v>
      </c>
      <c r="Q39" s="98">
        <f t="shared" si="40"/>
        <v>-0.52974598930512684</v>
      </c>
      <c r="R39" s="99">
        <f t="shared" si="35"/>
        <v>0.99374605429292562</v>
      </c>
      <c r="S39" s="438"/>
      <c r="T39" s="20">
        <v>0.40138888888888902</v>
      </c>
      <c r="U39" s="20">
        <v>0.49305555555555602</v>
      </c>
      <c r="V39" s="92">
        <f>(T39-U38)*24*60</f>
        <v>15.999999999999863</v>
      </c>
      <c r="W39" s="205">
        <f t="shared" si="19"/>
        <v>132.00000000000048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6"/>
        <v>-93.181818181823246</v>
      </c>
      <c r="AG39" s="206">
        <f t="shared" si="37"/>
        <v>0.93529040404040054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3693</v>
      </c>
      <c r="H40" s="91">
        <f>F40*G40</f>
        <v>163599.9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8"/>
        <v>84.705882352941174</v>
      </c>
      <c r="M40" s="201">
        <v>16</v>
      </c>
      <c r="N40" s="202">
        <f>G40/W40*60</f>
        <v>1351.0975609756078</v>
      </c>
      <c r="O40" s="203">
        <f t="shared" si="41"/>
        <v>84.443597560975491</v>
      </c>
      <c r="P40" s="97">
        <f t="shared" si="39"/>
        <v>-1</v>
      </c>
      <c r="Q40" s="98">
        <f t="shared" si="40"/>
        <v>-0.26228479196568344</v>
      </c>
      <c r="R40" s="99">
        <f t="shared" si="35"/>
        <v>0.99690358231707177</v>
      </c>
      <c r="S40" s="425"/>
      <c r="T40" s="20">
        <v>0.55833333333333302</v>
      </c>
      <c r="U40" s="20">
        <v>0.67222222222222205</v>
      </c>
      <c r="V40" s="92">
        <f>(T40-U39)*24*60</f>
        <v>93.999999999998863</v>
      </c>
      <c r="W40" s="205">
        <f t="shared" si="19"/>
        <v>164.00000000000023</v>
      </c>
      <c r="X40" s="208">
        <v>0.5</v>
      </c>
      <c r="Y40" s="209">
        <v>0.54166666666666696</v>
      </c>
      <c r="Z40" s="337"/>
      <c r="AA40" s="337"/>
      <c r="AB40" s="395"/>
      <c r="AC40" s="395"/>
      <c r="AD40" s="92"/>
      <c r="AE40" s="92"/>
      <c r="AF40" s="314">
        <f t="shared" si="36"/>
        <v>-88.902439024392152</v>
      </c>
      <c r="AG40" s="206">
        <f t="shared" si="37"/>
        <v>0.93826219512194986</v>
      </c>
      <c r="AH40" s="444"/>
    </row>
    <row r="41" spans="1:34" ht="15" customHeight="1">
      <c r="A41" s="435"/>
      <c r="B41" s="75"/>
      <c r="C41" s="207"/>
      <c r="D41" s="198"/>
      <c r="E41" s="178"/>
      <c r="F41" s="75"/>
      <c r="G41" s="199"/>
      <c r="H41" s="215">
        <f t="shared" si="33"/>
        <v>0</v>
      </c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5"/>
      <c r="T41" s="20"/>
      <c r="U41" s="210"/>
      <c r="V41" s="92"/>
      <c r="W41" s="205">
        <f t="shared" si="19"/>
        <v>0</v>
      </c>
      <c r="X41" s="208"/>
      <c r="Y41" s="209"/>
      <c r="Z41" s="337"/>
      <c r="AA41" s="337"/>
      <c r="AB41" s="395"/>
      <c r="AC41" s="395"/>
      <c r="AD41" s="92"/>
      <c r="AE41" s="92"/>
      <c r="AF41" s="314">
        <f t="shared" si="36"/>
        <v>0</v>
      </c>
      <c r="AG41" s="206" t="e">
        <f t="shared" si="37"/>
        <v>#DIV/0!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215">
        <f t="shared" si="33"/>
        <v>0</v>
      </c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9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215">
        <f t="shared" si="33"/>
        <v>0</v>
      </c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215">
        <f t="shared" si="33"/>
        <v>0</v>
      </c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42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215">
        <f t="shared" si="33"/>
        <v>0</v>
      </c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42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>
        <f t="shared" si="33"/>
        <v>0</v>
      </c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42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33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42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43">AVERAGE(J38:J47)</f>
        <v>17.333333333333332</v>
      </c>
      <c r="K48" s="155">
        <f t="shared" si="43"/>
        <v>1481.6666666666667</v>
      </c>
      <c r="L48" s="158">
        <f t="shared" si="43"/>
        <v>85.452069716775597</v>
      </c>
      <c r="M48" s="155">
        <f t="shared" si="43"/>
        <v>15.666666666666666</v>
      </c>
      <c r="N48" s="155">
        <f t="shared" si="43"/>
        <v>1305.2792735719561</v>
      </c>
      <c r="O48" s="158">
        <f t="shared" si="43"/>
        <v>83.271513039805697</v>
      </c>
      <c r="P48" s="221">
        <f>M48-J48</f>
        <v>-1.6666666666666661</v>
      </c>
      <c r="Q48" s="222">
        <f>N48-K48</f>
        <v>-176.38739309471066</v>
      </c>
      <c r="R48" s="223">
        <f>O48/L48</f>
        <v>0.97448210810812197</v>
      </c>
      <c r="S48" s="428"/>
      <c r="T48" s="224"/>
      <c r="U48" s="224"/>
      <c r="V48" s="225"/>
      <c r="W48" s="226">
        <f t="shared" si="42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44">N48-K48</f>
        <v>-176.38739309471066</v>
      </c>
      <c r="AG48" s="162">
        <f t="shared" ref="AG48:AG53" si="45">N48/K48</f>
        <v>0.8809533904872594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VLOOKUP(D49,廠價表!$C$1:$E$41,3,0)</f>
        <v>47.71</v>
      </c>
      <c r="G49" s="228">
        <v>2969</v>
      </c>
      <c r="H49" s="134">
        <f>F49*G49</f>
        <v>141650.99</v>
      </c>
      <c r="I49" s="135"/>
      <c r="J49" s="136">
        <f>VLOOKUP(D49,產線配置圖!$A$3:$C$39,2,0)</f>
        <v>16</v>
      </c>
      <c r="K49" s="137">
        <f>VLOOKUP(D49,產線配置圖!$A$3:$C$39,3,0)</f>
        <v>1440</v>
      </c>
      <c r="L49" s="138">
        <f t="shared" ref="L49:L51" si="46">K49/J49</f>
        <v>90</v>
      </c>
      <c r="M49" s="170">
        <v>16</v>
      </c>
      <c r="N49" s="140">
        <f>G49/W49*60</f>
        <v>1436.6129032258077</v>
      </c>
      <c r="O49" s="141">
        <f>N49/M49</f>
        <v>89.788306451612982</v>
      </c>
      <c r="P49" s="229">
        <f>M49-J49</f>
        <v>0</v>
      </c>
      <c r="Q49" s="230">
        <f>O49-L49</f>
        <v>-0.21169354838701793</v>
      </c>
      <c r="R49" s="52">
        <f>O49/L49</f>
        <v>0.99764784946236651</v>
      </c>
      <c r="S49" s="424">
        <f>R58</f>
        <v>0.9942232163244098</v>
      </c>
      <c r="T49" s="191">
        <v>0.28888888888888897</v>
      </c>
      <c r="U49" s="191">
        <v>0.375</v>
      </c>
      <c r="V49" s="55"/>
      <c r="W49" s="193">
        <f t="shared" si="19"/>
        <v>123.99999999999989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44"/>
        <v>-3.3870967741922868</v>
      </c>
      <c r="AG49" s="52">
        <f t="shared" si="45"/>
        <v>0.99764784946236651</v>
      </c>
      <c r="AH49" s="403">
        <f>AG58</f>
        <v>0.95606394671327921</v>
      </c>
    </row>
    <row r="50" spans="1:34" ht="15" customHeight="1">
      <c r="A50" s="453"/>
      <c r="B50" s="75" t="s">
        <v>81</v>
      </c>
      <c r="C50" s="76"/>
      <c r="D50" s="59" t="s">
        <v>131</v>
      </c>
      <c r="E50" s="77"/>
      <c r="F50" s="75">
        <f>VLOOKUP(D50,廠價表!$C$1:$E$41,3,0)</f>
        <v>49.97</v>
      </c>
      <c r="G50" s="202">
        <v>3600</v>
      </c>
      <c r="H50" s="231">
        <f>F50*G50</f>
        <v>179892</v>
      </c>
      <c r="I50" s="232"/>
      <c r="J50" s="79">
        <f>VLOOKUP(D50,產線配置圖!$A$3:$C$39,2,0)</f>
        <v>18</v>
      </c>
      <c r="K50" s="80">
        <f>VLOOKUP(D50,產線配置圖!$A$3:$C$39,3,0)</f>
        <v>1600</v>
      </c>
      <c r="L50" s="81">
        <f t="shared" si="46"/>
        <v>88.888888888888886</v>
      </c>
      <c r="M50" s="233">
        <v>17</v>
      </c>
      <c r="N50" s="234">
        <f>G50/W50*60</f>
        <v>1499.9999999999993</v>
      </c>
      <c r="O50" s="235">
        <f>N50/M50</f>
        <v>88.235294117647015</v>
      </c>
      <c r="P50" s="74">
        <f>M50-J50</f>
        <v>-1</v>
      </c>
      <c r="Q50" s="83">
        <f>O50-L50</f>
        <v>-0.65359477124187038</v>
      </c>
      <c r="R50" s="72">
        <f>O50/L50</f>
        <v>0.99264705882352899</v>
      </c>
      <c r="S50" s="425"/>
      <c r="T50" s="21">
        <v>0.38055555555555598</v>
      </c>
      <c r="U50" s="21">
        <v>0.48055555555555601</v>
      </c>
      <c r="V50" s="30">
        <f t="shared" ref="V50:V51" si="47">(T50-U49)*24*60</f>
        <v>8.0000000000006111</v>
      </c>
      <c r="W50" s="236">
        <f t="shared" si="19"/>
        <v>144.00000000000006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4"/>
        <v>-100.00000000000068</v>
      </c>
      <c r="AG50" s="72">
        <f t="shared" si="45"/>
        <v>0.93749999999999956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3149</v>
      </c>
      <c r="H51" s="231">
        <f>F51*G51</f>
        <v>157355.53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6"/>
        <v>88.888888888888886</v>
      </c>
      <c r="M51" s="233">
        <v>17</v>
      </c>
      <c r="N51" s="234">
        <f>G51/W51*60</f>
        <v>1499.5238095238092</v>
      </c>
      <c r="O51" s="235">
        <f>N51/M51</f>
        <v>88.207282913165244</v>
      </c>
      <c r="P51" s="74">
        <f>M51-J51</f>
        <v>-1</v>
      </c>
      <c r="Q51" s="83">
        <f>O51-L51</f>
        <v>-0.68160597572364168</v>
      </c>
      <c r="R51" s="72">
        <f>O51/L51</f>
        <v>0.99233193277310905</v>
      </c>
      <c r="S51" s="425"/>
      <c r="T51" s="21">
        <v>0.53263888888888899</v>
      </c>
      <c r="U51" s="19">
        <v>0.62013888888888902</v>
      </c>
      <c r="V51" s="30">
        <f t="shared" si="47"/>
        <v>74.999999999999488</v>
      </c>
      <c r="W51" s="236">
        <f t="shared" si="19"/>
        <v>126.00000000000003</v>
      </c>
      <c r="X51" s="22">
        <v>0.48611111111111099</v>
      </c>
      <c r="Y51" s="84">
        <v>0.52777777777777801</v>
      </c>
      <c r="Z51" s="90"/>
      <c r="AA51" s="90"/>
      <c r="AB51" s="395"/>
      <c r="AC51" s="395"/>
      <c r="AD51" s="92"/>
      <c r="AE51" s="92"/>
      <c r="AF51" s="307">
        <f t="shared" si="44"/>
        <v>-100.47619047619082</v>
      </c>
      <c r="AG51" s="72">
        <f t="shared" si="45"/>
        <v>0.93720238095238073</v>
      </c>
      <c r="AH51" s="404"/>
    </row>
    <row r="52" spans="1:34" ht="15" customHeight="1">
      <c r="A52" s="45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5"/>
      <c r="T52" s="21"/>
      <c r="U52" s="21"/>
      <c r="V52" s="30"/>
      <c r="W52" s="236">
        <f t="shared" si="19"/>
        <v>0</v>
      </c>
      <c r="X52" s="22"/>
      <c r="Y52" s="84"/>
      <c r="Z52" s="90"/>
      <c r="AA52" s="90"/>
      <c r="AB52" s="395"/>
      <c r="AC52" s="395"/>
      <c r="AD52" s="92"/>
      <c r="AE52" s="92"/>
      <c r="AF52" s="307">
        <f t="shared" si="44"/>
        <v>0</v>
      </c>
      <c r="AG52" s="72" t="e">
        <f t="shared" si="45"/>
        <v>#DIV/0!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9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44"/>
        <v>0</v>
      </c>
      <c r="AG53" s="72" t="e">
        <f t="shared" si="45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9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9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9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9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8">AVERAGE(J49:J57)</f>
        <v>17.333333333333332</v>
      </c>
      <c r="K58" s="120">
        <f t="shared" si="48"/>
        <v>1546.6666666666667</v>
      </c>
      <c r="L58" s="117">
        <f t="shared" si="48"/>
        <v>89.259259259259252</v>
      </c>
      <c r="M58" s="120">
        <f t="shared" si="48"/>
        <v>16.666666666666668</v>
      </c>
      <c r="N58" s="120">
        <f t="shared" si="48"/>
        <v>1478.7122375832053</v>
      </c>
      <c r="O58" s="117">
        <f t="shared" si="48"/>
        <v>88.743627827475095</v>
      </c>
      <c r="P58" s="121">
        <f>M58-J58</f>
        <v>-0.6666666666666643</v>
      </c>
      <c r="Q58" s="122">
        <f>N58-K58</f>
        <v>-67.954429083461491</v>
      </c>
      <c r="R58" s="123">
        <f t="shared" ref="R58:R60" si="49">O58/L58</f>
        <v>0.9942232163244098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50">N58-K58</f>
        <v>-67.954429083461491</v>
      </c>
      <c r="AG58" s="124">
        <f t="shared" ref="AG58:AG61" si="51">N58/K58</f>
        <v>0.95606394671327921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3852</v>
      </c>
      <c r="H59" s="243">
        <f>F59*G59</f>
        <v>103965.48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2" si="52">K59/J59</f>
        <v>120.38461538461539</v>
      </c>
      <c r="M59" s="244">
        <v>13</v>
      </c>
      <c r="N59" s="137">
        <f t="shared" ref="N59:N62" si="53">G59/W59*60</f>
        <v>1540.8000000000104</v>
      </c>
      <c r="O59" s="138">
        <f t="shared" ref="O59:O62" si="54">N59/M59</f>
        <v>118.52307692307772</v>
      </c>
      <c r="P59" s="56">
        <f t="shared" ref="P59:P62" si="55">M59-J59</f>
        <v>0</v>
      </c>
      <c r="Q59" s="230">
        <f t="shared" ref="Q59:Q62" si="56">O59-L59</f>
        <v>-1.8615384615376627</v>
      </c>
      <c r="R59" s="52">
        <f t="shared" si="49"/>
        <v>0.98453674121406409</v>
      </c>
      <c r="S59" s="424">
        <f>R69</f>
        <v>0.90734182204381808</v>
      </c>
      <c r="T59" s="245">
        <v>0.29166666666666702</v>
      </c>
      <c r="U59" s="245">
        <v>0.39583333333333298</v>
      </c>
      <c r="V59" s="55"/>
      <c r="W59" s="54">
        <f t="shared" si="19"/>
        <v>149.99999999999898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50"/>
        <v>-24.199999999989586</v>
      </c>
      <c r="AG59" s="246">
        <f t="shared" si="51"/>
        <v>0.9845367412140642</v>
      </c>
      <c r="AH59" s="403">
        <f>AG69</f>
        <v>0.8536019935187813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1536</v>
      </c>
      <c r="H60" s="78">
        <f>F60*G60</f>
        <v>43407.360000000001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52"/>
        <v>130.41666666666666</v>
      </c>
      <c r="M60" s="82">
        <v>11</v>
      </c>
      <c r="N60" s="80">
        <f t="shared" si="53"/>
        <v>1417.8461538461502</v>
      </c>
      <c r="O60" s="81">
        <f t="shared" si="54"/>
        <v>128.89510489510457</v>
      </c>
      <c r="P60" s="74">
        <f t="shared" si="55"/>
        <v>-1</v>
      </c>
      <c r="Q60" s="83">
        <f t="shared" si="56"/>
        <v>-1.5215617715620908</v>
      </c>
      <c r="R60" s="72">
        <f t="shared" si="49"/>
        <v>0.98833307267811821</v>
      </c>
      <c r="S60" s="451"/>
      <c r="T60" s="22">
        <v>0.40625</v>
      </c>
      <c r="U60" s="22">
        <v>0.45138888888888901</v>
      </c>
      <c r="V60" s="30">
        <f t="shared" ref="V60:V62" si="57">(T60-U59)*24*60</f>
        <v>15.000000000000506</v>
      </c>
      <c r="W60" s="248">
        <f t="shared" si="19"/>
        <v>65.000000000000171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50"/>
        <v>-147.15384615384983</v>
      </c>
      <c r="AG60" s="249">
        <f t="shared" si="51"/>
        <v>0.90597198328827488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838</v>
      </c>
      <c r="H61" s="254">
        <f>F61*G61</f>
        <v>23681.88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52"/>
        <v>130.41666666666666</v>
      </c>
      <c r="M61" s="108">
        <v>11</v>
      </c>
      <c r="N61" s="107">
        <f t="shared" si="53"/>
        <v>1169.3023255814016</v>
      </c>
      <c r="O61" s="238">
        <f t="shared" si="54"/>
        <v>106.30021141649105</v>
      </c>
      <c r="P61" s="111">
        <f t="shared" si="55"/>
        <v>-1</v>
      </c>
      <c r="Q61" s="255">
        <f t="shared" si="56"/>
        <v>-24.116455250175605</v>
      </c>
      <c r="R61" s="85">
        <f>O61/L61</f>
        <v>0.81508149328938828</v>
      </c>
      <c r="S61" s="425"/>
      <c r="T61" s="22">
        <v>0.46180555555555602</v>
      </c>
      <c r="U61" s="22">
        <v>0.49166666666666697</v>
      </c>
      <c r="V61" s="30">
        <f t="shared" si="57"/>
        <v>15.000000000000506</v>
      </c>
      <c r="W61" s="256">
        <f t="shared" si="19"/>
        <v>42.999999999999766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50"/>
        <v>-395.69767441859835</v>
      </c>
      <c r="AG61" s="247">
        <f t="shared" si="51"/>
        <v>0.7471580355152726</v>
      </c>
      <c r="AH61" s="404"/>
    </row>
    <row r="62" spans="1:34" ht="15" customHeight="1">
      <c r="A62" s="449"/>
      <c r="B62" s="250" t="s">
        <v>132</v>
      </c>
      <c r="C62" s="251"/>
      <c r="D62" s="257" t="s">
        <v>135</v>
      </c>
      <c r="E62" s="253"/>
      <c r="F62" s="250">
        <f>VLOOKUP(D62,廠價表!$C$1:$E$41,3,0)</f>
        <v>28.26</v>
      </c>
      <c r="G62" s="38">
        <v>1013</v>
      </c>
      <c r="H62" s="254">
        <f>F62*G62</f>
        <v>28627.38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si="52"/>
        <v>130.41666666666666</v>
      </c>
      <c r="M62" s="108">
        <v>11</v>
      </c>
      <c r="N62" s="107">
        <f t="shared" si="53"/>
        <v>1215.6000000000081</v>
      </c>
      <c r="O62" s="238">
        <f t="shared" si="54"/>
        <v>110.50909090909164</v>
      </c>
      <c r="P62" s="111">
        <f t="shared" si="55"/>
        <v>-1</v>
      </c>
      <c r="Q62" s="255">
        <f t="shared" si="56"/>
        <v>-19.907575757575017</v>
      </c>
      <c r="R62" s="85">
        <f>O62/L62</f>
        <v>0.84735405169910527</v>
      </c>
      <c r="S62" s="425"/>
      <c r="T62" s="22">
        <v>0.54861111111111105</v>
      </c>
      <c r="U62" s="22">
        <v>0.58333333333333304</v>
      </c>
      <c r="V62" s="30">
        <f t="shared" si="57"/>
        <v>81.999999999999474</v>
      </c>
      <c r="W62" s="248">
        <f t="shared" si="19"/>
        <v>49.999999999999659</v>
      </c>
      <c r="X62" s="22">
        <v>0.50347222222222199</v>
      </c>
      <c r="Y62" s="84">
        <v>0.54513888888888895</v>
      </c>
      <c r="Z62" s="90"/>
      <c r="AA62" s="90"/>
      <c r="AB62" s="395"/>
      <c r="AC62" s="395"/>
      <c r="AD62" s="92"/>
      <c r="AE62" s="92"/>
      <c r="AF62" s="317">
        <f>N62-K62</f>
        <v>-349.39999999999191</v>
      </c>
      <c r="AG62" s="247">
        <f>N62/K62</f>
        <v>0.77674121405751317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78">
        <f t="shared" ref="H63:H67" si="58">F63*G63</f>
        <v>0</v>
      </c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9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78">
        <f t="shared" si="58"/>
        <v>0</v>
      </c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9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>
        <f t="shared" si="58"/>
        <v>0</v>
      </c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9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>
        <f t="shared" si="58"/>
        <v>0</v>
      </c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9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>
        <f t="shared" si="58"/>
        <v>0</v>
      </c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9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9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9">AVERAGE(J59:J68)</f>
        <v>12.25</v>
      </c>
      <c r="K69" s="240">
        <f t="shared" si="59"/>
        <v>1565</v>
      </c>
      <c r="L69" s="268">
        <f t="shared" si="59"/>
        <v>127.90865384615384</v>
      </c>
      <c r="M69" s="240">
        <f t="shared" si="59"/>
        <v>11.5</v>
      </c>
      <c r="N69" s="240">
        <f t="shared" si="59"/>
        <v>1335.8871198568927</v>
      </c>
      <c r="O69" s="268">
        <f t="shared" si="59"/>
        <v>116.05687103594124</v>
      </c>
      <c r="P69" s="269">
        <f>M69-J69</f>
        <v>-0.75</v>
      </c>
      <c r="Q69" s="222">
        <f>N69-K69</f>
        <v>-229.1128801431073</v>
      </c>
      <c r="R69" s="123">
        <f>O69/L69</f>
        <v>0.90734182204381808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-229.1128801431073</v>
      </c>
      <c r="AG69" s="124">
        <f>N69/K69</f>
        <v>0.8536019935187813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1823</v>
      </c>
      <c r="H70" s="243">
        <f>F70*G70</f>
        <v>92371.41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9</v>
      </c>
      <c r="N70" s="137">
        <f>G70/W70*60</f>
        <v>926.94915254236628</v>
      </c>
      <c r="O70" s="138">
        <f>N70/M70</f>
        <v>102.99435028248514</v>
      </c>
      <c r="P70" s="56">
        <f>M70-J70</f>
        <v>-1</v>
      </c>
      <c r="Q70" s="230">
        <f>O70-L70</f>
        <v>-9.5056497175148564</v>
      </c>
      <c r="R70" s="52">
        <f>O70/L70</f>
        <v>0.91550533584431237</v>
      </c>
      <c r="S70" s="424">
        <f>R79</f>
        <v>0.85821600640847806</v>
      </c>
      <c r="T70" s="245">
        <v>0.33472222222222198</v>
      </c>
      <c r="U70" s="245">
        <v>0.41666666666666702</v>
      </c>
      <c r="V70" s="55"/>
      <c r="W70" s="54">
        <f t="shared" si="19"/>
        <v>118.00000000000085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-198.05084745763372</v>
      </c>
      <c r="AG70" s="246">
        <f>N70/K70</f>
        <v>0.82395480225988116</v>
      </c>
      <c r="AH70" s="403">
        <f>AG79</f>
        <v>0.71048552429295087</v>
      </c>
    </row>
    <row r="71" spans="1:36" ht="15" customHeight="1">
      <c r="A71" s="457"/>
      <c r="B71" s="75" t="s">
        <v>81</v>
      </c>
      <c r="C71" s="76"/>
      <c r="D71" s="59" t="s">
        <v>125</v>
      </c>
      <c r="E71" s="77"/>
      <c r="F71" s="75">
        <f>VLOOKUP(D71,廠價表!$C$1:$E$41,3,0)</f>
        <v>56.43</v>
      </c>
      <c r="G71" s="30">
        <v>912</v>
      </c>
      <c r="H71" s="78">
        <f>F71*G71</f>
        <v>51464.159999999996</v>
      </c>
      <c r="I71" s="232"/>
      <c r="J71" s="79">
        <f>VLOOKUP(D71,產線配置圖!$A$3:$C$39,2,0)</f>
        <v>16</v>
      </c>
      <c r="K71" s="80">
        <f>VLOOKUP(D71,產線配置圖!$A$3:$C$39,3,0)</f>
        <v>1406</v>
      </c>
      <c r="L71" s="81">
        <f t="shared" ref="L71:L73" si="60">K71/J71</f>
        <v>87.875</v>
      </c>
      <c r="M71" s="82">
        <v>12</v>
      </c>
      <c r="N71" s="80">
        <f t="shared" ref="N71:N73" si="61">G71/W71*60</f>
        <v>729.60000000000502</v>
      </c>
      <c r="O71" s="81">
        <f t="shared" ref="O71:O73" si="62">N71/M71</f>
        <v>60.800000000000416</v>
      </c>
      <c r="P71" s="74">
        <f t="shared" ref="P71:P73" si="63">M71-J71</f>
        <v>-4</v>
      </c>
      <c r="Q71" s="83">
        <f t="shared" ref="Q71:Q73" si="64">O71-L71</f>
        <v>-27.074999999999584</v>
      </c>
      <c r="R71" s="72">
        <f>O71/L71</f>
        <v>0.69189189189189659</v>
      </c>
      <c r="S71" s="425"/>
      <c r="T71" s="22">
        <v>0.42361111111111099</v>
      </c>
      <c r="U71" s="22">
        <v>0.47569444444444398</v>
      </c>
      <c r="V71" s="30">
        <f t="shared" ref="V71:V73" si="65">(T71-U70)*24*60</f>
        <v>9.999999999999325</v>
      </c>
      <c r="W71" s="73">
        <f t="shared" si="19"/>
        <v>74.999999999999488</v>
      </c>
      <c r="X71" s="271"/>
      <c r="Y71" s="293"/>
      <c r="Z71" s="90"/>
      <c r="AA71" s="90"/>
      <c r="AB71" s="446" t="s">
        <v>195</v>
      </c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 t="s">
        <v>81</v>
      </c>
      <c r="C72" s="76"/>
      <c r="D72" s="59" t="s">
        <v>136</v>
      </c>
      <c r="E72" s="77"/>
      <c r="F72" s="250">
        <f>VLOOKUP(D72,廠價表!$C$1:$E$41,3,0)</f>
        <v>50.67</v>
      </c>
      <c r="G72" s="202">
        <v>1478</v>
      </c>
      <c r="H72" s="254">
        <f>F72*G72</f>
        <v>74890.260000000009</v>
      </c>
      <c r="I72" s="232"/>
      <c r="J72" s="106">
        <f>VLOOKUP(D72,產線配置圖!$A$3:$C$39,2,0)</f>
        <v>10</v>
      </c>
      <c r="K72" s="107">
        <f>VLOOKUP(D72,產線配置圖!$A$3:$C$39,3,0)</f>
        <v>1125</v>
      </c>
      <c r="L72" s="238">
        <f t="shared" si="60"/>
        <v>112.5</v>
      </c>
      <c r="M72" s="82">
        <v>10</v>
      </c>
      <c r="N72" s="107">
        <f t="shared" si="61"/>
        <v>1108.4999999999905</v>
      </c>
      <c r="O72" s="238">
        <f t="shared" si="62"/>
        <v>110.84999999999904</v>
      </c>
      <c r="P72" s="111">
        <f t="shared" si="63"/>
        <v>0</v>
      </c>
      <c r="Q72" s="255">
        <f t="shared" si="64"/>
        <v>-1.6500000000009578</v>
      </c>
      <c r="R72" s="85">
        <f>O72/L72</f>
        <v>0.98533333333332485</v>
      </c>
      <c r="S72" s="425"/>
      <c r="T72" s="22">
        <v>0.53472222222222199</v>
      </c>
      <c r="U72" s="22">
        <v>0.59027777777777801</v>
      </c>
      <c r="V72" s="30">
        <f t="shared" si="65"/>
        <v>85.000000000000341</v>
      </c>
      <c r="W72" s="73">
        <f t="shared" si="19"/>
        <v>80.000000000000682</v>
      </c>
      <c r="X72" s="272">
        <v>0.48611111111111099</v>
      </c>
      <c r="Y72" s="288" t="s">
        <v>185</v>
      </c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 t="s">
        <v>81</v>
      </c>
      <c r="C73" s="86"/>
      <c r="D73" s="59" t="s">
        <v>125</v>
      </c>
      <c r="E73" s="87"/>
      <c r="F73" s="250">
        <f>VLOOKUP(D73,廠價表!$C$1:$E$41,3,0)</f>
        <v>56.43</v>
      </c>
      <c r="G73" s="202">
        <v>485</v>
      </c>
      <c r="H73" s="361">
        <f>F73*G73</f>
        <v>27368.55</v>
      </c>
      <c r="I73" s="232"/>
      <c r="J73" s="106">
        <f>VLOOKUP(D73,產線配置圖!$A$3:$C$39,2,0)</f>
        <v>16</v>
      </c>
      <c r="K73" s="107">
        <f>VLOOKUP(D73,產線配置圖!$A$3:$C$39,3,0)</f>
        <v>1406</v>
      </c>
      <c r="L73" s="238">
        <f t="shared" si="60"/>
        <v>87.875</v>
      </c>
      <c r="M73" s="82">
        <v>12</v>
      </c>
      <c r="N73" s="107">
        <f t="shared" si="61"/>
        <v>831.42857142855541</v>
      </c>
      <c r="O73" s="238">
        <f t="shared" si="62"/>
        <v>69.285714285712956</v>
      </c>
      <c r="P73" s="111">
        <f t="shared" si="63"/>
        <v>-4</v>
      </c>
      <c r="Q73" s="255">
        <f t="shared" si="64"/>
        <v>-18.589285714287044</v>
      </c>
      <c r="R73" s="85">
        <f>O73/L73</f>
        <v>0.78845763056287854</v>
      </c>
      <c r="S73" s="425"/>
      <c r="T73" s="22">
        <v>0.59722222222222199</v>
      </c>
      <c r="U73" s="22">
        <v>0.62152777777777801</v>
      </c>
      <c r="V73" s="30">
        <f t="shared" si="65"/>
        <v>9.999999999999325</v>
      </c>
      <c r="W73" s="73">
        <f t="shared" si="19"/>
        <v>35.000000000000675</v>
      </c>
      <c r="X73" s="22"/>
      <c r="Y73" s="84"/>
      <c r="Z73" s="90"/>
      <c r="AA73" s="90"/>
      <c r="AB73" s="446" t="s">
        <v>195</v>
      </c>
      <c r="AC73" s="446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78">
        <f t="shared" ref="H74:H78" si="66">F74*G74</f>
        <v>0</v>
      </c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2"/>
      <c r="U74" s="22"/>
      <c r="V74" s="30"/>
      <c r="W74" s="73">
        <f t="shared" si="19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si="66"/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9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66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9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66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9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66"/>
        <v>0</v>
      </c>
      <c r="I78" s="264"/>
      <c r="J78" s="148"/>
      <c r="K78" s="95"/>
      <c r="L78" s="96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9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67">AVERAGE(J70:J78)</f>
        <v>13</v>
      </c>
      <c r="K79" s="240">
        <f t="shared" si="67"/>
        <v>1265.5</v>
      </c>
      <c r="L79" s="268">
        <f t="shared" si="67"/>
        <v>100.1875</v>
      </c>
      <c r="M79" s="240">
        <f t="shared" si="67"/>
        <v>10.75</v>
      </c>
      <c r="N79" s="240">
        <f t="shared" si="67"/>
        <v>899.11943099272935</v>
      </c>
      <c r="O79" s="268">
        <f t="shared" si="67"/>
        <v>85.982516142049391</v>
      </c>
      <c r="P79" s="269">
        <f>M79-J79</f>
        <v>-2.25</v>
      </c>
      <c r="Q79" s="222">
        <f>N79-K79</f>
        <v>-366.38056900727065</v>
      </c>
      <c r="R79" s="223">
        <f>O79/L79</f>
        <v>0.85821600640847806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-366.38056900727065</v>
      </c>
      <c r="AG79" s="124">
        <f>N79/K79</f>
        <v>0.71048552429295087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37:E37"/>
    <mergeCell ref="AB37:AC37"/>
    <mergeCell ref="A27:A37"/>
    <mergeCell ref="S27:S37"/>
    <mergeCell ref="AB27:AC27"/>
    <mergeCell ref="A38:A48"/>
    <mergeCell ref="S38:S48"/>
    <mergeCell ref="AB38:AC38"/>
    <mergeCell ref="D48:E48"/>
    <mergeCell ref="AB48:AC48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W3:W4"/>
    <mergeCell ref="X3:Y3"/>
    <mergeCell ref="Z3:AA3"/>
    <mergeCell ref="AB13:AC13"/>
    <mergeCell ref="AD3:AE3"/>
    <mergeCell ref="P3:P4"/>
    <mergeCell ref="Q3:Q4"/>
    <mergeCell ref="R3:R4"/>
    <mergeCell ref="T3:U3"/>
    <mergeCell ref="V3:V4"/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</mergeCells>
  <phoneticPr fontId="0" type="noConversion"/>
  <conditionalFormatting sqref="P5:P79">
    <cfRule type="cellIs" dxfId="95" priority="1" operator="greaterThan">
      <formula>0</formula>
    </cfRule>
  </conditionalFormatting>
  <conditionalFormatting sqref="Q5:Q79 AF5:AF79">
    <cfRule type="cellIs" dxfId="94" priority="4" operator="lessThan">
      <formula>0</formula>
    </cfRule>
  </conditionalFormatting>
  <conditionalFormatting sqref="R5:R79 AG5:AG79">
    <cfRule type="cellIs" dxfId="93" priority="2" operator="greaterThan">
      <formula>1</formula>
    </cfRule>
    <cfRule type="cellIs" dxfId="92" priority="3" operator="lessThan">
      <formula>0.8</formula>
    </cfRule>
  </conditionalFormatting>
  <conditionalFormatting sqref="S5:S10 S37:S62 AH59:AH62 S69:S76 AH69:AH76">
    <cfRule type="cellIs" dxfId="91" priority="7" operator="lessThan">
      <formula>0.8</formula>
    </cfRule>
  </conditionalFormatting>
  <conditionalFormatting sqref="S19:S25 AH19:AH25">
    <cfRule type="cellIs" dxfId="90" priority="6" operator="lessThan">
      <formula>0.8</formula>
    </cfRule>
  </conditionalFormatting>
  <conditionalFormatting sqref="S79">
    <cfRule type="cellIs" dxfId="89" priority="5" operator="lessThan">
      <formula>0.8</formula>
    </cfRule>
  </conditionalFormatting>
  <conditionalFormatting sqref="AH5:AH8 S15:S16 AH15:AH16 AH49 AH79">
    <cfRule type="cellIs" dxfId="88" priority="9" operator="lessThan">
      <formula>0.8</formula>
    </cfRule>
  </conditionalFormatting>
  <conditionalFormatting sqref="AH27 S27:S28">
    <cfRule type="cellIs" dxfId="87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D6C0B9-D4CD-48E0-A6FE-B079280E0741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07CF-BE81-463E-A28C-738D2A79CB78}">
  <dimension ref="B1:O26"/>
  <sheetViews>
    <sheetView zoomScale="70" zoomScaleNormal="70" workbookViewId="0">
      <selection activeCell="O17" sqref="O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46076</v>
      </c>
      <c r="E3" s="493"/>
      <c r="F3" s="3" t="s">
        <v>72</v>
      </c>
      <c r="G3" s="494">
        <f>'0223'!E1</f>
        <v>61384</v>
      </c>
      <c r="H3" s="494"/>
      <c r="I3" s="3" t="s">
        <v>2</v>
      </c>
      <c r="J3" s="495">
        <f>'0223'!G1</f>
        <v>2938066.0100000002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118.64121706180529</v>
      </c>
      <c r="G6" s="490"/>
      <c r="H6" s="491">
        <f>AVERAGE(D13:H13,J13)</f>
        <v>117.34744554646515</v>
      </c>
      <c r="I6" s="491"/>
      <c r="J6" s="491">
        <f>AVERAGE(I13)</f>
        <v>126.40384615384615</v>
      </c>
      <c r="K6" s="491"/>
      <c r="L6" s="497">
        <f>SUM(D18:J18)</f>
        <v>0</v>
      </c>
      <c r="M6" s="482">
        <f>SUM(D19:J19)</f>
        <v>0</v>
      </c>
      <c r="N6" s="498">
        <f>SUM(D20:J20)</f>
        <v>0</v>
      </c>
      <c r="O6" s="482">
        <f>SUM(D20:J20)</f>
        <v>0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112.06815806309382</v>
      </c>
      <c r="G7" s="479"/>
      <c r="H7" s="480">
        <f>AVERAGE(D14:H14,J14)</f>
        <v>112.44930640864789</v>
      </c>
      <c r="I7" s="480"/>
      <c r="J7" s="480">
        <f>AVERAGE(I14)</f>
        <v>109.78126798976943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0.9445971715269299</v>
      </c>
      <c r="G8" s="485"/>
      <c r="H8" s="485">
        <f>H7/H6</f>
        <v>0.95825951630214401</v>
      </c>
      <c r="I8" s="485"/>
      <c r="J8" s="485">
        <f>J7/J6</f>
        <v>0.8684962628127203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VALUE('0223'!L15)</f>
        <v>150.77724358974356</v>
      </c>
      <c r="E13" s="13">
        <f>VALUE('0223'!L26)</f>
        <v>176.42992424242425</v>
      </c>
      <c r="F13" s="13">
        <f>VALUE('0223'!L37)</f>
        <v>97.874509803921555</v>
      </c>
      <c r="G13" s="13">
        <f>VALUE('0223'!L48)</f>
        <v>85.452069716775597</v>
      </c>
      <c r="H13" s="13">
        <f>VALUE('0223'!L58)</f>
        <v>89.259259259259252</v>
      </c>
      <c r="I13" s="13">
        <f>VALUE('0223'!L69)</f>
        <v>126.40384615384615</v>
      </c>
      <c r="J13" s="13">
        <f>'0223'!L79</f>
        <v>104.29166666666667</v>
      </c>
    </row>
    <row r="14" spans="2:15" ht="39.950000000000003" customHeight="1">
      <c r="B14" s="473"/>
      <c r="C14" s="12" t="s">
        <v>100</v>
      </c>
      <c r="D14" s="13">
        <f>VALUE('0223'!O15)</f>
        <v>147.85740866919687</v>
      </c>
      <c r="E14" s="13">
        <f>VALUE('0223'!O26)</f>
        <v>171.60401231054527</v>
      </c>
      <c r="F14" s="13">
        <f>VALUE('0223'!O37)</f>
        <v>88.927799621762077</v>
      </c>
      <c r="G14" s="13">
        <f>VALUE('0223'!O48)</f>
        <v>83.675974371333623</v>
      </c>
      <c r="H14" s="13">
        <f>VALUE('0223'!O58)</f>
        <v>87.649114975191353</v>
      </c>
      <c r="I14" s="13">
        <f>VALUE('0223'!O69)</f>
        <v>109.78126798976943</v>
      </c>
      <c r="J14" s="13">
        <f>'0223'!O79</f>
        <v>94.981528503858115</v>
      </c>
    </row>
    <row r="15" spans="2:15" ht="39.950000000000003" customHeight="1">
      <c r="B15" s="474"/>
      <c r="C15" s="10" t="s">
        <v>26</v>
      </c>
      <c r="D15" s="14">
        <f>D14/D13</f>
        <v>0.98063477716510461</v>
      </c>
      <c r="E15" s="14">
        <f t="shared" ref="E15:I15" si="1">E14/E13</f>
        <v>0.97264686275527779</v>
      </c>
      <c r="F15" s="14">
        <f t="shared" si="1"/>
        <v>0.90858998732067209</v>
      </c>
      <c r="G15" s="14">
        <f t="shared" si="1"/>
        <v>0.97921530337031382</v>
      </c>
      <c r="H15" s="14">
        <f t="shared" si="1"/>
        <v>0.98196103914114796</v>
      </c>
      <c r="I15" s="14">
        <f t="shared" si="1"/>
        <v>0.8684962628127203</v>
      </c>
      <c r="J15" s="15">
        <f>'0223'!S70</f>
        <v>0.91072979787958241</v>
      </c>
    </row>
    <row r="16" spans="2:15" ht="17.25" customHeight="1">
      <c r="B16" s="475" t="s">
        <v>101</v>
      </c>
      <c r="C16" s="10" t="s">
        <v>34</v>
      </c>
      <c r="D16" s="16">
        <f>'0223'!T5</f>
        <v>0.29166666666666702</v>
      </c>
      <c r="E16" s="16">
        <f>'0223'!T16</f>
        <v>0.29027777777777802</v>
      </c>
      <c r="F16" s="16">
        <f>'0223'!T27</f>
        <v>0.29027777777777802</v>
      </c>
      <c r="G16" s="16">
        <f>'0223'!T38</f>
        <v>0.33472222222222198</v>
      </c>
      <c r="H16" s="16">
        <f>'0223'!T49</f>
        <v>0.29027777777777802</v>
      </c>
      <c r="I16" s="16">
        <f>'0223'!T59</f>
        <v>0.29166666666666702</v>
      </c>
      <c r="J16" s="16">
        <f>'0223'!T70</f>
        <v>0.33333333333333298</v>
      </c>
    </row>
    <row r="17" spans="2:10" ht="17.25" customHeight="1">
      <c r="B17" s="476"/>
      <c r="C17" s="10" t="s">
        <v>35</v>
      </c>
      <c r="D17" s="16">
        <v>0.61180555555555605</v>
      </c>
      <c r="E17" s="19">
        <v>0.65138888888888902</v>
      </c>
      <c r="F17" s="19">
        <v>0.61319444444444404</v>
      </c>
      <c r="G17" s="20">
        <v>0.64652777777777803</v>
      </c>
      <c r="H17" s="19">
        <v>0.61319444444444404</v>
      </c>
      <c r="I17" s="22">
        <v>0.58263888888888904</v>
      </c>
      <c r="J17" s="22">
        <v>0.60624999999999996</v>
      </c>
    </row>
    <row r="18" spans="2:10" ht="17.25" customHeight="1">
      <c r="B18" s="477" t="s">
        <v>102</v>
      </c>
      <c r="C18" s="330" t="s">
        <v>36</v>
      </c>
      <c r="D18" s="358">
        <f>'0223'!Z15</f>
        <v>0</v>
      </c>
      <c r="E18" s="359">
        <f>'0223'!Z26</f>
        <v>0</v>
      </c>
      <c r="F18" s="359">
        <f>'0223'!Z37</f>
        <v>0</v>
      </c>
      <c r="G18" s="360">
        <f>'0223'!Z48</f>
        <v>0</v>
      </c>
      <c r="H18" s="360">
        <f>'0223'!Z58</f>
        <v>0</v>
      </c>
      <c r="I18" s="359">
        <f>'0223'!Z69</f>
        <v>0</v>
      </c>
      <c r="J18" s="359">
        <f>'0223'!AA79</f>
        <v>0</v>
      </c>
    </row>
    <row r="19" spans="2:10" ht="17.25" customHeight="1">
      <c r="B19" s="478"/>
      <c r="C19" s="330" t="s">
        <v>37</v>
      </c>
      <c r="D19" s="358">
        <f>'0223'!AA15</f>
        <v>0</v>
      </c>
      <c r="E19" s="359">
        <f>'0223'!AA26</f>
        <v>0</v>
      </c>
      <c r="F19" s="359">
        <f>'0223'!AA37</f>
        <v>0</v>
      </c>
      <c r="G19" s="360">
        <f>'0223'!AA48</f>
        <v>0</v>
      </c>
      <c r="H19" s="360">
        <f>'0223'!AA58</f>
        <v>0</v>
      </c>
      <c r="I19" s="359">
        <f>'0223'!AA69</f>
        <v>0</v>
      </c>
      <c r="J19" s="359">
        <f>'0223'!AB79</f>
        <v>0</v>
      </c>
    </row>
    <row r="20" spans="2:10" ht="17.25" customHeight="1">
      <c r="B20" s="477" t="s">
        <v>103</v>
      </c>
      <c r="C20" s="330" t="s">
        <v>36</v>
      </c>
      <c r="D20" s="358">
        <f>'0223'!AD15</f>
        <v>0</v>
      </c>
      <c r="E20" s="359">
        <f>'0223'!AD26</f>
        <v>0</v>
      </c>
      <c r="F20" s="359">
        <f>'0223'!AD37</f>
        <v>0</v>
      </c>
      <c r="G20" s="360">
        <f>'0223'!AD48</f>
        <v>0</v>
      </c>
      <c r="H20" s="360">
        <f>'0223'!AD58</f>
        <v>0</v>
      </c>
      <c r="I20" s="359">
        <f>'0223'!AD69</f>
        <v>0</v>
      </c>
      <c r="J20" s="359">
        <f>'0223'!AD79</f>
        <v>0</v>
      </c>
    </row>
    <row r="21" spans="2:10" ht="17.25" customHeight="1">
      <c r="B21" s="478"/>
      <c r="C21" s="330" t="s">
        <v>85</v>
      </c>
      <c r="D21" s="358">
        <f>'0223'!AE15</f>
        <v>0</v>
      </c>
      <c r="E21" s="359">
        <f>'0223'!AE26</f>
        <v>0</v>
      </c>
      <c r="F21" s="359">
        <f>'0223'!AE37</f>
        <v>0</v>
      </c>
      <c r="G21" s="360">
        <f>'0223'!AE48</f>
        <v>0</v>
      </c>
      <c r="H21" s="360">
        <f>'0223'!AE58</f>
        <v>0</v>
      </c>
      <c r="I21" s="359">
        <f>'0223'!AE69</f>
        <v>0</v>
      </c>
      <c r="J21" s="359">
        <f>'0223'!AE79</f>
        <v>0</v>
      </c>
    </row>
    <row r="22" spans="2:10" ht="17.25" customHeight="1">
      <c r="B22" s="460" t="s">
        <v>104</v>
      </c>
      <c r="C22" s="461"/>
      <c r="D22" s="23">
        <f>VALUE('0223'!M15)</f>
        <v>13.25</v>
      </c>
      <c r="E22" s="23">
        <f>VALUE('0223'!M26)</f>
        <v>11.5</v>
      </c>
      <c r="F22" s="23">
        <f>VALUE('0223'!M37)</f>
        <v>14.6</v>
      </c>
      <c r="G22" s="23">
        <f>VALUE('0223'!M48)</f>
        <v>15.666666666666666</v>
      </c>
      <c r="H22" s="23">
        <f>VALUE('0223'!M58)</f>
        <v>16.666666666666668</v>
      </c>
      <c r="I22" s="23">
        <f>VALUE('0223'!M69)</f>
        <v>12.2</v>
      </c>
      <c r="J22" s="23">
        <f>'0223'!M79</f>
        <v>11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86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F491-4F04-45E3-BE0E-BE92A2377807}">
  <sheetPr>
    <tabColor theme="9" tint="0.79998168889431442"/>
  </sheetPr>
  <dimension ref="A1:AJ92"/>
  <sheetViews>
    <sheetView zoomScale="69" zoomScaleNormal="69" workbookViewId="0">
      <pane xSplit="5" ySplit="4" topLeftCell="N14" activePane="bottomRight" state="frozen"/>
      <selection activeCell="O17" sqref="O17"/>
      <selection pane="topRight" activeCell="O17" sqref="O17"/>
      <selection pane="bottomLeft" activeCell="O17" sqref="O17"/>
      <selection pane="bottomRight" activeCell="O17" sqref="O1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61384</v>
      </c>
      <c r="F1" s="30" t="s">
        <v>2</v>
      </c>
      <c r="G1" s="31">
        <f>SUM(H5:H79)</f>
        <v>2938066.0100000002</v>
      </c>
      <c r="H1" s="32" t="s">
        <v>3</v>
      </c>
      <c r="I1" s="33">
        <f>M15+M26+M48+M58+M69+M79+M37</f>
        <v>94.883333333333326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199</v>
      </c>
      <c r="B2" s="374"/>
      <c r="C2" s="28"/>
      <c r="D2" s="28" t="s">
        <v>14</v>
      </c>
      <c r="E2" s="35">
        <f>AVERAGE(O15,O26,O37,O48,O58,O69,O79)</f>
        <v>112.06815806309382</v>
      </c>
      <c r="F2" s="36" t="s">
        <v>15</v>
      </c>
      <c r="G2" s="37">
        <f>G1/E1</f>
        <v>47.863710576045882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0</v>
      </c>
      <c r="AA2" s="339">
        <f>AA15+AA26+AA37+AA48+AA58+AA69+AA79</f>
        <v>0</v>
      </c>
      <c r="AB2" s="370"/>
      <c r="AC2" s="370"/>
      <c r="AD2" s="340">
        <f>AD15+AD26+AD37+AD48+AD58+AD69+AD79</f>
        <v>0</v>
      </c>
      <c r="AE2" s="340">
        <f>AE15+AE26+AE37+AE48+AE58+AE69+AE79</f>
        <v>0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2516</v>
      </c>
      <c r="H5" s="43">
        <f>F5*G5</f>
        <v>143940.36000000002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8" si="0">K5/J5</f>
        <v>175.41666666666666</v>
      </c>
      <c r="M5" s="48">
        <v>12</v>
      </c>
      <c r="N5" s="46">
        <f t="shared" ref="N5:N8" si="1">G5/W5*60</f>
        <v>2067.9452054794706</v>
      </c>
      <c r="O5" s="47">
        <f t="shared" ref="O5:O8" si="2">N5/M5</f>
        <v>172.32876712328923</v>
      </c>
      <c r="P5" s="49">
        <f t="shared" ref="P5:P8" si="3">M5-J5</f>
        <v>0</v>
      </c>
      <c r="Q5" s="50">
        <f t="shared" ref="Q5:Q8" si="4">O5-L5</f>
        <v>-3.0878995433774321</v>
      </c>
      <c r="R5" s="51">
        <f t="shared" ref="R5:R8" si="5">O5/L5</f>
        <v>0.98239677219927357</v>
      </c>
      <c r="S5" s="424">
        <f>R15</f>
        <v>0.98063477716510461</v>
      </c>
      <c r="T5" s="319">
        <v>0.29166666666666702</v>
      </c>
      <c r="U5" s="320">
        <v>0.34236111111111101</v>
      </c>
      <c r="V5" s="53"/>
      <c r="W5" s="54">
        <f t="shared" ref="W5:W14" si="6">(U5-T5)*24*60</f>
        <v>72.999999999999346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11" si="7">N5-K5</f>
        <v>-37.054794520529413</v>
      </c>
      <c r="AG5" s="52">
        <f t="shared" ref="AG5:AG11" si="8">N5/K5</f>
        <v>0.98239677219927346</v>
      </c>
      <c r="AH5" s="403">
        <f>AG15</f>
        <v>0.97940869252930784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1836</v>
      </c>
      <c r="H6" s="63">
        <f>F6*G6</f>
        <v>103330.08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1694.7692307692262</v>
      </c>
      <c r="O6" s="67">
        <f t="shared" si="2"/>
        <v>112.98461538461508</v>
      </c>
      <c r="P6" s="69">
        <f t="shared" si="3"/>
        <v>0</v>
      </c>
      <c r="Q6" s="70">
        <f t="shared" si="4"/>
        <v>-7.0153846153849173</v>
      </c>
      <c r="R6" s="71">
        <f t="shared" si="5"/>
        <v>0.94153846153845899</v>
      </c>
      <c r="S6" s="425"/>
      <c r="T6" s="16">
        <v>0.35069444444444398</v>
      </c>
      <c r="U6" s="16">
        <v>0.39583333333333298</v>
      </c>
      <c r="V6" s="30">
        <f>(T6-U5)*24*60</f>
        <v>11.999999999999478</v>
      </c>
      <c r="W6" s="73">
        <f t="shared" si="6"/>
        <v>65.000000000000171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-105.23076923077383</v>
      </c>
      <c r="AG6" s="72">
        <f t="shared" si="8"/>
        <v>0.94153846153845899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4427</v>
      </c>
      <c r="H7" s="78">
        <f>F7*G7</f>
        <v>217542.78</v>
      </c>
      <c r="I7" s="73"/>
      <c r="J7" s="79">
        <f>VLOOKUP(D7,產線配置圖!$A$3:$C$39,2,0)</f>
        <v>13</v>
      </c>
      <c r="K7" s="80">
        <f>VLOOKUP(D7,產線配置圖!$A$3:$C$39,3,0)</f>
        <v>2000</v>
      </c>
      <c r="L7" s="81">
        <f t="shared" si="0"/>
        <v>153.84615384615384</v>
      </c>
      <c r="M7" s="82">
        <v>13</v>
      </c>
      <c r="N7" s="80">
        <f t="shared" si="1"/>
        <v>1997.1428571428592</v>
      </c>
      <c r="O7" s="81">
        <f t="shared" si="2"/>
        <v>153.62637362637378</v>
      </c>
      <c r="P7" s="74">
        <f t="shared" si="3"/>
        <v>0</v>
      </c>
      <c r="Q7" s="83">
        <f t="shared" si="4"/>
        <v>-0.21978021978006268</v>
      </c>
      <c r="R7" s="72">
        <f t="shared" si="5"/>
        <v>0.99857142857142955</v>
      </c>
      <c r="S7" s="425"/>
      <c r="T7" s="18">
        <v>0.40208333333333302</v>
      </c>
      <c r="U7" s="18">
        <v>0.49444444444444402</v>
      </c>
      <c r="V7" s="30">
        <f>(T7-U6)*24*60</f>
        <v>9.000000000000048</v>
      </c>
      <c r="W7" s="73">
        <f t="shared" si="6"/>
        <v>132.99999999999986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-2.8571428571408433</v>
      </c>
      <c r="AG7" s="72">
        <f t="shared" si="8"/>
        <v>0.99857142857142955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2511</v>
      </c>
      <c r="H8" s="78">
        <f>F8*G8</f>
        <v>123390.54000000001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1982.3684210526219</v>
      </c>
      <c r="O8" s="81">
        <f t="shared" si="2"/>
        <v>152.48987854250939</v>
      </c>
      <c r="P8" s="74">
        <f t="shared" si="3"/>
        <v>0</v>
      </c>
      <c r="Q8" s="83">
        <f t="shared" si="4"/>
        <v>-1.3562753036444519</v>
      </c>
      <c r="R8" s="72">
        <f t="shared" si="5"/>
        <v>0.99118421052631112</v>
      </c>
      <c r="S8" s="425"/>
      <c r="T8" s="16">
        <v>0.55902777777777801</v>
      </c>
      <c r="U8" s="16">
        <v>0.61180555555555605</v>
      </c>
      <c r="V8" s="30">
        <f>(T8-U7)*24*60</f>
        <v>93.000000000000952</v>
      </c>
      <c r="W8" s="73">
        <f t="shared" si="6"/>
        <v>76.000000000000369</v>
      </c>
      <c r="X8" s="22">
        <v>0.5</v>
      </c>
      <c r="Y8" s="84">
        <v>0.54166666666666696</v>
      </c>
      <c r="Z8" s="90"/>
      <c r="AA8" s="90"/>
      <c r="AB8" s="407"/>
      <c r="AC8" s="407"/>
      <c r="AD8" s="149"/>
      <c r="AE8" s="149"/>
      <c r="AF8" s="307">
        <f t="shared" si="7"/>
        <v>-17.631578947378102</v>
      </c>
      <c r="AG8" s="72">
        <f t="shared" si="8"/>
        <v>0.99118421052631089</v>
      </c>
      <c r="AH8" s="404"/>
    </row>
    <row r="9" spans="1:34" ht="15" customHeight="1">
      <c r="A9" s="42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6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0</v>
      </c>
      <c r="AG9" s="72" t="e">
        <f t="shared" si="8"/>
        <v>#DIV/0!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9">AVERAGE(J5:J14)</f>
        <v>13.25</v>
      </c>
      <c r="K15" s="120">
        <f t="shared" si="9"/>
        <v>1976.25</v>
      </c>
      <c r="L15" s="117">
        <f t="shared" si="9"/>
        <v>150.77724358974356</v>
      </c>
      <c r="M15" s="120">
        <f t="shared" si="9"/>
        <v>13.25</v>
      </c>
      <c r="N15" s="120">
        <f t="shared" si="9"/>
        <v>1935.5564286110446</v>
      </c>
      <c r="O15" s="117">
        <f t="shared" si="9"/>
        <v>147.85740866919687</v>
      </c>
      <c r="P15" s="121">
        <f t="shared" ref="P15:P19" si="10">M15-J15</f>
        <v>0</v>
      </c>
      <c r="Q15" s="122">
        <f t="shared" ref="Q15:Q19" si="11">O15-L15</f>
        <v>-2.9198349205466911</v>
      </c>
      <c r="R15" s="123">
        <f t="shared" ref="R15:R19" si="12">O15/L15</f>
        <v>0.98063477716510461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3">N15-K15</f>
        <v>-40.693571388955434</v>
      </c>
      <c r="AG15" s="124">
        <f t="shared" ref="AG15:AG19" si="14">N15/K15</f>
        <v>0.97940869252930784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2210</v>
      </c>
      <c r="H16" s="134">
        <f>F16*G16</f>
        <v>126434.1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19" si="15">K16/J16</f>
        <v>175.41666666666666</v>
      </c>
      <c r="M16" s="139">
        <v>12</v>
      </c>
      <c r="N16" s="140">
        <f t="shared" ref="N16:N19" si="16">G16/W16*60</f>
        <v>1979.1044776119306</v>
      </c>
      <c r="O16" s="141">
        <f>N16/M16</f>
        <v>164.92537313432754</v>
      </c>
      <c r="P16" s="142">
        <f>M16-J16</f>
        <v>0</v>
      </c>
      <c r="Q16" s="143">
        <f t="shared" si="11"/>
        <v>-10.491293532339114</v>
      </c>
      <c r="R16" s="144">
        <f>O16/L16</f>
        <v>0.94019215088452757</v>
      </c>
      <c r="S16" s="417">
        <f>R26</f>
        <v>0.97264686275527779</v>
      </c>
      <c r="T16" s="145">
        <v>0.29027777777777802</v>
      </c>
      <c r="U16" s="145">
        <v>0.33680555555555602</v>
      </c>
      <c r="V16" s="135"/>
      <c r="W16" s="146">
        <f t="shared" ref="W16:W78" si="17">(U16-T16)*24*60</f>
        <v>67.000000000000327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3"/>
        <v>-125.89552238806937</v>
      </c>
      <c r="AG16" s="52">
        <f t="shared" si="14"/>
        <v>0.94019215088452757</v>
      </c>
      <c r="AH16" s="403">
        <f>AG26</f>
        <v>0.97244899418839115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4720</v>
      </c>
      <c r="H17" s="78">
        <f>F17*G17</f>
        <v>239162.4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5"/>
        <v>166.66666666666666</v>
      </c>
      <c r="M17" s="148">
        <v>12</v>
      </c>
      <c r="N17" s="95">
        <f>G17/W17*60</f>
        <v>1994.3661971831009</v>
      </c>
      <c r="O17" s="96">
        <f t="shared" ref="O17:O19" si="18">N17/M17</f>
        <v>166.19718309859175</v>
      </c>
      <c r="P17" s="97">
        <f t="shared" si="10"/>
        <v>0</v>
      </c>
      <c r="Q17" s="98">
        <f t="shared" si="11"/>
        <v>-0.46948356807490654</v>
      </c>
      <c r="R17" s="99">
        <f t="shared" si="12"/>
        <v>0.99718309859155052</v>
      </c>
      <c r="S17" s="418"/>
      <c r="T17" s="19">
        <v>0.343055555555556</v>
      </c>
      <c r="U17" s="19">
        <v>0.44166666666666698</v>
      </c>
      <c r="V17" s="30">
        <f>(T17-U16)*24*60</f>
        <v>8.999999999999968</v>
      </c>
      <c r="W17" s="149">
        <f t="shared" si="17"/>
        <v>141.99999999999983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3"/>
        <v>-5.6338028168991059</v>
      </c>
      <c r="AG17" s="72">
        <f t="shared" si="14"/>
        <v>0.99718309859155041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2193</v>
      </c>
      <c r="H18" s="78">
        <f>F18*G18</f>
        <v>110505.27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5"/>
        <v>181.81818181818181</v>
      </c>
      <c r="M18" s="148">
        <v>11</v>
      </c>
      <c r="N18" s="95">
        <f t="shared" si="16"/>
        <v>1963.8805970149158</v>
      </c>
      <c r="O18" s="96">
        <f t="shared" si="18"/>
        <v>178.53459972862871</v>
      </c>
      <c r="P18" s="97">
        <f t="shared" si="10"/>
        <v>0</v>
      </c>
      <c r="Q18" s="98">
        <f t="shared" si="11"/>
        <v>-3.2835820895531072</v>
      </c>
      <c r="R18" s="99">
        <f t="shared" si="12"/>
        <v>0.9819402985074579</v>
      </c>
      <c r="S18" s="418"/>
      <c r="T18" s="19">
        <v>0.44652777777777802</v>
      </c>
      <c r="U18" s="19">
        <v>0.49305555555555602</v>
      </c>
      <c r="V18" s="30">
        <f>(T18-U17)*24*60</f>
        <v>6.9999999999998952</v>
      </c>
      <c r="W18" s="149">
        <f t="shared" si="17"/>
        <v>67.000000000000327</v>
      </c>
      <c r="X18" s="22"/>
      <c r="Y18" s="84"/>
      <c r="Z18" s="90"/>
      <c r="AA18" s="90"/>
      <c r="AB18" s="395"/>
      <c r="AC18" s="395"/>
      <c r="AD18" s="92"/>
      <c r="AE18" s="92"/>
      <c r="AF18" s="307">
        <f t="shared" si="13"/>
        <v>-36.119402985084207</v>
      </c>
      <c r="AG18" s="72">
        <f t="shared" si="14"/>
        <v>0.9819402985074579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4472</v>
      </c>
      <c r="H19" s="78">
        <f>F19*G19</f>
        <v>225344.08000000002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5"/>
        <v>181.81818181818181</v>
      </c>
      <c r="M19" s="148">
        <v>11</v>
      </c>
      <c r="N19" s="95">
        <f t="shared" si="16"/>
        <v>1944.3478260869633</v>
      </c>
      <c r="O19" s="96">
        <f t="shared" si="18"/>
        <v>176.75889328063303</v>
      </c>
      <c r="P19" s="97">
        <f t="shared" si="10"/>
        <v>0</v>
      </c>
      <c r="Q19" s="98">
        <f t="shared" si="11"/>
        <v>-5.0592885375487811</v>
      </c>
      <c r="R19" s="99">
        <f t="shared" si="12"/>
        <v>0.97217391304348166</v>
      </c>
      <c r="S19" s="418"/>
      <c r="T19" s="19">
        <v>0.55555555555555602</v>
      </c>
      <c r="U19" s="19">
        <v>0.65138888888888902</v>
      </c>
      <c r="V19" s="30">
        <f>(T19-U18)*24*60</f>
        <v>90</v>
      </c>
      <c r="W19" s="149">
        <f t="shared" si="17"/>
        <v>137.99999999999952</v>
      </c>
      <c r="X19" s="22">
        <v>0.5</v>
      </c>
      <c r="Y19" s="84">
        <v>0.54166666666666696</v>
      </c>
      <c r="Z19" s="90"/>
      <c r="AA19" s="90"/>
      <c r="AB19" s="407"/>
      <c r="AC19" s="407"/>
      <c r="AD19" s="149"/>
      <c r="AE19" s="149"/>
      <c r="AF19" s="307">
        <f t="shared" si="13"/>
        <v>-55.652173913036677</v>
      </c>
      <c r="AG19" s="72">
        <f t="shared" si="14"/>
        <v>0.97217391304348166</v>
      </c>
      <c r="AH19" s="405"/>
    </row>
    <row r="20" spans="1:34" ht="15" customHeight="1">
      <c r="A20" s="414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8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9"/>
      <c r="U21" s="19"/>
      <c r="V21" s="30"/>
      <c r="W21" s="149">
        <f t="shared" si="17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7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0">AVERAGE(J16:J25)</f>
        <v>11.5</v>
      </c>
      <c r="K26" s="155">
        <f t="shared" si="20"/>
        <v>2026.25</v>
      </c>
      <c r="L26" s="158">
        <f t="shared" si="20"/>
        <v>176.42992424242425</v>
      </c>
      <c r="M26" s="155">
        <f t="shared" si="20"/>
        <v>11.5</v>
      </c>
      <c r="N26" s="155">
        <f t="shared" si="20"/>
        <v>1970.4247744742277</v>
      </c>
      <c r="O26" s="158">
        <f t="shared" si="20"/>
        <v>171.60401231054527</v>
      </c>
      <c r="P26" s="159">
        <f t="shared" ref="P26:P31" si="21">M26-J26</f>
        <v>0</v>
      </c>
      <c r="Q26" s="160">
        <f t="shared" ref="Q26:Q31" si="22">O26-L26</f>
        <v>-4.8259119318789772</v>
      </c>
      <c r="R26" s="161">
        <f>O26/L26</f>
        <v>0.97264686275527779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0</v>
      </c>
      <c r="AE26" s="323">
        <f>SUM(AE16:AE25)</f>
        <v>0</v>
      </c>
      <c r="AF26" s="309">
        <f t="shared" ref="AF26:AF31" si="23">N26-K26</f>
        <v>-55.825225525772339</v>
      </c>
      <c r="AG26" s="124">
        <f t="shared" ref="AG26:AG31" si="24">N26/K26</f>
        <v>0.97244899418839115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1612</v>
      </c>
      <c r="H27" s="134">
        <f>F27*G27</f>
        <v>92367.599999999991</v>
      </c>
      <c r="I27" s="135"/>
      <c r="J27" s="136">
        <v>15</v>
      </c>
      <c r="K27" s="137">
        <f>VLOOKUP(D27,產線配置圖!$A$3:$C$39,3,0)</f>
        <v>1500</v>
      </c>
      <c r="L27" s="138">
        <f t="shared" ref="L27:L31" si="25">K27/J27</f>
        <v>100</v>
      </c>
      <c r="M27" s="170">
        <v>15</v>
      </c>
      <c r="N27" s="140">
        <f>G27/W27*60</f>
        <v>1487.9999999999982</v>
      </c>
      <c r="O27" s="141">
        <f>N27/M27</f>
        <v>99.199999999999875</v>
      </c>
      <c r="P27" s="142">
        <f t="shared" si="21"/>
        <v>0</v>
      </c>
      <c r="Q27" s="143">
        <f t="shared" si="22"/>
        <v>-0.80000000000012506</v>
      </c>
      <c r="R27" s="144">
        <f>O27/L27</f>
        <v>0.99199999999999877</v>
      </c>
      <c r="S27" s="417">
        <f>R37</f>
        <v>0.90858998732067209</v>
      </c>
      <c r="T27" s="171">
        <v>0.29027777777777802</v>
      </c>
      <c r="U27" s="171">
        <v>0.33541666666666697</v>
      </c>
      <c r="V27" s="135"/>
      <c r="W27" s="146">
        <f t="shared" si="17"/>
        <v>65.000000000000085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3"/>
        <v>-12.000000000001819</v>
      </c>
      <c r="AG27" s="172">
        <f t="shared" si="24"/>
        <v>0.99199999999999877</v>
      </c>
      <c r="AH27" s="403">
        <f>AG37</f>
        <v>0.86472642625068508</v>
      </c>
    </row>
    <row r="28" spans="1:34" ht="15" customHeight="1">
      <c r="A28" s="430"/>
      <c r="B28" s="75" t="s">
        <v>123</v>
      </c>
      <c r="C28" s="173"/>
      <c r="D28" s="59" t="s">
        <v>127</v>
      </c>
      <c r="E28" s="104"/>
      <c r="F28" s="75">
        <f>VLOOKUP(D28,廠價表!$C$1:$E$41,3,0)</f>
        <v>49.91</v>
      </c>
      <c r="G28" s="90">
        <v>1673</v>
      </c>
      <c r="H28" s="91">
        <f>F28*G28</f>
        <v>83499.429999999993</v>
      </c>
      <c r="I28" s="92"/>
      <c r="J28" s="79">
        <v>15</v>
      </c>
      <c r="K28" s="80">
        <f>VLOOKUP(D28,產線配置圖!$A$3:$C$39,3,0)</f>
        <v>1565</v>
      </c>
      <c r="L28" s="93">
        <f t="shared" si="25"/>
        <v>104.33333333333333</v>
      </c>
      <c r="M28" s="94">
        <v>13</v>
      </c>
      <c r="N28" s="95">
        <f>G28/W28*60</f>
        <v>1140.6818181818201</v>
      </c>
      <c r="O28" s="96">
        <f>N28/M28</f>
        <v>87.744755244755396</v>
      </c>
      <c r="P28" s="97">
        <f t="shared" si="21"/>
        <v>-2</v>
      </c>
      <c r="Q28" s="98">
        <f t="shared" si="22"/>
        <v>-16.588578088577933</v>
      </c>
      <c r="R28" s="99">
        <f t="shared" ref="R28:R31" si="26">O28/L28</f>
        <v>0.84100404387944472</v>
      </c>
      <c r="S28" s="418"/>
      <c r="T28" s="19">
        <v>0.34027777777777801</v>
      </c>
      <c r="U28" s="19">
        <v>0.40138888888888902</v>
      </c>
      <c r="V28" s="92">
        <f>(T28-U27)*24*60</f>
        <v>6.9999999999998952</v>
      </c>
      <c r="W28" s="149">
        <f t="shared" si="17"/>
        <v>87.999999999999844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3"/>
        <v>-424.31818181817994</v>
      </c>
      <c r="AG28" s="99">
        <f t="shared" si="24"/>
        <v>0.72887017136218535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1759</v>
      </c>
      <c r="H29" s="91">
        <f>F29*G29</f>
        <v>87105.680000000008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5"/>
        <v>96</v>
      </c>
      <c r="M29" s="94">
        <v>15</v>
      </c>
      <c r="N29" s="95">
        <f>G29/W29*60</f>
        <v>1353.0769230769154</v>
      </c>
      <c r="O29" s="96">
        <f>N29/M29</f>
        <v>90.205128205127693</v>
      </c>
      <c r="P29" s="97">
        <f t="shared" si="21"/>
        <v>0</v>
      </c>
      <c r="Q29" s="98">
        <f t="shared" si="22"/>
        <v>-5.7948717948723072</v>
      </c>
      <c r="R29" s="99">
        <f t="shared" si="26"/>
        <v>0.9396367521367468</v>
      </c>
      <c r="S29" s="418"/>
      <c r="T29" s="19">
        <v>0.40625</v>
      </c>
      <c r="U29" s="19">
        <v>0.46041666666666697</v>
      </c>
      <c r="V29" s="92">
        <f>(T29-U28)*24*60</f>
        <v>6.9999999999998153</v>
      </c>
      <c r="W29" s="149">
        <f t="shared" si="17"/>
        <v>78.000000000000441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3"/>
        <v>-86.923076923084636</v>
      </c>
      <c r="AG29" s="99">
        <f t="shared" si="24"/>
        <v>0.9396367521367468</v>
      </c>
      <c r="AH29" s="432"/>
    </row>
    <row r="30" spans="1:34" ht="15" customHeight="1">
      <c r="A30" s="430"/>
      <c r="B30" s="75" t="s">
        <v>123</v>
      </c>
      <c r="C30" s="88"/>
      <c r="D30" s="59" t="s">
        <v>128</v>
      </c>
      <c r="E30" s="89"/>
      <c r="F30" s="75">
        <f>VLOOKUP(D30,廠價表!$C$1:$E$41,3,0)</f>
        <v>44.3</v>
      </c>
      <c r="G30" s="90">
        <v>1000</v>
      </c>
      <c r="H30" s="91">
        <f t="shared" ref="H30:H31" si="27">F30*G30</f>
        <v>44300</v>
      </c>
      <c r="I30" s="92"/>
      <c r="J30" s="79">
        <f>VLOOKUP(D30,產線配置圖!$A$3:$C$39,2,0)</f>
        <v>17</v>
      </c>
      <c r="K30" s="80">
        <f>VLOOKUP(D30,產線配置圖!$A$3:$C$39,3,0)</f>
        <v>1440</v>
      </c>
      <c r="L30" s="93">
        <f t="shared" si="25"/>
        <v>84.705882352941174</v>
      </c>
      <c r="M30" s="94">
        <v>15</v>
      </c>
      <c r="N30" s="95">
        <f t="shared" ref="N30:N31" si="28">G30/W30*60</f>
        <v>1153.8461538461579</v>
      </c>
      <c r="O30" s="96">
        <f t="shared" ref="O30:O31" si="29">N30/M30</f>
        <v>76.92307692307719</v>
      </c>
      <c r="P30" s="97">
        <f t="shared" si="21"/>
        <v>-2</v>
      </c>
      <c r="Q30" s="98">
        <f t="shared" si="22"/>
        <v>-7.7828054298639842</v>
      </c>
      <c r="R30" s="99">
        <f t="shared" si="26"/>
        <v>0.90811965811966133</v>
      </c>
      <c r="S30" s="418"/>
      <c r="T30" s="19">
        <v>0.52083333333333304</v>
      </c>
      <c r="U30" s="19">
        <v>0.55694444444444402</v>
      </c>
      <c r="V30" s="92">
        <f>(T30-U29)*24*60</f>
        <v>86.999999999999133</v>
      </c>
      <c r="W30" s="149">
        <f t="shared" si="17"/>
        <v>51.999999999999815</v>
      </c>
      <c r="X30" s="174">
        <v>0.46527777777777801</v>
      </c>
      <c r="Y30" s="301">
        <v>0.50694444444444398</v>
      </c>
      <c r="Z30" s="335"/>
      <c r="AA30" s="335"/>
      <c r="AB30" s="395"/>
      <c r="AC30" s="395"/>
      <c r="AD30" s="92"/>
      <c r="AE30" s="92"/>
      <c r="AF30" s="312">
        <f t="shared" si="23"/>
        <v>-286.1538461538421</v>
      </c>
      <c r="AG30" s="99">
        <f t="shared" si="24"/>
        <v>0.8012820512820541</v>
      </c>
      <c r="AH30" s="433"/>
    </row>
    <row r="31" spans="1:34" ht="15" customHeight="1">
      <c r="A31" s="430"/>
      <c r="B31" s="75" t="s">
        <v>123</v>
      </c>
      <c r="C31" s="88"/>
      <c r="D31" s="59" t="s">
        <v>127</v>
      </c>
      <c r="E31" s="89"/>
      <c r="F31" s="75">
        <f>VLOOKUP(D31,廠價表!$C$1:$E$41,3,0)</f>
        <v>49.91</v>
      </c>
      <c r="G31" s="90">
        <v>1200</v>
      </c>
      <c r="H31" s="91">
        <f t="shared" si="27"/>
        <v>59891.999999999993</v>
      </c>
      <c r="I31" s="92"/>
      <c r="J31" s="79">
        <v>15</v>
      </c>
      <c r="K31" s="80">
        <f>VLOOKUP(D31,產線配置圖!$A$3:$C$39,3,0)</f>
        <v>1565</v>
      </c>
      <c r="L31" s="93">
        <f t="shared" si="25"/>
        <v>104.33333333333333</v>
      </c>
      <c r="M31" s="94">
        <v>15</v>
      </c>
      <c r="N31" s="95">
        <f t="shared" si="28"/>
        <v>1358.4905660377531</v>
      </c>
      <c r="O31" s="96">
        <f t="shared" si="29"/>
        <v>90.566037735850202</v>
      </c>
      <c r="P31" s="97">
        <f t="shared" si="21"/>
        <v>0</v>
      </c>
      <c r="Q31" s="98">
        <f t="shared" si="22"/>
        <v>-13.767295597483127</v>
      </c>
      <c r="R31" s="99">
        <f t="shared" si="26"/>
        <v>0.86804509011997</v>
      </c>
      <c r="S31" s="418"/>
      <c r="T31" s="19">
        <v>0.57638888888888895</v>
      </c>
      <c r="U31" s="19">
        <v>0.61319444444444404</v>
      </c>
      <c r="V31" s="92">
        <f>(T31-U30)*24*60</f>
        <v>28.0000000000007</v>
      </c>
      <c r="W31" s="149">
        <f t="shared" si="17"/>
        <v>52.999999999999332</v>
      </c>
      <c r="X31" s="174"/>
      <c r="Y31" s="301"/>
      <c r="Z31" s="335"/>
      <c r="AA31" s="335"/>
      <c r="AB31" s="395" t="s">
        <v>200</v>
      </c>
      <c r="AC31" s="395"/>
      <c r="AD31" s="92"/>
      <c r="AE31" s="92"/>
      <c r="AF31" s="312">
        <f t="shared" si="23"/>
        <v>-206.50943396224693</v>
      </c>
      <c r="AG31" s="99">
        <f t="shared" si="24"/>
        <v>0.86804509011997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30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1">AVERAGE(J27:J36)</f>
        <v>15.4</v>
      </c>
      <c r="K37" s="155">
        <f t="shared" si="31"/>
        <v>1502</v>
      </c>
      <c r="L37" s="158">
        <f t="shared" si="31"/>
        <v>97.874509803921555</v>
      </c>
      <c r="M37" s="155">
        <f t="shared" si="31"/>
        <v>14.6</v>
      </c>
      <c r="N37" s="155">
        <f t="shared" si="31"/>
        <v>1298.8190922285289</v>
      </c>
      <c r="O37" s="158">
        <f t="shared" si="31"/>
        <v>88.927799621762077</v>
      </c>
      <c r="P37" s="159">
        <f>M37-J37</f>
        <v>-0.80000000000000071</v>
      </c>
      <c r="Q37" s="160">
        <f>N37-K37</f>
        <v>-203.18090777147108</v>
      </c>
      <c r="R37" s="161">
        <f t="shared" ref="R37:R40" si="32">O37/L37</f>
        <v>0.90858998732067209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3">N37-K37</f>
        <v>-203.18090777147108</v>
      </c>
      <c r="AG37" s="124">
        <f t="shared" ref="AG37:AG41" si="34">N37/K37</f>
        <v>0.86472642625068508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56.87</v>
      </c>
      <c r="G38" s="186">
        <v>1626</v>
      </c>
      <c r="H38" s="134">
        <f>F38*G38</f>
        <v>92470.62</v>
      </c>
      <c r="I38" s="135"/>
      <c r="J38" s="187">
        <f>VLOOKUP(D38,產線配置圖!$A$3:$C$39,2,0)</f>
        <v>18</v>
      </c>
      <c r="K38" s="188">
        <f>VLOOKUP(D38,產線配置圖!$A$3:$C$39,3,0)</f>
        <v>1565</v>
      </c>
      <c r="L38" s="189">
        <f t="shared" ref="L38:L40" si="35">K38/J38</f>
        <v>86.944444444444443</v>
      </c>
      <c r="M38" s="190">
        <v>14</v>
      </c>
      <c r="N38" s="140">
        <f>G38/W38*60</f>
        <v>1204.4444444444439</v>
      </c>
      <c r="O38" s="141">
        <f>N38/M38</f>
        <v>86.031746031745996</v>
      </c>
      <c r="P38" s="142">
        <f t="shared" ref="P38:P40" si="36">M38-J38</f>
        <v>-4</v>
      </c>
      <c r="Q38" s="143">
        <f t="shared" ref="Q38:Q40" si="37">O38-L38</f>
        <v>-0.91269841269844676</v>
      </c>
      <c r="R38" s="144">
        <f>O38/L38</f>
        <v>0.98950251026928304</v>
      </c>
      <c r="S38" s="437">
        <f>R48</f>
        <v>0.97921530337031382</v>
      </c>
      <c r="T38" s="191">
        <v>0.33472222222222198</v>
      </c>
      <c r="U38" s="191">
        <v>0.390972222222222</v>
      </c>
      <c r="V38" s="192"/>
      <c r="W38" s="193">
        <f t="shared" si="17"/>
        <v>81.000000000000028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3"/>
        <v>-360.55555555555611</v>
      </c>
      <c r="AG38" s="195">
        <f t="shared" si="34"/>
        <v>0.7696130635427757</v>
      </c>
      <c r="AH38" s="443">
        <f>AG48</f>
        <v>0.88299976740629293</v>
      </c>
    </row>
    <row r="39" spans="1:34" ht="15" customHeight="1">
      <c r="A39" s="435"/>
      <c r="B39" s="75" t="s">
        <v>123</v>
      </c>
      <c r="C39" s="197"/>
      <c r="D39" s="198" t="s">
        <v>128</v>
      </c>
      <c r="E39" s="176"/>
      <c r="F39" s="75">
        <f>VLOOKUP(D39,廠價表!$C$1:$E$41,3,0)</f>
        <v>44.3</v>
      </c>
      <c r="G39" s="199">
        <v>2995</v>
      </c>
      <c r="H39" s="91">
        <f>F39*G39</f>
        <v>132678.5</v>
      </c>
      <c r="I39" s="200"/>
      <c r="J39" s="148">
        <f>VLOOKUP(D39,產線配置圖!$A$3:$C$39,2,0)</f>
        <v>17</v>
      </c>
      <c r="K39" s="95">
        <f>VLOOKUP(D39,產線配置圖!$A$3:$C$39,3,0)</f>
        <v>1440</v>
      </c>
      <c r="L39" s="96">
        <f t="shared" si="35"/>
        <v>84.705882352941174</v>
      </c>
      <c r="M39" s="201">
        <v>16</v>
      </c>
      <c r="N39" s="202">
        <f>G39/W39*60</f>
        <v>1351.1278195488737</v>
      </c>
      <c r="O39" s="203">
        <f t="shared" ref="O39:O40" si="38">N39/M39</f>
        <v>84.445488721804608</v>
      </c>
      <c r="P39" s="97">
        <f t="shared" si="36"/>
        <v>-1</v>
      </c>
      <c r="Q39" s="98">
        <f t="shared" si="37"/>
        <v>-0.26039363113656577</v>
      </c>
      <c r="R39" s="99">
        <f t="shared" si="32"/>
        <v>0.99692590852130447</v>
      </c>
      <c r="S39" s="438"/>
      <c r="T39" s="20">
        <v>0.39722222222222198</v>
      </c>
      <c r="U39" s="20">
        <v>0.48958333333333298</v>
      </c>
      <c r="V39" s="92">
        <f>(T39-U38)*24*60</f>
        <v>8.999999999999968</v>
      </c>
      <c r="W39" s="205">
        <f t="shared" si="17"/>
        <v>132.99999999999986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3"/>
        <v>-88.872180451126269</v>
      </c>
      <c r="AG39" s="206">
        <f t="shared" si="34"/>
        <v>0.93828320802005116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3218</v>
      </c>
      <c r="H40" s="91">
        <f>F40*G40</f>
        <v>142557.4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5"/>
        <v>84.705882352941174</v>
      </c>
      <c r="M40" s="201">
        <v>17</v>
      </c>
      <c r="N40" s="202">
        <f>G40/W40*60</f>
        <v>1369.3617021276552</v>
      </c>
      <c r="O40" s="203">
        <f t="shared" si="38"/>
        <v>80.550688360450309</v>
      </c>
      <c r="P40" s="97">
        <f t="shared" si="36"/>
        <v>0</v>
      </c>
      <c r="Q40" s="98">
        <f t="shared" si="37"/>
        <v>-4.1551939924908652</v>
      </c>
      <c r="R40" s="99">
        <f t="shared" si="32"/>
        <v>0.95094562647753844</v>
      </c>
      <c r="S40" s="425"/>
      <c r="T40" s="20">
        <v>0.54861111111111105</v>
      </c>
      <c r="U40" s="20">
        <v>0.64652777777777803</v>
      </c>
      <c r="V40" s="92">
        <f>(T40-U39)*24*60</f>
        <v>85.000000000000412</v>
      </c>
      <c r="W40" s="205">
        <f t="shared" si="17"/>
        <v>141.00000000000045</v>
      </c>
      <c r="X40" s="208">
        <v>0.5</v>
      </c>
      <c r="Y40" s="209">
        <v>0.54166666666666696</v>
      </c>
      <c r="Z40" s="337"/>
      <c r="AA40" s="337"/>
      <c r="AB40" s="395"/>
      <c r="AC40" s="395"/>
      <c r="AD40" s="92"/>
      <c r="AE40" s="92"/>
      <c r="AF40" s="314">
        <f t="shared" si="33"/>
        <v>-70.638297872344765</v>
      </c>
      <c r="AG40" s="206">
        <f t="shared" si="34"/>
        <v>0.95094562647753833</v>
      </c>
      <c r="AH40" s="444"/>
    </row>
    <row r="41" spans="1:34" ht="15" customHeight="1">
      <c r="A41" s="43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5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95"/>
      <c r="AC41" s="395"/>
      <c r="AD41" s="92"/>
      <c r="AE41" s="92"/>
      <c r="AF41" s="314">
        <f t="shared" si="33"/>
        <v>0</v>
      </c>
      <c r="AG41" s="206" t="e">
        <f t="shared" si="34"/>
        <v>#DIV/0!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9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9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9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30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9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40">AVERAGE(J38:J47)</f>
        <v>17.333333333333332</v>
      </c>
      <c r="K48" s="155">
        <f t="shared" si="40"/>
        <v>1481.6666666666667</v>
      </c>
      <c r="L48" s="158">
        <f t="shared" si="40"/>
        <v>85.452069716775597</v>
      </c>
      <c r="M48" s="155">
        <f t="shared" si="40"/>
        <v>15.666666666666666</v>
      </c>
      <c r="N48" s="155">
        <f t="shared" si="40"/>
        <v>1308.3113220403241</v>
      </c>
      <c r="O48" s="158">
        <f t="shared" si="40"/>
        <v>83.675974371333623</v>
      </c>
      <c r="P48" s="221">
        <f>M48-J48</f>
        <v>-1.6666666666666661</v>
      </c>
      <c r="Q48" s="222">
        <f>N48-K48</f>
        <v>-173.35534462634268</v>
      </c>
      <c r="R48" s="223">
        <f>O48/L48</f>
        <v>0.97921530337031382</v>
      </c>
      <c r="S48" s="428"/>
      <c r="T48" s="224"/>
      <c r="U48" s="224"/>
      <c r="V48" s="225"/>
      <c r="W48" s="226">
        <f t="shared" si="39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41">N48-K48</f>
        <v>-173.35534462634268</v>
      </c>
      <c r="AG48" s="162">
        <f t="shared" ref="AG48:AG53" si="42">N48/K48</f>
        <v>0.88299976740629293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VLOOKUP(D49,廠價表!$C$1:$E$41,3,0)</f>
        <v>47.71</v>
      </c>
      <c r="G49" s="228">
        <v>2959</v>
      </c>
      <c r="H49" s="134">
        <f>F49*G49</f>
        <v>141173.89000000001</v>
      </c>
      <c r="I49" s="135"/>
      <c r="J49" s="136">
        <f>VLOOKUP(D49,產線配置圖!$A$3:$C$39,2,0)</f>
        <v>16</v>
      </c>
      <c r="K49" s="137">
        <f>VLOOKUP(D49,產線配置圖!$A$3:$C$39,3,0)</f>
        <v>1440</v>
      </c>
      <c r="L49" s="138">
        <f t="shared" ref="L49:L51" si="43">K49/J49</f>
        <v>90</v>
      </c>
      <c r="M49" s="170">
        <v>16</v>
      </c>
      <c r="N49" s="140">
        <f>G49/W49*60</f>
        <v>1431.7741935483896</v>
      </c>
      <c r="O49" s="141">
        <f>N49/M49</f>
        <v>89.485887096774348</v>
      </c>
      <c r="P49" s="229">
        <f>M49-J49</f>
        <v>0</v>
      </c>
      <c r="Q49" s="230">
        <f>O49-L49</f>
        <v>-0.51411290322565151</v>
      </c>
      <c r="R49" s="52">
        <f>O49/L49</f>
        <v>0.9942876344086039</v>
      </c>
      <c r="S49" s="424">
        <f>R58</f>
        <v>0.98196103914114796</v>
      </c>
      <c r="T49" s="191">
        <v>0.29027777777777802</v>
      </c>
      <c r="U49" s="191">
        <v>0.37638888888888899</v>
      </c>
      <c r="V49" s="55"/>
      <c r="W49" s="193">
        <f t="shared" si="17"/>
        <v>123.9999999999998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41"/>
        <v>-8.2258064516104241</v>
      </c>
      <c r="AG49" s="52">
        <f t="shared" si="42"/>
        <v>0.9942876344086039</v>
      </c>
      <c r="AH49" s="403">
        <f>AG58</f>
        <v>0.94409891737887608</v>
      </c>
    </row>
    <row r="50" spans="1:34" ht="15" customHeight="1">
      <c r="A50" s="453"/>
      <c r="B50" s="75" t="s">
        <v>81</v>
      </c>
      <c r="C50" s="76"/>
      <c r="D50" s="59" t="s">
        <v>131</v>
      </c>
      <c r="E50" s="77"/>
      <c r="F50" s="75">
        <f>VLOOKUP(D50,廠價表!$C$1:$E$41,3,0)</f>
        <v>49.97</v>
      </c>
      <c r="G50" s="202">
        <v>3915</v>
      </c>
      <c r="H50" s="231">
        <f>F50*G50</f>
        <v>195632.55</v>
      </c>
      <c r="I50" s="232"/>
      <c r="J50" s="79">
        <f>VLOOKUP(D50,產線配置圖!$A$3:$C$39,2,0)</f>
        <v>18</v>
      </c>
      <c r="K50" s="80">
        <f>VLOOKUP(D50,產線配置圖!$A$3:$C$39,3,0)</f>
        <v>1600</v>
      </c>
      <c r="L50" s="81">
        <f t="shared" si="43"/>
        <v>88.888888888888886</v>
      </c>
      <c r="M50" s="233">
        <v>17</v>
      </c>
      <c r="N50" s="234">
        <f>G50/W50*60</f>
        <v>1486.7088607594833</v>
      </c>
      <c r="O50" s="235">
        <f>N50/M50</f>
        <v>87.453462397616661</v>
      </c>
      <c r="P50" s="74">
        <f>M50-J50</f>
        <v>-1</v>
      </c>
      <c r="Q50" s="83">
        <f>O50-L50</f>
        <v>-1.4354264912722243</v>
      </c>
      <c r="R50" s="72">
        <f>O50/L50</f>
        <v>0.98385145197318746</v>
      </c>
      <c r="S50" s="425"/>
      <c r="T50" s="21">
        <v>0.38194444444444398</v>
      </c>
      <c r="U50" s="21">
        <v>0.49166666666666697</v>
      </c>
      <c r="V50" s="30">
        <f t="shared" ref="V50:V51" si="44">(T50-U49)*24*60</f>
        <v>7.9999999999991722</v>
      </c>
      <c r="W50" s="236">
        <f t="shared" si="17"/>
        <v>158.00000000000111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1"/>
        <v>-113.29113924051671</v>
      </c>
      <c r="AG50" s="72">
        <f t="shared" si="42"/>
        <v>0.92919303797467701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2510</v>
      </c>
      <c r="H51" s="231">
        <f>F51*G51</f>
        <v>125424.7</v>
      </c>
      <c r="I51" s="232"/>
      <c r="J51" s="79">
        <f>VLOOKUP(D51,產線配置圖!$A$3:$C$39,2,0)</f>
        <v>18</v>
      </c>
      <c r="K51" s="80">
        <f>VLOOKUP(D51,產線配置圖!$A$3:$C$39,3,0)</f>
        <v>1600</v>
      </c>
      <c r="L51" s="81">
        <f t="shared" si="43"/>
        <v>88.888888888888886</v>
      </c>
      <c r="M51" s="233">
        <v>17</v>
      </c>
      <c r="N51" s="234">
        <f>G51/W51*60</f>
        <v>1462.1359223301115</v>
      </c>
      <c r="O51" s="235">
        <f>N51/M51</f>
        <v>86.007995431183033</v>
      </c>
      <c r="P51" s="74">
        <f>M51-J51</f>
        <v>-1</v>
      </c>
      <c r="Q51" s="83">
        <f>O51-L51</f>
        <v>-2.8808934577058523</v>
      </c>
      <c r="R51" s="72">
        <f>O51/L51</f>
        <v>0.96758994860080916</v>
      </c>
      <c r="S51" s="425"/>
      <c r="T51" s="21">
        <v>0.54166666666666696</v>
      </c>
      <c r="U51" s="19">
        <v>0.61319444444444404</v>
      </c>
      <c r="V51" s="30">
        <f t="shared" si="44"/>
        <v>71.999999999999986</v>
      </c>
      <c r="W51" s="236">
        <f t="shared" si="17"/>
        <v>102.99999999999899</v>
      </c>
      <c r="X51" s="22">
        <v>0.49305555555555602</v>
      </c>
      <c r="Y51" s="84">
        <v>0.53472222222222199</v>
      </c>
      <c r="Z51" s="90"/>
      <c r="AA51" s="90"/>
      <c r="AB51" s="395"/>
      <c r="AC51" s="395"/>
      <c r="AD51" s="92"/>
      <c r="AE51" s="92"/>
      <c r="AF51" s="307">
        <f t="shared" si="41"/>
        <v>-137.8640776698885</v>
      </c>
      <c r="AG51" s="72">
        <f t="shared" si="42"/>
        <v>0.91383495145631966</v>
      </c>
      <c r="AH51" s="404"/>
    </row>
    <row r="52" spans="1:34" ht="15" customHeight="1">
      <c r="A52" s="45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5"/>
      <c r="T52" s="21"/>
      <c r="U52" s="21"/>
      <c r="V52" s="30"/>
      <c r="W52" s="236">
        <f t="shared" si="17"/>
        <v>0</v>
      </c>
      <c r="X52" s="22"/>
      <c r="Y52" s="84"/>
      <c r="Z52" s="90"/>
      <c r="AA52" s="90"/>
      <c r="AB52" s="395"/>
      <c r="AC52" s="395"/>
      <c r="AD52" s="92"/>
      <c r="AE52" s="92"/>
      <c r="AF52" s="307">
        <f t="shared" si="41"/>
        <v>0</v>
      </c>
      <c r="AG52" s="72" t="e">
        <f t="shared" si="42"/>
        <v>#DIV/0!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41"/>
        <v>0</v>
      </c>
      <c r="AG53" s="72" t="e">
        <f t="shared" si="42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5">AVERAGE(J49:J57)</f>
        <v>17.333333333333332</v>
      </c>
      <c r="K58" s="120">
        <f t="shared" si="45"/>
        <v>1546.6666666666667</v>
      </c>
      <c r="L58" s="117">
        <f t="shared" si="45"/>
        <v>89.259259259259252</v>
      </c>
      <c r="M58" s="120">
        <f t="shared" si="45"/>
        <v>16.666666666666668</v>
      </c>
      <c r="N58" s="120">
        <f t="shared" si="45"/>
        <v>1460.206325545995</v>
      </c>
      <c r="O58" s="117">
        <f t="shared" si="45"/>
        <v>87.649114975191353</v>
      </c>
      <c r="P58" s="121">
        <f>M58-J58</f>
        <v>-0.6666666666666643</v>
      </c>
      <c r="Q58" s="122">
        <f>N58-K58</f>
        <v>-86.460341120671728</v>
      </c>
      <c r="R58" s="123">
        <f t="shared" ref="R58:R60" si="46">O58/L58</f>
        <v>0.98196103914114796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47">N58-K58</f>
        <v>-86.460341120671728</v>
      </c>
      <c r="AG58" s="124">
        <f t="shared" ref="AG58:AG61" si="48">N58/K58</f>
        <v>0.94409891737887608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3388</v>
      </c>
      <c r="H59" s="243">
        <f>F59*G59</f>
        <v>91442.12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3" si="49">K59/J59</f>
        <v>120.38461538461539</v>
      </c>
      <c r="M59" s="244">
        <v>13</v>
      </c>
      <c r="N59" s="137">
        <f t="shared" ref="N59:N63" si="50">G59/W59*60</f>
        <v>1563.6923076923219</v>
      </c>
      <c r="O59" s="138">
        <f t="shared" ref="O59:O63" si="51">N59/M59</f>
        <v>120.28402366864015</v>
      </c>
      <c r="P59" s="56">
        <f t="shared" ref="P59:P63" si="52">M59-J59</f>
        <v>0</v>
      </c>
      <c r="Q59" s="230">
        <f t="shared" ref="Q59:Q63" si="53">O59-L59</f>
        <v>-0.10059171597524141</v>
      </c>
      <c r="R59" s="52">
        <f t="shared" si="46"/>
        <v>0.99916441386090848</v>
      </c>
      <c r="S59" s="424">
        <f>R69</f>
        <v>0.8684962628127203</v>
      </c>
      <c r="T59" s="245">
        <v>0.29166666666666702</v>
      </c>
      <c r="U59" s="245">
        <v>0.38194444444444398</v>
      </c>
      <c r="V59" s="55"/>
      <c r="W59" s="54">
        <f t="shared" si="17"/>
        <v>129.99999999999881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47"/>
        <v>-1.3076923076780531</v>
      </c>
      <c r="AG59" s="246">
        <f t="shared" si="48"/>
        <v>0.9991644138609086</v>
      </c>
      <c r="AH59" s="403">
        <f>AG69</f>
        <v>0.85714506109326594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1680</v>
      </c>
      <c r="H60" s="78">
        <f>F60*G60</f>
        <v>47476.800000000003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9"/>
        <v>130.41666666666666</v>
      </c>
      <c r="M60" s="82">
        <v>12</v>
      </c>
      <c r="N60" s="80">
        <f t="shared" si="50"/>
        <v>1550.7692307692269</v>
      </c>
      <c r="O60" s="81">
        <f t="shared" si="51"/>
        <v>129.23076923076891</v>
      </c>
      <c r="P60" s="74">
        <f t="shared" si="52"/>
        <v>0</v>
      </c>
      <c r="Q60" s="83">
        <f t="shared" si="53"/>
        <v>-1.1858974358977434</v>
      </c>
      <c r="R60" s="72">
        <f t="shared" si="46"/>
        <v>0.99090685672155088</v>
      </c>
      <c r="S60" s="451"/>
      <c r="T60" s="22">
        <v>0.38888888888888901</v>
      </c>
      <c r="U60" s="22">
        <v>0.43402777777777801</v>
      </c>
      <c r="V60" s="30">
        <f t="shared" ref="V60:V63" si="54">(T60-U59)*24*60</f>
        <v>10.000000000000844</v>
      </c>
      <c r="W60" s="248">
        <f t="shared" si="17"/>
        <v>65.000000000000171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47"/>
        <v>-14.230769230773149</v>
      </c>
      <c r="AG60" s="249">
        <f t="shared" si="48"/>
        <v>0.99090685672155066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1220</v>
      </c>
      <c r="H61" s="254">
        <f>F61*G61</f>
        <v>34477.200000000004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9"/>
        <v>130.41666666666666</v>
      </c>
      <c r="M61" s="108">
        <v>12</v>
      </c>
      <c r="N61" s="107">
        <f t="shared" si="50"/>
        <v>1330.9090909090705</v>
      </c>
      <c r="O61" s="238">
        <f t="shared" si="51"/>
        <v>110.90909090908922</v>
      </c>
      <c r="P61" s="111">
        <f t="shared" si="52"/>
        <v>0</v>
      </c>
      <c r="Q61" s="255">
        <f t="shared" si="53"/>
        <v>-19.507575757577442</v>
      </c>
      <c r="R61" s="85">
        <f>O61/L61</f>
        <v>0.85042114435084393</v>
      </c>
      <c r="S61" s="425"/>
      <c r="T61" s="22">
        <v>0.44444444444444398</v>
      </c>
      <c r="U61" s="22">
        <v>0.48263888888888901</v>
      </c>
      <c r="V61" s="30">
        <f t="shared" si="54"/>
        <v>14.999999999998987</v>
      </c>
      <c r="W61" s="256">
        <f t="shared" si="17"/>
        <v>55.000000000000846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47"/>
        <v>-234.09090909092947</v>
      </c>
      <c r="AG61" s="247">
        <f t="shared" si="48"/>
        <v>0.85042114435084382</v>
      </c>
      <c r="AH61" s="404"/>
    </row>
    <row r="62" spans="1:34" ht="15" customHeight="1">
      <c r="A62" s="449"/>
      <c r="B62" s="250" t="s">
        <v>132</v>
      </c>
      <c r="C62" s="251"/>
      <c r="D62" s="257" t="s">
        <v>135</v>
      </c>
      <c r="E62" s="253"/>
      <c r="F62" s="250">
        <f>VLOOKUP(D62,廠價表!$C$1:$E$41,3,0)</f>
        <v>28.26</v>
      </c>
      <c r="G62" s="38">
        <v>673</v>
      </c>
      <c r="H62" s="254">
        <f>F62*G62</f>
        <v>19018.98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si="49"/>
        <v>130.41666666666666</v>
      </c>
      <c r="M62" s="108">
        <v>12</v>
      </c>
      <c r="N62" s="107">
        <f t="shared" si="50"/>
        <v>1346.0000000000191</v>
      </c>
      <c r="O62" s="238">
        <f t="shared" si="51"/>
        <v>112.16666666666826</v>
      </c>
      <c r="P62" s="111">
        <f t="shared" si="52"/>
        <v>0</v>
      </c>
      <c r="Q62" s="255">
        <f t="shared" si="53"/>
        <v>-18.249999999998394</v>
      </c>
      <c r="R62" s="85">
        <f t="shared" ref="R62:R63" si="55">O62/L62</f>
        <v>0.8600638977635906</v>
      </c>
      <c r="S62" s="425"/>
      <c r="T62" s="22">
        <v>0.54166666666666696</v>
      </c>
      <c r="U62" s="22">
        <v>0.5625</v>
      </c>
      <c r="V62" s="30">
        <f t="shared" si="54"/>
        <v>85.000000000000256</v>
      </c>
      <c r="W62" s="248">
        <f t="shared" si="17"/>
        <v>29.999999999999574</v>
      </c>
      <c r="X62" s="22">
        <v>0.49305555555555602</v>
      </c>
      <c r="Y62" s="84">
        <v>0.53472222222222199</v>
      </c>
      <c r="Z62" s="90"/>
      <c r="AA62" s="90"/>
      <c r="AB62" s="395"/>
      <c r="AC62" s="395"/>
      <c r="AD62" s="92"/>
      <c r="AE62" s="92"/>
      <c r="AF62" s="317">
        <f>N62-K62</f>
        <v>-218.9999999999809</v>
      </c>
      <c r="AG62" s="247">
        <f>N62/K62</f>
        <v>0.86006389776359049</v>
      </c>
      <c r="AH62" s="404"/>
    </row>
    <row r="63" spans="1:34" ht="15" customHeight="1">
      <c r="A63" s="449"/>
      <c r="B63" s="258" t="s">
        <v>132</v>
      </c>
      <c r="C63" s="58"/>
      <c r="D63" s="259" t="s">
        <v>133</v>
      </c>
      <c r="E63" s="60"/>
      <c r="F63" s="250">
        <f>VLOOKUP(D63,廠價表!$C$1:$E$41,3,0)</f>
        <v>26.99</v>
      </c>
      <c r="G63" s="260">
        <v>290</v>
      </c>
      <c r="H63" s="254">
        <f>F63*G63</f>
        <v>7827.0999999999995</v>
      </c>
      <c r="I63" s="182"/>
      <c r="J63" s="106">
        <f>VLOOKUP(D63,產線配置圖!$A$3:$C$39,2,0)</f>
        <v>13</v>
      </c>
      <c r="K63" s="107">
        <f>VLOOKUP(D63,產線配置圖!$A$3:$C$39,3,0)</f>
        <v>1565</v>
      </c>
      <c r="L63" s="238">
        <f t="shared" si="49"/>
        <v>120.38461538461539</v>
      </c>
      <c r="M63" s="68">
        <v>12</v>
      </c>
      <c r="N63" s="107">
        <f t="shared" si="50"/>
        <v>915.78947368416755</v>
      </c>
      <c r="O63" s="238">
        <f t="shared" si="51"/>
        <v>76.315789473680624</v>
      </c>
      <c r="P63" s="111">
        <f t="shared" si="52"/>
        <v>-1</v>
      </c>
      <c r="Q63" s="255">
        <f t="shared" si="53"/>
        <v>-44.068825910934763</v>
      </c>
      <c r="R63" s="85">
        <f t="shared" si="55"/>
        <v>0.63393307550022238</v>
      </c>
      <c r="S63" s="425"/>
      <c r="T63" s="22">
        <v>0.56944444444444398</v>
      </c>
      <c r="U63" s="22">
        <v>0.58263888888888904</v>
      </c>
      <c r="V63" s="30">
        <f t="shared" si="54"/>
        <v>9.999999999999325</v>
      </c>
      <c r="W63" s="248">
        <f t="shared" si="17"/>
        <v>19.000000000000892</v>
      </c>
      <c r="X63" s="261"/>
      <c r="Y63" s="291"/>
      <c r="Z63" s="335"/>
      <c r="AA63" s="335"/>
      <c r="AB63" s="395" t="s">
        <v>126</v>
      </c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6">AVERAGE(J59:J68)</f>
        <v>12.4</v>
      </c>
      <c r="K69" s="240">
        <f t="shared" si="56"/>
        <v>1565</v>
      </c>
      <c r="L69" s="268">
        <f t="shared" si="56"/>
        <v>126.40384615384615</v>
      </c>
      <c r="M69" s="240">
        <f t="shared" si="56"/>
        <v>12.2</v>
      </c>
      <c r="N69" s="240">
        <f t="shared" si="56"/>
        <v>1341.4320206109612</v>
      </c>
      <c r="O69" s="268">
        <f t="shared" si="56"/>
        <v>109.78126798976943</v>
      </c>
      <c r="P69" s="269">
        <f>M69-J69</f>
        <v>-0.20000000000000107</v>
      </c>
      <c r="Q69" s="222">
        <f>N69-K69</f>
        <v>-223.56797938903878</v>
      </c>
      <c r="R69" s="123">
        <f>O69/L69</f>
        <v>0.8684962628127203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-223.56797938903878</v>
      </c>
      <c r="AG69" s="124">
        <f>N69/K69</f>
        <v>0.85714506109326594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1913</v>
      </c>
      <c r="H70" s="243">
        <f>F70*G70</f>
        <v>96931.71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1114.368932038831</v>
      </c>
      <c r="O70" s="138">
        <f>N70/M70</f>
        <v>111.4368932038831</v>
      </c>
      <c r="P70" s="56">
        <f>M70-J70</f>
        <v>0</v>
      </c>
      <c r="Q70" s="230">
        <f>O70-L70</f>
        <v>-1.0631067961168981</v>
      </c>
      <c r="R70" s="52">
        <f>O70/L70</f>
        <v>0.99055016181229427</v>
      </c>
      <c r="S70" s="424">
        <f>R79</f>
        <v>0.91072979787958241</v>
      </c>
      <c r="T70" s="245">
        <v>0.33333333333333298</v>
      </c>
      <c r="U70" s="245">
        <v>0.40486111111111101</v>
      </c>
      <c r="V70" s="55"/>
      <c r="W70" s="54">
        <f t="shared" si="17"/>
        <v>103.00000000000036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-10.631067961169038</v>
      </c>
      <c r="AG70" s="246">
        <f>N70/K70</f>
        <v>0.99055016181229416</v>
      </c>
      <c r="AH70" s="403">
        <f>AG79</f>
        <v>0.83737157289397068</v>
      </c>
    </row>
    <row r="71" spans="1:36" ht="15" customHeight="1">
      <c r="A71" s="457"/>
      <c r="B71" s="75" t="s">
        <v>81</v>
      </c>
      <c r="C71" s="76"/>
      <c r="D71" s="59" t="s">
        <v>125</v>
      </c>
      <c r="E71" s="77"/>
      <c r="F71" s="250">
        <f>VLOOKUP(D71,廠價表!$C$1:$E$41,3,0)</f>
        <v>56.43</v>
      </c>
      <c r="G71" s="30">
        <v>1531</v>
      </c>
      <c r="H71" s="78">
        <f>F71*G71</f>
        <v>86394.33</v>
      </c>
      <c r="I71" s="232"/>
      <c r="J71" s="79">
        <f>VLOOKUP(D71,產線配置圖!$A$3:$C$39,2,0)</f>
        <v>16</v>
      </c>
      <c r="K71" s="80">
        <f>VLOOKUP(D71,產線配置圖!$A$3:$C$39,3,0)</f>
        <v>1406</v>
      </c>
      <c r="L71" s="81">
        <f t="shared" ref="L71:L72" si="57">K71/J71</f>
        <v>87.875</v>
      </c>
      <c r="M71" s="82">
        <v>13</v>
      </c>
      <c r="N71" s="80">
        <f t="shared" ref="N71:N72" si="58">G71/W71*60</f>
        <v>918.59999999999229</v>
      </c>
      <c r="O71" s="81">
        <f t="shared" ref="O71:O72" si="59">N71/M71</f>
        <v>70.661538461537873</v>
      </c>
      <c r="P71" s="74">
        <f t="shared" ref="P71:P72" si="60">M71-J71</f>
        <v>-3</v>
      </c>
      <c r="Q71" s="83">
        <f t="shared" ref="Q71:Q72" si="61">O71-L71</f>
        <v>-17.213461538462127</v>
      </c>
      <c r="R71" s="72">
        <f>O71/L71</f>
        <v>0.80411423569317642</v>
      </c>
      <c r="S71" s="425"/>
      <c r="T71" s="22">
        <v>0.41319444444444398</v>
      </c>
      <c r="U71" s="22">
        <v>0.48263888888888901</v>
      </c>
      <c r="V71" s="30">
        <f t="shared" ref="V71:V72" si="62">(T71-U70)*24*60</f>
        <v>11.999999999999478</v>
      </c>
      <c r="W71" s="73">
        <f t="shared" si="17"/>
        <v>100.00000000000084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 t="s">
        <v>81</v>
      </c>
      <c r="C72" s="76"/>
      <c r="D72" s="59" t="s">
        <v>136</v>
      </c>
      <c r="E72" s="77"/>
      <c r="F72" s="250">
        <f>VLOOKUP(D72,廠價表!$C$1:$E$41,3,0)</f>
        <v>50.67</v>
      </c>
      <c r="G72" s="202">
        <v>1337</v>
      </c>
      <c r="H72" s="361">
        <f>F72*G72</f>
        <v>67745.790000000008</v>
      </c>
      <c r="I72" s="232"/>
      <c r="J72" s="106">
        <f>VLOOKUP(D72,產線配置圖!$A$3:$C$39,2,0)</f>
        <v>10</v>
      </c>
      <c r="K72" s="107">
        <f>VLOOKUP(D72,產線配置圖!$A$3:$C$39,3,0)</f>
        <v>1125</v>
      </c>
      <c r="L72" s="238">
        <f t="shared" si="57"/>
        <v>112.5</v>
      </c>
      <c r="M72" s="82">
        <v>10</v>
      </c>
      <c r="N72" s="107">
        <f t="shared" si="58"/>
        <v>1028.4615384615336</v>
      </c>
      <c r="O72" s="238">
        <f t="shared" si="59"/>
        <v>102.84615384615336</v>
      </c>
      <c r="P72" s="111">
        <f t="shared" si="60"/>
        <v>0</v>
      </c>
      <c r="Q72" s="255">
        <f t="shared" si="61"/>
        <v>-9.6538461538466436</v>
      </c>
      <c r="R72" s="85">
        <f>O72/L72</f>
        <v>0.91418803418802985</v>
      </c>
      <c r="S72" s="425"/>
      <c r="T72" s="22">
        <v>0.55208333333333304</v>
      </c>
      <c r="U72" s="22">
        <v>0.60624999999999996</v>
      </c>
      <c r="V72" s="30">
        <f t="shared" si="62"/>
        <v>99.999999999999403</v>
      </c>
      <c r="W72" s="73">
        <f t="shared" si="17"/>
        <v>78.000000000000369</v>
      </c>
      <c r="X72" s="272">
        <v>0.49305555555555602</v>
      </c>
      <c r="Y72" s="288">
        <v>0.53472222222222199</v>
      </c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63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63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63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63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64">AVERAGE(J70:J78)</f>
        <v>12</v>
      </c>
      <c r="K79" s="240">
        <f t="shared" si="64"/>
        <v>1218.6666666666667</v>
      </c>
      <c r="L79" s="268">
        <f t="shared" si="64"/>
        <v>104.29166666666667</v>
      </c>
      <c r="M79" s="240">
        <f t="shared" si="64"/>
        <v>11</v>
      </c>
      <c r="N79" s="240">
        <f t="shared" si="64"/>
        <v>1020.4768235001189</v>
      </c>
      <c r="O79" s="268">
        <f t="shared" si="64"/>
        <v>94.981528503858115</v>
      </c>
      <c r="P79" s="269">
        <f>M79-J79</f>
        <v>-1</v>
      </c>
      <c r="Q79" s="222">
        <f>N79-K79</f>
        <v>-198.1898431665478</v>
      </c>
      <c r="R79" s="223">
        <f>O79/L79</f>
        <v>0.91072979787958241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-198.1898431665478</v>
      </c>
      <c r="AG79" s="124">
        <f>N79/K79</f>
        <v>0.83737157289397068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P1:S2"/>
    <mergeCell ref="T1:Y2"/>
    <mergeCell ref="AB1:AC2"/>
    <mergeCell ref="AF1:AH2"/>
    <mergeCell ref="J3:J4"/>
    <mergeCell ref="K3:K4"/>
    <mergeCell ref="L3:L4"/>
    <mergeCell ref="M3:M4"/>
    <mergeCell ref="J1:L2"/>
    <mergeCell ref="M1:O2"/>
    <mergeCell ref="AD3:AE3"/>
    <mergeCell ref="AF3:AF4"/>
    <mergeCell ref="AG3:AG4"/>
    <mergeCell ref="AH3:AH4"/>
    <mergeCell ref="X3:Y3"/>
    <mergeCell ref="Z3:AA3"/>
    <mergeCell ref="H3:H4"/>
    <mergeCell ref="I3:I4"/>
    <mergeCell ref="AB14:AC14"/>
    <mergeCell ref="D15:E15"/>
    <mergeCell ref="AB15:AC15"/>
    <mergeCell ref="G3:G4"/>
    <mergeCell ref="AB3:AC4"/>
    <mergeCell ref="N3:N4"/>
    <mergeCell ref="O3:O4"/>
    <mergeCell ref="P3:P4"/>
    <mergeCell ref="Q3:Q4"/>
    <mergeCell ref="R3:R4"/>
    <mergeCell ref="S3:S4"/>
    <mergeCell ref="T3:U3"/>
    <mergeCell ref="V3:V4"/>
    <mergeCell ref="W3:W4"/>
    <mergeCell ref="AB13:AC13"/>
    <mergeCell ref="A5:A15"/>
    <mergeCell ref="S5:S15"/>
    <mergeCell ref="AB5:AC5"/>
    <mergeCell ref="AH5:AH15"/>
    <mergeCell ref="AB6:AC6"/>
    <mergeCell ref="AB7:AC7"/>
    <mergeCell ref="AB8:AC8"/>
    <mergeCell ref="AB9:AC9"/>
    <mergeCell ref="AB10:AC10"/>
    <mergeCell ref="AB11:AC11"/>
    <mergeCell ref="AB12:AC12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85" priority="1" operator="greaterThan">
      <formula>0</formula>
    </cfRule>
  </conditionalFormatting>
  <conditionalFormatting sqref="Q5:Q79 AF5:AF79">
    <cfRule type="cellIs" dxfId="84" priority="4" operator="lessThan">
      <formula>0</formula>
    </cfRule>
  </conditionalFormatting>
  <conditionalFormatting sqref="R5:R79 AG5:AG79">
    <cfRule type="cellIs" dxfId="83" priority="2" operator="greaterThan">
      <formula>1</formula>
    </cfRule>
    <cfRule type="cellIs" dxfId="82" priority="3" operator="lessThan">
      <formula>0.8</formula>
    </cfRule>
  </conditionalFormatting>
  <conditionalFormatting sqref="S5:S10 S37:S62 AH59:AH62 S69:S76 AH69:AH76">
    <cfRule type="cellIs" dxfId="81" priority="7" operator="lessThan">
      <formula>0.8</formula>
    </cfRule>
  </conditionalFormatting>
  <conditionalFormatting sqref="S19:S25 AH19:AH25">
    <cfRule type="cellIs" dxfId="80" priority="6" operator="lessThan">
      <formula>0.8</formula>
    </cfRule>
  </conditionalFormatting>
  <conditionalFormatting sqref="S79">
    <cfRule type="cellIs" dxfId="79" priority="5" operator="lessThan">
      <formula>0.8</formula>
    </cfRule>
  </conditionalFormatting>
  <conditionalFormatting sqref="AH5:AH8 S15:S16 AH15:AH16 AH49 AH79">
    <cfRule type="cellIs" dxfId="78" priority="9" operator="lessThan">
      <formula>0.8</formula>
    </cfRule>
  </conditionalFormatting>
  <conditionalFormatting sqref="AH27 S27:S28">
    <cfRule type="cellIs" dxfId="77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B7E4F4-B157-4883-9820-4F4B18FA08E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0D1D-2A36-4EEF-919B-713EE53AFBB0}">
  <dimension ref="B1:O26"/>
  <sheetViews>
    <sheetView topLeftCell="A3" zoomScale="70" zoomScaleNormal="70" workbookViewId="0">
      <selection activeCell="L24" sqref="L24:L25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46077</v>
      </c>
      <c r="E3" s="493"/>
      <c r="F3" s="3" t="s">
        <v>72</v>
      </c>
      <c r="G3" s="494">
        <f>'0224'!E1</f>
        <v>56179</v>
      </c>
      <c r="H3" s="494"/>
      <c r="I3" s="3" t="s">
        <v>2</v>
      </c>
      <c r="J3" s="495">
        <f>'0224'!G1</f>
        <v>2677583.4200000009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123.57079970682911</v>
      </c>
      <c r="G6" s="490"/>
      <c r="H6" s="491">
        <f>AVERAGE(D13:H13,J13)</f>
        <v>123.09862529899293</v>
      </c>
      <c r="I6" s="491"/>
      <c r="J6" s="491">
        <f>AVERAGE(I13)</f>
        <v>126.40384615384615</v>
      </c>
      <c r="K6" s="491"/>
      <c r="L6" s="497">
        <f>SUM(D18:J18)</f>
        <v>1</v>
      </c>
      <c r="M6" s="482">
        <f>SUM(D19:J19)</f>
        <v>20</v>
      </c>
      <c r="N6" s="498">
        <f>SUM(D20:J20)</f>
        <v>1</v>
      </c>
      <c r="O6" s="482">
        <f>SUM(D20:J20)</f>
        <v>1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115.18056530469377</v>
      </c>
      <c r="G7" s="479"/>
      <c r="H7" s="480">
        <f>AVERAGE(D14:H14,J14)</f>
        <v>115.90535926684238</v>
      </c>
      <c r="I7" s="480"/>
      <c r="J7" s="480">
        <f>AVERAGE(I14)</f>
        <v>110.83180153180201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0.9321018038076867</v>
      </c>
      <c r="G8" s="485"/>
      <c r="H8" s="485">
        <f>H7/H6</f>
        <v>0.94156501736165699</v>
      </c>
      <c r="I8" s="485"/>
      <c r="J8" s="485">
        <f>J7/J6</f>
        <v>0.87680719300984411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VALUE('0224'!L15)</f>
        <v>153.95512820512818</v>
      </c>
      <c r="E13" s="13">
        <f>VALUE('0224'!L26)</f>
        <v>176.42992424242425</v>
      </c>
      <c r="F13" s="13">
        <f>VALUE('0224'!L37)</f>
        <v>100.13333333333333</v>
      </c>
      <c r="G13" s="13">
        <f>VALUE('0224'!L48)</f>
        <v>91.248366013071902</v>
      </c>
      <c r="H13" s="13">
        <f>VALUE('0224'!L58)</f>
        <v>112.53333333333332</v>
      </c>
      <c r="I13" s="13">
        <f>VALUE('0224'!L69)</f>
        <v>126.40384615384615</v>
      </c>
      <c r="J13" s="13">
        <f>'0224'!L79</f>
        <v>104.29166666666667</v>
      </c>
    </row>
    <row r="14" spans="2:15" ht="39.950000000000003" customHeight="1">
      <c r="B14" s="473"/>
      <c r="C14" s="12" t="s">
        <v>100</v>
      </c>
      <c r="D14" s="13">
        <f>VALUE('0224'!O15)</f>
        <v>147.85714506839182</v>
      </c>
      <c r="E14" s="13">
        <f>VALUE('0224'!O26)</f>
        <v>167.64953007488629</v>
      </c>
      <c r="F14" s="13">
        <f>VALUE('0224'!O37)</f>
        <v>92.216553794063316</v>
      </c>
      <c r="G14" s="13">
        <f>VALUE('0224'!O48)</f>
        <v>86.282720946707471</v>
      </c>
      <c r="H14" s="13">
        <f>VALUE('0224'!O58)</f>
        <v>108.24118508461673</v>
      </c>
      <c r="I14" s="13">
        <f>VALUE('0224'!O69)</f>
        <v>110.83180153180201</v>
      </c>
      <c r="J14" s="13">
        <f>'0224'!O79</f>
        <v>93.185020632388671</v>
      </c>
    </row>
    <row r="15" spans="2:15" ht="39.950000000000003" customHeight="1">
      <c r="B15" s="474"/>
      <c r="C15" s="10" t="s">
        <v>26</v>
      </c>
      <c r="D15" s="14">
        <f>D14/D13</f>
        <v>0.96039116586872331</v>
      </c>
      <c r="E15" s="14">
        <f t="shared" ref="E15:I15" si="1">E14/E13</f>
        <v>0.95023296526799372</v>
      </c>
      <c r="F15" s="14">
        <f t="shared" si="1"/>
        <v>0.92093762111248323</v>
      </c>
      <c r="G15" s="14">
        <f t="shared" si="1"/>
        <v>0.94558099741037482</v>
      </c>
      <c r="H15" s="14">
        <f t="shared" si="1"/>
        <v>0.96185887219742372</v>
      </c>
      <c r="I15" s="14">
        <f t="shared" si="1"/>
        <v>0.87680719300984411</v>
      </c>
      <c r="J15" s="15">
        <f>'0224'!S70</f>
        <v>0.89350399327899643</v>
      </c>
    </row>
    <row r="16" spans="2:15" ht="17.25" customHeight="1">
      <c r="B16" s="475" t="s">
        <v>101</v>
      </c>
      <c r="C16" s="10" t="s">
        <v>34</v>
      </c>
      <c r="D16" s="16">
        <f>'0224'!T5</f>
        <v>0.29166666666666702</v>
      </c>
      <c r="E16" s="16">
        <f>'0224'!T16</f>
        <v>0.29027777777777802</v>
      </c>
      <c r="F16" s="16">
        <f>'0224'!T27</f>
        <v>0.28819444444444442</v>
      </c>
      <c r="G16" s="16">
        <f>'0224'!T38</f>
        <v>0.33333333333333298</v>
      </c>
      <c r="H16" s="16">
        <f>'0224'!T49</f>
        <v>0.28819444444444442</v>
      </c>
      <c r="I16" s="16">
        <f>'0224'!T59</f>
        <v>0.29166666666666702</v>
      </c>
      <c r="J16" s="16">
        <f>'0224'!T70</f>
        <v>0.33472222222222198</v>
      </c>
    </row>
    <row r="17" spans="2:10" ht="17.25" customHeight="1">
      <c r="B17" s="476"/>
      <c r="C17" s="10" t="s">
        <v>35</v>
      </c>
      <c r="D17" s="16">
        <v>0.60833333333333295</v>
      </c>
      <c r="E17" s="19">
        <v>0.61527777777777803</v>
      </c>
      <c r="F17" s="19">
        <v>0.59930555555555598</v>
      </c>
      <c r="G17" s="20">
        <v>0.625</v>
      </c>
      <c r="H17" s="19">
        <v>0.57847222222222228</v>
      </c>
      <c r="I17" s="22">
        <v>0.60763888888888895</v>
      </c>
      <c r="J17" s="22">
        <v>0.60416666666666696</v>
      </c>
    </row>
    <row r="18" spans="2:10" ht="17.25" customHeight="1">
      <c r="B18" s="477" t="s">
        <v>102</v>
      </c>
      <c r="C18" s="330" t="s">
        <v>36</v>
      </c>
      <c r="D18" s="358">
        <f>'0224'!Z15</f>
        <v>0</v>
      </c>
      <c r="E18" s="359">
        <f>'0224'!Z26</f>
        <v>0</v>
      </c>
      <c r="F18" s="359">
        <f>'0224'!Z37</f>
        <v>1</v>
      </c>
      <c r="G18" s="360">
        <f>'0224'!Z48</f>
        <v>0</v>
      </c>
      <c r="H18" s="360">
        <f>'0224'!Z58</f>
        <v>0</v>
      </c>
      <c r="I18" s="359">
        <f>'0224'!Z69</f>
        <v>0</v>
      </c>
      <c r="J18" s="359">
        <f>'0224'!AA79</f>
        <v>0</v>
      </c>
    </row>
    <row r="19" spans="2:10" ht="17.25" customHeight="1">
      <c r="B19" s="478"/>
      <c r="C19" s="330" t="s">
        <v>37</v>
      </c>
      <c r="D19" s="358">
        <f>'0224'!AA15</f>
        <v>0</v>
      </c>
      <c r="E19" s="359">
        <f>'0224'!AA26</f>
        <v>0</v>
      </c>
      <c r="F19" s="359">
        <f>'0224'!AA37</f>
        <v>20</v>
      </c>
      <c r="G19" s="360">
        <f>'0224'!AA48</f>
        <v>0</v>
      </c>
      <c r="H19" s="360">
        <f>'0224'!AA58</f>
        <v>0</v>
      </c>
      <c r="I19" s="359">
        <f>'0224'!AA69</f>
        <v>0</v>
      </c>
      <c r="J19" s="359">
        <f>'0224'!AB79</f>
        <v>0</v>
      </c>
    </row>
    <row r="20" spans="2:10" ht="17.25" customHeight="1">
      <c r="B20" s="477" t="s">
        <v>103</v>
      </c>
      <c r="C20" s="330" t="s">
        <v>36</v>
      </c>
      <c r="D20" s="358">
        <f>'0224'!AD15</f>
        <v>1</v>
      </c>
      <c r="E20" s="359">
        <f>'0224'!AD26</f>
        <v>0</v>
      </c>
      <c r="F20" s="359">
        <f>'0224'!AD37</f>
        <v>0</v>
      </c>
      <c r="G20" s="360">
        <f>'0224'!AD48</f>
        <v>0</v>
      </c>
      <c r="H20" s="360">
        <f>'0224'!AD58</f>
        <v>0</v>
      </c>
      <c r="I20" s="359">
        <f>'0224'!AD69</f>
        <v>0</v>
      </c>
      <c r="J20" s="359">
        <f>'0224'!AD79</f>
        <v>0</v>
      </c>
    </row>
    <row r="21" spans="2:10" ht="17.25" customHeight="1">
      <c r="B21" s="478"/>
      <c r="C21" s="330" t="s">
        <v>85</v>
      </c>
      <c r="D21" s="358">
        <f>'0224'!AE15</f>
        <v>1</v>
      </c>
      <c r="E21" s="359">
        <f>'0224'!AE26</f>
        <v>0</v>
      </c>
      <c r="F21" s="359">
        <f>'0224'!AE37</f>
        <v>0</v>
      </c>
      <c r="G21" s="360">
        <f>'0224'!AE48</f>
        <v>0</v>
      </c>
      <c r="H21" s="360">
        <f>'0224'!AE58</f>
        <v>0</v>
      </c>
      <c r="I21" s="359">
        <f>'0224'!AE69</f>
        <v>0</v>
      </c>
      <c r="J21" s="359">
        <f>'0224'!AE79</f>
        <v>0</v>
      </c>
    </row>
    <row r="22" spans="2:10" ht="17.25" customHeight="1">
      <c r="B22" s="460" t="s">
        <v>104</v>
      </c>
      <c r="C22" s="461"/>
      <c r="D22" s="23">
        <f>VALUE('0224'!M15)</f>
        <v>13</v>
      </c>
      <c r="E22" s="23">
        <f>VALUE('0224'!M26)</f>
        <v>11.5</v>
      </c>
      <c r="F22" s="23">
        <f>VALUE('0224'!M37)</f>
        <v>13.4</v>
      </c>
      <c r="G22" s="23">
        <f>VALUE('0224'!M48)</f>
        <v>15.666666666666666</v>
      </c>
      <c r="H22" s="23">
        <f>VALUE('0224'!M58)</f>
        <v>15</v>
      </c>
      <c r="I22" s="23">
        <f>VALUE('0224'!M69)</f>
        <v>11.6</v>
      </c>
      <c r="J22" s="23">
        <f>'0224'!M79</f>
        <v>10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76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F86A-63BE-43DB-8660-B529257573FB}">
  <sheetPr>
    <tabColor theme="9" tint="0.79998168889431442"/>
  </sheetPr>
  <dimension ref="A1:AJ92"/>
  <sheetViews>
    <sheetView zoomScale="69" zoomScaleNormal="69" workbookViewId="0">
      <pane xSplit="5" ySplit="4" topLeftCell="F17" activePane="bottomRight" state="frozen"/>
      <selection activeCell="K15" sqref="K15"/>
      <selection pane="topRight" activeCell="K15" sqref="K15"/>
      <selection pane="bottomLeft" activeCell="K15" sqref="K15"/>
      <selection pane="bottomRight" activeCell="T73" sqref="T73:V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56179</v>
      </c>
      <c r="F1" s="30" t="s">
        <v>2</v>
      </c>
      <c r="G1" s="31">
        <f>SUM(H5:H79)</f>
        <v>2677583.4200000009</v>
      </c>
      <c r="H1" s="32" t="s">
        <v>3</v>
      </c>
      <c r="I1" s="33">
        <f>M15+M26+M48+M58+M69+M79+M37</f>
        <v>90.166666666666671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201</v>
      </c>
      <c r="B2" s="374"/>
      <c r="C2" s="28"/>
      <c r="D2" s="28" t="s">
        <v>14</v>
      </c>
      <c r="E2" s="35">
        <f>AVERAGE(O15,O26,O37,O48,O58,O69,O79)</f>
        <v>115.18056530469377</v>
      </c>
      <c r="F2" s="36" t="s">
        <v>15</v>
      </c>
      <c r="G2" s="37">
        <f>G1/E1</f>
        <v>47.661642606667989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1</v>
      </c>
      <c r="AA2" s="339">
        <f>AA15+AA26+AA37+AA48+AA58+AA69+AA79</f>
        <v>20</v>
      </c>
      <c r="AB2" s="370"/>
      <c r="AC2" s="370"/>
      <c r="AD2" s="340">
        <f>AD15+AD26+AD37+AD48+AD58+AD69+AD79</f>
        <v>1</v>
      </c>
      <c r="AE2" s="340">
        <f>AE15+AE26+AE37+AE48+AE58+AE69+AE79</f>
        <v>1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2241</v>
      </c>
      <c r="H5" s="43">
        <f>F5*G5</f>
        <v>128207.61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8" si="0">K5/J5</f>
        <v>175.41666666666666</v>
      </c>
      <c r="M5" s="48">
        <v>12</v>
      </c>
      <c r="N5" s="46">
        <f t="shared" ref="N5:N8" si="1">G5/W5*60</f>
        <v>2068.6153846153793</v>
      </c>
      <c r="O5" s="47">
        <f t="shared" ref="O5:O8" si="2">N5/M5</f>
        <v>172.38461538461493</v>
      </c>
      <c r="P5" s="49">
        <f t="shared" ref="P5:P8" si="3">M5-J5</f>
        <v>0</v>
      </c>
      <c r="Q5" s="50">
        <f t="shared" ref="Q5:Q8" si="4">O5-L5</f>
        <v>-3.0320512820517251</v>
      </c>
      <c r="R5" s="51">
        <f t="shared" ref="R5:R8" si="5">O5/L5</f>
        <v>0.98271514708569085</v>
      </c>
      <c r="S5" s="424">
        <f>R15</f>
        <v>0.96039116586872331</v>
      </c>
      <c r="T5" s="319">
        <v>0.29166666666666702</v>
      </c>
      <c r="U5" s="320">
        <v>0.33680555555555602</v>
      </c>
      <c r="V5" s="53"/>
      <c r="W5" s="54">
        <f t="shared" ref="W5:W14" si="6">(U5-T5)*24*60</f>
        <v>65.000000000000171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11" si="7">N5-K5</f>
        <v>-36.384615384620702</v>
      </c>
      <c r="AG5" s="52">
        <f t="shared" ref="AG5:AG11" si="8">N5/K5</f>
        <v>0.98271514708569085</v>
      </c>
      <c r="AH5" s="403">
        <f>AG15</f>
        <v>0.96083460104835605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1601</v>
      </c>
      <c r="H6" s="63">
        <f>F6*G6</f>
        <v>90104.28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1778.8888888888687</v>
      </c>
      <c r="O6" s="67">
        <f t="shared" si="2"/>
        <v>118.59259259259125</v>
      </c>
      <c r="P6" s="69">
        <f t="shared" si="3"/>
        <v>0</v>
      </c>
      <c r="Q6" s="70">
        <f t="shared" si="4"/>
        <v>-1.4074074074087548</v>
      </c>
      <c r="R6" s="71">
        <f t="shared" si="5"/>
        <v>0.98827160493826038</v>
      </c>
      <c r="S6" s="425"/>
      <c r="T6" s="16">
        <v>0.344444444444444</v>
      </c>
      <c r="U6" s="16">
        <v>0.38194444444444442</v>
      </c>
      <c r="V6" s="30">
        <f>(T6-U5)*24*60</f>
        <v>10.999999999998682</v>
      </c>
      <c r="W6" s="73">
        <f t="shared" si="6"/>
        <v>54.000000000000611</v>
      </c>
      <c r="X6" s="22"/>
      <c r="Y6" s="84"/>
      <c r="Z6" s="90"/>
      <c r="AA6" s="90"/>
      <c r="AB6" s="407" t="s">
        <v>229</v>
      </c>
      <c r="AC6" s="407"/>
      <c r="AD6" s="149">
        <v>1</v>
      </c>
      <c r="AE6" s="149">
        <v>1</v>
      </c>
      <c r="AF6" s="307">
        <f t="shared" si="7"/>
        <v>-21.111111111131322</v>
      </c>
      <c r="AG6" s="72">
        <f t="shared" si="8"/>
        <v>0.98827160493826038</v>
      </c>
      <c r="AH6" s="404"/>
    </row>
    <row r="7" spans="1:34" ht="15" customHeight="1">
      <c r="A7" s="421"/>
      <c r="B7" s="75" t="s">
        <v>81</v>
      </c>
      <c r="C7" s="76"/>
      <c r="D7" s="59" t="s">
        <v>118</v>
      </c>
      <c r="E7" s="77"/>
      <c r="F7" s="75">
        <f>VLOOKUP(D7,廠價表!$C$1:$E$41,3,0)</f>
        <v>50.67</v>
      </c>
      <c r="G7" s="66">
        <v>919</v>
      </c>
      <c r="H7" s="78">
        <f>F7*G7</f>
        <v>46565.73</v>
      </c>
      <c r="I7" s="73"/>
      <c r="J7" s="79">
        <f>VLOOKUP(D7,產線配置圖!$A$3:$C$39,2,0)</f>
        <v>12</v>
      </c>
      <c r="K7" s="80">
        <f>VLOOKUP(D7,產線配置圖!$A$3:$C$39,3,0)</f>
        <v>2000</v>
      </c>
      <c r="L7" s="81">
        <f t="shared" si="0"/>
        <v>166.66666666666666</v>
      </c>
      <c r="M7" s="82">
        <v>12</v>
      </c>
      <c r="N7" s="80">
        <f t="shared" si="1"/>
        <v>1901.3793103448186</v>
      </c>
      <c r="O7" s="81">
        <f t="shared" si="2"/>
        <v>158.44827586206821</v>
      </c>
      <c r="P7" s="74">
        <f t="shared" si="3"/>
        <v>0</v>
      </c>
      <c r="Q7" s="83">
        <f t="shared" si="4"/>
        <v>-8.2183908045984424</v>
      </c>
      <c r="R7" s="72">
        <f t="shared" si="5"/>
        <v>0.95068965517240933</v>
      </c>
      <c r="S7" s="425"/>
      <c r="T7" s="18">
        <v>0.38888888888888901</v>
      </c>
      <c r="U7" s="18">
        <v>0.40902777777777799</v>
      </c>
      <c r="V7" s="30">
        <f>(T7-U6)*24*60</f>
        <v>10.000000000000204</v>
      </c>
      <c r="W7" s="73">
        <f t="shared" si="6"/>
        <v>29.000000000000135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-98.620689655181422</v>
      </c>
      <c r="AG7" s="72">
        <f t="shared" si="8"/>
        <v>0.95068965517240933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2555</v>
      </c>
      <c r="H8" s="78">
        <f>F8*G8</f>
        <v>125552.7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1782.5581395348902</v>
      </c>
      <c r="O8" s="81">
        <f t="shared" si="2"/>
        <v>137.11985688729925</v>
      </c>
      <c r="P8" s="74">
        <f t="shared" si="3"/>
        <v>0</v>
      </c>
      <c r="Q8" s="83">
        <f t="shared" si="4"/>
        <v>-16.72629695885459</v>
      </c>
      <c r="R8" s="72">
        <f t="shared" si="5"/>
        <v>0.8912790697674452</v>
      </c>
      <c r="S8" s="425"/>
      <c r="T8" s="16">
        <v>0.41805555555555601</v>
      </c>
      <c r="U8" s="16">
        <v>0.47777777777777802</v>
      </c>
      <c r="V8" s="30">
        <f>(T8-U7)*24*60</f>
        <v>13.000000000000353</v>
      </c>
      <c r="W8" s="73">
        <f t="shared" si="6"/>
        <v>85.999999999999687</v>
      </c>
      <c r="X8" s="22">
        <v>0.48611111111111099</v>
      </c>
      <c r="Y8" s="84">
        <v>0.52777777777777801</v>
      </c>
      <c r="Z8" s="90"/>
      <c r="AA8" s="90"/>
      <c r="AB8" s="407"/>
      <c r="AC8" s="407"/>
      <c r="AD8" s="149"/>
      <c r="AE8" s="149"/>
      <c r="AF8" s="307">
        <f t="shared" si="7"/>
        <v>-217.44186046510981</v>
      </c>
      <c r="AG8" s="72">
        <f t="shared" si="8"/>
        <v>0.89127906976744509</v>
      </c>
      <c r="AH8" s="404"/>
    </row>
    <row r="9" spans="1:34" ht="15" customHeight="1">
      <c r="A9" s="422"/>
      <c r="B9" s="75" t="s">
        <v>81</v>
      </c>
      <c r="C9" s="76"/>
      <c r="D9" s="59" t="s">
        <v>115</v>
      </c>
      <c r="E9" s="77"/>
      <c r="F9" s="75">
        <f>VLOOKUP(D9,廠價表!$C$1:$E$41,3,0)</f>
        <v>49.14</v>
      </c>
      <c r="G9" s="66">
        <v>3177</v>
      </c>
      <c r="H9" s="78">
        <f>F9*G9</f>
        <v>156117.78</v>
      </c>
      <c r="I9" s="73"/>
      <c r="J9" s="79">
        <f>VLOOKUP(D9,產線配置圖!$A$3:$C$39,2,0)</f>
        <v>13</v>
      </c>
      <c r="K9" s="80">
        <f>VLOOKUP(D9,產線配置圖!$A$3:$C$39,3,0)</f>
        <v>2000</v>
      </c>
      <c r="L9" s="81">
        <f>K9/J9</f>
        <v>153.84615384615384</v>
      </c>
      <c r="M9" s="82">
        <v>13</v>
      </c>
      <c r="N9" s="80">
        <f>G9/W9*60</f>
        <v>1985.6250000000102</v>
      </c>
      <c r="O9" s="81">
        <f>N9/M9</f>
        <v>152.74038461538541</v>
      </c>
      <c r="P9" s="74">
        <f>M9-J9</f>
        <v>0</v>
      </c>
      <c r="Q9" s="83">
        <f>O9-L9</f>
        <v>-1.1057692307684306</v>
      </c>
      <c r="R9" s="72">
        <f>O9/L9</f>
        <v>0.9928125000000052</v>
      </c>
      <c r="S9" s="426"/>
      <c r="T9" s="16">
        <v>0.54166666666666696</v>
      </c>
      <c r="U9" s="16">
        <v>0.60833333333333328</v>
      </c>
      <c r="V9" s="30">
        <f>(T9-U8)*24*60</f>
        <v>92.000000000000071</v>
      </c>
      <c r="W9" s="73">
        <f t="shared" si="6"/>
        <v>95.999999999999503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-14.374999999989768</v>
      </c>
      <c r="AG9" s="72">
        <f t="shared" si="8"/>
        <v>0.99281250000000509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9">AVERAGE(J5:J14)</f>
        <v>13</v>
      </c>
      <c r="K15" s="120">
        <f t="shared" si="9"/>
        <v>1981</v>
      </c>
      <c r="L15" s="117">
        <f t="shared" si="9"/>
        <v>153.95512820512818</v>
      </c>
      <c r="M15" s="120">
        <f t="shared" si="9"/>
        <v>13</v>
      </c>
      <c r="N15" s="120">
        <f t="shared" si="9"/>
        <v>1903.4133446767933</v>
      </c>
      <c r="O15" s="117">
        <f t="shared" si="9"/>
        <v>147.85714506839182</v>
      </c>
      <c r="P15" s="121">
        <f t="shared" ref="P15:P19" si="10">M15-J15</f>
        <v>0</v>
      </c>
      <c r="Q15" s="122">
        <f t="shared" ref="Q15:Q19" si="11">O15-L15</f>
        <v>-6.0979831367363602</v>
      </c>
      <c r="R15" s="123">
        <f t="shared" ref="R15:R19" si="12">O15/L15</f>
        <v>0.96039116586872331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1</v>
      </c>
      <c r="AE15" s="323">
        <f>SUM(AE5:AE14)</f>
        <v>1</v>
      </c>
      <c r="AF15" s="309">
        <f t="shared" ref="AF15:AF19" si="13">N15-K15</f>
        <v>-77.586655323206742</v>
      </c>
      <c r="AG15" s="124">
        <f t="shared" ref="AG15:AG19" si="14">N15/K15</f>
        <v>0.96083460104835605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1945</v>
      </c>
      <c r="H16" s="134">
        <f>F16*G16</f>
        <v>111273.45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19" si="15">K16/J16</f>
        <v>175.41666666666666</v>
      </c>
      <c r="M16" s="139">
        <v>12</v>
      </c>
      <c r="N16" s="140">
        <f t="shared" ref="N16:N19" si="16">G16/W16*60</f>
        <v>1913.1147540983673</v>
      </c>
      <c r="O16" s="141">
        <f>N16/M16</f>
        <v>159.42622950819728</v>
      </c>
      <c r="P16" s="142">
        <f>M16-J16</f>
        <v>0</v>
      </c>
      <c r="Q16" s="143">
        <f t="shared" si="11"/>
        <v>-15.990437158469376</v>
      </c>
      <c r="R16" s="144">
        <f>O16/L16</f>
        <v>0.90884311358592273</v>
      </c>
      <c r="S16" s="417">
        <f>R26</f>
        <v>0.95023296526799372</v>
      </c>
      <c r="T16" s="145">
        <v>0.29027777777777802</v>
      </c>
      <c r="U16" s="145">
        <v>0.33263888888888898</v>
      </c>
      <c r="V16" s="135"/>
      <c r="W16" s="146">
        <f t="shared" ref="W16:W78" si="17">(U16-T16)*24*60</f>
        <v>60.999999999999787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3"/>
        <v>-191.88524590163274</v>
      </c>
      <c r="AG16" s="52">
        <f t="shared" si="14"/>
        <v>0.90884311358592273</v>
      </c>
      <c r="AH16" s="403">
        <f>AG26</f>
        <v>0.95034615087022734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3331</v>
      </c>
      <c r="H17" s="78">
        <f>F17*G17</f>
        <v>168781.77000000002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5"/>
        <v>166.66666666666666</v>
      </c>
      <c r="M17" s="148">
        <v>12</v>
      </c>
      <c r="N17" s="95">
        <f>G17/W17*60</f>
        <v>1998.600000000007</v>
      </c>
      <c r="O17" s="96">
        <f t="shared" ref="O17:O19" si="18">N17/M17</f>
        <v>166.55000000000058</v>
      </c>
      <c r="P17" s="97">
        <f t="shared" si="10"/>
        <v>0</v>
      </c>
      <c r="Q17" s="98">
        <f t="shared" si="11"/>
        <v>-0.11666666666607739</v>
      </c>
      <c r="R17" s="99">
        <f t="shared" si="12"/>
        <v>0.99930000000000352</v>
      </c>
      <c r="S17" s="418"/>
      <c r="T17" s="19">
        <v>0.34027777777777779</v>
      </c>
      <c r="U17" s="19">
        <v>0.40972222222222199</v>
      </c>
      <c r="V17" s="30">
        <f>(T17-U16)*24*60</f>
        <v>10.999999999999881</v>
      </c>
      <c r="W17" s="149">
        <f t="shared" si="17"/>
        <v>99.999999999999645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3"/>
        <v>-1.3999999999930424</v>
      </c>
      <c r="AG17" s="72">
        <f t="shared" si="14"/>
        <v>0.99930000000000352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2556</v>
      </c>
      <c r="H18" s="78">
        <f>F18*G18</f>
        <v>128796.84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5"/>
        <v>181.81818181818181</v>
      </c>
      <c r="M18" s="148">
        <v>11</v>
      </c>
      <c r="N18" s="95">
        <f t="shared" si="16"/>
        <v>1804.2352941176705</v>
      </c>
      <c r="O18" s="96">
        <f t="shared" si="18"/>
        <v>164.02139037433369</v>
      </c>
      <c r="P18" s="97">
        <f t="shared" si="10"/>
        <v>0</v>
      </c>
      <c r="Q18" s="98">
        <f t="shared" si="11"/>
        <v>-17.796791443848122</v>
      </c>
      <c r="R18" s="99">
        <f t="shared" si="12"/>
        <v>0.90211764705883535</v>
      </c>
      <c r="S18" s="418"/>
      <c r="T18" s="19">
        <v>0.41805555555555601</v>
      </c>
      <c r="U18" s="19">
        <v>0.47708333333333303</v>
      </c>
      <c r="V18" s="30">
        <f>(T18-U17)*24*60</f>
        <v>12.000000000000997</v>
      </c>
      <c r="W18" s="149">
        <f t="shared" si="17"/>
        <v>84.999999999998892</v>
      </c>
      <c r="X18" s="22"/>
      <c r="Y18" s="84"/>
      <c r="Z18" s="90"/>
      <c r="AA18" s="90"/>
      <c r="AB18" s="395"/>
      <c r="AC18" s="395"/>
      <c r="AD18" s="92"/>
      <c r="AE18" s="92"/>
      <c r="AF18" s="307">
        <f t="shared" si="13"/>
        <v>-195.76470588232951</v>
      </c>
      <c r="AG18" s="72">
        <f t="shared" si="14"/>
        <v>0.90211764705883524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3609</v>
      </c>
      <c r="H19" s="78">
        <f>F19*G19</f>
        <v>181857.51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5"/>
        <v>181.81818181818181</v>
      </c>
      <c r="M19" s="148">
        <v>11</v>
      </c>
      <c r="N19" s="95">
        <f t="shared" si="16"/>
        <v>1986.6055045871485</v>
      </c>
      <c r="O19" s="96">
        <f t="shared" si="18"/>
        <v>180.60050041701351</v>
      </c>
      <c r="P19" s="97">
        <f t="shared" si="10"/>
        <v>0</v>
      </c>
      <c r="Q19" s="98">
        <f t="shared" si="11"/>
        <v>-1.2176814011683064</v>
      </c>
      <c r="R19" s="99">
        <f t="shared" si="12"/>
        <v>0.99330275229357434</v>
      </c>
      <c r="S19" s="418"/>
      <c r="T19" s="19">
        <v>0.5395833333333333</v>
      </c>
      <c r="U19" s="19">
        <v>0.61527777777777803</v>
      </c>
      <c r="V19" s="30">
        <f>(T19-U18)*24*60</f>
        <v>90.000000000000398</v>
      </c>
      <c r="W19" s="149">
        <f t="shared" si="17"/>
        <v>109.00000000000041</v>
      </c>
      <c r="X19" s="22">
        <v>0.48611111111111099</v>
      </c>
      <c r="Y19" s="84">
        <v>0.52777777777777801</v>
      </c>
      <c r="Z19" s="90"/>
      <c r="AA19" s="90"/>
      <c r="AB19" s="407"/>
      <c r="AC19" s="407"/>
      <c r="AD19" s="149"/>
      <c r="AE19" s="149"/>
      <c r="AF19" s="307">
        <f t="shared" si="13"/>
        <v>-13.394495412851484</v>
      </c>
      <c r="AG19" s="72">
        <f t="shared" si="14"/>
        <v>0.99330275229357423</v>
      </c>
      <c r="AH19" s="405"/>
    </row>
    <row r="20" spans="1:34" ht="15" customHeight="1">
      <c r="A20" s="414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8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9"/>
      <c r="U21" s="19"/>
      <c r="V21" s="30"/>
      <c r="W21" s="149">
        <f t="shared" si="17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7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0">AVERAGE(J16:J25)</f>
        <v>11.5</v>
      </c>
      <c r="K26" s="155">
        <f t="shared" si="20"/>
        <v>2026.25</v>
      </c>
      <c r="L26" s="158">
        <f t="shared" si="20"/>
        <v>176.42992424242425</v>
      </c>
      <c r="M26" s="155">
        <f t="shared" si="20"/>
        <v>11.5</v>
      </c>
      <c r="N26" s="155">
        <f t="shared" si="20"/>
        <v>1925.6388882007982</v>
      </c>
      <c r="O26" s="158">
        <f t="shared" si="20"/>
        <v>167.64953007488629</v>
      </c>
      <c r="P26" s="159">
        <f t="shared" ref="P26:P31" si="21">M26-J26</f>
        <v>0</v>
      </c>
      <c r="Q26" s="160">
        <f t="shared" ref="Q26:Q31" si="22">O26-L26</f>
        <v>-8.7803941675379633</v>
      </c>
      <c r="R26" s="161">
        <f>O26/L26</f>
        <v>0.95023296526799372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0</v>
      </c>
      <c r="AE26" s="323">
        <f>SUM(AE16:AE25)</f>
        <v>0</v>
      </c>
      <c r="AF26" s="309">
        <f t="shared" ref="AF26:AF31" si="23">N26-K26</f>
        <v>-100.61111179920181</v>
      </c>
      <c r="AG26" s="124">
        <f t="shared" ref="AG26:AG31" si="24">N26/K26</f>
        <v>0.95034615087022734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1257</v>
      </c>
      <c r="H27" s="134">
        <f>F27*G27</f>
        <v>72026.099999999991</v>
      </c>
      <c r="I27" s="135"/>
      <c r="J27" s="136">
        <v>15</v>
      </c>
      <c r="K27" s="137">
        <f>VLOOKUP(D27,產線配置圖!$A$3:$C$39,3,0)</f>
        <v>1500</v>
      </c>
      <c r="L27" s="138">
        <f t="shared" ref="L27:L31" si="25">K27/J27</f>
        <v>100</v>
      </c>
      <c r="M27" s="170">
        <v>15</v>
      </c>
      <c r="N27" s="140">
        <f>G27/W27*60</f>
        <v>1478.823529411763</v>
      </c>
      <c r="O27" s="141">
        <f>N27/M27</f>
        <v>98.588235294117538</v>
      </c>
      <c r="P27" s="142">
        <f t="shared" si="21"/>
        <v>0</v>
      </c>
      <c r="Q27" s="143">
        <f t="shared" si="22"/>
        <v>-1.4117647058824616</v>
      </c>
      <c r="R27" s="144">
        <f>O27/L27</f>
        <v>0.98588235294117543</v>
      </c>
      <c r="S27" s="417">
        <f>R37</f>
        <v>0.92093762111248323</v>
      </c>
      <c r="T27" s="171">
        <v>0.28819444444444442</v>
      </c>
      <c r="U27" s="171">
        <v>0.32361111111111113</v>
      </c>
      <c r="V27" s="135"/>
      <c r="W27" s="146">
        <f t="shared" si="17"/>
        <v>51.000000000000057</v>
      </c>
      <c r="X27" s="135"/>
      <c r="Y27" s="300" t="s">
        <v>46</v>
      </c>
      <c r="Z27" s="169">
        <v>1</v>
      </c>
      <c r="AA27" s="169">
        <v>20</v>
      </c>
      <c r="AB27" s="402" t="s">
        <v>230</v>
      </c>
      <c r="AC27" s="402"/>
      <c r="AD27" s="135"/>
      <c r="AE27" s="135"/>
      <c r="AF27" s="310">
        <f t="shared" si="23"/>
        <v>-21.176470588236953</v>
      </c>
      <c r="AG27" s="172">
        <f t="shared" si="24"/>
        <v>0.98588235294117532</v>
      </c>
      <c r="AH27" s="403">
        <f>AG37</f>
        <v>0.82440112745703753</v>
      </c>
    </row>
    <row r="28" spans="1:34" ht="15" customHeight="1">
      <c r="A28" s="430"/>
      <c r="B28" s="75" t="s">
        <v>123</v>
      </c>
      <c r="C28" s="173"/>
      <c r="D28" s="59" t="s">
        <v>127</v>
      </c>
      <c r="E28" s="104"/>
      <c r="F28" s="75">
        <f>VLOOKUP(D28,廠價表!$C$1:$E$41,3,0)</f>
        <v>49.91</v>
      </c>
      <c r="G28" s="90">
        <v>1637</v>
      </c>
      <c r="H28" s="91">
        <f>F28*G28</f>
        <v>81702.67</v>
      </c>
      <c r="I28" s="92"/>
      <c r="J28" s="79">
        <v>15</v>
      </c>
      <c r="K28" s="80">
        <f>VLOOKUP(D28,產線配置圖!$A$3:$C$39,3,0)</f>
        <v>1565</v>
      </c>
      <c r="L28" s="93">
        <f t="shared" si="25"/>
        <v>104.33333333333333</v>
      </c>
      <c r="M28" s="94">
        <v>13</v>
      </c>
      <c r="N28" s="95">
        <f>G28/W28*60</f>
        <v>1227.7499999999995</v>
      </c>
      <c r="O28" s="96">
        <f>N28/M28</f>
        <v>94.442307692307651</v>
      </c>
      <c r="P28" s="97">
        <f t="shared" si="21"/>
        <v>-2</v>
      </c>
      <c r="Q28" s="98">
        <f t="shared" si="22"/>
        <v>-9.8910256410256778</v>
      </c>
      <c r="R28" s="99">
        <f t="shared" ref="R28:R31" si="26">O28/L28</f>
        <v>0.90519783730646319</v>
      </c>
      <c r="S28" s="418"/>
      <c r="T28" s="19">
        <v>0.3298611111111111</v>
      </c>
      <c r="U28" s="19">
        <v>0.38541666666666669</v>
      </c>
      <c r="V28" s="92">
        <f>(T28-U27)*24*60</f>
        <v>8.999999999999968</v>
      </c>
      <c r="W28" s="149">
        <f t="shared" si="17"/>
        <v>80.000000000000028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3"/>
        <v>-337.25000000000045</v>
      </c>
      <c r="AG28" s="99">
        <f t="shared" si="24"/>
        <v>0.78450479233226811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1768</v>
      </c>
      <c r="H29" s="91">
        <f>F29*G29</f>
        <v>87551.360000000001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5"/>
        <v>96</v>
      </c>
      <c r="M29" s="94">
        <v>13</v>
      </c>
      <c r="N29" s="95">
        <f>G29/W29*60</f>
        <v>1093.6082474226814</v>
      </c>
      <c r="O29" s="96">
        <f>N29/M29</f>
        <v>84.123711340206256</v>
      </c>
      <c r="P29" s="97">
        <f t="shared" si="21"/>
        <v>-2</v>
      </c>
      <c r="Q29" s="98">
        <f t="shared" si="22"/>
        <v>-11.876288659793744</v>
      </c>
      <c r="R29" s="99">
        <f t="shared" si="26"/>
        <v>0.87628865979381521</v>
      </c>
      <c r="S29" s="418"/>
      <c r="T29" s="19">
        <v>0.39583333333333298</v>
      </c>
      <c r="U29" s="19">
        <v>0.46319444444444402</v>
      </c>
      <c r="V29" s="92">
        <f>(T29-U28)*24*60</f>
        <v>14.999999999999467</v>
      </c>
      <c r="W29" s="149">
        <f t="shared" si="17"/>
        <v>96.999999999999901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3"/>
        <v>-346.39175257731858</v>
      </c>
      <c r="AG29" s="99">
        <f t="shared" si="24"/>
        <v>0.75945017182130659</v>
      </c>
      <c r="AH29" s="432"/>
    </row>
    <row r="30" spans="1:34" ht="15" customHeight="1">
      <c r="A30" s="430"/>
      <c r="B30" s="75" t="s">
        <v>123</v>
      </c>
      <c r="C30" s="88"/>
      <c r="D30" s="59" t="s">
        <v>124</v>
      </c>
      <c r="E30" s="89"/>
      <c r="F30" s="75">
        <f>VLOOKUP(D30,廠價表!$C$1:$E$41,3,0)</f>
        <v>49.52</v>
      </c>
      <c r="G30" s="90">
        <v>800</v>
      </c>
      <c r="H30" s="91">
        <f t="shared" ref="H30:H31" si="27">F30*G30</f>
        <v>39616</v>
      </c>
      <c r="I30" s="92"/>
      <c r="J30" s="79">
        <f>VLOOKUP(D30,產線配置圖!$A$3:$C$39,2,0)</f>
        <v>15</v>
      </c>
      <c r="K30" s="80">
        <f>VLOOKUP(D30,產線配置圖!$A$3:$C$39,3,0)</f>
        <v>1440</v>
      </c>
      <c r="L30" s="93">
        <f t="shared" si="25"/>
        <v>96</v>
      </c>
      <c r="M30" s="94">
        <v>13</v>
      </c>
      <c r="N30" s="95">
        <f t="shared" ref="N30:N31" si="28">G30/W30*60</f>
        <v>1170.7317073170818</v>
      </c>
      <c r="O30" s="96">
        <f t="shared" ref="O30:O31" si="29">N30/M30</f>
        <v>90.056285178237061</v>
      </c>
      <c r="P30" s="97">
        <f t="shared" si="21"/>
        <v>-2</v>
      </c>
      <c r="Q30" s="98">
        <f t="shared" si="22"/>
        <v>-5.9437148217629385</v>
      </c>
      <c r="R30" s="99">
        <f t="shared" si="26"/>
        <v>0.93808630393996939</v>
      </c>
      <c r="S30" s="418"/>
      <c r="T30" s="19">
        <v>0.52430555555555602</v>
      </c>
      <c r="U30" s="19">
        <v>0.55277777777777803</v>
      </c>
      <c r="V30" s="92">
        <f>(T30-U29)*24*60</f>
        <v>88.000000000001279</v>
      </c>
      <c r="W30" s="149">
        <f t="shared" si="17"/>
        <v>40.999999999999694</v>
      </c>
      <c r="X30" s="174">
        <v>0.47222222222222199</v>
      </c>
      <c r="Y30" s="301">
        <v>0.51388888888888895</v>
      </c>
      <c r="Z30" s="335"/>
      <c r="AA30" s="335"/>
      <c r="AB30" s="395"/>
      <c r="AC30" s="395"/>
      <c r="AD30" s="92"/>
      <c r="AE30" s="92"/>
      <c r="AF30" s="312">
        <f t="shared" si="23"/>
        <v>-269.26829268291817</v>
      </c>
      <c r="AG30" s="99">
        <f t="shared" si="24"/>
        <v>0.81300813008130679</v>
      </c>
      <c r="AH30" s="433"/>
    </row>
    <row r="31" spans="1:34" ht="15" customHeight="1">
      <c r="A31" s="430"/>
      <c r="B31" s="75" t="s">
        <v>123</v>
      </c>
      <c r="C31" s="88"/>
      <c r="D31" s="59" t="s">
        <v>127</v>
      </c>
      <c r="E31" s="89"/>
      <c r="F31" s="75">
        <f>VLOOKUP(D31,廠價表!$C$1:$E$41,3,0)</f>
        <v>49.91</v>
      </c>
      <c r="G31" s="90">
        <v>1200</v>
      </c>
      <c r="H31" s="91">
        <f t="shared" si="27"/>
        <v>59891.999999999993</v>
      </c>
      <c r="I31" s="92"/>
      <c r="J31" s="79">
        <v>15</v>
      </c>
      <c r="K31" s="80">
        <f>VLOOKUP(D31,產線配置圖!$A$3:$C$39,3,0)</f>
        <v>1565</v>
      </c>
      <c r="L31" s="93">
        <f t="shared" si="25"/>
        <v>104.33333333333333</v>
      </c>
      <c r="M31" s="94">
        <v>13</v>
      </c>
      <c r="N31" s="95">
        <f t="shared" si="28"/>
        <v>1220.3389830508254</v>
      </c>
      <c r="O31" s="96">
        <f t="shared" si="29"/>
        <v>93.8722294654481</v>
      </c>
      <c r="P31" s="97">
        <f t="shared" si="21"/>
        <v>-2</v>
      </c>
      <c r="Q31" s="98">
        <f t="shared" si="22"/>
        <v>-10.461103867885228</v>
      </c>
      <c r="R31" s="99">
        <f t="shared" si="26"/>
        <v>0.89973382874231411</v>
      </c>
      <c r="S31" s="418"/>
      <c r="T31" s="19">
        <v>0.55833333333333302</v>
      </c>
      <c r="U31" s="19">
        <v>0.59930555555555598</v>
      </c>
      <c r="V31" s="92">
        <f>(T31-U30)*24*60</f>
        <v>7.9999999999991722</v>
      </c>
      <c r="W31" s="149">
        <f t="shared" si="17"/>
        <v>59.000000000001066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3"/>
        <v>-344.66101694917461</v>
      </c>
      <c r="AG31" s="99">
        <f t="shared" si="24"/>
        <v>0.77976931824333895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30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1">AVERAGE(J27:J36)</f>
        <v>15</v>
      </c>
      <c r="K37" s="155">
        <f t="shared" si="31"/>
        <v>1502</v>
      </c>
      <c r="L37" s="158">
        <f t="shared" si="31"/>
        <v>100.13333333333333</v>
      </c>
      <c r="M37" s="155">
        <f t="shared" si="31"/>
        <v>13.4</v>
      </c>
      <c r="N37" s="155">
        <f t="shared" si="31"/>
        <v>1238.2504934404703</v>
      </c>
      <c r="O37" s="158">
        <f t="shared" si="31"/>
        <v>92.216553794063316</v>
      </c>
      <c r="P37" s="159">
        <f>M37-J37</f>
        <v>-1.5999999999999996</v>
      </c>
      <c r="Q37" s="160">
        <f>N37-K37</f>
        <v>-263.74950655952966</v>
      </c>
      <c r="R37" s="161">
        <f t="shared" ref="R37:R40" si="32">O37/L37</f>
        <v>0.92093762111248323</v>
      </c>
      <c r="S37" s="419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20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0" si="33">N37-K37</f>
        <v>-263.74950655952966</v>
      </c>
      <c r="AG37" s="124">
        <f t="shared" ref="AG37:AG40" si="34">N37/K37</f>
        <v>0.82440112745703753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56.87</v>
      </c>
      <c r="G38" s="186">
        <v>1369</v>
      </c>
      <c r="H38" s="134">
        <f>F38*G38</f>
        <v>77855.03</v>
      </c>
      <c r="I38" s="135"/>
      <c r="J38" s="187">
        <v>15</v>
      </c>
      <c r="K38" s="188">
        <f>VLOOKUP(D38,產線配置圖!$A$3:$C$39,3,0)</f>
        <v>1565</v>
      </c>
      <c r="L38" s="189">
        <f t="shared" ref="L38:L40" si="35">K38/J38</f>
        <v>104.33333333333333</v>
      </c>
      <c r="M38" s="190">
        <v>13</v>
      </c>
      <c r="N38" s="140">
        <f>G38/W38*60</f>
        <v>1173.4285714285743</v>
      </c>
      <c r="O38" s="141">
        <f>N38/M38</f>
        <v>90.26373626373649</v>
      </c>
      <c r="P38" s="142">
        <f t="shared" ref="P38:P40" si="36">M38-J38</f>
        <v>-2</v>
      </c>
      <c r="Q38" s="143">
        <f t="shared" ref="Q38:Q40" si="37">O38-L38</f>
        <v>-14.069597069596838</v>
      </c>
      <c r="R38" s="144">
        <f>O38/L38</f>
        <v>0.86514763192079702</v>
      </c>
      <c r="S38" s="437">
        <f>R48</f>
        <v>0.94558099741037482</v>
      </c>
      <c r="T38" s="191">
        <v>0.33333333333333298</v>
      </c>
      <c r="U38" s="191">
        <v>0.38194444444444398</v>
      </c>
      <c r="V38" s="192"/>
      <c r="W38" s="193">
        <f t="shared" si="17"/>
        <v>69.999999999999829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3"/>
        <v>-391.57142857142571</v>
      </c>
      <c r="AG38" s="195">
        <f t="shared" si="34"/>
        <v>0.74979461433135741</v>
      </c>
      <c r="AH38" s="443">
        <f>AG48</f>
        <v>0.90874326731769062</v>
      </c>
    </row>
    <row r="39" spans="1:34" ht="15" customHeight="1">
      <c r="A39" s="435"/>
      <c r="B39" s="75" t="s">
        <v>123</v>
      </c>
      <c r="C39" s="197"/>
      <c r="D39" s="198" t="s">
        <v>128</v>
      </c>
      <c r="E39" s="176"/>
      <c r="F39" s="75">
        <f>VLOOKUP(D39,廠價表!$C$1:$E$41,3,0)</f>
        <v>44.3</v>
      </c>
      <c r="G39" s="199">
        <v>3315</v>
      </c>
      <c r="H39" s="91">
        <f>F39*G39</f>
        <v>146854.5</v>
      </c>
      <c r="I39" s="200"/>
      <c r="J39" s="148">
        <f>VLOOKUP(D39,產線配置圖!$A$3:$C$39,2,0)</f>
        <v>17</v>
      </c>
      <c r="K39" s="95">
        <f>VLOOKUP(D39,產線配置圖!$A$3:$C$39,3,0)</f>
        <v>1440</v>
      </c>
      <c r="L39" s="96">
        <f t="shared" si="35"/>
        <v>84.705882352941174</v>
      </c>
      <c r="M39" s="201">
        <v>17</v>
      </c>
      <c r="N39" s="202">
        <f>G39/W39*60</f>
        <v>1430.9352517985612</v>
      </c>
      <c r="O39" s="203">
        <f t="shared" ref="O39:O40" si="38">N39/M39</f>
        <v>84.172661870503603</v>
      </c>
      <c r="P39" s="97">
        <f t="shared" si="36"/>
        <v>0</v>
      </c>
      <c r="Q39" s="98">
        <f t="shared" si="37"/>
        <v>-0.53322048243757081</v>
      </c>
      <c r="R39" s="99">
        <f t="shared" si="32"/>
        <v>0.99370503597122317</v>
      </c>
      <c r="S39" s="438"/>
      <c r="T39" s="20">
        <v>0.3888888888888889</v>
      </c>
      <c r="U39" s="20">
        <v>0.48541666666666666</v>
      </c>
      <c r="V39" s="92">
        <f>(T39-U38)*24*60</f>
        <v>10.000000000000684</v>
      </c>
      <c r="W39" s="205">
        <f t="shared" si="17"/>
        <v>139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3"/>
        <v>-9.0647482014387606</v>
      </c>
      <c r="AG39" s="206">
        <f t="shared" si="34"/>
        <v>0.99370503597122306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2870</v>
      </c>
      <c r="H40" s="91">
        <f>F40*G40</f>
        <v>127140.99999999999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5"/>
        <v>84.705882352941174</v>
      </c>
      <c r="M40" s="201">
        <v>17</v>
      </c>
      <c r="N40" s="202">
        <f>G40/W40*60</f>
        <v>1434.9999999999993</v>
      </c>
      <c r="O40" s="203">
        <f t="shared" si="38"/>
        <v>84.41176470588232</v>
      </c>
      <c r="P40" s="97">
        <f t="shared" si="36"/>
        <v>0</v>
      </c>
      <c r="Q40" s="98">
        <f t="shared" si="37"/>
        <v>-0.29411764705885446</v>
      </c>
      <c r="R40" s="99">
        <f t="shared" si="32"/>
        <v>0.99652777777777746</v>
      </c>
      <c r="S40" s="425"/>
      <c r="T40" s="20">
        <v>0.54166666666666663</v>
      </c>
      <c r="U40" s="20">
        <v>0.625</v>
      </c>
      <c r="V40" s="92">
        <f>(T40-U39)*24*60</f>
        <v>80.999999999999957</v>
      </c>
      <c r="W40" s="205">
        <f t="shared" si="17"/>
        <v>120.00000000000006</v>
      </c>
      <c r="X40" s="22">
        <v>0.49305555555555602</v>
      </c>
      <c r="Y40" s="84">
        <v>0.53472222222222199</v>
      </c>
      <c r="Z40" s="337"/>
      <c r="AA40" s="337"/>
      <c r="AB40" s="395"/>
      <c r="AC40" s="395"/>
      <c r="AD40" s="92"/>
      <c r="AE40" s="92"/>
      <c r="AF40" s="314">
        <f t="shared" si="33"/>
        <v>-5.0000000000006821</v>
      </c>
      <c r="AG40" s="206">
        <f t="shared" si="34"/>
        <v>0.99652777777777735</v>
      </c>
      <c r="AH40" s="444"/>
    </row>
    <row r="41" spans="1:34" ht="15" customHeight="1">
      <c r="A41" s="43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5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95"/>
      <c r="AC41" s="395"/>
      <c r="AD41" s="92"/>
      <c r="AE41" s="92"/>
      <c r="AF41" s="314"/>
      <c r="AG41" s="206"/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9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9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9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30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9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40">AVERAGE(J38:J47)</f>
        <v>16.333333333333332</v>
      </c>
      <c r="K48" s="155">
        <f t="shared" si="40"/>
        <v>1481.6666666666667</v>
      </c>
      <c r="L48" s="158">
        <f t="shared" si="40"/>
        <v>91.248366013071902</v>
      </c>
      <c r="M48" s="155">
        <f t="shared" si="40"/>
        <v>15.666666666666666</v>
      </c>
      <c r="N48" s="155">
        <f t="shared" si="40"/>
        <v>1346.4546077423784</v>
      </c>
      <c r="O48" s="158">
        <f t="shared" si="40"/>
        <v>86.282720946707471</v>
      </c>
      <c r="P48" s="221">
        <f>M48-J48</f>
        <v>-0.66666666666666607</v>
      </c>
      <c r="Q48" s="222">
        <f>N48-K48</f>
        <v>-135.21205892428839</v>
      </c>
      <c r="R48" s="223">
        <f>O48/L48</f>
        <v>0.94558099741037482</v>
      </c>
      <c r="S48" s="428"/>
      <c r="T48" s="224"/>
      <c r="U48" s="224"/>
      <c r="V48" s="225"/>
      <c r="W48" s="226">
        <f t="shared" si="39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1" si="41">N48-K48</f>
        <v>-135.21205892428839</v>
      </c>
      <c r="AG48" s="162">
        <f t="shared" ref="AG48:AG51" si="42">N48/K48</f>
        <v>0.90874326731769062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VLOOKUP(D49,廠價表!$C$1:$E$41,3,0)</f>
        <v>47.71</v>
      </c>
      <c r="G49" s="228">
        <v>2717</v>
      </c>
      <c r="H49" s="134">
        <f>F49*G49</f>
        <v>129628.07</v>
      </c>
      <c r="I49" s="135"/>
      <c r="J49" s="136">
        <v>15</v>
      </c>
      <c r="K49" s="137">
        <v>1636</v>
      </c>
      <c r="L49" s="138">
        <f t="shared" ref="L49:L51" si="43">K49/J49</f>
        <v>109.06666666666666</v>
      </c>
      <c r="M49" s="170">
        <v>15</v>
      </c>
      <c r="N49" s="140">
        <f>G49/W49*60</f>
        <v>1614.0594059405933</v>
      </c>
      <c r="O49" s="141">
        <f>N49/M49</f>
        <v>107.60396039603955</v>
      </c>
      <c r="P49" s="229">
        <f>M49-J49</f>
        <v>0</v>
      </c>
      <c r="Q49" s="230">
        <f>O49-L49</f>
        <v>-1.462706270627109</v>
      </c>
      <c r="R49" s="52">
        <f>O49/L49</f>
        <v>0.98658887893679303</v>
      </c>
      <c r="S49" s="424">
        <f>R58</f>
        <v>0.96185887219742372</v>
      </c>
      <c r="T49" s="191">
        <v>0.28819444444444442</v>
      </c>
      <c r="U49" s="191">
        <v>0.35833333333333334</v>
      </c>
      <c r="V49" s="55"/>
      <c r="W49" s="193">
        <f t="shared" si="17"/>
        <v>101.00000000000004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41"/>
        <v>-21.940594059406749</v>
      </c>
      <c r="AG49" s="52">
        <f t="shared" si="42"/>
        <v>0.98658887893679292</v>
      </c>
      <c r="AH49" s="403">
        <f>AG58</f>
        <v>0.96185887219742372</v>
      </c>
    </row>
    <row r="50" spans="1:34" ht="15" customHeight="1">
      <c r="A50" s="453"/>
      <c r="B50" s="75" t="s">
        <v>81</v>
      </c>
      <c r="C50" s="76"/>
      <c r="D50" s="59" t="s">
        <v>131</v>
      </c>
      <c r="E50" s="77"/>
      <c r="F50" s="75">
        <f>VLOOKUP(D50,廠價表!$C$1:$E$41,3,0)</f>
        <v>49.97</v>
      </c>
      <c r="G50" s="202">
        <v>4177</v>
      </c>
      <c r="H50" s="231">
        <f>F50*G50</f>
        <v>208724.69</v>
      </c>
      <c r="I50" s="232"/>
      <c r="J50" s="79">
        <v>15</v>
      </c>
      <c r="K50" s="80">
        <v>1714</v>
      </c>
      <c r="L50" s="81">
        <f t="shared" si="43"/>
        <v>114.26666666666667</v>
      </c>
      <c r="M50" s="233">
        <v>15</v>
      </c>
      <c r="N50" s="234">
        <f>G50/W50*60</f>
        <v>1659.7350993377499</v>
      </c>
      <c r="O50" s="235">
        <f>N50/M50</f>
        <v>110.64900662251667</v>
      </c>
      <c r="P50" s="74">
        <f>M50-J50</f>
        <v>0</v>
      </c>
      <c r="Q50" s="83">
        <f>O50-L50</f>
        <v>-3.61766004415</v>
      </c>
      <c r="R50" s="72">
        <f>O50/L50</f>
        <v>0.96834019798001747</v>
      </c>
      <c r="S50" s="425"/>
      <c r="T50" s="21">
        <v>0.36388888888888898</v>
      </c>
      <c r="U50" s="21">
        <v>0.46875</v>
      </c>
      <c r="V50" s="30">
        <f t="shared" ref="V50:V51" si="44">(T50-U49)*24*60</f>
        <v>8.0000000000001315</v>
      </c>
      <c r="W50" s="236">
        <f t="shared" si="17"/>
        <v>150.99999999999986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1"/>
        <v>-54.264900662250056</v>
      </c>
      <c r="AG50" s="72">
        <f t="shared" si="42"/>
        <v>0.96834019798001747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1810</v>
      </c>
      <c r="H51" s="231">
        <f>F51*G51</f>
        <v>90445.7</v>
      </c>
      <c r="I51" s="232"/>
      <c r="J51" s="79">
        <v>15</v>
      </c>
      <c r="K51" s="80">
        <v>1714</v>
      </c>
      <c r="L51" s="81">
        <f t="shared" si="43"/>
        <v>114.26666666666667</v>
      </c>
      <c r="M51" s="233">
        <v>15</v>
      </c>
      <c r="N51" s="234">
        <f>G51/W51*60</f>
        <v>1597.0588235294099</v>
      </c>
      <c r="O51" s="235">
        <f>N51/M51</f>
        <v>106.47058823529399</v>
      </c>
      <c r="P51" s="74">
        <f>M51-J51</f>
        <v>0</v>
      </c>
      <c r="Q51" s="83">
        <f>O51-L51</f>
        <v>-7.7960784313726776</v>
      </c>
      <c r="R51" s="72">
        <f>O51/L51</f>
        <v>0.93177294254924725</v>
      </c>
      <c r="S51" s="425"/>
      <c r="T51" s="21">
        <v>0.53125</v>
      </c>
      <c r="U51" s="19">
        <v>0.57847222222222228</v>
      </c>
      <c r="V51" s="30">
        <f t="shared" si="44"/>
        <v>90</v>
      </c>
      <c r="W51" s="236">
        <f t="shared" si="17"/>
        <v>68.000000000000085</v>
      </c>
      <c r="X51" s="22">
        <v>0.49305555555555602</v>
      </c>
      <c r="Y51" s="84">
        <v>0.53472222222222199</v>
      </c>
      <c r="Z51" s="90"/>
      <c r="AA51" s="90"/>
      <c r="AB51" s="395"/>
      <c r="AC51" s="395"/>
      <c r="AD51" s="92"/>
      <c r="AE51" s="92"/>
      <c r="AF51" s="307">
        <f t="shared" si="41"/>
        <v>-116.94117647059011</v>
      </c>
      <c r="AG51" s="72">
        <f t="shared" si="42"/>
        <v>0.93177294254924736</v>
      </c>
      <c r="AH51" s="404"/>
    </row>
    <row r="52" spans="1:34" ht="15" customHeight="1">
      <c r="A52" s="45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5"/>
      <c r="T52" s="21"/>
      <c r="U52" s="21"/>
      <c r="V52" s="30"/>
      <c r="W52" s="236">
        <f t="shared" si="17"/>
        <v>0</v>
      </c>
      <c r="X52" s="22"/>
      <c r="Y52" s="84"/>
      <c r="Z52" s="90"/>
      <c r="AA52" s="90"/>
      <c r="AB52" s="395"/>
      <c r="AC52" s="395"/>
      <c r="AD52" s="92"/>
      <c r="AE52" s="92"/>
      <c r="AF52" s="307"/>
      <c r="AG52" s="72"/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95"/>
      <c r="AC53" s="395"/>
      <c r="AD53" s="92"/>
      <c r="AE53" s="92"/>
      <c r="AF53" s="307"/>
      <c r="AG53" s="72"/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5">AVERAGE(J49:J57)</f>
        <v>15</v>
      </c>
      <c r="K58" s="120">
        <f t="shared" si="45"/>
        <v>1688</v>
      </c>
      <c r="L58" s="117">
        <f t="shared" si="45"/>
        <v>112.53333333333332</v>
      </c>
      <c r="M58" s="120">
        <f t="shared" si="45"/>
        <v>15</v>
      </c>
      <c r="N58" s="120">
        <f t="shared" si="45"/>
        <v>1623.6177762692512</v>
      </c>
      <c r="O58" s="117">
        <f t="shared" si="45"/>
        <v>108.24118508461673</v>
      </c>
      <c r="P58" s="121">
        <f>M58-J58</f>
        <v>0</v>
      </c>
      <c r="Q58" s="122">
        <f>N58-K58</f>
        <v>-64.382223730748819</v>
      </c>
      <c r="R58" s="123">
        <f t="shared" ref="R58:R60" si="46">O58/L58</f>
        <v>0.96185887219742372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47">N58-K58</f>
        <v>-64.382223730748819</v>
      </c>
      <c r="AG58" s="124">
        <f t="shared" ref="AG58:AG61" si="48">N58/K58</f>
        <v>0.96185887219742372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3513</v>
      </c>
      <c r="H59" s="243">
        <f>F59*G59</f>
        <v>94815.87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2" si="49">K59/J59</f>
        <v>120.38461538461539</v>
      </c>
      <c r="M59" s="244">
        <v>13</v>
      </c>
      <c r="N59" s="137">
        <f t="shared" ref="N59:N62" si="50">G59/W59*60</f>
        <v>1505.5714285714323</v>
      </c>
      <c r="O59" s="138">
        <f t="shared" ref="O59:O62" si="51">N59/M59</f>
        <v>115.8131868131871</v>
      </c>
      <c r="P59" s="56">
        <f t="shared" ref="P59:P62" si="52">M59-J59</f>
        <v>0</v>
      </c>
      <c r="Q59" s="230">
        <f t="shared" ref="Q59:Q62" si="53">O59-L59</f>
        <v>-4.5714285714282852</v>
      </c>
      <c r="R59" s="52">
        <f t="shared" si="46"/>
        <v>0.96202647193062762</v>
      </c>
      <c r="S59" s="424">
        <f>R69</f>
        <v>0.87680719300984411</v>
      </c>
      <c r="T59" s="245">
        <v>0.29166666666666702</v>
      </c>
      <c r="U59" s="245">
        <v>0.38888888888888901</v>
      </c>
      <c r="V59" s="55"/>
      <c r="W59" s="54">
        <f t="shared" si="17"/>
        <v>139.99999999999966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47"/>
        <v>-59.428571428567693</v>
      </c>
      <c r="AG59" s="246">
        <f t="shared" si="48"/>
        <v>0.96202647193062762</v>
      </c>
      <c r="AH59" s="403">
        <f>AG69</f>
        <v>0.82226310430783645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1535</v>
      </c>
      <c r="H60" s="78">
        <f>F60*G60</f>
        <v>43379.100000000006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9"/>
        <v>130.41666666666666</v>
      </c>
      <c r="M60" s="82">
        <v>11</v>
      </c>
      <c r="N60" s="80">
        <f t="shared" si="50"/>
        <v>1416.9230769231065</v>
      </c>
      <c r="O60" s="81">
        <f t="shared" si="51"/>
        <v>128.8111888111915</v>
      </c>
      <c r="P60" s="74">
        <f t="shared" si="52"/>
        <v>-1</v>
      </c>
      <c r="Q60" s="83">
        <f t="shared" si="53"/>
        <v>-1.6054778554751579</v>
      </c>
      <c r="R60" s="72">
        <f t="shared" si="46"/>
        <v>0.9876896266672831</v>
      </c>
      <c r="S60" s="451"/>
      <c r="T60" s="22">
        <v>0.39930555555555602</v>
      </c>
      <c r="U60" s="22">
        <v>0.44444444444444398</v>
      </c>
      <c r="V60" s="30">
        <f t="shared" ref="V60:V63" si="54">(T60-U59)*24*60</f>
        <v>15.000000000000506</v>
      </c>
      <c r="W60" s="248">
        <f t="shared" si="17"/>
        <v>64.99999999999865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47"/>
        <v>-148.07692307689354</v>
      </c>
      <c r="AG60" s="249">
        <f t="shared" si="48"/>
        <v>0.90538215777834274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1088</v>
      </c>
      <c r="H61" s="254">
        <f>F61*G61</f>
        <v>30746.880000000001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9"/>
        <v>130.41666666666666</v>
      </c>
      <c r="M61" s="108">
        <v>11</v>
      </c>
      <c r="N61" s="107">
        <f t="shared" si="50"/>
        <v>1165.7142857142931</v>
      </c>
      <c r="O61" s="238">
        <f t="shared" si="51"/>
        <v>105.97402597402665</v>
      </c>
      <c r="P61" s="111">
        <f t="shared" si="52"/>
        <v>-1</v>
      </c>
      <c r="Q61" s="255">
        <f t="shared" si="53"/>
        <v>-24.442640692640012</v>
      </c>
      <c r="R61" s="85">
        <f>O61/L61</f>
        <v>0.81258039085515643</v>
      </c>
      <c r="S61" s="425"/>
      <c r="T61" s="22">
        <v>0.452777777777778</v>
      </c>
      <c r="U61" s="22">
        <v>0.49166666666666664</v>
      </c>
      <c r="V61" s="30">
        <f t="shared" si="54"/>
        <v>12.000000000000997</v>
      </c>
      <c r="W61" s="256">
        <f t="shared" si="17"/>
        <v>55.999999999999645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47"/>
        <v>-399.28571428570694</v>
      </c>
      <c r="AG61" s="247">
        <f t="shared" si="48"/>
        <v>0.74486535828389333</v>
      </c>
      <c r="AH61" s="404"/>
    </row>
    <row r="62" spans="1:34" ht="15" customHeight="1">
      <c r="A62" s="449"/>
      <c r="B62" s="250" t="s">
        <v>132</v>
      </c>
      <c r="C62" s="251"/>
      <c r="D62" s="257" t="s">
        <v>135</v>
      </c>
      <c r="E62" s="253"/>
      <c r="F62" s="250">
        <f>VLOOKUP(D62,廠價表!$C$1:$E$41,3,0)</f>
        <v>28.26</v>
      </c>
      <c r="G62" s="38">
        <v>641</v>
      </c>
      <c r="H62" s="254">
        <f>F62*G62</f>
        <v>18114.66</v>
      </c>
      <c r="I62" s="182"/>
      <c r="J62" s="106">
        <f>VLOOKUP(D62,產線配置圖!$A$3:$C$39,2,0)</f>
        <v>12</v>
      </c>
      <c r="K62" s="107">
        <f>VLOOKUP(D62,產線配置圖!$A$3:$C$39,3,0)</f>
        <v>1565</v>
      </c>
      <c r="L62" s="238">
        <f t="shared" si="49"/>
        <v>130.41666666666666</v>
      </c>
      <c r="M62" s="108">
        <v>12</v>
      </c>
      <c r="N62" s="107">
        <f t="shared" si="50"/>
        <v>1282.0000000000182</v>
      </c>
      <c r="O62" s="238">
        <f t="shared" si="51"/>
        <v>106.83333333333485</v>
      </c>
      <c r="P62" s="111">
        <f t="shared" si="52"/>
        <v>0</v>
      </c>
      <c r="Q62" s="255">
        <f t="shared" si="53"/>
        <v>-23.583333333331808</v>
      </c>
      <c r="R62" s="85">
        <f>O62/L62</f>
        <v>0.81916932907349416</v>
      </c>
      <c r="S62" s="425"/>
      <c r="T62" s="22">
        <v>0.54513888888888895</v>
      </c>
      <c r="U62" s="22">
        <v>0.56597222222222199</v>
      </c>
      <c r="V62" s="30">
        <f t="shared" si="54"/>
        <v>77.000000000000128</v>
      </c>
      <c r="W62" s="248">
        <f t="shared" si="17"/>
        <v>29.999999999999574</v>
      </c>
      <c r="X62" s="22">
        <v>0.5</v>
      </c>
      <c r="Y62" s="84">
        <v>0.54166666666666696</v>
      </c>
      <c r="Z62" s="90"/>
      <c r="AA62" s="90"/>
      <c r="AB62" s="395" t="s">
        <v>202</v>
      </c>
      <c r="AC62" s="395"/>
      <c r="AD62" s="92"/>
      <c r="AE62" s="92"/>
      <c r="AF62" s="317">
        <f>N62-K62</f>
        <v>-282.99999999998181</v>
      </c>
      <c r="AG62" s="247">
        <f>N62/K62</f>
        <v>0.81916932907349405</v>
      </c>
      <c r="AH62" s="404"/>
    </row>
    <row r="63" spans="1:34" ht="15" customHeight="1">
      <c r="A63" s="449"/>
      <c r="B63" s="258" t="s">
        <v>132</v>
      </c>
      <c r="C63" s="58"/>
      <c r="D63" s="259" t="s">
        <v>133</v>
      </c>
      <c r="E63" s="60"/>
      <c r="F63" s="250">
        <f>VLOOKUP(D63,廠價表!$C$1:$E$41,3,0)</f>
        <v>26.99</v>
      </c>
      <c r="G63" s="260">
        <v>266</v>
      </c>
      <c r="H63" s="254">
        <f>F63*G63</f>
        <v>7179.3399999999992</v>
      </c>
      <c r="I63" s="182"/>
      <c r="J63" s="106">
        <f>VLOOKUP(D63,產線配置圖!$A$3:$C$39,2,0)</f>
        <v>13</v>
      </c>
      <c r="K63" s="107">
        <f>VLOOKUP(D63,產線配置圖!$A$3:$C$39,3,0)</f>
        <v>1565</v>
      </c>
      <c r="L63" s="238">
        <f t="shared" ref="L63" si="55">K63/J63</f>
        <v>120.38461538461539</v>
      </c>
      <c r="M63" s="68">
        <v>11</v>
      </c>
      <c r="N63" s="107">
        <f t="shared" ref="N63" si="56">G63/W63*60</f>
        <v>1063.9999999999698</v>
      </c>
      <c r="O63" s="238">
        <f t="shared" ref="O63" si="57">N63/M63</f>
        <v>96.727272727269977</v>
      </c>
      <c r="P63" s="111">
        <f t="shared" ref="P63" si="58">M63-J63</f>
        <v>-2</v>
      </c>
      <c r="Q63" s="255">
        <f t="shared" ref="Q63" si="59">O63-L63</f>
        <v>-23.65734265734541</v>
      </c>
      <c r="R63" s="85">
        <f>O63/L63</f>
        <v>0.80348533255879218</v>
      </c>
      <c r="S63" s="425"/>
      <c r="T63" s="22">
        <v>0.59722222222222199</v>
      </c>
      <c r="U63" s="22">
        <v>0.60763888888888895</v>
      </c>
      <c r="V63" s="30">
        <f t="shared" si="54"/>
        <v>45</v>
      </c>
      <c r="W63" s="248">
        <f t="shared" si="17"/>
        <v>15.000000000000426</v>
      </c>
      <c r="X63" s="261"/>
      <c r="Y63" s="291"/>
      <c r="Z63" s="335"/>
      <c r="AA63" s="33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60">AVERAGE(J59:J68)</f>
        <v>12.4</v>
      </c>
      <c r="K69" s="240">
        <f t="shared" si="60"/>
        <v>1565</v>
      </c>
      <c r="L69" s="268">
        <f t="shared" si="60"/>
        <v>126.40384615384615</v>
      </c>
      <c r="M69" s="240">
        <f t="shared" si="60"/>
        <v>11.6</v>
      </c>
      <c r="N69" s="240">
        <f t="shared" si="60"/>
        <v>1286.841758241764</v>
      </c>
      <c r="O69" s="268">
        <f t="shared" si="60"/>
        <v>110.83180153180201</v>
      </c>
      <c r="P69" s="269">
        <f>M69-J69</f>
        <v>-0.80000000000000071</v>
      </c>
      <c r="Q69" s="222">
        <f>N69-K69</f>
        <v>-278.15824175823604</v>
      </c>
      <c r="R69" s="123">
        <f>O69/L69</f>
        <v>0.87680719300984411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-278.15824175823604</v>
      </c>
      <c r="AG69" s="124">
        <f>N69/K69</f>
        <v>0.82226310430783645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1685</v>
      </c>
      <c r="H70" s="243">
        <f>F70*G70</f>
        <v>85378.95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936.11111111111097</v>
      </c>
      <c r="O70" s="138">
        <f>N70/M70</f>
        <v>93.6111111111111</v>
      </c>
      <c r="P70" s="56">
        <f>M70-J70</f>
        <v>0</v>
      </c>
      <c r="Q70" s="230">
        <f>O70-L70</f>
        <v>-18.8888888888889</v>
      </c>
      <c r="R70" s="52">
        <f>O70/L70</f>
        <v>0.83209876543209871</v>
      </c>
      <c r="S70" s="424">
        <f>R79</f>
        <v>0.89350399327899643</v>
      </c>
      <c r="T70" s="245">
        <v>0.33472222222222198</v>
      </c>
      <c r="U70" s="245">
        <v>0.40972222222222199</v>
      </c>
      <c r="V70" s="55"/>
      <c r="W70" s="54">
        <f t="shared" si="17"/>
        <v>108.00000000000001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-188.88888888888903</v>
      </c>
      <c r="AG70" s="246">
        <f>N70/K70</f>
        <v>0.8320987654320986</v>
      </c>
      <c r="AH70" s="403">
        <f>AG79</f>
        <v>0.75568743737867039</v>
      </c>
    </row>
    <row r="71" spans="1:36" ht="15" customHeight="1">
      <c r="A71" s="457"/>
      <c r="B71" s="75" t="s">
        <v>81</v>
      </c>
      <c r="C71" s="76"/>
      <c r="D71" s="59" t="s">
        <v>125</v>
      </c>
      <c r="E71" s="77"/>
      <c r="F71" s="250">
        <f>VLOOKUP(D71,廠價表!$C$1:$E$41,3,0)</f>
        <v>56.43</v>
      </c>
      <c r="G71" s="30">
        <v>1334</v>
      </c>
      <c r="H71" s="78">
        <f>F71*G71</f>
        <v>75277.62</v>
      </c>
      <c r="I71" s="232"/>
      <c r="J71" s="79">
        <f>VLOOKUP(D71,產線配置圖!$A$3:$C$39,2,0)</f>
        <v>16</v>
      </c>
      <c r="K71" s="80">
        <f>VLOOKUP(D71,產線配置圖!$A$3:$C$39,3,0)</f>
        <v>1406</v>
      </c>
      <c r="L71" s="81">
        <f t="shared" ref="L71:L72" si="61">K71/J71</f>
        <v>87.875</v>
      </c>
      <c r="M71" s="82">
        <v>11</v>
      </c>
      <c r="N71" s="80">
        <f t="shared" ref="N71:N72" si="62">G71/W71*60</f>
        <v>842.52631578947671</v>
      </c>
      <c r="O71" s="81">
        <f t="shared" ref="O71:O72" si="63">N71/M71</f>
        <v>76.593301435406971</v>
      </c>
      <c r="P71" s="74">
        <f t="shared" ref="P71:P72" si="64">M71-J71</f>
        <v>-5</v>
      </c>
      <c r="Q71" s="83">
        <f t="shared" ref="Q71:Q72" si="65">O71-L71</f>
        <v>-11.281698564593029</v>
      </c>
      <c r="R71" s="72">
        <f>O71/L71</f>
        <v>0.87161651704588305</v>
      </c>
      <c r="S71" s="425"/>
      <c r="T71" s="22">
        <v>0.42013888888888901</v>
      </c>
      <c r="U71" s="22">
        <v>0.48611111111111099</v>
      </c>
      <c r="V71" s="30">
        <f t="shared" ref="V71:V72" si="66">(T71-U70)*24*60</f>
        <v>15.000000000000506</v>
      </c>
      <c r="W71" s="73">
        <f t="shared" si="17"/>
        <v>94.999999999999659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 t="s">
        <v>81</v>
      </c>
      <c r="C72" s="76"/>
      <c r="D72" s="59" t="s">
        <v>136</v>
      </c>
      <c r="E72" s="77"/>
      <c r="F72" s="250">
        <f>VLOOKUP(D72,廠價表!$C$1:$E$41,3,0)</f>
        <v>50.67</v>
      </c>
      <c r="G72" s="202">
        <v>1263</v>
      </c>
      <c r="H72" s="361">
        <f>F72*G72</f>
        <v>63996.21</v>
      </c>
      <c r="I72" s="232"/>
      <c r="J72" s="106">
        <f>VLOOKUP(D72,產線配置圖!$A$3:$C$39,2,0)</f>
        <v>10</v>
      </c>
      <c r="K72" s="107">
        <f>VLOOKUP(D72,產線配置圖!$A$3:$C$39,3,0)</f>
        <v>1125</v>
      </c>
      <c r="L72" s="238">
        <f t="shared" si="61"/>
        <v>112.5</v>
      </c>
      <c r="M72" s="82">
        <v>9</v>
      </c>
      <c r="N72" s="107">
        <f t="shared" si="62"/>
        <v>984.15584415583123</v>
      </c>
      <c r="O72" s="238">
        <f t="shared" si="63"/>
        <v>109.35064935064791</v>
      </c>
      <c r="P72" s="111">
        <f t="shared" si="64"/>
        <v>-1</v>
      </c>
      <c r="Q72" s="255">
        <f t="shared" si="65"/>
        <v>-3.1493506493520869</v>
      </c>
      <c r="R72" s="85">
        <f>O72/L72</f>
        <v>0.97200577200575922</v>
      </c>
      <c r="S72" s="425"/>
      <c r="T72" s="22">
        <v>0.55069444444444404</v>
      </c>
      <c r="U72" s="22">
        <v>0.60416666666666696</v>
      </c>
      <c r="V72" s="30">
        <f t="shared" si="66"/>
        <v>92.999999999999588</v>
      </c>
      <c r="W72" s="73">
        <f t="shared" si="17"/>
        <v>77.000000000001009</v>
      </c>
      <c r="X72" s="272">
        <v>0.49305555555555602</v>
      </c>
      <c r="Y72" s="288">
        <v>0.53472222222222199</v>
      </c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2"/>
      <c r="U74" s="22"/>
      <c r="V74" s="30"/>
      <c r="W74" s="73">
        <f t="shared" si="17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67">AVERAGE(J70:J78)</f>
        <v>12</v>
      </c>
      <c r="K79" s="240">
        <f t="shared" si="67"/>
        <v>1218.6666666666667</v>
      </c>
      <c r="L79" s="268">
        <f t="shared" si="67"/>
        <v>104.29166666666667</v>
      </c>
      <c r="M79" s="240">
        <f t="shared" si="67"/>
        <v>10</v>
      </c>
      <c r="N79" s="240">
        <f t="shared" si="67"/>
        <v>920.93109035213968</v>
      </c>
      <c r="O79" s="268">
        <f t="shared" si="67"/>
        <v>93.185020632388671</v>
      </c>
      <c r="P79" s="269">
        <f>M79-J79</f>
        <v>-2</v>
      </c>
      <c r="Q79" s="222">
        <f>N79-K79</f>
        <v>-297.73557631452707</v>
      </c>
      <c r="R79" s="223">
        <f>O79/L79</f>
        <v>0.89350399327899643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-297.73557631452707</v>
      </c>
      <c r="AG79" s="124">
        <f>N79/K79</f>
        <v>0.75568743737867039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A2:B2"/>
    <mergeCell ref="A3:A4"/>
    <mergeCell ref="B3:B4"/>
    <mergeCell ref="D3:E4"/>
    <mergeCell ref="F3:F4"/>
    <mergeCell ref="P3:P4"/>
    <mergeCell ref="Q3:Q4"/>
    <mergeCell ref="R3:R4"/>
    <mergeCell ref="T3:U3"/>
    <mergeCell ref="V3:V4"/>
    <mergeCell ref="W3:W4"/>
    <mergeCell ref="X3:Y3"/>
    <mergeCell ref="Z3:AA3"/>
    <mergeCell ref="AB13:AC13"/>
    <mergeCell ref="AD3:AE3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59:AH69"/>
    <mergeCell ref="AB60:AC60"/>
    <mergeCell ref="AB61:AC61"/>
    <mergeCell ref="AB62:AC62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79:E79"/>
    <mergeCell ref="AB79:AC79"/>
    <mergeCell ref="A70:A79"/>
    <mergeCell ref="S70:S79"/>
    <mergeCell ref="AB70:AC70"/>
  </mergeCells>
  <phoneticPr fontId="0" type="noConversion"/>
  <conditionalFormatting sqref="P5:P79">
    <cfRule type="cellIs" dxfId="75" priority="1" operator="greaterThan">
      <formula>0</formula>
    </cfRule>
  </conditionalFormatting>
  <conditionalFormatting sqref="AF5:AF79 Q5:Q79">
    <cfRule type="cellIs" dxfId="74" priority="4" operator="lessThan">
      <formula>0</formula>
    </cfRule>
  </conditionalFormatting>
  <conditionalFormatting sqref="AG5:AG79 R5:R79">
    <cfRule type="cellIs" dxfId="73" priority="2" operator="greaterThan">
      <formula>1</formula>
    </cfRule>
    <cfRule type="cellIs" dxfId="72" priority="3" operator="lessThan">
      <formula>0.8</formula>
    </cfRule>
  </conditionalFormatting>
  <conditionalFormatting sqref="S5:S10 S37:S62 AH59:AH62 S69:S76 AH69:AH76">
    <cfRule type="cellIs" dxfId="71" priority="7" operator="lessThan">
      <formula>0.8</formula>
    </cfRule>
  </conditionalFormatting>
  <conditionalFormatting sqref="S19:S25 AH19:AH25">
    <cfRule type="cellIs" dxfId="70" priority="6" operator="lessThan">
      <formula>0.8</formula>
    </cfRule>
  </conditionalFormatting>
  <conditionalFormatting sqref="S79">
    <cfRule type="cellIs" dxfId="69" priority="5" operator="lessThan">
      <formula>0.8</formula>
    </cfRule>
  </conditionalFormatting>
  <conditionalFormatting sqref="AH5:AH8 S15:S16 AH15:AH16 AH49 AH79">
    <cfRule type="cellIs" dxfId="68" priority="9" operator="lessThan">
      <formula>0.8</formula>
    </cfRule>
  </conditionalFormatting>
  <conditionalFormatting sqref="AH27 S27:S28">
    <cfRule type="cellIs" dxfId="67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7861A5-620A-4BFE-AE16-2228AA0D598F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CBDE-4806-4C49-8B22-EE216A3D121E}">
  <dimension ref="B1:O26"/>
  <sheetViews>
    <sheetView zoomScale="70" zoomScaleNormal="70" workbookViewId="0">
      <selection activeCell="U72" sqref="U7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46078</v>
      </c>
      <c r="E3" s="493"/>
      <c r="F3" s="3" t="s">
        <v>72</v>
      </c>
      <c r="G3" s="494">
        <f>'0225'!E1</f>
        <v>53062</v>
      </c>
      <c r="H3" s="494"/>
      <c r="I3" s="3" t="s">
        <v>2</v>
      </c>
      <c r="J3" s="495">
        <f>'0225'!G1</f>
        <v>2512043.2400000002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122.94756361752158</v>
      </c>
      <c r="G6" s="490"/>
      <c r="H6" s="491">
        <f>AVERAGE(D13:H13,J13)</f>
        <v>122.26004929166692</v>
      </c>
      <c r="I6" s="491"/>
      <c r="J6" s="491">
        <f>AVERAGE(I13)</f>
        <v>127.07264957264958</v>
      </c>
      <c r="K6" s="491"/>
      <c r="L6" s="497">
        <f>SUM(D18:J18)</f>
        <v>0</v>
      </c>
      <c r="M6" s="482">
        <f>SUM(D19:J19)</f>
        <v>0</v>
      </c>
      <c r="N6" s="498">
        <f>SUM(D20:J20)</f>
        <v>0</v>
      </c>
      <c r="O6" s="482">
        <f>SUM(D20:J20)</f>
        <v>0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113.72298268045797</v>
      </c>
      <c r="G7" s="479"/>
      <c r="H7" s="480">
        <f>AVERAGE(D14:H14,J14)</f>
        <v>112.97875830845642</v>
      </c>
      <c r="I7" s="480"/>
      <c r="J7" s="480">
        <f>AVERAGE(I14)</f>
        <v>118.18832891246724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0.92497142142840327</v>
      </c>
      <c r="G8" s="485"/>
      <c r="H8" s="485">
        <f>H7/H6</f>
        <v>0.92408565973117851</v>
      </c>
      <c r="I8" s="485"/>
      <c r="J8" s="485">
        <f>J7/J6</f>
        <v>0.9300847138226781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VALUE('0225'!L15)</f>
        <v>150.77724358974356</v>
      </c>
      <c r="E13" s="13">
        <f>VALUE('0225'!L26)</f>
        <v>176.42992424242425</v>
      </c>
      <c r="F13" s="13">
        <f>VALUE('0225'!L37)</f>
        <v>98.466666666666669</v>
      </c>
      <c r="G13" s="13">
        <f>VALUE('0225'!L48)</f>
        <v>91.248366013071902</v>
      </c>
      <c r="H13" s="13">
        <f>VALUE('0225'!L58)</f>
        <v>112.34642857142856</v>
      </c>
      <c r="I13" s="13">
        <f>VALUE('0225'!L69)</f>
        <v>127.07264957264958</v>
      </c>
      <c r="J13" s="13">
        <f>'0225'!L79</f>
        <v>104.29166666666667</v>
      </c>
    </row>
    <row r="14" spans="2:15" ht="39.950000000000003" customHeight="1">
      <c r="B14" s="473"/>
      <c r="C14" s="12" t="s">
        <v>100</v>
      </c>
      <c r="D14" s="13">
        <f>VALUE('0225'!O15)</f>
        <v>141.70751569858777</v>
      </c>
      <c r="E14" s="13">
        <f>VALUE('0225'!O26)</f>
        <v>164.18273650369321</v>
      </c>
      <c r="F14" s="13">
        <f>VALUE('0225'!O37)</f>
        <v>86.756282624334176</v>
      </c>
      <c r="G14" s="13">
        <f>VALUE('0225'!O48)</f>
        <v>87.229864850766376</v>
      </c>
      <c r="H14" s="13">
        <f>VALUE('0225'!O58)</f>
        <v>109.9524017649025</v>
      </c>
      <c r="I14" s="13">
        <f>VALUE('0225'!O69)</f>
        <v>118.18832891246724</v>
      </c>
      <c r="J14" s="13">
        <f>'0225'!O79</f>
        <v>88.04374840845459</v>
      </c>
    </row>
    <row r="15" spans="2:15" ht="39.950000000000003" customHeight="1">
      <c r="B15" s="474"/>
      <c r="C15" s="10" t="s">
        <v>26</v>
      </c>
      <c r="D15" s="14">
        <f>D14/D13</f>
        <v>0.93984683845372574</v>
      </c>
      <c r="E15" s="14">
        <f t="shared" ref="E15:I15" si="1">E14/E13</f>
        <v>0.93058327383339601</v>
      </c>
      <c r="F15" s="14">
        <f t="shared" si="1"/>
        <v>0.88107260620515415</v>
      </c>
      <c r="G15" s="14">
        <f t="shared" si="1"/>
        <v>0.95596084250177316</v>
      </c>
      <c r="H15" s="14">
        <f t="shared" si="1"/>
        <v>0.97869067279691968</v>
      </c>
      <c r="I15" s="14">
        <f t="shared" si="1"/>
        <v>0.9300847138226781</v>
      </c>
      <c r="J15" s="15">
        <f>'0225'!S70</f>
        <v>0.84420693639748701</v>
      </c>
    </row>
    <row r="16" spans="2:15" ht="17.25" customHeight="1">
      <c r="B16" s="475" t="s">
        <v>101</v>
      </c>
      <c r="C16" s="10" t="s">
        <v>34</v>
      </c>
      <c r="D16" s="16">
        <f>'0225'!T5</f>
        <v>0.29166666666666702</v>
      </c>
      <c r="E16" s="16">
        <f>'0225'!T16</f>
        <v>0.29027777777777802</v>
      </c>
      <c r="F16" s="16">
        <f>'0225'!T27</f>
        <v>0.29166666666666702</v>
      </c>
      <c r="G16" s="16">
        <f>'0225'!T38</f>
        <v>0.33333333333333298</v>
      </c>
      <c r="H16" s="16">
        <f>'0225'!T49</f>
        <v>0.29166666666666702</v>
      </c>
      <c r="I16" s="16">
        <f>'0225'!T59</f>
        <v>0.29166666666666702</v>
      </c>
      <c r="J16" s="16">
        <f>'0225'!T70</f>
        <v>0.33680555555555602</v>
      </c>
    </row>
    <row r="17" spans="2:10" ht="17.25" customHeight="1">
      <c r="B17" s="476"/>
      <c r="C17" s="10" t="s">
        <v>35</v>
      </c>
      <c r="D17" s="16">
        <v>0.56388888888888888</v>
      </c>
      <c r="E17" s="19">
        <v>0.60416666666666696</v>
      </c>
      <c r="F17" s="19">
        <v>0.64236111111111116</v>
      </c>
      <c r="G17" s="20">
        <v>0.64027777777777772</v>
      </c>
      <c r="H17" s="21">
        <v>0.59097222222222201</v>
      </c>
      <c r="I17" s="22">
        <v>0.51041666666666696</v>
      </c>
      <c r="J17" s="22">
        <v>0.59722222222222199</v>
      </c>
    </row>
    <row r="18" spans="2:10" ht="17.25" customHeight="1">
      <c r="B18" s="477" t="s">
        <v>102</v>
      </c>
      <c r="C18" s="330" t="s">
        <v>36</v>
      </c>
      <c r="D18" s="358">
        <f>'0225'!Z15</f>
        <v>0</v>
      </c>
      <c r="E18" s="359">
        <f>'0225'!Z26</f>
        <v>0</v>
      </c>
      <c r="F18" s="359">
        <f>'0225'!Z37</f>
        <v>0</v>
      </c>
      <c r="G18" s="360">
        <f>'0225'!Z48</f>
        <v>0</v>
      </c>
      <c r="H18" s="360">
        <f>'0225'!Z58</f>
        <v>0</v>
      </c>
      <c r="I18" s="359">
        <f>'0225'!Z69</f>
        <v>0</v>
      </c>
      <c r="J18" s="359">
        <f>'0225'!AA79</f>
        <v>0</v>
      </c>
    </row>
    <row r="19" spans="2:10" ht="17.25" customHeight="1">
      <c r="B19" s="478"/>
      <c r="C19" s="330" t="s">
        <v>37</v>
      </c>
      <c r="D19" s="358">
        <f>'0225'!AA15</f>
        <v>0</v>
      </c>
      <c r="E19" s="359">
        <f>'0225'!AA26</f>
        <v>0</v>
      </c>
      <c r="F19" s="359">
        <f>'0225'!AA37</f>
        <v>0</v>
      </c>
      <c r="G19" s="360">
        <f>'0225'!AA48</f>
        <v>0</v>
      </c>
      <c r="H19" s="360">
        <f>'0225'!AA58</f>
        <v>0</v>
      </c>
      <c r="I19" s="359">
        <f>'0225'!AA69</f>
        <v>0</v>
      </c>
      <c r="J19" s="359">
        <f>'0225'!AB79</f>
        <v>0</v>
      </c>
    </row>
    <row r="20" spans="2:10" ht="17.25" customHeight="1">
      <c r="B20" s="477" t="s">
        <v>103</v>
      </c>
      <c r="C20" s="330" t="s">
        <v>36</v>
      </c>
      <c r="D20" s="358">
        <f>'0225'!AD15</f>
        <v>0</v>
      </c>
      <c r="E20" s="359">
        <f>'0225'!AD26</f>
        <v>0</v>
      </c>
      <c r="F20" s="359">
        <f>'0225'!AD37</f>
        <v>0</v>
      </c>
      <c r="G20" s="360">
        <f>'0225'!AD48</f>
        <v>0</v>
      </c>
      <c r="H20" s="360">
        <f>'0225'!AD58</f>
        <v>0</v>
      </c>
      <c r="I20" s="359">
        <f>'0225'!AD69</f>
        <v>0</v>
      </c>
      <c r="J20" s="359">
        <f>'0225'!AD79</f>
        <v>0</v>
      </c>
    </row>
    <row r="21" spans="2:10" ht="17.25" customHeight="1">
      <c r="B21" s="478"/>
      <c r="C21" s="330" t="s">
        <v>85</v>
      </c>
      <c r="D21" s="358">
        <f>'0225'!AE15</f>
        <v>0</v>
      </c>
      <c r="E21" s="359">
        <f>'0225'!AE26</f>
        <v>0</v>
      </c>
      <c r="F21" s="359">
        <f>'0225'!AE37</f>
        <v>0</v>
      </c>
      <c r="G21" s="360">
        <f>'0225'!AE48</f>
        <v>0</v>
      </c>
      <c r="H21" s="360">
        <f>'0225'!AE58</f>
        <v>0</v>
      </c>
      <c r="I21" s="359">
        <f>'0225'!AE69</f>
        <v>0</v>
      </c>
      <c r="J21" s="359">
        <f>'0225'!AE79</f>
        <v>0</v>
      </c>
    </row>
    <row r="22" spans="2:10" ht="17.25" customHeight="1">
      <c r="B22" s="460" t="s">
        <v>104</v>
      </c>
      <c r="C22" s="461"/>
      <c r="D22" s="23">
        <f>VALUE('0225'!M15)</f>
        <v>13.25</v>
      </c>
      <c r="E22" s="23">
        <f>VALUE('0225'!M26)</f>
        <v>11.5</v>
      </c>
      <c r="F22" s="23">
        <f>VALUE('0225'!M37)</f>
        <v>12.8</v>
      </c>
      <c r="G22" s="23">
        <f>VALUE('0225'!M48)</f>
        <v>15.333333333333334</v>
      </c>
      <c r="H22" s="23">
        <f>VALUE('0225'!M58)</f>
        <v>14.25</v>
      </c>
      <c r="I22" s="23">
        <f>VALUE('0225'!M69)</f>
        <v>11.333333333333334</v>
      </c>
      <c r="J22" s="23">
        <f>'0225'!M79</f>
        <v>10.333333333333334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66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978D-B1C7-4C78-88A9-179C5732D45F}">
  <sheetPr>
    <tabColor theme="9" tint="0.79998168889431442"/>
  </sheetPr>
  <dimension ref="A1:AJ92"/>
  <sheetViews>
    <sheetView zoomScale="69" zoomScaleNormal="69" workbookViewId="0">
      <pane xSplit="5" ySplit="4" topLeftCell="G5" activePane="bottomRight" state="frozen"/>
      <selection activeCell="U72" sqref="U72"/>
      <selection pane="topRight" activeCell="U72" sqref="U72"/>
      <selection pane="bottomLeft" activeCell="U72" sqref="U72"/>
      <selection pane="bottomRight" activeCell="U72" sqref="U7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53062</v>
      </c>
      <c r="F1" s="30" t="s">
        <v>2</v>
      </c>
      <c r="G1" s="31">
        <f>SUM(H5:H79)</f>
        <v>2512043.2400000002</v>
      </c>
      <c r="H1" s="32" t="s">
        <v>3</v>
      </c>
      <c r="I1" s="33">
        <f>M15+M26+M48+M58+M69+M79+M37</f>
        <v>88.8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205</v>
      </c>
      <c r="B2" s="374"/>
      <c r="C2" s="28"/>
      <c r="D2" s="28" t="s">
        <v>14</v>
      </c>
      <c r="E2" s="35">
        <f>AVERAGE(O15,O26,O37,O48,O58,O69,O79)</f>
        <v>113.72298268045797</v>
      </c>
      <c r="F2" s="36" t="s">
        <v>15</v>
      </c>
      <c r="G2" s="37">
        <f>G1/E1</f>
        <v>47.341661452640309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0</v>
      </c>
      <c r="AA2" s="339">
        <f>AA15+AA26+AA37+AA48+AA58+AA69+AA79</f>
        <v>0</v>
      </c>
      <c r="AB2" s="370"/>
      <c r="AC2" s="370"/>
      <c r="AD2" s="340">
        <f>AD15+AD26+AD37+AD48+AD58+AD69+AD79</f>
        <v>0</v>
      </c>
      <c r="AE2" s="340">
        <f>AE15+AE26+AE37+AE48+AE58+AE69+AE79</f>
        <v>0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2037</v>
      </c>
      <c r="H5" s="43">
        <f>F5*G5</f>
        <v>116536.77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8" si="0">K5/J5</f>
        <v>175.41666666666666</v>
      </c>
      <c r="M5" s="48">
        <v>12</v>
      </c>
      <c r="N5" s="46">
        <f t="shared" ref="N5:N8" si="1">G5/W5*60</f>
        <v>2037.0000000000343</v>
      </c>
      <c r="O5" s="47">
        <f t="shared" ref="O5:O8" si="2">N5/M5</f>
        <v>169.75000000000287</v>
      </c>
      <c r="P5" s="49">
        <f t="shared" ref="P5:P8" si="3">M5-J5</f>
        <v>0</v>
      </c>
      <c r="Q5" s="50">
        <f t="shared" ref="Q5:Q8" si="4">O5-L5</f>
        <v>-5.6666666666637866</v>
      </c>
      <c r="R5" s="51">
        <f t="shared" ref="R5:R8" si="5">O5/L5</f>
        <v>0.96769596199526586</v>
      </c>
      <c r="S5" s="424">
        <f>R15</f>
        <v>0.93984683845372574</v>
      </c>
      <c r="T5" s="319">
        <v>0.29166666666666702</v>
      </c>
      <c r="U5" s="320">
        <v>0.33333333333333298</v>
      </c>
      <c r="V5" s="53"/>
      <c r="W5" s="54">
        <f t="shared" ref="W5:W14" si="6">(U5-T5)*24*60</f>
        <v>59.999999999998991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11" si="7">N5-K5</f>
        <v>-67.999999999965667</v>
      </c>
      <c r="AG5" s="52">
        <f t="shared" ref="AG5:AG11" si="8">N5/K5</f>
        <v>0.96769596199526575</v>
      </c>
      <c r="AH5" s="403">
        <f>AG15</f>
        <v>0.94039422220501478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1438</v>
      </c>
      <c r="H6" s="63">
        <f>F6*G6</f>
        <v>80930.64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1760.8163265306014</v>
      </c>
      <c r="O6" s="67">
        <f t="shared" si="2"/>
        <v>117.38775510204009</v>
      </c>
      <c r="P6" s="69">
        <f t="shared" si="3"/>
        <v>0</v>
      </c>
      <c r="Q6" s="70">
        <f t="shared" si="4"/>
        <v>-2.6122448979599113</v>
      </c>
      <c r="R6" s="71">
        <f t="shared" si="5"/>
        <v>0.97823129251700069</v>
      </c>
      <c r="S6" s="425"/>
      <c r="T6" s="16">
        <v>0.34097222222222201</v>
      </c>
      <c r="U6" s="16">
        <v>0.375</v>
      </c>
      <c r="V6" s="30">
        <f>(T6-U5)*24*60</f>
        <v>11.000000000000201</v>
      </c>
      <c r="W6" s="73">
        <f t="shared" si="6"/>
        <v>49.000000000000306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-39.183673469398627</v>
      </c>
      <c r="AG6" s="72">
        <f t="shared" si="8"/>
        <v>0.97823129251700081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4471</v>
      </c>
      <c r="H7" s="78">
        <f>F7*G7</f>
        <v>219704.94</v>
      </c>
      <c r="I7" s="73"/>
      <c r="J7" s="79">
        <f>VLOOKUP(D7,產線配置圖!$A$3:$C$39,2,0)</f>
        <v>13</v>
      </c>
      <c r="K7" s="80">
        <f>VLOOKUP(D7,產線配置圖!$A$3:$C$39,3,0)</f>
        <v>2000</v>
      </c>
      <c r="L7" s="81">
        <f t="shared" si="0"/>
        <v>153.84615384615384</v>
      </c>
      <c r="M7" s="82">
        <v>13</v>
      </c>
      <c r="N7" s="80">
        <f t="shared" si="1"/>
        <v>1987.1111111111113</v>
      </c>
      <c r="O7" s="81">
        <f t="shared" si="2"/>
        <v>152.85470085470087</v>
      </c>
      <c r="P7" s="74">
        <f t="shared" si="3"/>
        <v>0</v>
      </c>
      <c r="Q7" s="83">
        <f t="shared" si="4"/>
        <v>-0.99145299145297372</v>
      </c>
      <c r="R7" s="72">
        <f t="shared" si="5"/>
        <v>0.99355555555555564</v>
      </c>
      <c r="S7" s="425"/>
      <c r="T7" s="18">
        <v>0.38263888888888897</v>
      </c>
      <c r="U7" s="18">
        <v>0.47638888888888897</v>
      </c>
      <c r="V7" s="30">
        <f>(T7-U6)*24*60</f>
        <v>11.000000000000121</v>
      </c>
      <c r="W7" s="73">
        <f t="shared" si="6"/>
        <v>135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-12.888888888888687</v>
      </c>
      <c r="AG7" s="72">
        <f t="shared" si="8"/>
        <v>0.99355555555555564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742</v>
      </c>
      <c r="H8" s="78">
        <f>F8*G8</f>
        <v>36461.879999999997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1648.8888888888948</v>
      </c>
      <c r="O8" s="81">
        <f t="shared" si="2"/>
        <v>126.8376068376073</v>
      </c>
      <c r="P8" s="74">
        <f t="shared" si="3"/>
        <v>0</v>
      </c>
      <c r="Q8" s="83">
        <f t="shared" si="4"/>
        <v>-27.008547008546543</v>
      </c>
      <c r="R8" s="72">
        <f t="shared" si="5"/>
        <v>0.82444444444444742</v>
      </c>
      <c r="S8" s="425"/>
      <c r="T8" s="16">
        <v>0.54513888888888895</v>
      </c>
      <c r="U8" s="16">
        <v>0.56388888888888888</v>
      </c>
      <c r="V8" s="30">
        <f>(T8-U7)*24*60</f>
        <v>98.999999999999972</v>
      </c>
      <c r="W8" s="73">
        <f t="shared" si="6"/>
        <v>26.999999999999904</v>
      </c>
      <c r="X8" s="22">
        <v>0.48611111111111099</v>
      </c>
      <c r="Y8" s="84">
        <v>0.52777777777777801</v>
      </c>
      <c r="Z8" s="90"/>
      <c r="AA8" s="90"/>
      <c r="AB8" s="407"/>
      <c r="AC8" s="407"/>
      <c r="AD8" s="149"/>
      <c r="AE8" s="149"/>
      <c r="AF8" s="307">
        <f t="shared" si="7"/>
        <v>-351.11111111110517</v>
      </c>
      <c r="AG8" s="72">
        <f t="shared" si="8"/>
        <v>0.82444444444444742</v>
      </c>
      <c r="AH8" s="404"/>
    </row>
    <row r="9" spans="1:34" ht="15" customHeight="1">
      <c r="A9" s="42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6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0</v>
      </c>
      <c r="AG9" s="72" t="e">
        <f t="shared" si="8"/>
        <v>#DIV/0!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9">AVERAGE(J5:J14)</f>
        <v>13.25</v>
      </c>
      <c r="K15" s="120">
        <f t="shared" si="9"/>
        <v>1976.25</v>
      </c>
      <c r="L15" s="117">
        <f t="shared" si="9"/>
        <v>150.77724358974356</v>
      </c>
      <c r="M15" s="120">
        <f t="shared" si="9"/>
        <v>13.25</v>
      </c>
      <c r="N15" s="120">
        <f t="shared" si="9"/>
        <v>1858.4540816326605</v>
      </c>
      <c r="O15" s="117">
        <f t="shared" si="9"/>
        <v>141.70751569858777</v>
      </c>
      <c r="P15" s="121">
        <f t="shared" ref="P15:P19" si="10">M15-J15</f>
        <v>0</v>
      </c>
      <c r="Q15" s="122">
        <f t="shared" ref="Q15:Q19" si="11">O15-L15</f>
        <v>-9.069727891155793</v>
      </c>
      <c r="R15" s="123">
        <f t="shared" ref="R15:R19" si="12">O15/L15</f>
        <v>0.93984683845372574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3">N15-K15</f>
        <v>-117.79591836733948</v>
      </c>
      <c r="AG15" s="124">
        <f t="shared" ref="AG15:AG19" si="14">N15/K15</f>
        <v>0.94039422220501478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1659</v>
      </c>
      <c r="H16" s="134">
        <f>F16*G16</f>
        <v>94911.39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19" si="15">K16/J16</f>
        <v>175.41666666666666</v>
      </c>
      <c r="M16" s="139">
        <v>12</v>
      </c>
      <c r="N16" s="140">
        <f t="shared" ref="N16:N19" si="16">G16/W16*60</f>
        <v>1990.8000000000136</v>
      </c>
      <c r="O16" s="141">
        <f>N16/M16</f>
        <v>165.90000000000114</v>
      </c>
      <c r="P16" s="142">
        <f>M16-J16</f>
        <v>0</v>
      </c>
      <c r="Q16" s="143">
        <f t="shared" si="11"/>
        <v>-9.5166666666655146</v>
      </c>
      <c r="R16" s="144">
        <f>O16/L16</f>
        <v>0.94574821852732249</v>
      </c>
      <c r="S16" s="417">
        <f>R26</f>
        <v>0.93058327383339601</v>
      </c>
      <c r="T16" s="145">
        <v>0.29027777777777802</v>
      </c>
      <c r="U16" s="145">
        <v>0.32500000000000001</v>
      </c>
      <c r="V16" s="135"/>
      <c r="W16" s="146">
        <f t="shared" ref="W16:W78" si="17">(U16-T16)*24*60</f>
        <v>49.999999999999659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3"/>
        <v>-114.1999999999864</v>
      </c>
      <c r="AG16" s="52">
        <f t="shared" si="14"/>
        <v>0.94574821852732238</v>
      </c>
      <c r="AH16" s="403">
        <f>AG26</f>
        <v>0.9322765108511063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3722</v>
      </c>
      <c r="H17" s="78">
        <f>F17*G17</f>
        <v>188593.74000000002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5"/>
        <v>166.66666666666666</v>
      </c>
      <c r="M17" s="148">
        <v>12</v>
      </c>
      <c r="N17" s="95">
        <f>G17/W17*60</f>
        <v>1993.9285714285713</v>
      </c>
      <c r="O17" s="96">
        <f t="shared" ref="O17:O19" si="18">N17/M17</f>
        <v>166.16071428571428</v>
      </c>
      <c r="P17" s="97">
        <f t="shared" si="10"/>
        <v>0</v>
      </c>
      <c r="Q17" s="98">
        <f t="shared" si="11"/>
        <v>-0.5059523809523796</v>
      </c>
      <c r="R17" s="99">
        <f t="shared" si="12"/>
        <v>0.99696428571428575</v>
      </c>
      <c r="S17" s="418"/>
      <c r="T17" s="19">
        <v>0.33263888888888887</v>
      </c>
      <c r="U17" s="19">
        <v>0.41041666666666665</v>
      </c>
      <c r="V17" s="30">
        <f>(T17-U16)*24*60</f>
        <v>10.999999999999961</v>
      </c>
      <c r="W17" s="149">
        <f t="shared" si="17"/>
        <v>112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3"/>
        <v>-6.0714285714286689</v>
      </c>
      <c r="AG17" s="72">
        <f t="shared" si="14"/>
        <v>0.99696428571428564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2534</v>
      </c>
      <c r="H18" s="78">
        <f>F18*G18</f>
        <v>127688.26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5"/>
        <v>181.81818181818181</v>
      </c>
      <c r="M18" s="148">
        <v>11</v>
      </c>
      <c r="N18" s="95">
        <f t="shared" si="16"/>
        <v>1788.7058823529644</v>
      </c>
      <c r="O18" s="96">
        <f t="shared" si="18"/>
        <v>162.60962566845132</v>
      </c>
      <c r="P18" s="97">
        <f t="shared" si="10"/>
        <v>0</v>
      </c>
      <c r="Q18" s="98">
        <f t="shared" si="11"/>
        <v>-19.208556149730498</v>
      </c>
      <c r="R18" s="99">
        <f t="shared" si="12"/>
        <v>0.89435294117648223</v>
      </c>
      <c r="S18" s="418"/>
      <c r="T18" s="19">
        <v>0.41805555555555601</v>
      </c>
      <c r="U18" s="19">
        <v>0.47708333333333303</v>
      </c>
      <c r="V18" s="30">
        <f>(T18-U17)*24*60</f>
        <v>11.00000000000068</v>
      </c>
      <c r="W18" s="149">
        <f t="shared" si="17"/>
        <v>84.999999999998892</v>
      </c>
      <c r="X18" s="22"/>
      <c r="Y18" s="84"/>
      <c r="Z18" s="90"/>
      <c r="AA18" s="90"/>
      <c r="AB18" s="395"/>
      <c r="AC18" s="395"/>
      <c r="AD18" s="92"/>
      <c r="AE18" s="92"/>
      <c r="AF18" s="307">
        <f t="shared" si="13"/>
        <v>-211.29411764703559</v>
      </c>
      <c r="AG18" s="72">
        <f t="shared" si="14"/>
        <v>0.89435294117648223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2674</v>
      </c>
      <c r="H19" s="78">
        <f>F19*G19</f>
        <v>134742.86000000002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5"/>
        <v>181.81818181818181</v>
      </c>
      <c r="M19" s="148">
        <v>11</v>
      </c>
      <c r="N19" s="95">
        <f t="shared" si="16"/>
        <v>1782.6666666666667</v>
      </c>
      <c r="O19" s="96">
        <f t="shared" si="18"/>
        <v>162.06060606060606</v>
      </c>
      <c r="P19" s="97">
        <f t="shared" si="10"/>
        <v>0</v>
      </c>
      <c r="Q19" s="98">
        <f t="shared" si="11"/>
        <v>-19.757575757575751</v>
      </c>
      <c r="R19" s="99">
        <f t="shared" si="12"/>
        <v>0.89133333333333342</v>
      </c>
      <c r="S19" s="418"/>
      <c r="T19" s="19">
        <v>0.54166666666666696</v>
      </c>
      <c r="U19" s="19">
        <v>0.60416666666666696</v>
      </c>
      <c r="V19" s="30">
        <f>(T19-U18)*24*60</f>
        <v>93.000000000000867</v>
      </c>
      <c r="W19" s="149">
        <f t="shared" si="17"/>
        <v>90</v>
      </c>
      <c r="X19" s="22">
        <v>0.48611111111111099</v>
      </c>
      <c r="Y19" s="84">
        <v>0.52777777777777801</v>
      </c>
      <c r="Z19" s="90"/>
      <c r="AA19" s="90"/>
      <c r="AB19" s="407"/>
      <c r="AC19" s="407"/>
      <c r="AD19" s="149"/>
      <c r="AE19" s="149"/>
      <c r="AF19" s="307">
        <f t="shared" si="13"/>
        <v>-217.33333333333326</v>
      </c>
      <c r="AG19" s="72">
        <f t="shared" si="14"/>
        <v>0.89133333333333342</v>
      </c>
      <c r="AH19" s="405"/>
    </row>
    <row r="20" spans="1:34" ht="15" customHeight="1">
      <c r="A20" s="414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8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9"/>
      <c r="U21" s="19"/>
      <c r="V21" s="30"/>
      <c r="W21" s="149">
        <f t="shared" si="17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7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0">AVERAGE(J16:J25)</f>
        <v>11.5</v>
      </c>
      <c r="K26" s="155">
        <f t="shared" si="20"/>
        <v>2026.25</v>
      </c>
      <c r="L26" s="158">
        <f t="shared" si="20"/>
        <v>176.42992424242425</v>
      </c>
      <c r="M26" s="155">
        <f t="shared" si="20"/>
        <v>11.5</v>
      </c>
      <c r="N26" s="155">
        <f t="shared" si="20"/>
        <v>1889.0252801120541</v>
      </c>
      <c r="O26" s="158">
        <f t="shared" si="20"/>
        <v>164.18273650369321</v>
      </c>
      <c r="P26" s="159">
        <f t="shared" ref="P26:P31" si="21">M26-J26</f>
        <v>0</v>
      </c>
      <c r="Q26" s="160">
        <f t="shared" ref="Q26:Q31" si="22">O26-L26</f>
        <v>-12.247187738731043</v>
      </c>
      <c r="R26" s="161">
        <f>O26/L26</f>
        <v>0.93058327383339601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0</v>
      </c>
      <c r="AE26" s="323">
        <f>SUM(AE16:AE25)</f>
        <v>0</v>
      </c>
      <c r="AF26" s="309">
        <f t="shared" ref="AF26:AF31" si="23">N26-K26</f>
        <v>-137.22471988794587</v>
      </c>
      <c r="AG26" s="124">
        <f t="shared" ref="AG26:AG31" si="24">N26/K26</f>
        <v>0.9322765108511063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1101</v>
      </c>
      <c r="H27" s="134">
        <f>F27*G27</f>
        <v>63087.299999999996</v>
      </c>
      <c r="I27" s="135"/>
      <c r="J27" s="136">
        <v>15</v>
      </c>
      <c r="K27" s="137">
        <f>VLOOKUP(D27,產線配置圖!$A$3:$C$39,3,0)</f>
        <v>1500</v>
      </c>
      <c r="L27" s="138">
        <f t="shared" ref="L27:L31" si="25">K27/J27</f>
        <v>100</v>
      </c>
      <c r="M27" s="170">
        <v>14</v>
      </c>
      <c r="N27" s="140">
        <f>G27/W27*60</f>
        <v>1376.2500000000141</v>
      </c>
      <c r="O27" s="141">
        <f>N27/M27</f>
        <v>98.30357142857244</v>
      </c>
      <c r="P27" s="142">
        <f t="shared" si="21"/>
        <v>-1</v>
      </c>
      <c r="Q27" s="143">
        <f t="shared" si="22"/>
        <v>-1.6964285714275604</v>
      </c>
      <c r="R27" s="144">
        <f>O27/L27</f>
        <v>0.98303571428572445</v>
      </c>
      <c r="S27" s="417">
        <f>R37</f>
        <v>0.88107260620515415</v>
      </c>
      <c r="T27" s="171">
        <v>0.29166666666666702</v>
      </c>
      <c r="U27" s="171">
        <v>0.32500000000000001</v>
      </c>
      <c r="V27" s="135"/>
      <c r="W27" s="146">
        <f t="shared" si="17"/>
        <v>47.99999999999951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3"/>
        <v>-123.7499999999859</v>
      </c>
      <c r="AG27" s="172">
        <f t="shared" si="24"/>
        <v>0.91750000000000942</v>
      </c>
      <c r="AH27" s="403">
        <f>AG37</f>
        <v>0.75193725433985525</v>
      </c>
    </row>
    <row r="28" spans="1:34" ht="15" customHeight="1">
      <c r="A28" s="430"/>
      <c r="B28" s="75" t="s">
        <v>123</v>
      </c>
      <c r="C28" s="173"/>
      <c r="D28" s="59" t="s">
        <v>127</v>
      </c>
      <c r="E28" s="104"/>
      <c r="F28" s="75">
        <f>VLOOKUP(D28,廠價表!$C$1:$E$41,3,0)</f>
        <v>49.91</v>
      </c>
      <c r="G28" s="90">
        <v>1451</v>
      </c>
      <c r="H28" s="91">
        <f>F28*G28</f>
        <v>72419.409999999989</v>
      </c>
      <c r="I28" s="92"/>
      <c r="J28" s="79">
        <v>15</v>
      </c>
      <c r="K28" s="80">
        <f>VLOOKUP(D28,產線配置圖!$A$3:$C$39,3,0)</f>
        <v>1565</v>
      </c>
      <c r="L28" s="93">
        <f t="shared" si="25"/>
        <v>104.33333333333333</v>
      </c>
      <c r="M28" s="94">
        <v>11</v>
      </c>
      <c r="N28" s="95">
        <f>G28/W28*60</f>
        <v>978.20224719100429</v>
      </c>
      <c r="O28" s="96">
        <f>N28/M28</f>
        <v>88.927477017364026</v>
      </c>
      <c r="P28" s="97">
        <f t="shared" si="21"/>
        <v>-4</v>
      </c>
      <c r="Q28" s="98">
        <f t="shared" si="22"/>
        <v>-15.405856315969302</v>
      </c>
      <c r="R28" s="99">
        <f t="shared" ref="R28:R31" si="26">O28/L28</f>
        <v>0.85234003531019842</v>
      </c>
      <c r="S28" s="418"/>
      <c r="T28" s="19">
        <v>0.32986111111111099</v>
      </c>
      <c r="U28" s="19">
        <v>0.391666666666667</v>
      </c>
      <c r="V28" s="92">
        <f>(T28-U27)*24*60</f>
        <v>6.9999999999998153</v>
      </c>
      <c r="W28" s="149">
        <f t="shared" si="17"/>
        <v>89.000000000000639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3"/>
        <v>-586.79775280899571</v>
      </c>
      <c r="AG28" s="99">
        <f t="shared" si="24"/>
        <v>0.62504935922747873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1411</v>
      </c>
      <c r="H29" s="91">
        <f>F29*G29</f>
        <v>69872.72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5"/>
        <v>96</v>
      </c>
      <c r="M29" s="94">
        <v>12</v>
      </c>
      <c r="N29" s="95">
        <f>G29/W29*60</f>
        <v>951.23595505617288</v>
      </c>
      <c r="O29" s="96">
        <f>N29/M29</f>
        <v>79.269662921347745</v>
      </c>
      <c r="P29" s="97">
        <f t="shared" si="21"/>
        <v>-3</v>
      </c>
      <c r="Q29" s="98">
        <f t="shared" si="22"/>
        <v>-16.730337078652255</v>
      </c>
      <c r="R29" s="99">
        <f t="shared" si="26"/>
        <v>0.82572565543070564</v>
      </c>
      <c r="S29" s="418"/>
      <c r="T29" s="19">
        <v>0.39722222222222198</v>
      </c>
      <c r="U29" s="19">
        <v>0.45902777777777798</v>
      </c>
      <c r="V29" s="92">
        <f>(T29-U28)*24*60</f>
        <v>7.9999999999991722</v>
      </c>
      <c r="W29" s="149">
        <f t="shared" si="17"/>
        <v>89.000000000000639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3"/>
        <v>-488.76404494382712</v>
      </c>
      <c r="AG29" s="99">
        <f t="shared" si="24"/>
        <v>0.66058052434456449</v>
      </c>
      <c r="AH29" s="432"/>
    </row>
    <row r="30" spans="1:34" ht="15" customHeight="1">
      <c r="A30" s="430"/>
      <c r="B30" s="75" t="s">
        <v>123</v>
      </c>
      <c r="C30" s="88"/>
      <c r="D30" s="59" t="s">
        <v>124</v>
      </c>
      <c r="E30" s="89"/>
      <c r="F30" s="75">
        <f>VLOOKUP(D30,廠價表!$C$1:$E$41,3,0)</f>
        <v>49.52</v>
      </c>
      <c r="G30" s="90">
        <v>995</v>
      </c>
      <c r="H30" s="91">
        <f t="shared" ref="H30:H31" si="27">F30*G30</f>
        <v>49272.4</v>
      </c>
      <c r="I30" s="92"/>
      <c r="J30" s="79">
        <f>VLOOKUP(D30,產線配置圖!$A$3:$C$39,2,0)</f>
        <v>15</v>
      </c>
      <c r="K30" s="80">
        <f>VLOOKUP(D30,產線配置圖!$A$3:$C$39,3,0)</f>
        <v>1440</v>
      </c>
      <c r="L30" s="93">
        <f t="shared" si="25"/>
        <v>96</v>
      </c>
      <c r="M30" s="94">
        <v>12</v>
      </c>
      <c r="N30" s="95">
        <f t="shared" ref="N30:N31" si="28">G30/W30*60</f>
        <v>1047.3684210526412</v>
      </c>
      <c r="O30" s="96">
        <f t="shared" ref="O30:O31" si="29">N30/M30</f>
        <v>87.280701754386769</v>
      </c>
      <c r="P30" s="97">
        <f t="shared" si="21"/>
        <v>-3</v>
      </c>
      <c r="Q30" s="98">
        <f t="shared" si="22"/>
        <v>-8.7192982456132313</v>
      </c>
      <c r="R30" s="99">
        <f t="shared" si="26"/>
        <v>0.90917397660819554</v>
      </c>
      <c r="S30" s="418"/>
      <c r="T30" s="19">
        <v>0.52638888888888902</v>
      </c>
      <c r="U30" s="19">
        <v>0.56597222222222199</v>
      </c>
      <c r="V30" s="92">
        <f>(T30-U29)*24*60</f>
        <v>96.999999999999901</v>
      </c>
      <c r="W30" s="149">
        <f t="shared" si="17"/>
        <v>56.999999999999474</v>
      </c>
      <c r="X30" s="174">
        <v>0.47222222222222199</v>
      </c>
      <c r="Y30" s="301">
        <v>0.51388888888888895</v>
      </c>
      <c r="Z30" s="335"/>
      <c r="AA30" s="335"/>
      <c r="AB30" s="395"/>
      <c r="AC30" s="395"/>
      <c r="AD30" s="92"/>
      <c r="AE30" s="92"/>
      <c r="AF30" s="312">
        <f t="shared" si="23"/>
        <v>-392.63157894735878</v>
      </c>
      <c r="AG30" s="99">
        <f t="shared" si="24"/>
        <v>0.72733918128655639</v>
      </c>
      <c r="AH30" s="433"/>
    </row>
    <row r="31" spans="1:34" ht="15" customHeight="1">
      <c r="A31" s="430"/>
      <c r="B31" s="75" t="s">
        <v>123</v>
      </c>
      <c r="C31" s="88"/>
      <c r="D31" s="59" t="s">
        <v>128</v>
      </c>
      <c r="E31" s="89"/>
      <c r="F31" s="75">
        <f>VLOOKUP(D31,廠價表!$C$1:$E$41,3,0)</f>
        <v>44.3</v>
      </c>
      <c r="G31" s="90">
        <v>1940</v>
      </c>
      <c r="H31" s="91">
        <f t="shared" si="27"/>
        <v>85942</v>
      </c>
      <c r="I31" s="92"/>
      <c r="J31" s="79">
        <v>15</v>
      </c>
      <c r="K31" s="80">
        <f>VLOOKUP(D31,產線配置圖!$A$3:$C$39,3,0)</f>
        <v>1440</v>
      </c>
      <c r="L31" s="93">
        <f t="shared" si="25"/>
        <v>96</v>
      </c>
      <c r="M31" s="94">
        <v>15</v>
      </c>
      <c r="N31" s="95">
        <f t="shared" si="28"/>
        <v>1199.9999999999982</v>
      </c>
      <c r="O31" s="96">
        <f t="shared" si="29"/>
        <v>79.999999999999872</v>
      </c>
      <c r="P31" s="97">
        <f t="shared" si="21"/>
        <v>0</v>
      </c>
      <c r="Q31" s="98">
        <f t="shared" si="22"/>
        <v>-16.000000000000128</v>
      </c>
      <c r="R31" s="99">
        <f t="shared" si="26"/>
        <v>0.83333333333333204</v>
      </c>
      <c r="S31" s="418"/>
      <c r="T31" s="19">
        <v>0.57499999999999996</v>
      </c>
      <c r="U31" s="19">
        <v>0.64236111111111116</v>
      </c>
      <c r="V31" s="92">
        <f>(T31-U30)*24*60</f>
        <v>13.000000000000274</v>
      </c>
      <c r="W31" s="149">
        <f t="shared" si="17"/>
        <v>97.000000000000142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3"/>
        <v>-240.00000000000182</v>
      </c>
      <c r="AG31" s="99">
        <f t="shared" si="24"/>
        <v>0.83333333333333204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9"/>
      <c r="U32" s="19"/>
      <c r="V32" s="92"/>
      <c r="W32" s="149">
        <f t="shared" si="17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30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1">AVERAGE(J27:J36)</f>
        <v>15</v>
      </c>
      <c r="K37" s="155">
        <f t="shared" si="31"/>
        <v>1477</v>
      </c>
      <c r="L37" s="158">
        <f t="shared" si="31"/>
        <v>98.466666666666669</v>
      </c>
      <c r="M37" s="155">
        <f t="shared" si="31"/>
        <v>12.8</v>
      </c>
      <c r="N37" s="155">
        <f t="shared" si="31"/>
        <v>1110.6113246599662</v>
      </c>
      <c r="O37" s="158">
        <f t="shared" si="31"/>
        <v>86.756282624334176</v>
      </c>
      <c r="P37" s="159">
        <f>M37-J37</f>
        <v>-2.1999999999999993</v>
      </c>
      <c r="Q37" s="160">
        <f>N37-K37</f>
        <v>-366.38867534003384</v>
      </c>
      <c r="R37" s="161">
        <f t="shared" ref="R37:R40" si="32">O37/L37</f>
        <v>0.88107260620515415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0" si="33">N37-K37</f>
        <v>-366.38867534003384</v>
      </c>
      <c r="AG37" s="124">
        <f t="shared" ref="AG37:AG40" si="34">N37/K37</f>
        <v>0.75193725433985525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56.87</v>
      </c>
      <c r="G38" s="186">
        <v>1278</v>
      </c>
      <c r="H38" s="134">
        <f>F38*G38</f>
        <v>72679.86</v>
      </c>
      <c r="I38" s="135"/>
      <c r="J38" s="187">
        <v>15</v>
      </c>
      <c r="K38" s="188">
        <f>VLOOKUP(D38,產線配置圖!$A$3:$C$39,3,0)</f>
        <v>1565</v>
      </c>
      <c r="L38" s="189">
        <f t="shared" ref="L38:L40" si="35">K38/J38</f>
        <v>104.33333333333333</v>
      </c>
      <c r="M38" s="190">
        <v>13</v>
      </c>
      <c r="N38" s="140">
        <f>G38/W38*60</f>
        <v>1277.9999999999891</v>
      </c>
      <c r="O38" s="141">
        <f>N38/M38</f>
        <v>98.307692307691468</v>
      </c>
      <c r="P38" s="142">
        <f t="shared" ref="P38:P40" si="36">M38-J38</f>
        <v>-2</v>
      </c>
      <c r="Q38" s="143">
        <f t="shared" ref="Q38:Q40" si="37">O38-L38</f>
        <v>-6.0256410256418604</v>
      </c>
      <c r="R38" s="144">
        <f>O38/L38</f>
        <v>0.94224625215039748</v>
      </c>
      <c r="S38" s="437">
        <f>R48</f>
        <v>0.95596084250177316</v>
      </c>
      <c r="T38" s="191">
        <v>0.33333333333333298</v>
      </c>
      <c r="U38" s="191">
        <v>0.375</v>
      </c>
      <c r="V38" s="192"/>
      <c r="W38" s="193">
        <f t="shared" si="17"/>
        <v>60.000000000000504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3"/>
        <v>-287.00000000001091</v>
      </c>
      <c r="AG38" s="195">
        <f t="shared" si="34"/>
        <v>0.81661341853034441</v>
      </c>
      <c r="AH38" s="443">
        <f>AG48</f>
        <v>0.89355896145496072</v>
      </c>
    </row>
    <row r="39" spans="1:34" ht="15" customHeight="1">
      <c r="A39" s="435"/>
      <c r="B39" s="75" t="s">
        <v>123</v>
      </c>
      <c r="C39" s="197"/>
      <c r="D39" s="198" t="s">
        <v>128</v>
      </c>
      <c r="E39" s="176"/>
      <c r="F39" s="75">
        <f>VLOOKUP(D39,廠價表!$C$1:$E$41,3,0)</f>
        <v>44.3</v>
      </c>
      <c r="G39" s="199">
        <v>3724</v>
      </c>
      <c r="H39" s="91">
        <f>F39*G39</f>
        <v>164973.19999999998</v>
      </c>
      <c r="I39" s="200"/>
      <c r="J39" s="148">
        <f>VLOOKUP(D39,產線配置圖!$A$3:$C$39,2,0)</f>
        <v>17</v>
      </c>
      <c r="K39" s="95">
        <f>VLOOKUP(D39,產線配置圖!$A$3:$C$39,3,0)</f>
        <v>1440</v>
      </c>
      <c r="L39" s="96">
        <f t="shared" si="35"/>
        <v>84.705882352941174</v>
      </c>
      <c r="M39" s="201">
        <v>16</v>
      </c>
      <c r="N39" s="202">
        <f>G39/W39*60</f>
        <v>1337.9640718562871</v>
      </c>
      <c r="O39" s="203">
        <f t="shared" ref="O39:O40" si="38">N39/M39</f>
        <v>83.622754491017943</v>
      </c>
      <c r="P39" s="97">
        <f t="shared" si="36"/>
        <v>-1</v>
      </c>
      <c r="Q39" s="98">
        <f t="shared" si="37"/>
        <v>-1.0831278619232307</v>
      </c>
      <c r="R39" s="99">
        <f t="shared" si="32"/>
        <v>0.98721307385229518</v>
      </c>
      <c r="S39" s="438"/>
      <c r="T39" s="20">
        <v>0.38055555555555554</v>
      </c>
      <c r="U39" s="20">
        <v>0.49652777777777779</v>
      </c>
      <c r="V39" s="92">
        <f>(T39-U38)*24*60</f>
        <v>7.9999999999999716</v>
      </c>
      <c r="W39" s="205">
        <f t="shared" si="17"/>
        <v>167.00000000000006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3"/>
        <v>-102.03592814371291</v>
      </c>
      <c r="AG39" s="206">
        <f t="shared" si="34"/>
        <v>0.92914171656686606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f>2596+274</f>
        <v>2870</v>
      </c>
      <c r="H40" s="91">
        <f>F40*G40</f>
        <v>127140.99999999999</v>
      </c>
      <c r="I40" s="200"/>
      <c r="J40" s="148">
        <f>VLOOKUP(D40,產線配置圖!$A$3:$C$39,2,0)</f>
        <v>17</v>
      </c>
      <c r="K40" s="95">
        <f>VLOOKUP(D40,產線配置圖!$A$3:$C$39,3,0)</f>
        <v>1440</v>
      </c>
      <c r="L40" s="96">
        <f t="shared" si="35"/>
        <v>84.705882352941174</v>
      </c>
      <c r="M40" s="201">
        <v>17</v>
      </c>
      <c r="N40" s="202">
        <f>G40/W40*60</f>
        <v>1355.905511811025</v>
      </c>
      <c r="O40" s="203">
        <f t="shared" si="38"/>
        <v>79.759147753589701</v>
      </c>
      <c r="P40" s="97">
        <f t="shared" si="36"/>
        <v>0</v>
      </c>
      <c r="Q40" s="98">
        <f t="shared" si="37"/>
        <v>-4.9467345993514726</v>
      </c>
      <c r="R40" s="99">
        <f t="shared" si="32"/>
        <v>0.94160104986876736</v>
      </c>
      <c r="S40" s="425"/>
      <c r="T40" s="20">
        <v>0.55208333333333337</v>
      </c>
      <c r="U40" s="20">
        <v>0.64027777777777772</v>
      </c>
      <c r="V40" s="92">
        <f>(T40-U39)*24*60</f>
        <v>80.000000000000028</v>
      </c>
      <c r="W40" s="205">
        <f t="shared" si="17"/>
        <v>126.99999999999987</v>
      </c>
      <c r="X40" s="22">
        <v>0.49305555555555602</v>
      </c>
      <c r="Y40" s="84">
        <v>0.53472222222222199</v>
      </c>
      <c r="Z40" s="337"/>
      <c r="AA40" s="337"/>
      <c r="AB40" s="395"/>
      <c r="AC40" s="395"/>
      <c r="AD40" s="92"/>
      <c r="AE40" s="92"/>
      <c r="AF40" s="314">
        <f t="shared" si="33"/>
        <v>-84.094488188974992</v>
      </c>
      <c r="AG40" s="206">
        <f t="shared" si="34"/>
        <v>0.94160104986876736</v>
      </c>
      <c r="AH40" s="444"/>
    </row>
    <row r="41" spans="1:34" ht="15" customHeight="1">
      <c r="A41" s="43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5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95"/>
      <c r="AC41" s="395"/>
      <c r="AD41" s="92"/>
      <c r="AE41" s="92"/>
      <c r="AF41" s="314"/>
      <c r="AG41" s="206"/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9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9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9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30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9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40">AVERAGE(J38:J47)</f>
        <v>16.333333333333332</v>
      </c>
      <c r="K48" s="155">
        <f t="shared" si="40"/>
        <v>1481.6666666666667</v>
      </c>
      <c r="L48" s="158">
        <f t="shared" si="40"/>
        <v>91.248366013071902</v>
      </c>
      <c r="M48" s="155">
        <f t="shared" si="40"/>
        <v>15.333333333333334</v>
      </c>
      <c r="N48" s="155">
        <f t="shared" si="40"/>
        <v>1323.9565278891002</v>
      </c>
      <c r="O48" s="158">
        <f t="shared" si="40"/>
        <v>87.229864850766376</v>
      </c>
      <c r="P48" s="221">
        <f>M48-J48</f>
        <v>-0.99999999999999822</v>
      </c>
      <c r="Q48" s="222">
        <f>N48-K48</f>
        <v>-157.7101387775665</v>
      </c>
      <c r="R48" s="223">
        <f>O48/L48</f>
        <v>0.95596084250177316</v>
      </c>
      <c r="S48" s="428"/>
      <c r="T48" s="224"/>
      <c r="U48" s="224"/>
      <c r="V48" s="225"/>
      <c r="W48" s="226">
        <f t="shared" si="39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1" si="41">N48-K48</f>
        <v>-157.7101387775665</v>
      </c>
      <c r="AG48" s="162">
        <f t="shared" ref="AG48:AG51" si="42">N48/K48</f>
        <v>0.89355896145496072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VLOOKUP(D49,廠價表!$C$1:$E$41,3,0)</f>
        <v>47.71</v>
      </c>
      <c r="G49" s="228">
        <v>2436</v>
      </c>
      <c r="H49" s="134">
        <f>F49*G49</f>
        <v>116221.56</v>
      </c>
      <c r="I49" s="135"/>
      <c r="J49" s="136">
        <v>15</v>
      </c>
      <c r="K49" s="137">
        <v>1636</v>
      </c>
      <c r="L49" s="138">
        <f t="shared" ref="L49:L51" si="43">K49/J49</f>
        <v>109.06666666666666</v>
      </c>
      <c r="M49" s="170">
        <v>15</v>
      </c>
      <c r="N49" s="140">
        <f>G49/W49*60</f>
        <v>1606.1538461538548</v>
      </c>
      <c r="O49" s="141">
        <f>N49/M49</f>
        <v>107.07692307692365</v>
      </c>
      <c r="P49" s="229">
        <f>M49-J49</f>
        <v>0</v>
      </c>
      <c r="Q49" s="230">
        <f>O49-L49</f>
        <v>-1.9897435897430142</v>
      </c>
      <c r="R49" s="52">
        <f>O49/L49</f>
        <v>0.98175662967839539</v>
      </c>
      <c r="S49" s="424">
        <f>R58</f>
        <v>0.97869067279691968</v>
      </c>
      <c r="T49" s="191">
        <v>0.29166666666666702</v>
      </c>
      <c r="U49" s="191">
        <v>0.35486111111111113</v>
      </c>
      <c r="V49" s="55"/>
      <c r="W49" s="193">
        <f t="shared" si="17"/>
        <v>90.999999999999517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41"/>
        <v>-29.846153846145171</v>
      </c>
      <c r="AG49" s="52">
        <f t="shared" si="42"/>
        <v>0.98175662967839539</v>
      </c>
      <c r="AH49" s="403">
        <f>AG58</f>
        <v>0.94500096876021478</v>
      </c>
    </row>
    <row r="50" spans="1:34" ht="15" customHeight="1">
      <c r="A50" s="453"/>
      <c r="B50" s="75" t="s">
        <v>81</v>
      </c>
      <c r="C50" s="76"/>
      <c r="D50" s="59" t="s">
        <v>131</v>
      </c>
      <c r="E50" s="77"/>
      <c r="F50" s="75">
        <f>VLOOKUP(D50,廠價表!$C$1:$E$41,3,0)</f>
        <v>49.97</v>
      </c>
      <c r="G50" s="202">
        <v>3830</v>
      </c>
      <c r="H50" s="231">
        <f>F50*G50</f>
        <v>191385.1</v>
      </c>
      <c r="I50" s="232"/>
      <c r="J50" s="79">
        <v>15</v>
      </c>
      <c r="K50" s="80">
        <v>1714</v>
      </c>
      <c r="L50" s="81">
        <f t="shared" si="43"/>
        <v>114.26666666666667</v>
      </c>
      <c r="M50" s="233">
        <v>14</v>
      </c>
      <c r="N50" s="234">
        <f>G50/W50*60</f>
        <v>1595.8333333333389</v>
      </c>
      <c r="O50" s="235">
        <f>N50/M50</f>
        <v>113.98809523809564</v>
      </c>
      <c r="P50" s="74">
        <f>M50-J50</f>
        <v>-1</v>
      </c>
      <c r="Q50" s="83">
        <f>O50-L50</f>
        <v>-0.27857142857102701</v>
      </c>
      <c r="R50" s="72">
        <f>O50/L50</f>
        <v>0.99756209368228388</v>
      </c>
      <c r="S50" s="425"/>
      <c r="T50" s="21">
        <v>0.360416666666667</v>
      </c>
      <c r="U50" s="21">
        <v>0.46041666666666664</v>
      </c>
      <c r="V50" s="30">
        <f t="shared" ref="V50:V52" si="44">(T50-U49)*24*60</f>
        <v>8.0000000000004512</v>
      </c>
      <c r="W50" s="236">
        <f t="shared" si="17"/>
        <v>143.99999999999949</v>
      </c>
      <c r="X50" s="22">
        <v>0.47916666666666702</v>
      </c>
      <c r="Y50" s="84">
        <v>0.52083333333333304</v>
      </c>
      <c r="Z50" s="90"/>
      <c r="AA50" s="90"/>
      <c r="AB50" s="395"/>
      <c r="AC50" s="395"/>
      <c r="AD50" s="92"/>
      <c r="AE50" s="92"/>
      <c r="AF50" s="307">
        <f t="shared" si="41"/>
        <v>-118.16666666666106</v>
      </c>
      <c r="AG50" s="72">
        <f t="shared" si="42"/>
        <v>0.93105795410346492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1180</v>
      </c>
      <c r="H51" s="231">
        <f>F51*G51</f>
        <v>58964.6</v>
      </c>
      <c r="I51" s="232"/>
      <c r="J51" s="79">
        <v>15</v>
      </c>
      <c r="K51" s="80">
        <v>1714</v>
      </c>
      <c r="L51" s="81">
        <f t="shared" si="43"/>
        <v>114.26666666666667</v>
      </c>
      <c r="M51" s="233">
        <v>14</v>
      </c>
      <c r="N51" s="234">
        <f>G51/W51*60</f>
        <v>1573.3333333333333</v>
      </c>
      <c r="O51" s="235">
        <f>N51/M51</f>
        <v>112.38095238095238</v>
      </c>
      <c r="P51" s="74">
        <f>M51-J51</f>
        <v>-1</v>
      </c>
      <c r="Q51" s="83">
        <f>O51-L51</f>
        <v>-1.8857142857142861</v>
      </c>
      <c r="R51" s="72">
        <f>O51/L51</f>
        <v>0.98349724954159023</v>
      </c>
      <c r="S51" s="425"/>
      <c r="T51" s="21">
        <v>0.52083333333333337</v>
      </c>
      <c r="U51" s="19">
        <v>0.55208333333333337</v>
      </c>
      <c r="V51" s="30">
        <f t="shared" si="44"/>
        <v>87.000000000000085</v>
      </c>
      <c r="W51" s="236">
        <f t="shared" si="17"/>
        <v>45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41"/>
        <v>-140.66666666666674</v>
      </c>
      <c r="AG51" s="72">
        <f t="shared" si="42"/>
        <v>0.91793076623881753</v>
      </c>
      <c r="AH51" s="404"/>
    </row>
    <row r="52" spans="1:34" ht="15" customHeight="1">
      <c r="A52" s="453"/>
      <c r="B52" s="75" t="s">
        <v>123</v>
      </c>
      <c r="C52" s="86"/>
      <c r="D52" s="59" t="s">
        <v>127</v>
      </c>
      <c r="E52" s="87"/>
      <c r="F52" s="75">
        <f>VLOOKUP(D52,廠價表!$C$1:$E$41,3,0)</f>
        <v>49.91</v>
      </c>
      <c r="G52" s="202">
        <v>1092</v>
      </c>
      <c r="H52" s="231">
        <f>F52*G52</f>
        <v>54501.719999999994</v>
      </c>
      <c r="I52" s="232"/>
      <c r="J52" s="79">
        <v>14</v>
      </c>
      <c r="K52" s="80">
        <f>VLOOKUP(D52,產線配置圖!$A$3:$C$39,3,0)</f>
        <v>1565</v>
      </c>
      <c r="L52" s="81">
        <f>K52/J52</f>
        <v>111.78571428571429</v>
      </c>
      <c r="M52" s="233">
        <v>14</v>
      </c>
      <c r="N52" s="234">
        <f>G52/W52*60</f>
        <v>1489.0909090909361</v>
      </c>
      <c r="O52" s="235">
        <f>N52/M52</f>
        <v>106.36363636363829</v>
      </c>
      <c r="P52" s="74">
        <f>M52-J52</f>
        <v>0</v>
      </c>
      <c r="Q52" s="83">
        <f>O52-L52</f>
        <v>-5.4220779220759994</v>
      </c>
      <c r="R52" s="72">
        <f>O52/L52</f>
        <v>0.95149578855650863</v>
      </c>
      <c r="S52" s="425"/>
      <c r="T52" s="21">
        <v>0.56041666666666701</v>
      </c>
      <c r="U52" s="21">
        <v>0.59097222222222201</v>
      </c>
      <c r="V52" s="30">
        <f t="shared" si="44"/>
        <v>12.000000000000437</v>
      </c>
      <c r="W52" s="236">
        <f t="shared" si="17"/>
        <v>43.999999999999204</v>
      </c>
      <c r="X52" s="22"/>
      <c r="Y52" s="84"/>
      <c r="Z52" s="90"/>
      <c r="AA52" s="90"/>
      <c r="AB52" s="395"/>
      <c r="AC52" s="395"/>
      <c r="AD52" s="92"/>
      <c r="AE52" s="92"/>
      <c r="AF52" s="307"/>
      <c r="AG52" s="72"/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95"/>
      <c r="AC53" s="395"/>
      <c r="AD53" s="92"/>
      <c r="AE53" s="92"/>
      <c r="AF53" s="307"/>
      <c r="AG53" s="72"/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5">AVERAGE(J49:J57)</f>
        <v>14.75</v>
      </c>
      <c r="K58" s="120">
        <f t="shared" si="45"/>
        <v>1657.25</v>
      </c>
      <c r="L58" s="117">
        <f t="shared" si="45"/>
        <v>112.34642857142856</v>
      </c>
      <c r="M58" s="120">
        <f t="shared" si="45"/>
        <v>14.25</v>
      </c>
      <c r="N58" s="120">
        <f t="shared" si="45"/>
        <v>1566.1028554778659</v>
      </c>
      <c r="O58" s="117">
        <f t="shared" si="45"/>
        <v>109.9524017649025</v>
      </c>
      <c r="P58" s="121">
        <f>M58-J58</f>
        <v>-0.5</v>
      </c>
      <c r="Q58" s="122">
        <f>N58-K58</f>
        <v>-91.147144522134113</v>
      </c>
      <c r="R58" s="123">
        <f t="shared" ref="R58:R60" si="46">O58/L58</f>
        <v>0.97869067279691968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47">N58-K58</f>
        <v>-91.147144522134113</v>
      </c>
      <c r="AG58" s="124">
        <f t="shared" ref="AG58:AG61" si="48">N58/K58</f>
        <v>0.94500096876021478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3483</v>
      </c>
      <c r="H59" s="243">
        <f>F59*G59</f>
        <v>94006.17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49">K59/J59</f>
        <v>120.38461538461539</v>
      </c>
      <c r="M59" s="244">
        <v>12</v>
      </c>
      <c r="N59" s="137">
        <f t="shared" ref="N59:N61" si="50">G59/W59*60</f>
        <v>1441.2413793103515</v>
      </c>
      <c r="O59" s="138">
        <f t="shared" ref="O59:O61" si="51">N59/M59</f>
        <v>120.10344827586262</v>
      </c>
      <c r="P59" s="56">
        <f t="shared" ref="P59:P61" si="52">M59-J59</f>
        <v>-1</v>
      </c>
      <c r="Q59" s="230">
        <f t="shared" ref="Q59:Q61" si="53">O59-L59</f>
        <v>-0.28116710875276851</v>
      </c>
      <c r="R59" s="52">
        <f t="shared" si="46"/>
        <v>0.99766442657266075</v>
      </c>
      <c r="S59" s="424">
        <f>R69</f>
        <v>0.9300847138226781</v>
      </c>
      <c r="T59" s="245">
        <v>0.29166666666666702</v>
      </c>
      <c r="U59" s="245">
        <v>0.39236111111111099</v>
      </c>
      <c r="V59" s="55"/>
      <c r="W59" s="54">
        <f t="shared" si="17"/>
        <v>144.99999999999932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47"/>
        <v>-123.75862068964852</v>
      </c>
      <c r="AG59" s="246">
        <f t="shared" si="48"/>
        <v>0.92092100914399455</v>
      </c>
      <c r="AH59" s="403">
        <f>AG69</f>
        <v>0.85629782798451148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1546</v>
      </c>
      <c r="H60" s="78">
        <f>F60*G60</f>
        <v>43689.96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9"/>
        <v>130.41666666666666</v>
      </c>
      <c r="M60" s="82">
        <v>11</v>
      </c>
      <c r="N60" s="80">
        <f t="shared" si="50"/>
        <v>1427.0769230769388</v>
      </c>
      <c r="O60" s="81">
        <f t="shared" si="51"/>
        <v>129.73426573426715</v>
      </c>
      <c r="P60" s="74">
        <f t="shared" si="52"/>
        <v>-1</v>
      </c>
      <c r="Q60" s="83">
        <f t="shared" si="53"/>
        <v>-0.68240093239950284</v>
      </c>
      <c r="R60" s="72">
        <f t="shared" si="46"/>
        <v>0.99476753278671304</v>
      </c>
      <c r="S60" s="451"/>
      <c r="T60" s="22">
        <v>0.39930555555555558</v>
      </c>
      <c r="U60" s="22">
        <v>0.44444444444444398</v>
      </c>
      <c r="V60" s="30">
        <f t="shared" ref="V60:V61" si="54">(T60-U59)*24*60</f>
        <v>10.000000000000204</v>
      </c>
      <c r="W60" s="248">
        <f t="shared" si="17"/>
        <v>64.999999999999289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47"/>
        <v>-137.92307692306122</v>
      </c>
      <c r="AG60" s="249">
        <f t="shared" si="48"/>
        <v>0.91187023838782033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1536</v>
      </c>
      <c r="H61" s="254">
        <f>F61*G61</f>
        <v>43407.360000000001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9"/>
        <v>130.41666666666666</v>
      </c>
      <c r="M61" s="108">
        <v>11</v>
      </c>
      <c r="N61" s="107">
        <f t="shared" si="50"/>
        <v>1151.9999999999914</v>
      </c>
      <c r="O61" s="238">
        <f t="shared" si="51"/>
        <v>104.72727272727194</v>
      </c>
      <c r="P61" s="111">
        <f t="shared" si="52"/>
        <v>-1</v>
      </c>
      <c r="Q61" s="255">
        <f t="shared" si="53"/>
        <v>-25.689393939394719</v>
      </c>
      <c r="R61" s="85">
        <f>O61/L61</f>
        <v>0.80302062155096698</v>
      </c>
      <c r="S61" s="425"/>
      <c r="T61" s="22">
        <v>0.45486111111111099</v>
      </c>
      <c r="U61" s="22">
        <v>0.51041666666666696</v>
      </c>
      <c r="V61" s="30">
        <f t="shared" si="54"/>
        <v>15.000000000000506</v>
      </c>
      <c r="W61" s="256">
        <f t="shared" si="17"/>
        <v>80.000000000000597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47"/>
        <v>-413.00000000000864</v>
      </c>
      <c r="AG61" s="247">
        <f t="shared" si="48"/>
        <v>0.73610223642171968</v>
      </c>
      <c r="AH61" s="404"/>
    </row>
    <row r="62" spans="1:34" ht="15" customHeight="1">
      <c r="A62" s="44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5"/>
      <c r="T62" s="22"/>
      <c r="U62" s="22"/>
      <c r="V62" s="30"/>
      <c r="W62" s="248">
        <f t="shared" si="17"/>
        <v>0</v>
      </c>
      <c r="X62" s="22"/>
      <c r="Y62" s="84"/>
      <c r="Z62" s="90"/>
      <c r="AA62" s="90"/>
      <c r="AB62" s="395"/>
      <c r="AC62" s="395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5">AVERAGE(J59:J68)</f>
        <v>12.333333333333334</v>
      </c>
      <c r="K69" s="240">
        <f t="shared" si="55"/>
        <v>1565</v>
      </c>
      <c r="L69" s="268">
        <f t="shared" si="55"/>
        <v>127.07264957264958</v>
      </c>
      <c r="M69" s="240">
        <f t="shared" si="55"/>
        <v>11.333333333333334</v>
      </c>
      <c r="N69" s="240">
        <f t="shared" si="55"/>
        <v>1340.1061007957605</v>
      </c>
      <c r="O69" s="268">
        <f t="shared" si="55"/>
        <v>118.18832891246724</v>
      </c>
      <c r="P69" s="269">
        <f>M69-J69</f>
        <v>-1</v>
      </c>
      <c r="Q69" s="222">
        <f>N69-K69</f>
        <v>-224.89389920423946</v>
      </c>
      <c r="R69" s="123">
        <f>O69/L69</f>
        <v>0.9300847138226781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-224.89389920423946</v>
      </c>
      <c r="AG69" s="124">
        <f>N69/K69</f>
        <v>0.85629782798451148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1616</v>
      </c>
      <c r="H70" s="243">
        <f>F70*G70</f>
        <v>81882.720000000001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10</v>
      </c>
      <c r="N70" s="137">
        <f>G70/W70*60</f>
        <v>923.42857142857747</v>
      </c>
      <c r="O70" s="138">
        <f>N70/M70</f>
        <v>92.342857142857753</v>
      </c>
      <c r="P70" s="56">
        <f>M70-J70</f>
        <v>0</v>
      </c>
      <c r="Q70" s="230">
        <f>O70-L70</f>
        <v>-20.157142857142247</v>
      </c>
      <c r="R70" s="52">
        <f>O70/L70</f>
        <v>0.82082539682540223</v>
      </c>
      <c r="S70" s="424">
        <f>R79</f>
        <v>0.84420693639748701</v>
      </c>
      <c r="T70" s="245">
        <v>0.33680555555555602</v>
      </c>
      <c r="U70" s="245">
        <v>0.40972222222222221</v>
      </c>
      <c r="V70" s="55"/>
      <c r="W70" s="54">
        <f t="shared" si="17"/>
        <v>104.9999999999993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-201.57142857142253</v>
      </c>
      <c r="AG70" s="246">
        <f>N70/K70</f>
        <v>0.82082539682540223</v>
      </c>
      <c r="AH70" s="403">
        <f>AG79</f>
        <v>0.74283783535296211</v>
      </c>
    </row>
    <row r="71" spans="1:36" ht="15" customHeight="1">
      <c r="A71" s="457"/>
      <c r="B71" s="75" t="s">
        <v>81</v>
      </c>
      <c r="C71" s="76"/>
      <c r="D71" s="59" t="s">
        <v>125</v>
      </c>
      <c r="E71" s="77"/>
      <c r="F71" s="250">
        <f>VLOOKUP(D71,廠價表!$C$1:$E$41,3,0)</f>
        <v>56.43</v>
      </c>
      <c r="G71" s="30">
        <v>1161</v>
      </c>
      <c r="H71" s="78">
        <f>F71*G71</f>
        <v>65515.23</v>
      </c>
      <c r="I71" s="232"/>
      <c r="J71" s="79">
        <f>VLOOKUP(D71,產線配置圖!$A$3:$C$39,2,0)</f>
        <v>16</v>
      </c>
      <c r="K71" s="80">
        <f>VLOOKUP(D71,產線配置圖!$A$3:$C$39,3,0)</f>
        <v>1406</v>
      </c>
      <c r="L71" s="81">
        <f t="shared" ref="L71:L72" si="56">K71/J71</f>
        <v>87.875</v>
      </c>
      <c r="M71" s="82">
        <v>11</v>
      </c>
      <c r="N71" s="80">
        <f t="shared" ref="N71:N72" si="57">G71/W71*60</f>
        <v>819.52941176470574</v>
      </c>
      <c r="O71" s="81">
        <f t="shared" ref="O71:O72" si="58">N71/M71</f>
        <v>74.502673796791427</v>
      </c>
      <c r="P71" s="74">
        <f t="shared" ref="P71:P72" si="59">M71-J71</f>
        <v>-5</v>
      </c>
      <c r="Q71" s="83">
        <f t="shared" ref="Q71:Q72" si="60">O71-L71</f>
        <v>-13.372326203208573</v>
      </c>
      <c r="R71" s="72">
        <f>O71/L71</f>
        <v>0.84782559085964637</v>
      </c>
      <c r="S71" s="425"/>
      <c r="T71" s="22">
        <v>0.4201388888888889</v>
      </c>
      <c r="U71" s="22">
        <v>0.47916666666666669</v>
      </c>
      <c r="V71" s="30">
        <f t="shared" ref="V71:V72" si="61">(T71-U70)*24*60</f>
        <v>15.000000000000027</v>
      </c>
      <c r="W71" s="73">
        <f t="shared" si="17"/>
        <v>85.000000000000014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 t="s">
        <v>81</v>
      </c>
      <c r="C72" s="76"/>
      <c r="D72" s="59" t="s">
        <v>136</v>
      </c>
      <c r="E72" s="77"/>
      <c r="F72" s="250">
        <f>VLOOKUP(D72,廠價表!$C$1:$E$41,3,0)</f>
        <v>50.67</v>
      </c>
      <c r="G72" s="202">
        <v>1135</v>
      </c>
      <c r="H72" s="361">
        <f>F72*G72</f>
        <v>57510.450000000004</v>
      </c>
      <c r="I72" s="232"/>
      <c r="J72" s="106">
        <f>VLOOKUP(D72,產線配置圖!$A$3:$C$39,2,0)</f>
        <v>10</v>
      </c>
      <c r="K72" s="107">
        <f>VLOOKUP(D72,產線配置圖!$A$3:$C$39,3,0)</f>
        <v>1125</v>
      </c>
      <c r="L72" s="238">
        <f t="shared" si="56"/>
        <v>112.5</v>
      </c>
      <c r="M72" s="82">
        <v>10</v>
      </c>
      <c r="N72" s="107">
        <f t="shared" si="57"/>
        <v>972.8571428571463</v>
      </c>
      <c r="O72" s="238">
        <f t="shared" si="58"/>
        <v>97.285714285714633</v>
      </c>
      <c r="P72" s="111">
        <f t="shared" si="59"/>
        <v>0</v>
      </c>
      <c r="Q72" s="255">
        <f t="shared" si="60"/>
        <v>-15.214285714285367</v>
      </c>
      <c r="R72" s="85">
        <f>O72/L72</f>
        <v>0.86476190476190784</v>
      </c>
      <c r="S72" s="425"/>
      <c r="T72" s="22">
        <v>0.54861111111111105</v>
      </c>
      <c r="U72" s="22">
        <v>0.59722222222222199</v>
      </c>
      <c r="V72" s="30">
        <f t="shared" si="61"/>
        <v>99.999999999999886</v>
      </c>
      <c r="W72" s="73">
        <f t="shared" si="17"/>
        <v>69.999999999999744</v>
      </c>
      <c r="X72" s="272">
        <v>0.49305555555555602</v>
      </c>
      <c r="Y72" s="288">
        <v>0.53472222222222199</v>
      </c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2"/>
      <c r="U74" s="22"/>
      <c r="V74" s="30"/>
      <c r="W74" s="73">
        <f t="shared" si="17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62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62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62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62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63">AVERAGE(J70:J78)</f>
        <v>12</v>
      </c>
      <c r="K79" s="240">
        <f t="shared" si="63"/>
        <v>1218.6666666666667</v>
      </c>
      <c r="L79" s="268">
        <f t="shared" si="63"/>
        <v>104.29166666666667</v>
      </c>
      <c r="M79" s="240">
        <f t="shared" si="63"/>
        <v>10.333333333333334</v>
      </c>
      <c r="N79" s="240">
        <f t="shared" si="63"/>
        <v>905.2717086834765</v>
      </c>
      <c r="O79" s="268">
        <f t="shared" si="63"/>
        <v>88.04374840845459</v>
      </c>
      <c r="P79" s="269">
        <f>M79-J79</f>
        <v>-1.6666666666666661</v>
      </c>
      <c r="Q79" s="222">
        <f>N79-K79</f>
        <v>-313.39495798319024</v>
      </c>
      <c r="R79" s="223">
        <f>O79/L79</f>
        <v>0.84420693639748701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-313.39495798319024</v>
      </c>
      <c r="AG79" s="124">
        <f>N79/K79</f>
        <v>0.74283783535296211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4:AC64"/>
    <mergeCell ref="AB65:AC65"/>
    <mergeCell ref="AB66:AC66"/>
    <mergeCell ref="AB67:AC67"/>
    <mergeCell ref="AB68:AC68"/>
    <mergeCell ref="AB69:AC69"/>
    <mergeCell ref="D58:E58"/>
    <mergeCell ref="AB58:AC58"/>
    <mergeCell ref="A59:A69"/>
    <mergeCell ref="S59:S69"/>
    <mergeCell ref="AB59:AC59"/>
    <mergeCell ref="D69:E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F3:AF4"/>
    <mergeCell ref="AG3:AG4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W3:W4"/>
    <mergeCell ref="X3:Y3"/>
    <mergeCell ref="Z3:AA3"/>
    <mergeCell ref="AB13:AC13"/>
    <mergeCell ref="AD3:AE3"/>
    <mergeCell ref="P3:P4"/>
    <mergeCell ref="Q3:Q4"/>
    <mergeCell ref="R3:R4"/>
    <mergeCell ref="T3:U3"/>
    <mergeCell ref="V3:V4"/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</mergeCells>
  <phoneticPr fontId="0" type="noConversion"/>
  <conditionalFormatting sqref="P5:P79">
    <cfRule type="cellIs" dxfId="65" priority="1" operator="greaterThan">
      <formula>0</formula>
    </cfRule>
  </conditionalFormatting>
  <conditionalFormatting sqref="Q5:Q79 AF5:AF79">
    <cfRule type="cellIs" dxfId="64" priority="4" operator="lessThan">
      <formula>0</formula>
    </cfRule>
  </conditionalFormatting>
  <conditionalFormatting sqref="R5:R79 AG5:AG79">
    <cfRule type="cellIs" dxfId="63" priority="2" operator="greaterThan">
      <formula>1</formula>
    </cfRule>
    <cfRule type="cellIs" dxfId="62" priority="3" operator="lessThan">
      <formula>0.8</formula>
    </cfRule>
  </conditionalFormatting>
  <conditionalFormatting sqref="S5:S10 S37:S62 AH59:AH62 S69:S76 AH69:AH76">
    <cfRule type="cellIs" dxfId="61" priority="7" operator="lessThan">
      <formula>0.8</formula>
    </cfRule>
  </conditionalFormatting>
  <conditionalFormatting sqref="S19:S25 AH19:AH25">
    <cfRule type="cellIs" dxfId="60" priority="6" operator="lessThan">
      <formula>0.8</formula>
    </cfRule>
  </conditionalFormatting>
  <conditionalFormatting sqref="S79">
    <cfRule type="cellIs" dxfId="59" priority="5" operator="lessThan">
      <formula>0.8</formula>
    </cfRule>
  </conditionalFormatting>
  <conditionalFormatting sqref="AH5:AH8 S15:S16 AH15:AH16 AH49 AH79">
    <cfRule type="cellIs" dxfId="58" priority="9" operator="lessThan">
      <formula>0.8</formula>
    </cfRule>
  </conditionalFormatting>
  <conditionalFormatting sqref="AH27 S27:S28">
    <cfRule type="cellIs" dxfId="57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907B97-C777-46A9-B42B-ADFC11A4D769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8728-F586-498B-A7FA-74CDBF1B263F}">
  <dimension ref="B1:O26"/>
  <sheetViews>
    <sheetView zoomScale="70" zoomScaleNormal="70" workbookViewId="0">
      <selection activeCell="U61" sqref="U6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46079</v>
      </c>
      <c r="E3" s="493"/>
      <c r="F3" s="3" t="s">
        <v>72</v>
      </c>
      <c r="G3" s="494">
        <f>'0226'!E1</f>
        <v>45550</v>
      </c>
      <c r="H3" s="494"/>
      <c r="I3" s="3" t="s">
        <v>2</v>
      </c>
      <c r="J3" s="495">
        <f>'0226'!G1</f>
        <v>2162883.13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123.91867616510471</v>
      </c>
      <c r="G6" s="490"/>
      <c r="H6" s="491">
        <f>AVERAGE(D13:H13,J13)</f>
        <v>123.39301393051392</v>
      </c>
      <c r="I6" s="491"/>
      <c r="J6" s="491">
        <f>AVERAGE(I13)</f>
        <v>127.07264957264958</v>
      </c>
      <c r="K6" s="491"/>
      <c r="L6" s="497">
        <f>SUM(D18:J18)</f>
        <v>4</v>
      </c>
      <c r="M6" s="482">
        <f>SUM(D19:J19)</f>
        <v>40</v>
      </c>
      <c r="N6" s="498">
        <f>SUM(D20:J20)</f>
        <v>0</v>
      </c>
      <c r="O6" s="482">
        <f>SUM(D20:J20)</f>
        <v>0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113.52026885450813</v>
      </c>
      <c r="G7" s="479"/>
      <c r="H7" s="480">
        <f>AVERAGE(D14:H14,J14)</f>
        <v>113.03779747607668</v>
      </c>
      <c r="I7" s="480"/>
      <c r="J7" s="480">
        <f>AVERAGE(I14)</f>
        <v>116.41509712509681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0.91608684314265809</v>
      </c>
      <c r="G8" s="485"/>
      <c r="H8" s="485">
        <f>H7/H6</f>
        <v>0.91607939441151376</v>
      </c>
      <c r="I8" s="485"/>
      <c r="J8" s="485">
        <f>J7/J6</f>
        <v>0.91613024137456367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VALUE('0226'!L15)</f>
        <v>150.77724358974356</v>
      </c>
      <c r="E13" s="13">
        <f>VALUE('0226'!L26)</f>
        <v>176.42992424242425</v>
      </c>
      <c r="F13" s="13">
        <f>VALUE('0226'!L37)</f>
        <v>103.29258241758242</v>
      </c>
      <c r="G13" s="13">
        <f>VALUE('0226'!L48)</f>
        <v>97.166666666666657</v>
      </c>
      <c r="H13" s="13">
        <f>VALUE('0226'!L58)</f>
        <v>108.39999999999999</v>
      </c>
      <c r="I13" s="13">
        <f>VALUE('0226'!L69)</f>
        <v>127.07264957264958</v>
      </c>
      <c r="J13" s="13">
        <f>'0226'!L79</f>
        <v>104.29166666666667</v>
      </c>
    </row>
    <row r="14" spans="2:15" ht="39.950000000000003" customHeight="1">
      <c r="B14" s="473"/>
      <c r="C14" s="12" t="s">
        <v>100</v>
      </c>
      <c r="D14" s="13">
        <f>VALUE('0226'!O15)</f>
        <v>134.54234719528969</v>
      </c>
      <c r="E14" s="13">
        <f>VALUE('0226'!O26)</f>
        <v>165.75320634830209</v>
      </c>
      <c r="F14" s="13">
        <f>VALUE('0226'!O37)</f>
        <v>88.070190663735161</v>
      </c>
      <c r="G14" s="13">
        <f>VALUE('0226'!O48)</f>
        <v>95.856271777004352</v>
      </c>
      <c r="H14" s="13">
        <f>VALUE('0226'!O58)</f>
        <v>103.72766819502816</v>
      </c>
      <c r="I14" s="13">
        <f>VALUE('0226'!O69)</f>
        <v>116.41509712509681</v>
      </c>
      <c r="J14" s="13">
        <f>'0226'!O79</f>
        <v>90.277100677100648</v>
      </c>
    </row>
    <row r="15" spans="2:15" ht="39.950000000000003" customHeight="1">
      <c r="B15" s="474"/>
      <c r="C15" s="10" t="s">
        <v>26</v>
      </c>
      <c r="D15" s="14">
        <f>D14/D13</f>
        <v>0.89232528723878179</v>
      </c>
      <c r="E15" s="14">
        <f t="shared" ref="E15:I15" si="1">E14/E13</f>
        <v>0.93948465409160542</v>
      </c>
      <c r="F15" s="14">
        <f t="shared" si="1"/>
        <v>0.85262841341009876</v>
      </c>
      <c r="G15" s="14">
        <f t="shared" si="1"/>
        <v>0.98651394624704314</v>
      </c>
      <c r="H15" s="14">
        <f t="shared" si="1"/>
        <v>0.95689730807221551</v>
      </c>
      <c r="I15" s="14">
        <f t="shared" si="1"/>
        <v>0.91613024137456367</v>
      </c>
      <c r="J15" s="15">
        <f>'0226'!S70</f>
        <v>0.86562142079521198</v>
      </c>
    </row>
    <row r="16" spans="2:15" ht="17.25" customHeight="1">
      <c r="B16" s="475" t="s">
        <v>101</v>
      </c>
      <c r="C16" s="10" t="s">
        <v>34</v>
      </c>
      <c r="D16" s="16">
        <f>'0226'!T5</f>
        <v>0.29166666666666702</v>
      </c>
      <c r="E16" s="16">
        <f>'0226'!T16</f>
        <v>0.29097222222222202</v>
      </c>
      <c r="F16" s="16">
        <f>'0226'!T27</f>
        <v>0.2902777777777778</v>
      </c>
      <c r="G16" s="16">
        <f>'0226'!T38</f>
        <v>0.33680555555555602</v>
      </c>
      <c r="H16" s="16">
        <f>'0226'!T49</f>
        <v>0.28958333333333303</v>
      </c>
      <c r="I16" s="16">
        <f>'0226'!T59</f>
        <v>0.29166666666666702</v>
      </c>
      <c r="J16" s="16">
        <f>'0226'!T70</f>
        <v>0.33333333333333298</v>
      </c>
    </row>
    <row r="17" spans="2:10" ht="17.25" customHeight="1">
      <c r="B17" s="476"/>
      <c r="C17" s="10" t="s">
        <v>35</v>
      </c>
      <c r="D17" s="16">
        <v>0.5625</v>
      </c>
      <c r="E17" s="19">
        <v>0.57291666666666696</v>
      </c>
      <c r="F17" s="19">
        <v>0.63611111111111096</v>
      </c>
      <c r="G17" s="20">
        <v>0.5</v>
      </c>
      <c r="H17" s="21">
        <v>0.59166666666666667</v>
      </c>
      <c r="I17" s="22">
        <v>0.49305555555555602</v>
      </c>
      <c r="J17" s="22">
        <v>0.59375</v>
      </c>
    </row>
    <row r="18" spans="2:10" ht="17.25" customHeight="1">
      <c r="B18" s="477" t="s">
        <v>102</v>
      </c>
      <c r="C18" s="330" t="s">
        <v>36</v>
      </c>
      <c r="D18" s="358">
        <f>'0226'!Z15</f>
        <v>1</v>
      </c>
      <c r="E18" s="359">
        <f>'0226'!Z26</f>
        <v>0</v>
      </c>
      <c r="F18" s="359">
        <f>'0226'!Z37</f>
        <v>3</v>
      </c>
      <c r="G18" s="360">
        <f>'0226'!Z48</f>
        <v>0</v>
      </c>
      <c r="H18" s="360">
        <f>'0226'!Z58</f>
        <v>0</v>
      </c>
      <c r="I18" s="359">
        <f>'0226'!Z69</f>
        <v>0</v>
      </c>
      <c r="J18" s="359">
        <f>'0226'!AA79</f>
        <v>0</v>
      </c>
    </row>
    <row r="19" spans="2:10" ht="17.25" customHeight="1">
      <c r="B19" s="478"/>
      <c r="C19" s="330" t="s">
        <v>37</v>
      </c>
      <c r="D19" s="358">
        <f>'0226'!AA15</f>
        <v>21</v>
      </c>
      <c r="E19" s="359">
        <f>'0226'!AA26</f>
        <v>0</v>
      </c>
      <c r="F19" s="359">
        <f>'0226'!AA37</f>
        <v>19</v>
      </c>
      <c r="G19" s="360">
        <f>'0226'!AA48</f>
        <v>0</v>
      </c>
      <c r="H19" s="360">
        <f>'0226'!AA58</f>
        <v>0</v>
      </c>
      <c r="I19" s="359">
        <f>'0226'!AA69</f>
        <v>0</v>
      </c>
      <c r="J19" s="359">
        <f>'0226'!AB79</f>
        <v>0</v>
      </c>
    </row>
    <row r="20" spans="2:10" ht="17.25" customHeight="1">
      <c r="B20" s="477" t="s">
        <v>103</v>
      </c>
      <c r="C20" s="330" t="s">
        <v>36</v>
      </c>
      <c r="D20" s="358">
        <f>'0226'!AD15</f>
        <v>0</v>
      </c>
      <c r="E20" s="359">
        <f>'0226'!AD26</f>
        <v>0</v>
      </c>
      <c r="F20" s="359">
        <f>'0226'!AD37</f>
        <v>0</v>
      </c>
      <c r="G20" s="360">
        <f>'0226'!AD48</f>
        <v>0</v>
      </c>
      <c r="H20" s="360">
        <f>'0226'!AD58</f>
        <v>0</v>
      </c>
      <c r="I20" s="359">
        <f>'0226'!AD69</f>
        <v>0</v>
      </c>
      <c r="J20" s="359">
        <f>'0226'!AD79</f>
        <v>0</v>
      </c>
    </row>
    <row r="21" spans="2:10" ht="17.25" customHeight="1">
      <c r="B21" s="478"/>
      <c r="C21" s="330" t="s">
        <v>85</v>
      </c>
      <c r="D21" s="358">
        <f>'0226'!AE15</f>
        <v>0</v>
      </c>
      <c r="E21" s="359">
        <f>'0226'!AE26</f>
        <v>0</v>
      </c>
      <c r="F21" s="359">
        <f>'0226'!AE37</f>
        <v>0</v>
      </c>
      <c r="G21" s="360">
        <f>'0226'!AE48</f>
        <v>0</v>
      </c>
      <c r="H21" s="360">
        <f>'0226'!AE58</f>
        <v>0</v>
      </c>
      <c r="I21" s="359">
        <f>'0226'!AE69</f>
        <v>0</v>
      </c>
      <c r="J21" s="359">
        <f>'0226'!AE79</f>
        <v>0</v>
      </c>
    </row>
    <row r="22" spans="2:10" ht="17.25" customHeight="1">
      <c r="B22" s="460" t="s">
        <v>104</v>
      </c>
      <c r="C22" s="461"/>
      <c r="D22" s="23">
        <f>VALUE('0226'!M15)</f>
        <v>13.25</v>
      </c>
      <c r="E22" s="23">
        <f>VALUE('0226'!M26)</f>
        <v>11.5</v>
      </c>
      <c r="F22" s="23">
        <f>VALUE('0226'!M37)</f>
        <v>12.75</v>
      </c>
      <c r="G22" s="23">
        <f>VALUE('0226'!M48)</f>
        <v>12.5</v>
      </c>
      <c r="H22" s="23">
        <f>VALUE('0226'!M58)</f>
        <v>12.5</v>
      </c>
      <c r="I22" s="23">
        <f>VALUE('0226'!M69)</f>
        <v>12</v>
      </c>
      <c r="J22" s="23">
        <f>'0226'!M79</f>
        <v>10.333333333333334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F8:G8"/>
    <mergeCell ref="H8:I8"/>
    <mergeCell ref="J8:K8"/>
    <mergeCell ref="B10:C10"/>
    <mergeCell ref="D10:J10"/>
    <mergeCell ref="B11:C12"/>
    <mergeCell ref="J6:K6"/>
    <mergeCell ref="L6:L8"/>
    <mergeCell ref="M6:M8"/>
    <mergeCell ref="N6:N8"/>
    <mergeCell ref="O6:O8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32" type="noConversion"/>
  <conditionalFormatting sqref="D15:J15">
    <cfRule type="cellIs" dxfId="56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37061-EEC7-42E1-8DC0-C36075BCFB85}">
  <sheetPr>
    <tabColor theme="9" tint="0.79998168889431442"/>
  </sheetPr>
  <dimension ref="A1:AJ92"/>
  <sheetViews>
    <sheetView zoomScale="69" zoomScaleNormal="69" workbookViewId="0">
      <pane xSplit="5" ySplit="4" topLeftCell="G23" activePane="bottomRight" state="frozen"/>
      <selection activeCell="U61" sqref="U61"/>
      <selection pane="topRight" activeCell="U61" sqref="U61"/>
      <selection pane="bottomLeft" activeCell="U61" sqref="U61"/>
      <selection pane="bottomRight" activeCell="U61" sqref="U6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45550</v>
      </c>
      <c r="F1" s="30" t="s">
        <v>2</v>
      </c>
      <c r="G1" s="31">
        <f>SUM(H5:H79)</f>
        <v>2162883.13</v>
      </c>
      <c r="H1" s="32" t="s">
        <v>3</v>
      </c>
      <c r="I1" s="33">
        <f>M15+M26+M48+M58+M69+M79+M37</f>
        <v>84.833333333333329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233</v>
      </c>
      <c r="B2" s="374"/>
      <c r="C2" s="28"/>
      <c r="D2" s="28" t="s">
        <v>14</v>
      </c>
      <c r="E2" s="35">
        <f>AVERAGE(O15,O26,O37,O48,O58,O69,O79)</f>
        <v>113.52026885450813</v>
      </c>
      <c r="F2" s="36" t="s">
        <v>15</v>
      </c>
      <c r="G2" s="37">
        <f>G1/E1</f>
        <v>47.483713062568604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4</v>
      </c>
      <c r="AA2" s="339">
        <f>AA15+AA26+AA37+AA48+AA58+AA69+AA79</f>
        <v>40</v>
      </c>
      <c r="AB2" s="370"/>
      <c r="AC2" s="370"/>
      <c r="AD2" s="340">
        <f>AD15+AD26+AD37+AD48+AD58+AD69+AD79</f>
        <v>0</v>
      </c>
      <c r="AE2" s="340">
        <f>AE15+AE26+AE37+AE48+AE58+AE69+AE79</f>
        <v>0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 ht="16.5" thickBot="1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1888</v>
      </c>
      <c r="H5" s="43">
        <f>F5*G5</f>
        <v>108012.48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8" si="0">K5/J5</f>
        <v>175.41666666666666</v>
      </c>
      <c r="M5" s="48">
        <v>12</v>
      </c>
      <c r="N5" s="46">
        <f t="shared" ref="N5:N8" si="1">G5/W5*60</f>
        <v>1452.3076923077108</v>
      </c>
      <c r="O5" s="47">
        <f t="shared" ref="O5:O8" si="2">N5/M5</f>
        <v>121.02564102564257</v>
      </c>
      <c r="P5" s="49">
        <f t="shared" ref="P5:P8" si="3">M5-J5</f>
        <v>0</v>
      </c>
      <c r="Q5" s="50">
        <f t="shared" ref="Q5:Q8" si="4">O5-L5</f>
        <v>-54.391025641024086</v>
      </c>
      <c r="R5" s="51">
        <f t="shared" ref="R5:R8" si="5">O5/L5</f>
        <v>0.68993239539558715</v>
      </c>
      <c r="S5" s="424">
        <f>R15</f>
        <v>0.89232528723878179</v>
      </c>
      <c r="T5" s="319">
        <v>0.29166666666666702</v>
      </c>
      <c r="U5" s="320">
        <v>0.34583333333333299</v>
      </c>
      <c r="V5" s="53"/>
      <c r="W5" s="54">
        <f t="shared" ref="W5:W14" si="6">(U5-T5)*24*60</f>
        <v>77.999999999999005</v>
      </c>
      <c r="X5" s="55"/>
      <c r="Y5" s="290"/>
      <c r="Z5" s="169">
        <v>1</v>
      </c>
      <c r="AA5" s="169">
        <v>21</v>
      </c>
      <c r="AB5" s="402" t="s">
        <v>231</v>
      </c>
      <c r="AC5" s="402"/>
      <c r="AD5" s="135"/>
      <c r="AE5" s="135"/>
      <c r="AF5" s="229">
        <f t="shared" ref="AF5:AF11" si="7">N5-K5</f>
        <v>-652.69230769228921</v>
      </c>
      <c r="AG5" s="52">
        <f t="shared" ref="AG5:AG11" si="8">N5/K5</f>
        <v>0.68993239539558704</v>
      </c>
      <c r="AH5" s="403">
        <f>AG15</f>
        <v>0.89983818565134299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1339</v>
      </c>
      <c r="H6" s="63">
        <f>F6*G6</f>
        <v>75358.92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1785.3333333333335</v>
      </c>
      <c r="O6" s="67">
        <f t="shared" si="2"/>
        <v>119.02222222222223</v>
      </c>
      <c r="P6" s="69">
        <f t="shared" si="3"/>
        <v>0</v>
      </c>
      <c r="Q6" s="70">
        <f t="shared" si="4"/>
        <v>-0.9777777777777743</v>
      </c>
      <c r="R6" s="71">
        <f t="shared" si="5"/>
        <v>0.99185185185185187</v>
      </c>
      <c r="S6" s="425"/>
      <c r="T6" s="16">
        <v>0.35416666666666702</v>
      </c>
      <c r="U6" s="16">
        <v>0.38541666666666702</v>
      </c>
      <c r="V6" s="30">
        <f>(T6-U5)*24*60</f>
        <v>12.000000000000997</v>
      </c>
      <c r="W6" s="73">
        <f t="shared" si="6"/>
        <v>45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-14.666666666666515</v>
      </c>
      <c r="AG6" s="72">
        <f t="shared" si="8"/>
        <v>0.99185185185185198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3946</v>
      </c>
      <c r="H7" s="78">
        <f>F7*G7</f>
        <v>193906.44</v>
      </c>
      <c r="I7" s="73"/>
      <c r="J7" s="79">
        <f>VLOOKUP(D7,產線配置圖!$A$3:$C$39,2,0)</f>
        <v>13</v>
      </c>
      <c r="K7" s="80">
        <f>VLOOKUP(D7,產線配置圖!$A$3:$C$39,3,0)</f>
        <v>2000</v>
      </c>
      <c r="L7" s="81">
        <f t="shared" si="0"/>
        <v>153.84615384615384</v>
      </c>
      <c r="M7" s="82">
        <v>13</v>
      </c>
      <c r="N7" s="80">
        <f t="shared" si="1"/>
        <v>1989.5798319327951</v>
      </c>
      <c r="O7" s="81">
        <f t="shared" si="2"/>
        <v>153.04460245636886</v>
      </c>
      <c r="P7" s="74">
        <f t="shared" si="3"/>
        <v>0</v>
      </c>
      <c r="Q7" s="83">
        <f t="shared" si="4"/>
        <v>-0.80155138978497575</v>
      </c>
      <c r="R7" s="72">
        <f t="shared" si="5"/>
        <v>0.99478991596639765</v>
      </c>
      <c r="S7" s="425"/>
      <c r="T7" s="18">
        <v>0.39305555555555599</v>
      </c>
      <c r="U7" s="18">
        <v>0.47569444444444398</v>
      </c>
      <c r="V7" s="30">
        <f>(T7-U6)*24*60</f>
        <v>11.000000000000121</v>
      </c>
      <c r="W7" s="73">
        <f t="shared" si="6"/>
        <v>118.99999999999869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-10.420168067204941</v>
      </c>
      <c r="AG7" s="72">
        <f t="shared" si="8"/>
        <v>0.99478991596639754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943</v>
      </c>
      <c r="H8" s="78">
        <f>F8*G8</f>
        <v>46339.020000000004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1886.0000000000268</v>
      </c>
      <c r="O8" s="81">
        <f t="shared" si="2"/>
        <v>145.07692307692514</v>
      </c>
      <c r="P8" s="74">
        <f t="shared" si="3"/>
        <v>0</v>
      </c>
      <c r="Q8" s="83">
        <f t="shared" si="4"/>
        <v>-8.7692307692286988</v>
      </c>
      <c r="R8" s="72">
        <f t="shared" si="5"/>
        <v>0.94300000000001349</v>
      </c>
      <c r="S8" s="425"/>
      <c r="T8" s="16">
        <v>0.54166666666666696</v>
      </c>
      <c r="U8" s="16">
        <v>0.5625</v>
      </c>
      <c r="V8" s="30">
        <f>(T8-U7)*24*60</f>
        <v>95.000000000001108</v>
      </c>
      <c r="W8" s="73">
        <f t="shared" si="6"/>
        <v>29.999999999999574</v>
      </c>
      <c r="X8" s="22">
        <v>0.48611111111111099</v>
      </c>
      <c r="Y8" s="84">
        <v>0.52777777777777801</v>
      </c>
      <c r="Z8" s="90"/>
      <c r="AA8" s="90"/>
      <c r="AB8" s="407"/>
      <c r="AC8" s="407"/>
      <c r="AD8" s="149"/>
      <c r="AE8" s="149"/>
      <c r="AF8" s="307">
        <f t="shared" si="7"/>
        <v>-113.99999999997317</v>
      </c>
      <c r="AG8" s="72">
        <f t="shared" si="8"/>
        <v>0.94300000000001338</v>
      </c>
      <c r="AH8" s="404"/>
    </row>
    <row r="9" spans="1:34" ht="15" customHeight="1">
      <c r="A9" s="42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6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0</v>
      </c>
      <c r="AG9" s="72" t="e">
        <f t="shared" si="8"/>
        <v>#DIV/0!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 thickBo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9">AVERAGE(J5:J14)</f>
        <v>13.25</v>
      </c>
      <c r="K15" s="120">
        <f t="shared" si="9"/>
        <v>1976.25</v>
      </c>
      <c r="L15" s="117">
        <f t="shared" si="9"/>
        <v>150.77724358974356</v>
      </c>
      <c r="M15" s="120">
        <f t="shared" si="9"/>
        <v>13.25</v>
      </c>
      <c r="N15" s="120">
        <f t="shared" si="9"/>
        <v>1778.3052143934665</v>
      </c>
      <c r="O15" s="117">
        <f t="shared" si="9"/>
        <v>134.54234719528969</v>
      </c>
      <c r="P15" s="121">
        <f t="shared" ref="P15:P19" si="10">M15-J15</f>
        <v>0</v>
      </c>
      <c r="Q15" s="122">
        <f t="shared" ref="Q15:Q19" si="11">O15-L15</f>
        <v>-16.23489639445387</v>
      </c>
      <c r="R15" s="123">
        <f t="shared" ref="R15:R19" si="12">O15/L15</f>
        <v>0.89232528723878179</v>
      </c>
      <c r="S15" s="428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21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3">N15-K15</f>
        <v>-197.94478560653351</v>
      </c>
      <c r="AG15" s="124">
        <f t="shared" ref="AG15:AG19" si="14">N15/K15</f>
        <v>0.89983818565134299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1428</v>
      </c>
      <c r="H16" s="134">
        <f>F16*G16</f>
        <v>81695.88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19" si="15">K16/J16</f>
        <v>175.41666666666666</v>
      </c>
      <c r="M16" s="139">
        <v>12</v>
      </c>
      <c r="N16" s="140">
        <f t="shared" ref="N16:N19" si="16">G16/W16*60</f>
        <v>1862.6086956521417</v>
      </c>
      <c r="O16" s="141">
        <f>N16/M16</f>
        <v>155.21739130434514</v>
      </c>
      <c r="P16" s="142">
        <f>M16-J16</f>
        <v>0</v>
      </c>
      <c r="Q16" s="143">
        <f t="shared" si="11"/>
        <v>-20.199275362321515</v>
      </c>
      <c r="R16" s="144">
        <f>O16/L16</f>
        <v>0.88484973665184885</v>
      </c>
      <c r="S16" s="417">
        <f>R26</f>
        <v>0.93948465409160542</v>
      </c>
      <c r="T16" s="145">
        <v>0.29097222222222202</v>
      </c>
      <c r="U16" s="145">
        <v>0.32291666666666702</v>
      </c>
      <c r="V16" s="135"/>
      <c r="W16" s="146">
        <f t="shared" ref="W16:W78" si="17">(U16-T16)*24*60</f>
        <v>46.000000000000796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3"/>
        <v>-242.39130434785829</v>
      </c>
      <c r="AG16" s="52">
        <f t="shared" si="14"/>
        <v>0.88484973665184874</v>
      </c>
      <c r="AH16" s="403">
        <f>AG26</f>
        <v>0.93918825994660826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3308</v>
      </c>
      <c r="H17" s="78">
        <f>F17*G17</f>
        <v>167616.36000000002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5"/>
        <v>166.66666666666666</v>
      </c>
      <c r="M17" s="148">
        <v>12</v>
      </c>
      <c r="N17" s="95">
        <f>G17/W17*60</f>
        <v>1965.1485148514812</v>
      </c>
      <c r="O17" s="96">
        <f t="shared" ref="O17:O19" si="18">N17/M17</f>
        <v>163.76237623762344</v>
      </c>
      <c r="P17" s="97">
        <f t="shared" si="10"/>
        <v>0</v>
      </c>
      <c r="Q17" s="98">
        <f t="shared" si="11"/>
        <v>-2.9042904290432148</v>
      </c>
      <c r="R17" s="99">
        <f t="shared" si="12"/>
        <v>0.98257425742574067</v>
      </c>
      <c r="S17" s="418"/>
      <c r="T17" s="19">
        <v>0.33124999999999999</v>
      </c>
      <c r="U17" s="19">
        <v>0.40138888888888902</v>
      </c>
      <c r="V17" s="30">
        <f>(T17-U16)*24*60</f>
        <v>11.999999999999478</v>
      </c>
      <c r="W17" s="149">
        <f t="shared" si="17"/>
        <v>101.0000000000002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3"/>
        <v>-34.851485148518805</v>
      </c>
      <c r="AG17" s="72">
        <f t="shared" si="14"/>
        <v>0.98257425742574056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3184</v>
      </c>
      <c r="H18" s="78">
        <f>F18*G18</f>
        <v>160441.76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5"/>
        <v>181.81818181818181</v>
      </c>
      <c r="M18" s="148">
        <v>11</v>
      </c>
      <c r="N18" s="95">
        <f t="shared" si="16"/>
        <v>1929.6969696969704</v>
      </c>
      <c r="O18" s="96">
        <f t="shared" si="18"/>
        <v>175.42699724517914</v>
      </c>
      <c r="P18" s="97">
        <f t="shared" si="10"/>
        <v>0</v>
      </c>
      <c r="Q18" s="98">
        <f t="shared" si="11"/>
        <v>-6.3911845730026755</v>
      </c>
      <c r="R18" s="99">
        <f t="shared" si="12"/>
        <v>0.96484848484848529</v>
      </c>
      <c r="S18" s="418"/>
      <c r="T18" s="19">
        <v>0.40763888888888899</v>
      </c>
      <c r="U18" s="19">
        <v>0.47638888888888897</v>
      </c>
      <c r="V18" s="30">
        <f>(T18-U17)*24*60</f>
        <v>8.999999999999968</v>
      </c>
      <c r="W18" s="149">
        <f t="shared" si="17"/>
        <v>98.999999999999972</v>
      </c>
      <c r="X18" s="22">
        <v>0.48611111111111099</v>
      </c>
      <c r="Y18" s="84">
        <v>0.52777777777777801</v>
      </c>
      <c r="Z18" s="90"/>
      <c r="AA18" s="90"/>
      <c r="AB18" s="395"/>
      <c r="AC18" s="395"/>
      <c r="AD18" s="92"/>
      <c r="AE18" s="92"/>
      <c r="AF18" s="307">
        <f t="shared" si="13"/>
        <v>-70.303030303029573</v>
      </c>
      <c r="AG18" s="72">
        <f t="shared" si="14"/>
        <v>0.96484848484848518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1391</v>
      </c>
      <c r="H19" s="78">
        <f>F19*G19</f>
        <v>70092.490000000005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5"/>
        <v>181.81818181818181</v>
      </c>
      <c r="M19" s="148">
        <v>11</v>
      </c>
      <c r="N19" s="95">
        <f t="shared" si="16"/>
        <v>1854.6666666666667</v>
      </c>
      <c r="O19" s="96">
        <f t="shared" si="18"/>
        <v>168.60606060606062</v>
      </c>
      <c r="P19" s="97">
        <f t="shared" si="10"/>
        <v>0</v>
      </c>
      <c r="Q19" s="98">
        <f t="shared" si="11"/>
        <v>-13.21212121212119</v>
      </c>
      <c r="R19" s="99">
        <f t="shared" si="12"/>
        <v>0.92733333333333345</v>
      </c>
      <c r="S19" s="418"/>
      <c r="T19" s="19">
        <v>0.54166666666666696</v>
      </c>
      <c r="U19" s="19">
        <v>0.57291666666666696</v>
      </c>
      <c r="V19" s="30">
        <f>(T19-U18)*24*60</f>
        <v>94.000000000000313</v>
      </c>
      <c r="W19" s="149">
        <f t="shared" si="17"/>
        <v>45</v>
      </c>
      <c r="X19" s="22"/>
      <c r="Y19" s="84"/>
      <c r="Z19" s="90"/>
      <c r="AA19" s="90"/>
      <c r="AB19" s="407"/>
      <c r="AC19" s="407"/>
      <c r="AD19" s="149"/>
      <c r="AE19" s="149"/>
      <c r="AF19" s="307">
        <f t="shared" si="13"/>
        <v>-145.33333333333326</v>
      </c>
      <c r="AG19" s="72">
        <f t="shared" si="14"/>
        <v>0.92733333333333334</v>
      </c>
      <c r="AH19" s="405"/>
    </row>
    <row r="20" spans="1:34" ht="15" customHeight="1">
      <c r="A20" s="414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8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7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 thickBo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0">AVERAGE(J16:J25)</f>
        <v>11.5</v>
      </c>
      <c r="K26" s="155">
        <f t="shared" si="20"/>
        <v>2026.25</v>
      </c>
      <c r="L26" s="158">
        <f t="shared" si="20"/>
        <v>176.42992424242425</v>
      </c>
      <c r="M26" s="155">
        <f t="shared" si="20"/>
        <v>11.5</v>
      </c>
      <c r="N26" s="155">
        <f t="shared" si="20"/>
        <v>1903.0302117168151</v>
      </c>
      <c r="O26" s="158">
        <f t="shared" si="20"/>
        <v>165.75320634830209</v>
      </c>
      <c r="P26" s="159">
        <f t="shared" ref="P26:P30" si="21">M26-J26</f>
        <v>0</v>
      </c>
      <c r="Q26" s="160">
        <f t="shared" ref="Q26:Q30" si="22">O26-L26</f>
        <v>-10.676717894122163</v>
      </c>
      <c r="R26" s="161">
        <f>O26/L26</f>
        <v>0.93948465409160542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0</v>
      </c>
      <c r="AE26" s="323">
        <f>SUM(AE16:AE25)</f>
        <v>0</v>
      </c>
      <c r="AF26" s="309">
        <f t="shared" ref="AF26:AF31" si="23">N26-K26</f>
        <v>-123.21978828318493</v>
      </c>
      <c r="AG26" s="124">
        <f t="shared" ref="AG26:AG31" si="24">N26/K26</f>
        <v>0.93918825994660826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1107</v>
      </c>
      <c r="H27" s="134">
        <f>F27*G27</f>
        <v>63431.1</v>
      </c>
      <c r="I27" s="135"/>
      <c r="J27" s="136">
        <v>13</v>
      </c>
      <c r="K27" s="137">
        <f>VLOOKUP(D27,產線配置圖!$A$3:$C$39,3,0)</f>
        <v>1500</v>
      </c>
      <c r="L27" s="138">
        <f t="shared" ref="L27:L30" si="25">K27/J27</f>
        <v>115.38461538461539</v>
      </c>
      <c r="M27" s="170">
        <v>13</v>
      </c>
      <c r="N27" s="140">
        <f>G27/W27*60</f>
        <v>1443.913043478271</v>
      </c>
      <c r="O27" s="141">
        <f>N27/M27</f>
        <v>111.07023411371316</v>
      </c>
      <c r="P27" s="142">
        <f t="shared" si="21"/>
        <v>0</v>
      </c>
      <c r="Q27" s="143">
        <f t="shared" si="22"/>
        <v>-4.3143812709022313</v>
      </c>
      <c r="R27" s="144">
        <f>O27/L27</f>
        <v>0.96260869565218066</v>
      </c>
      <c r="S27" s="417">
        <f>R37</f>
        <v>0.85262841341009876</v>
      </c>
      <c r="T27" s="171">
        <v>0.2902777777777778</v>
      </c>
      <c r="U27" s="171">
        <v>0.32222222222222202</v>
      </c>
      <c r="V27" s="135"/>
      <c r="W27" s="146">
        <f t="shared" si="17"/>
        <v>45.999999999999673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3"/>
        <v>-56.086956521729007</v>
      </c>
      <c r="AG27" s="172">
        <f t="shared" si="24"/>
        <v>0.96260869565218066</v>
      </c>
      <c r="AH27" s="403">
        <f>AG37</f>
        <v>0.7456134757351941</v>
      </c>
    </row>
    <row r="28" spans="1:34" ht="15" customHeight="1">
      <c r="A28" s="430"/>
      <c r="B28" s="75" t="s">
        <v>123</v>
      </c>
      <c r="C28" s="173"/>
      <c r="D28" s="59" t="s">
        <v>127</v>
      </c>
      <c r="E28" s="104"/>
      <c r="F28" s="75">
        <f>VLOOKUP(D28,廠價表!$C$1:$E$41,3,0)</f>
        <v>49.91</v>
      </c>
      <c r="G28" s="90">
        <v>2136</v>
      </c>
      <c r="H28" s="91">
        <f>F28*G28</f>
        <v>106607.76</v>
      </c>
      <c r="I28" s="92"/>
      <c r="J28" s="79">
        <v>14</v>
      </c>
      <c r="K28" s="80">
        <f>VLOOKUP(D28,產線配置圖!$A$3:$C$39,3,0)</f>
        <v>1565</v>
      </c>
      <c r="L28" s="93">
        <f t="shared" si="25"/>
        <v>111.78571428571429</v>
      </c>
      <c r="M28" s="94">
        <v>11</v>
      </c>
      <c r="N28" s="95">
        <f>G28/W28*60</f>
        <v>1025.2800000000063</v>
      </c>
      <c r="O28" s="96">
        <f>N28/M28</f>
        <v>93.207272727273306</v>
      </c>
      <c r="P28" s="97">
        <f t="shared" si="21"/>
        <v>-3</v>
      </c>
      <c r="Q28" s="98">
        <f t="shared" si="22"/>
        <v>-18.578441558440986</v>
      </c>
      <c r="R28" s="99">
        <f t="shared" ref="R28:R30" si="26">O28/L28</f>
        <v>0.83380307871043213</v>
      </c>
      <c r="S28" s="418"/>
      <c r="T28" s="19">
        <v>0.327777777777778</v>
      </c>
      <c r="U28" s="19">
        <v>0.41458333333333303</v>
      </c>
      <c r="V28" s="92">
        <f>(T28-U27)*24*60</f>
        <v>8.0000000000006111</v>
      </c>
      <c r="W28" s="149">
        <f t="shared" si="17"/>
        <v>124.99999999999923</v>
      </c>
      <c r="X28" s="174"/>
      <c r="Y28" s="301"/>
      <c r="Z28" s="335">
        <v>2</v>
      </c>
      <c r="AA28" s="335">
        <v>10</v>
      </c>
      <c r="AB28" s="395" t="s">
        <v>232</v>
      </c>
      <c r="AC28" s="395"/>
      <c r="AD28" s="92"/>
      <c r="AE28" s="92"/>
      <c r="AF28" s="311">
        <f t="shared" si="23"/>
        <v>-539.71999999999366</v>
      </c>
      <c r="AG28" s="99">
        <f t="shared" si="24"/>
        <v>0.65513099041533951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1471</v>
      </c>
      <c r="H29" s="91">
        <f>F29*G29</f>
        <v>72843.92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5"/>
        <v>96</v>
      </c>
      <c r="M29" s="94">
        <v>12</v>
      </c>
      <c r="N29" s="95">
        <f>G29/W29*60</f>
        <v>1026.2790697674454</v>
      </c>
      <c r="O29" s="96">
        <f>N29/M29</f>
        <v>85.523255813953782</v>
      </c>
      <c r="P29" s="97">
        <f t="shared" si="21"/>
        <v>-3</v>
      </c>
      <c r="Q29" s="98">
        <f t="shared" si="22"/>
        <v>-10.476744186046218</v>
      </c>
      <c r="R29" s="99">
        <f t="shared" si="26"/>
        <v>0.89086724806201856</v>
      </c>
      <c r="S29" s="418"/>
      <c r="T29" s="19">
        <v>0.421527777777778</v>
      </c>
      <c r="U29" s="19">
        <v>0.48125000000000001</v>
      </c>
      <c r="V29" s="92">
        <f>(T29-U28)*24*60</f>
        <v>10.000000000000764</v>
      </c>
      <c r="W29" s="149">
        <f t="shared" si="17"/>
        <v>85.999999999999687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3"/>
        <v>-413.72093023255457</v>
      </c>
      <c r="AG29" s="99">
        <f t="shared" si="24"/>
        <v>0.71269379844961489</v>
      </c>
      <c r="AH29" s="432"/>
    </row>
    <row r="30" spans="1:34" ht="15" customHeight="1">
      <c r="A30" s="430"/>
      <c r="B30" s="75" t="s">
        <v>123</v>
      </c>
      <c r="C30" s="88"/>
      <c r="D30" s="59" t="s">
        <v>128</v>
      </c>
      <c r="E30" s="89"/>
      <c r="F30" s="75">
        <f>VLOOKUP(D30,廠價表!$C$1:$E$41,3,0)</f>
        <v>44.3</v>
      </c>
      <c r="G30" s="90">
        <v>1562</v>
      </c>
      <c r="H30" s="91">
        <f>F30*G30</f>
        <v>69196.599999999991</v>
      </c>
      <c r="I30" s="92"/>
      <c r="J30" s="79">
        <v>16</v>
      </c>
      <c r="K30" s="80">
        <f>VLOOKUP(D30,產線配置圖!$A$3:$C$39,3,0)</f>
        <v>1440</v>
      </c>
      <c r="L30" s="93">
        <f t="shared" si="25"/>
        <v>90</v>
      </c>
      <c r="M30" s="94">
        <v>15</v>
      </c>
      <c r="N30" s="95">
        <f t="shared" ref="N30:N31" si="27">G30/W30*60</f>
        <v>937.2000000000063</v>
      </c>
      <c r="O30" s="96">
        <f t="shared" ref="O30" si="28">N30/M30</f>
        <v>62.480000000000423</v>
      </c>
      <c r="P30" s="97">
        <f t="shared" si="21"/>
        <v>-1</v>
      </c>
      <c r="Q30" s="98">
        <f t="shared" si="22"/>
        <v>-27.519999999999577</v>
      </c>
      <c r="R30" s="99">
        <f t="shared" si="26"/>
        <v>0.69422222222222696</v>
      </c>
      <c r="S30" s="418"/>
      <c r="T30" s="19">
        <v>0.56666666666666698</v>
      </c>
      <c r="U30" s="19">
        <v>0.63611111111111096</v>
      </c>
      <c r="V30" s="92">
        <f>(T30-U29)*24*60</f>
        <v>123.00000000000044</v>
      </c>
      <c r="W30" s="149">
        <f t="shared" si="17"/>
        <v>99.999999999999318</v>
      </c>
      <c r="X30" s="174">
        <v>0.49652777777777801</v>
      </c>
      <c r="Y30" s="301">
        <v>0.53819444444444398</v>
      </c>
      <c r="Z30" s="335">
        <v>1</v>
      </c>
      <c r="AA30" s="335">
        <v>9</v>
      </c>
      <c r="AB30" s="395" t="s">
        <v>231</v>
      </c>
      <c r="AC30" s="395"/>
      <c r="AD30" s="92"/>
      <c r="AE30" s="92"/>
      <c r="AF30" s="312">
        <f t="shared" si="23"/>
        <v>-502.7999999999937</v>
      </c>
      <c r="AG30" s="99">
        <f t="shared" si="24"/>
        <v>0.6508333333333377</v>
      </c>
      <c r="AH30" s="433"/>
    </row>
    <row r="31" spans="1:34" ht="15" customHeight="1">
      <c r="A31" s="43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8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3"/>
        <v>0</v>
      </c>
      <c r="AG31" s="99" t="e">
        <f t="shared" si="24"/>
        <v>#DIV/0!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9"/>
      <c r="U32" s="19"/>
      <c r="V32" s="92"/>
      <c r="W32" s="149">
        <f t="shared" si="17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29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 thickBo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30">AVERAGE(J27:J36)</f>
        <v>14.5</v>
      </c>
      <c r="K37" s="155">
        <f t="shared" si="30"/>
        <v>1486.25</v>
      </c>
      <c r="L37" s="158">
        <f t="shared" si="30"/>
        <v>103.29258241758242</v>
      </c>
      <c r="M37" s="155">
        <f t="shared" si="30"/>
        <v>12.75</v>
      </c>
      <c r="N37" s="155">
        <f t="shared" si="30"/>
        <v>1108.1680283114322</v>
      </c>
      <c r="O37" s="158">
        <f t="shared" si="30"/>
        <v>88.070190663735161</v>
      </c>
      <c r="P37" s="159">
        <f>M37-J37</f>
        <v>-1.75</v>
      </c>
      <c r="Q37" s="160">
        <f>N37-K37</f>
        <v>-378.08197168856782</v>
      </c>
      <c r="R37" s="161">
        <f t="shared" ref="R37:R40" si="31">O37/L37</f>
        <v>0.85262841341009876</v>
      </c>
      <c r="S37" s="419"/>
      <c r="T37" s="163"/>
      <c r="U37" s="163"/>
      <c r="V37" s="164"/>
      <c r="W37" s="164"/>
      <c r="X37" s="321"/>
      <c r="Y37" s="322"/>
      <c r="Z37" s="334">
        <f>SUM(Z27:Z36)</f>
        <v>3</v>
      </c>
      <c r="AA37" s="334">
        <f>SUM(AA27:AA36)</f>
        <v>19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2">N37-K37</f>
        <v>-378.08197168856782</v>
      </c>
      <c r="AG37" s="124">
        <f t="shared" ref="AG37:AG41" si="33">N37/K37</f>
        <v>0.7456134757351941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56.87</v>
      </c>
      <c r="G38" s="186">
        <v>1122</v>
      </c>
      <c r="H38" s="134">
        <f>F38*G38</f>
        <v>63808.14</v>
      </c>
      <c r="I38" s="135"/>
      <c r="J38" s="187">
        <v>15</v>
      </c>
      <c r="K38" s="188">
        <f>VLOOKUP(D38,產線配置圖!$A$3:$C$39,3,0)</f>
        <v>1565</v>
      </c>
      <c r="L38" s="189">
        <f t="shared" ref="L38:L40" si="34">K38/J38</f>
        <v>104.33333333333333</v>
      </c>
      <c r="M38" s="190">
        <v>11</v>
      </c>
      <c r="N38" s="140">
        <f>G38/W38*60</f>
        <v>1122.0000000000189</v>
      </c>
      <c r="O38" s="141">
        <f>N38/M38</f>
        <v>102.00000000000172</v>
      </c>
      <c r="P38" s="142">
        <f t="shared" ref="P38:P40" si="35">M38-J38</f>
        <v>-4</v>
      </c>
      <c r="Q38" s="143">
        <f t="shared" ref="Q38:Q40" si="36">O38-L38</f>
        <v>-2.3333333333316091</v>
      </c>
      <c r="R38" s="144">
        <f>O38/L38</f>
        <v>0.97763578274762031</v>
      </c>
      <c r="S38" s="437">
        <f>R48</f>
        <v>0.98651394624704314</v>
      </c>
      <c r="T38" s="191">
        <v>0.33680555555555602</v>
      </c>
      <c r="U38" s="191">
        <v>0.37847222222222199</v>
      </c>
      <c r="V38" s="192"/>
      <c r="W38" s="193">
        <f t="shared" si="17"/>
        <v>59.999999999998991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2"/>
        <v>-442.99999999998113</v>
      </c>
      <c r="AG38" s="195">
        <f t="shared" si="33"/>
        <v>0.71693290734825488</v>
      </c>
      <c r="AH38" s="443">
        <f>AG48</f>
        <v>0.79133963719005551</v>
      </c>
    </row>
    <row r="39" spans="1:34" ht="15" customHeight="1">
      <c r="A39" s="435"/>
      <c r="B39" s="75" t="s">
        <v>123</v>
      </c>
      <c r="C39" s="197"/>
      <c r="D39" s="198" t="s">
        <v>128</v>
      </c>
      <c r="E39" s="176"/>
      <c r="F39" s="75">
        <f>VLOOKUP(D39,廠價表!$C$1:$E$41,3,0)</f>
        <v>44.3</v>
      </c>
      <c r="G39" s="199">
        <v>3433</v>
      </c>
      <c r="H39" s="91">
        <f>F39*G39</f>
        <v>152081.9</v>
      </c>
      <c r="I39" s="200"/>
      <c r="J39" s="148">
        <v>16</v>
      </c>
      <c r="K39" s="95">
        <f>VLOOKUP(D39,產線配置圖!$A$3:$C$39,3,0)</f>
        <v>1440</v>
      </c>
      <c r="L39" s="96">
        <f t="shared" si="34"/>
        <v>90</v>
      </c>
      <c r="M39" s="201">
        <v>14</v>
      </c>
      <c r="N39" s="202">
        <f>G39/W39*60</f>
        <v>1255.9756097560978</v>
      </c>
      <c r="O39" s="203">
        <f t="shared" ref="O39:O40" si="37">N39/M39</f>
        <v>89.712543554006984</v>
      </c>
      <c r="P39" s="97">
        <f t="shared" si="35"/>
        <v>-2</v>
      </c>
      <c r="Q39" s="98">
        <f t="shared" si="36"/>
        <v>-0.28745644599301556</v>
      </c>
      <c r="R39" s="99">
        <f t="shared" si="31"/>
        <v>0.99680603948896651</v>
      </c>
      <c r="S39" s="438"/>
      <c r="T39" s="20">
        <v>0.38611111111111113</v>
      </c>
      <c r="U39" s="20">
        <v>0.5</v>
      </c>
      <c r="V39" s="92">
        <f>(T39-U38)*24*60</f>
        <v>11.000000000000361</v>
      </c>
      <c r="W39" s="205">
        <f t="shared" si="17"/>
        <v>163.99999999999997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2"/>
        <v>-184.02439024390219</v>
      </c>
      <c r="AG39" s="206">
        <f t="shared" si="33"/>
        <v>0.87220528455284574</v>
      </c>
      <c r="AH39" s="444"/>
    </row>
    <row r="40" spans="1:34" ht="15" customHeight="1">
      <c r="A40" s="435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25"/>
      <c r="T40" s="20"/>
      <c r="U40" s="20"/>
      <c r="V40" s="92"/>
      <c r="W40" s="205">
        <f t="shared" si="17"/>
        <v>0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2"/>
        <v>0</v>
      </c>
      <c r="AG40" s="206" t="e">
        <f t="shared" si="33"/>
        <v>#DIV/0!</v>
      </c>
      <c r="AH40" s="444"/>
    </row>
    <row r="41" spans="1:34" ht="15" customHeight="1">
      <c r="A41" s="43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5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95"/>
      <c r="AC41" s="395"/>
      <c r="AD41" s="92"/>
      <c r="AE41" s="92"/>
      <c r="AF41" s="314">
        <f t="shared" si="32"/>
        <v>0</v>
      </c>
      <c r="AG41" s="206" t="e">
        <f t="shared" si="33"/>
        <v>#DIV/0!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8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8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8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29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8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 thickBo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39">AVERAGE(J38:J47)</f>
        <v>15.5</v>
      </c>
      <c r="K48" s="155">
        <f t="shared" si="39"/>
        <v>1502.5</v>
      </c>
      <c r="L48" s="158">
        <f t="shared" si="39"/>
        <v>97.166666666666657</v>
      </c>
      <c r="M48" s="155">
        <f t="shared" si="39"/>
        <v>12.5</v>
      </c>
      <c r="N48" s="155">
        <f t="shared" si="39"/>
        <v>1188.9878048780583</v>
      </c>
      <c r="O48" s="158">
        <f t="shared" si="39"/>
        <v>95.856271777004352</v>
      </c>
      <c r="P48" s="221">
        <f>M48-J48</f>
        <v>-3</v>
      </c>
      <c r="Q48" s="222">
        <f>N48-K48</f>
        <v>-313.51219512194166</v>
      </c>
      <c r="R48" s="223">
        <f>O48/L48</f>
        <v>0.98651394624704314</v>
      </c>
      <c r="S48" s="428"/>
      <c r="T48" s="224"/>
      <c r="U48" s="224"/>
      <c r="V48" s="225"/>
      <c r="W48" s="226">
        <f t="shared" si="38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40">N48-K48</f>
        <v>-313.51219512194166</v>
      </c>
      <c r="AG48" s="162">
        <f t="shared" ref="AG48:AG53" si="41">N48/K48</f>
        <v>0.79133963719005551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VLOOKUP(D49,廠價表!$C$1:$E$41,3,0)</f>
        <v>47.71</v>
      </c>
      <c r="G49" s="228">
        <v>2248</v>
      </c>
      <c r="H49" s="134">
        <f>F49*G49</f>
        <v>107252.08</v>
      </c>
      <c r="I49" s="135"/>
      <c r="J49" s="136">
        <v>15</v>
      </c>
      <c r="K49" s="137">
        <v>1636</v>
      </c>
      <c r="L49" s="138">
        <f t="shared" ref="L49:L52" si="42">K49/J49</f>
        <v>109.06666666666666</v>
      </c>
      <c r="M49" s="170">
        <v>13</v>
      </c>
      <c r="N49" s="140">
        <f>G49/W49*60</f>
        <v>1404.9999999999932</v>
      </c>
      <c r="O49" s="141">
        <f>N49/M49</f>
        <v>108.07692307692255</v>
      </c>
      <c r="P49" s="229">
        <f>M49-J49</f>
        <v>-2</v>
      </c>
      <c r="Q49" s="230">
        <f>O49-L49</f>
        <v>-0.98974358974410848</v>
      </c>
      <c r="R49" s="52">
        <f>O49/L49</f>
        <v>0.99092533383486459</v>
      </c>
      <c r="S49" s="424">
        <f>R58</f>
        <v>0.95689730807221551</v>
      </c>
      <c r="T49" s="191">
        <v>0.28958333333333303</v>
      </c>
      <c r="U49" s="191">
        <v>0.35625000000000001</v>
      </c>
      <c r="V49" s="55"/>
      <c r="W49" s="193">
        <f t="shared" si="17"/>
        <v>96.000000000000455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40"/>
        <v>-231.00000000000682</v>
      </c>
      <c r="AG49" s="52">
        <f t="shared" si="41"/>
        <v>0.85880195599021592</v>
      </c>
      <c r="AH49" s="403">
        <f>AG58</f>
        <v>0.80135617532645798</v>
      </c>
    </row>
    <row r="50" spans="1:34" ht="15" customHeight="1">
      <c r="A50" s="453"/>
      <c r="B50" s="75" t="s">
        <v>81</v>
      </c>
      <c r="C50" s="76"/>
      <c r="D50" s="59" t="s">
        <v>131</v>
      </c>
      <c r="E50" s="77"/>
      <c r="F50" s="75">
        <f>VLOOKUP(D50,廠價表!$C$1:$E$41,3,0)</f>
        <v>49.97</v>
      </c>
      <c r="G50" s="202">
        <v>3568</v>
      </c>
      <c r="H50" s="231">
        <f>F50*G50</f>
        <v>178292.96</v>
      </c>
      <c r="I50" s="232"/>
      <c r="J50" s="79">
        <v>15</v>
      </c>
      <c r="K50" s="80">
        <v>1714</v>
      </c>
      <c r="L50" s="81">
        <f t="shared" si="42"/>
        <v>114.26666666666667</v>
      </c>
      <c r="M50" s="233">
        <v>13</v>
      </c>
      <c r="N50" s="234">
        <f>G50/W50*60</f>
        <v>1399.2156862745096</v>
      </c>
      <c r="O50" s="235">
        <f>N50/M50</f>
        <v>107.63197586726997</v>
      </c>
      <c r="P50" s="74">
        <f>M50-J50</f>
        <v>-2</v>
      </c>
      <c r="Q50" s="83">
        <f>O50-L50</f>
        <v>-6.6346907993966937</v>
      </c>
      <c r="R50" s="72">
        <f>O50/L50</f>
        <v>0.94193677830166256</v>
      </c>
      <c r="S50" s="425"/>
      <c r="T50" s="21">
        <v>0.36249999999999999</v>
      </c>
      <c r="U50" s="21">
        <v>0.46875</v>
      </c>
      <c r="V50" s="30">
        <f t="shared" ref="V50:V52" si="43">(T50-U49)*24*60</f>
        <v>8.999999999999968</v>
      </c>
      <c r="W50" s="236">
        <f t="shared" si="17"/>
        <v>153.00000000000003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40"/>
        <v>-314.78431372549039</v>
      </c>
      <c r="AG50" s="72">
        <f t="shared" si="41"/>
        <v>0.81634520786144082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962</v>
      </c>
      <c r="H51" s="231">
        <f>F51*G51</f>
        <v>48071.14</v>
      </c>
      <c r="I51" s="232"/>
      <c r="J51" s="79">
        <v>15</v>
      </c>
      <c r="K51" s="80">
        <v>1714</v>
      </c>
      <c r="L51" s="81">
        <f t="shared" si="42"/>
        <v>114.26666666666667</v>
      </c>
      <c r="M51" s="233">
        <v>13</v>
      </c>
      <c r="N51" s="234">
        <f>G51/W51*60</f>
        <v>1407.80487804878</v>
      </c>
      <c r="O51" s="235">
        <f>N51/M51</f>
        <v>108.29268292682923</v>
      </c>
      <c r="P51" s="74">
        <f>M51-J51</f>
        <v>-2</v>
      </c>
      <c r="Q51" s="83">
        <f>O51-L51</f>
        <v>-5.9739837398374362</v>
      </c>
      <c r="R51" s="72">
        <f>O51/L51</f>
        <v>0.94771892876454988</v>
      </c>
      <c r="S51" s="425"/>
      <c r="T51" s="21">
        <v>0.52847222222222223</v>
      </c>
      <c r="U51" s="19">
        <v>0.55694444444444446</v>
      </c>
      <c r="V51" s="30">
        <f t="shared" si="43"/>
        <v>86.000000000000014</v>
      </c>
      <c r="W51" s="236">
        <f t="shared" si="17"/>
        <v>41.000000000000014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40"/>
        <v>-306.19512195122002</v>
      </c>
      <c r="AG51" s="72">
        <f t="shared" si="41"/>
        <v>0.82135640492927653</v>
      </c>
      <c r="AH51" s="404"/>
    </row>
    <row r="52" spans="1:34" ht="15" customHeight="1">
      <c r="A52" s="453"/>
      <c r="B52" s="75" t="s">
        <v>123</v>
      </c>
      <c r="C52" s="86"/>
      <c r="D52" s="59" t="s">
        <v>124</v>
      </c>
      <c r="E52" s="87"/>
      <c r="F52" s="75">
        <f>VLOOKUP(D52,廠價表!$C$1:$E$41,3,0)</f>
        <v>49.52</v>
      </c>
      <c r="G52" s="202">
        <v>700</v>
      </c>
      <c r="H52" s="231">
        <f>F52*G52</f>
        <v>34664</v>
      </c>
      <c r="I52" s="232"/>
      <c r="J52" s="79">
        <f>VLOOKUP(D52,產線配置圖!$A$3:$C$39,2,0)</f>
        <v>15</v>
      </c>
      <c r="K52" s="80">
        <f>VLOOKUP(D52,產線配置圖!$A$3:$C$39,3,0)</f>
        <v>1440</v>
      </c>
      <c r="L52" s="81">
        <f t="shared" si="42"/>
        <v>96</v>
      </c>
      <c r="M52" s="233">
        <v>11</v>
      </c>
      <c r="N52" s="234">
        <f>G52/W52*60</f>
        <v>999.99999999999966</v>
      </c>
      <c r="O52" s="235">
        <f>N52/M52</f>
        <v>90.909090909090878</v>
      </c>
      <c r="P52" s="74">
        <f>M52-J52</f>
        <v>-4</v>
      </c>
      <c r="Q52" s="83">
        <f>O52-L52</f>
        <v>-5.0909090909091219</v>
      </c>
      <c r="R52" s="72">
        <f>O52/L52</f>
        <v>0.94696969696969668</v>
      </c>
      <c r="S52" s="425"/>
      <c r="T52" s="21">
        <v>0.5625</v>
      </c>
      <c r="U52" s="21">
        <v>0.59166666666666667</v>
      </c>
      <c r="V52" s="30">
        <f t="shared" si="43"/>
        <v>7.9999999999999716</v>
      </c>
      <c r="W52" s="236">
        <f t="shared" si="17"/>
        <v>42.000000000000014</v>
      </c>
      <c r="X52" s="22">
        <v>0.47916666666666702</v>
      </c>
      <c r="Y52" s="84">
        <v>0.52083333333333304</v>
      </c>
      <c r="Z52" s="90"/>
      <c r="AA52" s="90"/>
      <c r="AB52" s="395"/>
      <c r="AC52" s="395"/>
      <c r="AD52" s="92"/>
      <c r="AE52" s="92"/>
      <c r="AF52" s="307">
        <f t="shared" si="40"/>
        <v>-440.00000000000034</v>
      </c>
      <c r="AG52" s="72">
        <f t="shared" si="41"/>
        <v>0.6944444444444442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40"/>
        <v>0</v>
      </c>
      <c r="AG53" s="72" t="e">
        <f t="shared" si="41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 thickBo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4">AVERAGE(J49:J57)</f>
        <v>15</v>
      </c>
      <c r="K58" s="120">
        <f t="shared" si="44"/>
        <v>1626</v>
      </c>
      <c r="L58" s="117">
        <f t="shared" si="44"/>
        <v>108.39999999999999</v>
      </c>
      <c r="M58" s="120">
        <f t="shared" si="44"/>
        <v>12.5</v>
      </c>
      <c r="N58" s="120">
        <f t="shared" si="44"/>
        <v>1303.0051410808207</v>
      </c>
      <c r="O58" s="117">
        <f t="shared" si="44"/>
        <v>103.72766819502816</v>
      </c>
      <c r="P58" s="121">
        <f>M58-J58</f>
        <v>-2.5</v>
      </c>
      <c r="Q58" s="122">
        <f>N58-K58</f>
        <v>-322.99485891917925</v>
      </c>
      <c r="R58" s="123">
        <f t="shared" ref="R58:R60" si="45">O58/L58</f>
        <v>0.95689730807221551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46">N58-K58</f>
        <v>-322.99485891917925</v>
      </c>
      <c r="AG58" s="124">
        <f t="shared" ref="AG58:AG61" si="47">N58/K58</f>
        <v>0.80135617532645798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3247</v>
      </c>
      <c r="H59" s="243">
        <f>F59*G59</f>
        <v>87636.53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48">K59/J59</f>
        <v>120.38461538461539</v>
      </c>
      <c r="M59" s="244">
        <v>13</v>
      </c>
      <c r="N59" s="137">
        <f t="shared" ref="N59:N61" si="49">G59/W59*60</f>
        <v>1558.5600000000104</v>
      </c>
      <c r="O59" s="138">
        <f t="shared" ref="O59:O61" si="50">N59/M59</f>
        <v>119.88923076923157</v>
      </c>
      <c r="P59" s="56">
        <f t="shared" ref="P59:P61" si="51">M59-J59</f>
        <v>0</v>
      </c>
      <c r="Q59" s="230">
        <f t="shared" ref="Q59:Q61" si="52">O59-L59</f>
        <v>-0.49538461538381284</v>
      </c>
      <c r="R59" s="52">
        <f t="shared" si="45"/>
        <v>0.9958849840255658</v>
      </c>
      <c r="S59" s="424">
        <f>R69</f>
        <v>0.91613024137456367</v>
      </c>
      <c r="T59" s="245">
        <v>0.29166666666666702</v>
      </c>
      <c r="U59" s="245">
        <v>0.37847222222222199</v>
      </c>
      <c r="V59" s="55"/>
      <c r="W59" s="54">
        <f t="shared" si="17"/>
        <v>124.99999999999916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46"/>
        <v>-6.4399999999895954</v>
      </c>
      <c r="AG59" s="246">
        <f t="shared" si="47"/>
        <v>0.9958849840255658</v>
      </c>
      <c r="AH59" s="403">
        <f>AG69</f>
        <v>0.89575292864749567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1489</v>
      </c>
      <c r="H60" s="78">
        <f>F60*G60</f>
        <v>42079.14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8"/>
        <v>130.41666666666666</v>
      </c>
      <c r="M60" s="82">
        <v>12</v>
      </c>
      <c r="N60" s="80">
        <f t="shared" si="49"/>
        <v>1489.0000000000034</v>
      </c>
      <c r="O60" s="81">
        <f t="shared" si="50"/>
        <v>124.08333333333361</v>
      </c>
      <c r="P60" s="74">
        <f t="shared" si="51"/>
        <v>0</v>
      </c>
      <c r="Q60" s="83">
        <f t="shared" si="52"/>
        <v>-6.3333333333330444</v>
      </c>
      <c r="R60" s="72">
        <f t="shared" si="45"/>
        <v>0.95143769968051339</v>
      </c>
      <c r="S60" s="451"/>
      <c r="T60" s="22">
        <v>0.38888888888888901</v>
      </c>
      <c r="U60" s="22">
        <v>0.43055555555555558</v>
      </c>
      <c r="V60" s="30">
        <f t="shared" ref="V60:V61" si="53">(T60-U59)*24*60</f>
        <v>15.000000000000506</v>
      </c>
      <c r="W60" s="248">
        <f t="shared" si="17"/>
        <v>59.999999999999865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46"/>
        <v>-75.999999999996589</v>
      </c>
      <c r="AG60" s="249">
        <f t="shared" si="47"/>
        <v>0.95143769968051339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1351</v>
      </c>
      <c r="H61" s="254">
        <f>F61*G61</f>
        <v>38179.26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8"/>
        <v>130.41666666666666</v>
      </c>
      <c r="M61" s="108">
        <v>11</v>
      </c>
      <c r="N61" s="107">
        <f t="shared" si="49"/>
        <v>1157.9999999999777</v>
      </c>
      <c r="O61" s="238">
        <f t="shared" si="50"/>
        <v>105.27272727272525</v>
      </c>
      <c r="P61" s="111">
        <f t="shared" si="51"/>
        <v>-1</v>
      </c>
      <c r="Q61" s="255">
        <f t="shared" si="52"/>
        <v>-25.143939393941409</v>
      </c>
      <c r="R61" s="85">
        <f>O61/L61</f>
        <v>0.80720302062153548</v>
      </c>
      <c r="S61" s="425"/>
      <c r="T61" s="22">
        <v>0.44444444444444398</v>
      </c>
      <c r="U61" s="22">
        <v>0.49305555555555602</v>
      </c>
      <c r="V61" s="30">
        <f t="shared" si="53"/>
        <v>19.999999999999289</v>
      </c>
      <c r="W61" s="256">
        <f t="shared" si="17"/>
        <v>70.00000000000135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46"/>
        <v>-407.00000000002228</v>
      </c>
      <c r="AG61" s="247">
        <f t="shared" si="47"/>
        <v>0.73993610223640749</v>
      </c>
      <c r="AH61" s="404"/>
    </row>
    <row r="62" spans="1:34" ht="15" customHeight="1">
      <c r="A62" s="44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5"/>
      <c r="T62" s="22"/>
      <c r="U62" s="22"/>
      <c r="V62" s="30"/>
      <c r="W62" s="248">
        <f t="shared" si="17"/>
        <v>0</v>
      </c>
      <c r="X62" s="22">
        <v>0.50347222222222199</v>
      </c>
      <c r="Y62" s="84">
        <v>0.54513888888888895</v>
      </c>
      <c r="Z62" s="90"/>
      <c r="AA62" s="90"/>
      <c r="AB62" s="395"/>
      <c r="AC62" s="395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 thickBo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4">AVERAGE(J59:J68)</f>
        <v>12.333333333333334</v>
      </c>
      <c r="K69" s="240">
        <f t="shared" si="54"/>
        <v>1565</v>
      </c>
      <c r="L69" s="268">
        <f t="shared" si="54"/>
        <v>127.07264957264958</v>
      </c>
      <c r="M69" s="240">
        <f t="shared" si="54"/>
        <v>12</v>
      </c>
      <c r="N69" s="240">
        <f t="shared" si="54"/>
        <v>1401.8533333333307</v>
      </c>
      <c r="O69" s="268">
        <f t="shared" si="54"/>
        <v>116.41509712509681</v>
      </c>
      <c r="P69" s="269">
        <f>M69-J69</f>
        <v>-0.33333333333333393</v>
      </c>
      <c r="Q69" s="222">
        <f>N69-K69</f>
        <v>-163.14666666666926</v>
      </c>
      <c r="R69" s="123">
        <f>O69/L69</f>
        <v>0.91613024137456367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-163.14666666666926</v>
      </c>
      <c r="AG69" s="124">
        <f>N69/K69</f>
        <v>0.89575292864749567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1574</v>
      </c>
      <c r="H70" s="243">
        <f>F70*G70</f>
        <v>79754.58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9</v>
      </c>
      <c r="N70" s="137">
        <f>G70/W70*60</f>
        <v>858.54545454545325</v>
      </c>
      <c r="O70" s="138">
        <f>N70/M70</f>
        <v>95.393939393939249</v>
      </c>
      <c r="P70" s="56">
        <f>M70-J70</f>
        <v>-1</v>
      </c>
      <c r="Q70" s="230">
        <f>O70-L70</f>
        <v>-17.106060606060751</v>
      </c>
      <c r="R70" s="52">
        <f>O70/L70</f>
        <v>0.84794612794612667</v>
      </c>
      <c r="S70" s="424">
        <f>R79</f>
        <v>0.86562142079521198</v>
      </c>
      <c r="T70" s="245">
        <v>0.33333333333333298</v>
      </c>
      <c r="U70" s="245">
        <v>0.40972222222222199</v>
      </c>
      <c r="V70" s="55"/>
      <c r="W70" s="54">
        <f t="shared" si="17"/>
        <v>110.00000000000017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-266.45454545454675</v>
      </c>
      <c r="AG70" s="246">
        <f>N70/K70</f>
        <v>0.76315151515151403</v>
      </c>
      <c r="AH70" s="403">
        <f>AG79</f>
        <v>0.75830078018261815</v>
      </c>
    </row>
    <row r="71" spans="1:36" ht="15" customHeight="1">
      <c r="A71" s="457"/>
      <c r="B71" s="75" t="s">
        <v>81</v>
      </c>
      <c r="C71" s="76"/>
      <c r="D71" s="59" t="s">
        <v>125</v>
      </c>
      <c r="E71" s="77"/>
      <c r="F71" s="75">
        <f>VLOOKUP(D71,廠價表!$C$1:$E$41,3,0)</f>
        <v>56.43</v>
      </c>
      <c r="G71" s="30">
        <v>1116</v>
      </c>
      <c r="H71" s="78">
        <f>F71*G71</f>
        <v>62975.88</v>
      </c>
      <c r="I71" s="232"/>
      <c r="J71" s="79">
        <f>VLOOKUP(D71,產線配置圖!$A$3:$C$39,2,0)</f>
        <v>16</v>
      </c>
      <c r="K71" s="80">
        <f>VLOOKUP(D71,產線配置圖!$A$3:$C$39,3,0)</f>
        <v>1406</v>
      </c>
      <c r="L71" s="81">
        <f t="shared" ref="L71:L72" si="55">K71/J71</f>
        <v>87.875</v>
      </c>
      <c r="M71" s="82">
        <v>12</v>
      </c>
      <c r="N71" s="80">
        <f t="shared" ref="N71:N72" si="56">G71/W71*60</f>
        <v>956.57142857143094</v>
      </c>
      <c r="O71" s="81">
        <f t="shared" ref="O71:O72" si="57">N71/M71</f>
        <v>79.714285714285907</v>
      </c>
      <c r="P71" s="74">
        <f t="shared" ref="P71:P72" si="58">M71-J71</f>
        <v>-4</v>
      </c>
      <c r="Q71" s="83">
        <f t="shared" ref="Q71:Q72" si="59">O71-L71</f>
        <v>-8.1607142857140929</v>
      </c>
      <c r="R71" s="72">
        <f t="shared" ref="R71:R72" si="60">O71/L71</f>
        <v>0.90713269660638296</v>
      </c>
      <c r="S71" s="425"/>
      <c r="T71" s="22">
        <v>0.42361111111111099</v>
      </c>
      <c r="U71" s="22">
        <v>0.47222222222222199</v>
      </c>
      <c r="V71" s="30"/>
      <c r="W71" s="73">
        <f t="shared" si="17"/>
        <v>69.999999999999829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 t="s">
        <v>81</v>
      </c>
      <c r="C72" s="76"/>
      <c r="D72" s="59" t="s">
        <v>136</v>
      </c>
      <c r="E72" s="77"/>
      <c r="F72" s="250">
        <f>VLOOKUP(D72,廠價表!$C$1:$E$41,3,0)</f>
        <v>50.67</v>
      </c>
      <c r="G72" s="202">
        <v>1037</v>
      </c>
      <c r="H72" s="254">
        <f>F72*G72</f>
        <v>52544.79</v>
      </c>
      <c r="I72" s="232"/>
      <c r="J72" s="106">
        <f>VLOOKUP(D72,產線配置圖!$A$3:$C$39,2,0)</f>
        <v>10</v>
      </c>
      <c r="K72" s="107">
        <f>VLOOKUP(D72,產線配置圖!$A$3:$C$39,3,0)</f>
        <v>1125</v>
      </c>
      <c r="L72" s="238">
        <f t="shared" si="55"/>
        <v>112.5</v>
      </c>
      <c r="M72" s="108">
        <v>10</v>
      </c>
      <c r="N72" s="107">
        <f t="shared" si="56"/>
        <v>957.23076923076792</v>
      </c>
      <c r="O72" s="238">
        <f t="shared" si="57"/>
        <v>95.723076923076789</v>
      </c>
      <c r="P72" s="111">
        <f t="shared" si="58"/>
        <v>0</v>
      </c>
      <c r="Q72" s="255">
        <f t="shared" si="59"/>
        <v>-16.776923076923211</v>
      </c>
      <c r="R72" s="85">
        <f>O72/L72</f>
        <v>0.85087179487179365</v>
      </c>
      <c r="S72" s="425"/>
      <c r="T72" s="22">
        <v>0.54861111111111105</v>
      </c>
      <c r="U72" s="22">
        <v>0.59375</v>
      </c>
      <c r="V72" s="30"/>
      <c r="W72" s="73">
        <f t="shared" si="17"/>
        <v>65.000000000000085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61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61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61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61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 thickBo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62">AVERAGE(J70:J78)</f>
        <v>12</v>
      </c>
      <c r="K79" s="240">
        <f t="shared" si="62"/>
        <v>1218.6666666666667</v>
      </c>
      <c r="L79" s="268">
        <f t="shared" si="62"/>
        <v>104.29166666666667</v>
      </c>
      <c r="M79" s="240">
        <f t="shared" si="62"/>
        <v>10.333333333333334</v>
      </c>
      <c r="N79" s="240">
        <f t="shared" si="62"/>
        <v>924.115884115884</v>
      </c>
      <c r="O79" s="268">
        <f t="shared" si="62"/>
        <v>90.277100677100648</v>
      </c>
      <c r="P79" s="269">
        <f>M79-J79</f>
        <v>-1.6666666666666661</v>
      </c>
      <c r="Q79" s="222">
        <f>N79-K79</f>
        <v>-294.55078255078274</v>
      </c>
      <c r="R79" s="223">
        <f>O79/L79</f>
        <v>0.86562142079521198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-294.55078255078274</v>
      </c>
      <c r="AG79" s="124">
        <f>N79/K79</f>
        <v>0.75830078018261815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77:AC77"/>
    <mergeCell ref="AB78:AC78"/>
    <mergeCell ref="D79:E79"/>
    <mergeCell ref="AB79:AC79"/>
    <mergeCell ref="AB63:AC63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H59:AH69"/>
    <mergeCell ref="AB60:AC60"/>
    <mergeCell ref="AB61:AC61"/>
    <mergeCell ref="AB62:AC62"/>
    <mergeCell ref="AB64:AC64"/>
    <mergeCell ref="AB65:AC65"/>
    <mergeCell ref="AB66:AC66"/>
    <mergeCell ref="AB67:AC67"/>
    <mergeCell ref="AB68:AC68"/>
    <mergeCell ref="AB69:AC69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D3:AE3"/>
    <mergeCell ref="AF3:AF4"/>
    <mergeCell ref="AG3:AG4"/>
    <mergeCell ref="AH3:AH4"/>
    <mergeCell ref="A5:A15"/>
    <mergeCell ref="S5:S15"/>
    <mergeCell ref="AB5:AC5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T1:Y2"/>
    <mergeCell ref="AB1:AC2"/>
    <mergeCell ref="AF1:AH2"/>
  </mergeCells>
  <phoneticPr fontId="32" type="noConversion"/>
  <conditionalFormatting sqref="P5:P79">
    <cfRule type="cellIs" dxfId="46" priority="1" operator="greaterThan">
      <formula>0</formula>
    </cfRule>
  </conditionalFormatting>
  <conditionalFormatting sqref="AF5:AF79 Q5:Q79">
    <cfRule type="cellIs" dxfId="45" priority="4" operator="lessThan">
      <formula>0</formula>
    </cfRule>
  </conditionalFormatting>
  <conditionalFormatting sqref="AG5:AG79 R5:R79">
    <cfRule type="cellIs" dxfId="44" priority="2" operator="greaterThan">
      <formula>1</formula>
    </cfRule>
    <cfRule type="cellIs" dxfId="43" priority="3" operator="lessThan">
      <formula>0.8</formula>
    </cfRule>
  </conditionalFormatting>
  <conditionalFormatting sqref="S5:S10 S37:S62 AH59:AH62 S69:S76 AH69:AH76">
    <cfRule type="cellIs" dxfId="42" priority="7" operator="lessThan">
      <formula>0.8</formula>
    </cfRule>
  </conditionalFormatting>
  <conditionalFormatting sqref="S19:S25 AH19:AH25">
    <cfRule type="cellIs" dxfId="41" priority="6" operator="lessThan">
      <formula>0.8</formula>
    </cfRule>
  </conditionalFormatting>
  <conditionalFormatting sqref="S79">
    <cfRule type="cellIs" dxfId="40" priority="5" operator="lessThan">
      <formula>0.8</formula>
    </cfRule>
  </conditionalFormatting>
  <conditionalFormatting sqref="AH5:AH8 S15:S16 AH15:AH16 AH49 AH79">
    <cfRule type="cellIs" dxfId="39" priority="9" operator="lessThan">
      <formula>0.8</formula>
    </cfRule>
  </conditionalFormatting>
  <conditionalFormatting sqref="AH27 S27:S28">
    <cfRule type="cellIs" dxfId="38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BD94B0-E697-40FB-B779-18613380EFE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2099-7DE6-4412-A985-19D618D2E8AA}">
  <dimension ref="B1:O26"/>
  <sheetViews>
    <sheetView zoomScale="70" zoomScaleNormal="70" workbookViewId="0">
      <selection activeCell="U52" sqref="U5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46080</v>
      </c>
      <c r="E3" s="493"/>
      <c r="F3" s="3" t="s">
        <v>72</v>
      </c>
      <c r="G3" s="494">
        <f>'0227'!E1</f>
        <v>43401</v>
      </c>
      <c r="H3" s="494"/>
      <c r="I3" s="3" t="s">
        <v>2</v>
      </c>
      <c r="J3" s="495">
        <f>'0227'!G1</f>
        <v>2063758.5800000003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122.46003758146615</v>
      </c>
      <c r="G6" s="490"/>
      <c r="H6" s="491">
        <f>AVERAGE(D13:H13,J13)</f>
        <v>121.69126891626892</v>
      </c>
      <c r="I6" s="491"/>
      <c r="J6" s="491">
        <f>AVERAGE(I13)</f>
        <v>127.07264957264958</v>
      </c>
      <c r="K6" s="491"/>
      <c r="L6" s="497">
        <f>SUM(D18:J18)</f>
        <v>0</v>
      </c>
      <c r="M6" s="482">
        <f>SUM(D19:J19)</f>
        <v>0</v>
      </c>
      <c r="N6" s="498">
        <f>SUM(D20:J20)</f>
        <v>0</v>
      </c>
      <c r="O6" s="482">
        <f>SUM(D20:J20)</f>
        <v>0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114.9949335525362</v>
      </c>
      <c r="G7" s="479"/>
      <c r="H7" s="480">
        <f>AVERAGE(D14:H14,J14)</f>
        <v>114.91955065629405</v>
      </c>
      <c r="I7" s="480"/>
      <c r="J7" s="480">
        <f>AVERAGE(I14)</f>
        <v>115.44723092998909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0.93904048882915114</v>
      </c>
      <c r="G8" s="485"/>
      <c r="H8" s="485">
        <f>H7/H6</f>
        <v>0.94435329403431367</v>
      </c>
      <c r="I8" s="485"/>
      <c r="J8" s="485">
        <f>J7/J6</f>
        <v>0.90851360476265164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VALUE('0227'!L15)</f>
        <v>149.75427350427347</v>
      </c>
      <c r="E13" s="13">
        <f>VALUE('0227'!L26)</f>
        <v>176.42992424242425</v>
      </c>
      <c r="F13" s="13">
        <f>VALUE('0227'!L37)</f>
        <v>103.29258241758242</v>
      </c>
      <c r="G13" s="13">
        <f>VALUE('0227'!L48)</f>
        <v>90</v>
      </c>
      <c r="H13" s="13">
        <f>VALUE('0227'!L58)</f>
        <v>110.48333333333332</v>
      </c>
      <c r="I13" s="13">
        <f>VALUE('0227'!L69)</f>
        <v>127.07264957264958</v>
      </c>
      <c r="J13" s="13">
        <f>'0227'!L79</f>
        <v>100.1875</v>
      </c>
    </row>
    <row r="14" spans="2:15" ht="39.950000000000003" customHeight="1">
      <c r="B14" s="473"/>
      <c r="C14" s="12" t="s">
        <v>100</v>
      </c>
      <c r="D14" s="13">
        <f>VALUE('0227'!O15)</f>
        <v>140.32186820940089</v>
      </c>
      <c r="E14" s="13">
        <f>VALUE('0227'!O26)</f>
        <v>172.00204854669127</v>
      </c>
      <c r="F14" s="13">
        <f>VALUE('0227'!O37)</f>
        <v>100.00919230884786</v>
      </c>
      <c r="G14" s="13">
        <f>VALUE('0227'!O48)</f>
        <v>80.111899038461843</v>
      </c>
      <c r="H14" s="13">
        <f>VALUE('0227'!O58)</f>
        <v>106.97051831142664</v>
      </c>
      <c r="I14" s="13">
        <f>VALUE('0227'!O69)</f>
        <v>115.44723092998909</v>
      </c>
      <c r="J14" s="13">
        <f>'0227'!O79</f>
        <v>90.101777522935734</v>
      </c>
    </row>
    <row r="15" spans="2:15" ht="39.950000000000003" customHeight="1">
      <c r="B15" s="474"/>
      <c r="C15" s="10" t="s">
        <v>26</v>
      </c>
      <c r="D15" s="14">
        <f>D14/D13</f>
        <v>0.93701411603052909</v>
      </c>
      <c r="E15" s="14">
        <f t="shared" ref="E15:I15" si="1">E14/E13</f>
        <v>0.97490292128874445</v>
      </c>
      <c r="F15" s="14">
        <f t="shared" si="1"/>
        <v>0.96821272126336477</v>
      </c>
      <c r="G15" s="14">
        <f t="shared" si="1"/>
        <v>0.89013221153846489</v>
      </c>
      <c r="H15" s="14">
        <f t="shared" si="1"/>
        <v>0.96820502318382851</v>
      </c>
      <c r="I15" s="14">
        <f t="shared" si="1"/>
        <v>0.90851360476265164</v>
      </c>
      <c r="J15" s="15">
        <f>'0227'!S70</f>
        <v>0.89933152861320753</v>
      </c>
    </row>
    <row r="16" spans="2:15" ht="17.25" customHeight="1">
      <c r="B16" s="475" t="s">
        <v>101</v>
      </c>
      <c r="C16" s="10" t="s">
        <v>34</v>
      </c>
      <c r="D16" s="16">
        <f>'0227'!T5</f>
        <v>0.29027777777777802</v>
      </c>
      <c r="E16" s="16">
        <f>'0227'!T16</f>
        <v>0.29027777777777802</v>
      </c>
      <c r="F16" s="16">
        <f>'0227'!T27</f>
        <v>0.28819444444444442</v>
      </c>
      <c r="G16" s="16">
        <f>'0227'!T38</f>
        <v>0.33680555555555602</v>
      </c>
      <c r="H16" s="16">
        <f>'0227'!T49</f>
        <v>0.28819444444444442</v>
      </c>
      <c r="I16" s="16">
        <f>'0227'!T59</f>
        <v>0.29166666666666702</v>
      </c>
      <c r="J16" s="16">
        <f>'0227'!T70</f>
        <v>0.38541666666666669</v>
      </c>
    </row>
    <row r="17" spans="2:10" ht="17.25" customHeight="1">
      <c r="B17" s="476"/>
      <c r="C17" s="10" t="s">
        <v>35</v>
      </c>
      <c r="D17" s="16">
        <v>0.48125000000000001</v>
      </c>
      <c r="E17" s="19">
        <v>0.57916666666666672</v>
      </c>
      <c r="F17" s="19">
        <v>0.61111111111111105</v>
      </c>
      <c r="G17" s="20">
        <v>0.4861111111111111</v>
      </c>
      <c r="H17" s="21">
        <v>0.56597222222222199</v>
      </c>
      <c r="I17" s="22">
        <v>0.5</v>
      </c>
      <c r="J17" s="22">
        <v>0.49930555555555556</v>
      </c>
    </row>
    <row r="18" spans="2:10" ht="17.25" customHeight="1">
      <c r="B18" s="477" t="s">
        <v>102</v>
      </c>
      <c r="C18" s="330" t="s">
        <v>36</v>
      </c>
      <c r="D18" s="358">
        <f>'0227'!Z15</f>
        <v>0</v>
      </c>
      <c r="E18" s="359">
        <f>'0227'!Z26</f>
        <v>0</v>
      </c>
      <c r="F18" s="359">
        <f>'0227'!Z37</f>
        <v>0</v>
      </c>
      <c r="G18" s="360">
        <f>'0227'!Z48</f>
        <v>0</v>
      </c>
      <c r="H18" s="360">
        <f>'0227'!Z58</f>
        <v>0</v>
      </c>
      <c r="I18" s="359">
        <f>'0227'!Z69</f>
        <v>0</v>
      </c>
      <c r="J18" s="359">
        <f>'0227'!AA79</f>
        <v>0</v>
      </c>
    </row>
    <row r="19" spans="2:10" ht="17.25" customHeight="1">
      <c r="B19" s="478"/>
      <c r="C19" s="330" t="s">
        <v>37</v>
      </c>
      <c r="D19" s="358">
        <f>'0227'!AA15</f>
        <v>0</v>
      </c>
      <c r="E19" s="359">
        <f>'0227'!AA26</f>
        <v>0</v>
      </c>
      <c r="F19" s="359">
        <f>'0227'!AA37</f>
        <v>0</v>
      </c>
      <c r="G19" s="360">
        <f>'0227'!AA48</f>
        <v>0</v>
      </c>
      <c r="H19" s="360">
        <f>'0227'!AA58</f>
        <v>0</v>
      </c>
      <c r="I19" s="359">
        <f>'0227'!AA69</f>
        <v>0</v>
      </c>
      <c r="J19" s="359">
        <f>'0227'!AB79</f>
        <v>0</v>
      </c>
    </row>
    <row r="20" spans="2:10" ht="17.25" customHeight="1">
      <c r="B20" s="477" t="s">
        <v>103</v>
      </c>
      <c r="C20" s="330" t="s">
        <v>36</v>
      </c>
      <c r="D20" s="358">
        <f>'0227'!AD15</f>
        <v>0</v>
      </c>
      <c r="E20" s="359">
        <f>'0227'!AD26</f>
        <v>0</v>
      </c>
      <c r="F20" s="359">
        <f>'0227'!AD37</f>
        <v>0</v>
      </c>
      <c r="G20" s="360">
        <f>'0227'!AD48</f>
        <v>0</v>
      </c>
      <c r="H20" s="360">
        <f>'0227'!AD58</f>
        <v>0</v>
      </c>
      <c r="I20" s="359">
        <f>'0227'!AD69</f>
        <v>0</v>
      </c>
      <c r="J20" s="359">
        <f>'0227'!AD79</f>
        <v>0</v>
      </c>
    </row>
    <row r="21" spans="2:10" ht="17.25" customHeight="1">
      <c r="B21" s="478"/>
      <c r="C21" s="330" t="s">
        <v>85</v>
      </c>
      <c r="D21" s="358">
        <f>'0227'!AE15</f>
        <v>0</v>
      </c>
      <c r="E21" s="359">
        <f>'0227'!AE26</f>
        <v>0</v>
      </c>
      <c r="F21" s="359">
        <f>'0227'!AE37</f>
        <v>0</v>
      </c>
      <c r="G21" s="360">
        <f>'0227'!AE48</f>
        <v>0</v>
      </c>
      <c r="H21" s="360">
        <f>'0227'!AE58</f>
        <v>0</v>
      </c>
      <c r="I21" s="359">
        <f>'0227'!AE69</f>
        <v>0</v>
      </c>
      <c r="J21" s="359">
        <f>'0227'!AE79</f>
        <v>0</v>
      </c>
    </row>
    <row r="22" spans="2:10" ht="17.25" customHeight="1">
      <c r="B22" s="460" t="s">
        <v>104</v>
      </c>
      <c r="C22" s="461"/>
      <c r="D22" s="23">
        <f>VALUE('0227'!M15)</f>
        <v>13</v>
      </c>
      <c r="E22" s="23">
        <f>VALUE('0227'!M26)</f>
        <v>11.5</v>
      </c>
      <c r="F22" s="23">
        <f>VALUE('0227'!M37)</f>
        <v>13</v>
      </c>
      <c r="G22" s="23">
        <f>VALUE('0227'!M48)</f>
        <v>15.5</v>
      </c>
      <c r="H22" s="23">
        <f>VALUE('0227'!M58)</f>
        <v>14.75</v>
      </c>
      <c r="I22" s="23">
        <f>VALUE('0227'!M69)</f>
        <v>11</v>
      </c>
      <c r="J22" s="23">
        <f>'0227'!M79</f>
        <v>8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F8:G8"/>
    <mergeCell ref="H8:I8"/>
    <mergeCell ref="J8:K8"/>
    <mergeCell ref="B10:C10"/>
    <mergeCell ref="D10:J10"/>
    <mergeCell ref="B11:C12"/>
    <mergeCell ref="J6:K6"/>
    <mergeCell ref="L6:L8"/>
    <mergeCell ref="M6:M8"/>
    <mergeCell ref="N6:N8"/>
    <mergeCell ref="O6:O8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32" type="noConversion"/>
  <conditionalFormatting sqref="D15:J15">
    <cfRule type="cellIs" dxfId="37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C8B9-D8B1-4E93-BE83-70E0DCFA2BD4}">
  <sheetPr>
    <tabColor theme="9" tint="0.79998168889431442"/>
  </sheetPr>
  <dimension ref="A1:AJ92"/>
  <sheetViews>
    <sheetView zoomScale="69" zoomScaleNormal="69" workbookViewId="0">
      <pane xSplit="5" ySplit="4" topLeftCell="G17" activePane="bottomRight" state="frozen"/>
      <selection activeCell="U52" sqref="U52"/>
      <selection pane="topRight" activeCell="U52" sqref="U52"/>
      <selection pane="bottomLeft" activeCell="U52" sqref="U52"/>
      <selection pane="bottomRight" activeCell="U52" sqref="U5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235</v>
      </c>
      <c r="B1" s="27"/>
      <c r="C1" s="27"/>
      <c r="D1" s="28" t="s">
        <v>1</v>
      </c>
      <c r="E1" s="29">
        <f>SUM(G5:G79)</f>
        <v>43401</v>
      </c>
      <c r="F1" s="30" t="s">
        <v>2</v>
      </c>
      <c r="G1" s="31">
        <f>SUM(H5:H79)</f>
        <v>2063758.5800000003</v>
      </c>
      <c r="H1" s="32" t="s">
        <v>3</v>
      </c>
      <c r="I1" s="33">
        <f>M15+M26+M48+M58+M69+M79+M37</f>
        <v>86.75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13</v>
      </c>
      <c r="B2" s="374"/>
      <c r="C2" s="28"/>
      <c r="D2" s="28" t="s">
        <v>14</v>
      </c>
      <c r="E2" s="35">
        <f>AVERAGE(O15,O26,O37,O48,O58,O69,O79)</f>
        <v>114.9949335525362</v>
      </c>
      <c r="F2" s="36" t="s">
        <v>15</v>
      </c>
      <c r="G2" s="37">
        <f>G1/E1</f>
        <v>47.55094536992236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0</v>
      </c>
      <c r="AA2" s="339">
        <f>AA15+AA26+AA37+AA48+AA58+AA69+AA79</f>
        <v>0</v>
      </c>
      <c r="AB2" s="370"/>
      <c r="AC2" s="370"/>
      <c r="AD2" s="340">
        <f>AD15+AD26+AD37+AD48+AD58+AD69+AD79</f>
        <v>0</v>
      </c>
      <c r="AE2" s="340">
        <f>AE15+AE26+AE37+AE48+AE58+AE69+AE79</f>
        <v>0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 ht="16.5" thickBot="1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890</v>
      </c>
      <c r="H5" s="43">
        <f>F5*G5</f>
        <v>50916.9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7" si="0">K5/J5</f>
        <v>175.41666666666666</v>
      </c>
      <c r="M5" s="48">
        <v>11</v>
      </c>
      <c r="N5" s="46">
        <f t="shared" ref="N5:N7" si="1">G5/W5*60</f>
        <v>1841.379310344819</v>
      </c>
      <c r="O5" s="47">
        <f t="shared" ref="O5:O7" si="2">N5/M5</f>
        <v>167.39811912225628</v>
      </c>
      <c r="P5" s="49">
        <f t="shared" ref="P5:P7" si="3">M5-J5</f>
        <v>-1</v>
      </c>
      <c r="Q5" s="50">
        <f t="shared" ref="Q5:Q7" si="4">O5-L5</f>
        <v>-8.0185475444103815</v>
      </c>
      <c r="R5" s="51">
        <f t="shared" ref="R5:R7" si="5">O5/L5</f>
        <v>0.95428856506749427</v>
      </c>
      <c r="S5" s="424">
        <f>R15</f>
        <v>0.93701411603052909</v>
      </c>
      <c r="T5" s="319">
        <v>0.29027777777777802</v>
      </c>
      <c r="U5" s="320">
        <v>0.31041666666666701</v>
      </c>
      <c r="V5" s="53"/>
      <c r="W5" s="54">
        <f t="shared" ref="W5:W14" si="6">(U5-T5)*24*60</f>
        <v>29.000000000000135</v>
      </c>
      <c r="X5" s="55"/>
      <c r="Y5" s="290"/>
      <c r="Z5" s="169"/>
      <c r="AA5" s="169"/>
      <c r="AB5" s="402"/>
      <c r="AC5" s="402"/>
      <c r="AD5" s="135"/>
      <c r="AE5" s="135"/>
      <c r="AF5" s="229">
        <f t="shared" ref="AF5:AF11" si="7">N5-K5</f>
        <v>-263.62068965518097</v>
      </c>
      <c r="AG5" s="52">
        <f t="shared" ref="AG5:AG11" si="8">N5/K5</f>
        <v>0.87476451797853638</v>
      </c>
      <c r="AH5" s="403">
        <f>AG15</f>
        <v>0.9041793131489152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1133</v>
      </c>
      <c r="H6" s="63">
        <f>F6*G6</f>
        <v>63765.24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1510.6666666666665</v>
      </c>
      <c r="O6" s="67">
        <f t="shared" si="2"/>
        <v>100.71111111111109</v>
      </c>
      <c r="P6" s="69">
        <f t="shared" si="3"/>
        <v>0</v>
      </c>
      <c r="Q6" s="70">
        <f t="shared" si="4"/>
        <v>-19.288888888888906</v>
      </c>
      <c r="R6" s="71">
        <f t="shared" si="5"/>
        <v>0.83925925925925915</v>
      </c>
      <c r="S6" s="425"/>
      <c r="T6" s="16">
        <v>0.34375</v>
      </c>
      <c r="U6" s="16">
        <v>0.375</v>
      </c>
      <c r="V6" s="30">
        <f>(T6-U5)*24*60</f>
        <v>47.99999999999951</v>
      </c>
      <c r="W6" s="73">
        <f t="shared" si="6"/>
        <v>45</v>
      </c>
      <c r="X6" s="22"/>
      <c r="Y6" s="84"/>
      <c r="Z6" s="90"/>
      <c r="AA6" s="90"/>
      <c r="AB6" s="407" t="s">
        <v>234</v>
      </c>
      <c r="AC6" s="407"/>
      <c r="AD6" s="149"/>
      <c r="AE6" s="149"/>
      <c r="AF6" s="307">
        <f t="shared" si="7"/>
        <v>-289.33333333333348</v>
      </c>
      <c r="AG6" s="72">
        <f t="shared" si="8"/>
        <v>0.83925925925925915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61">
        <f>VLOOKUP(D7,廠價表!$C$1:$E$41,3,0)</f>
        <v>49.14</v>
      </c>
      <c r="G7" s="66">
        <v>4736</v>
      </c>
      <c r="H7" s="63">
        <f>F7*G7</f>
        <v>232727.04000000001</v>
      </c>
      <c r="I7" s="64"/>
      <c r="J7" s="65">
        <f>VLOOKUP(D7,產線配置圖!$A$3:$C$39,2,0)</f>
        <v>13</v>
      </c>
      <c r="K7" s="66">
        <f>VLOOKUP(D7,產線配置圖!$A$3:$C$39,3,0)</f>
        <v>2000</v>
      </c>
      <c r="L7" s="67">
        <f t="shared" si="0"/>
        <v>153.84615384615384</v>
      </c>
      <c r="M7" s="82">
        <v>13</v>
      </c>
      <c r="N7" s="66">
        <f t="shared" si="1"/>
        <v>1987.1328671328579</v>
      </c>
      <c r="O7" s="67">
        <f t="shared" si="2"/>
        <v>152.85637439483523</v>
      </c>
      <c r="P7" s="69">
        <f t="shared" si="3"/>
        <v>0</v>
      </c>
      <c r="Q7" s="70">
        <f t="shared" si="4"/>
        <v>-0.98977945131861134</v>
      </c>
      <c r="R7" s="71">
        <f t="shared" si="5"/>
        <v>0.99356643356642904</v>
      </c>
      <c r="S7" s="425"/>
      <c r="T7" s="16">
        <v>0.38194444444444398</v>
      </c>
      <c r="U7" s="16">
        <v>0.48125000000000001</v>
      </c>
      <c r="V7" s="30">
        <f>(T7-U6)*24*60</f>
        <v>9.999999999999325</v>
      </c>
      <c r="W7" s="73">
        <f t="shared" si="6"/>
        <v>143.00000000000068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-12.867132867142118</v>
      </c>
      <c r="AG7" s="72">
        <f t="shared" si="8"/>
        <v>0.99356643356642893</v>
      </c>
      <c r="AH7" s="404"/>
    </row>
    <row r="8" spans="1:34" ht="15" customHeight="1">
      <c r="A8" s="421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425"/>
      <c r="T8" s="16"/>
      <c r="U8" s="16"/>
      <c r="V8" s="30"/>
      <c r="W8" s="73">
        <f t="shared" si="6"/>
        <v>0</v>
      </c>
      <c r="X8" s="22"/>
      <c r="Y8" s="84"/>
      <c r="Z8" s="90"/>
      <c r="AA8" s="90"/>
      <c r="AB8" s="407"/>
      <c r="AC8" s="407"/>
      <c r="AD8" s="149"/>
      <c r="AE8" s="149"/>
      <c r="AF8" s="307">
        <f t="shared" si="7"/>
        <v>0</v>
      </c>
      <c r="AG8" s="72" t="e">
        <f t="shared" si="8"/>
        <v>#DIV/0!</v>
      </c>
      <c r="AH8" s="404"/>
    </row>
    <row r="9" spans="1:34" ht="15" customHeight="1">
      <c r="A9" s="42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6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0</v>
      </c>
      <c r="AG9" s="72" t="e">
        <f t="shared" si="8"/>
        <v>#DIV/0!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 thickBo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9">AVERAGE(J5:J14)</f>
        <v>13.333333333333334</v>
      </c>
      <c r="K15" s="120">
        <f t="shared" si="9"/>
        <v>1968.3333333333333</v>
      </c>
      <c r="L15" s="117">
        <f t="shared" si="9"/>
        <v>149.75427350427347</v>
      </c>
      <c r="M15" s="120">
        <f t="shared" si="9"/>
        <v>13</v>
      </c>
      <c r="N15" s="120">
        <f t="shared" si="9"/>
        <v>1779.726281381448</v>
      </c>
      <c r="O15" s="117">
        <f t="shared" si="9"/>
        <v>140.32186820940089</v>
      </c>
      <c r="P15" s="121">
        <f t="shared" ref="P15:P19" si="10">M15-J15</f>
        <v>-0.33333333333333393</v>
      </c>
      <c r="Q15" s="122">
        <f t="shared" ref="Q15:Q19" si="11">O15-L15</f>
        <v>-9.4324052948725807</v>
      </c>
      <c r="R15" s="123">
        <f t="shared" ref="R15:R19" si="12">O15/L15</f>
        <v>0.93701411603052909</v>
      </c>
      <c r="S15" s="428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3">N15-K15</f>
        <v>-188.6070519518853</v>
      </c>
      <c r="AG15" s="124">
        <f t="shared" ref="AG15:AG19" si="14">N15/K15</f>
        <v>0.9041793131489152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2437</v>
      </c>
      <c r="H16" s="134">
        <f>F16*G16</f>
        <v>139420.76999999999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19" si="15">K16/J16</f>
        <v>175.41666666666666</v>
      </c>
      <c r="M16" s="139">
        <v>12</v>
      </c>
      <c r="N16" s="140">
        <f t="shared" ref="N16:N19" si="16">G16/W16*60</f>
        <v>2088.8571428571527</v>
      </c>
      <c r="O16" s="141">
        <f>N16/M16</f>
        <v>174.07142857142938</v>
      </c>
      <c r="P16" s="142">
        <f>M16-J16</f>
        <v>0</v>
      </c>
      <c r="Q16" s="143">
        <f t="shared" si="11"/>
        <v>-1.3452380952372778</v>
      </c>
      <c r="R16" s="144">
        <f>O16/L16</f>
        <v>0.99233118425517941</v>
      </c>
      <c r="S16" s="417">
        <f>R26</f>
        <v>0.97490292128874445</v>
      </c>
      <c r="T16" s="145">
        <v>0.29027777777777802</v>
      </c>
      <c r="U16" s="145">
        <v>0.33888888888888891</v>
      </c>
      <c r="V16" s="135"/>
      <c r="W16" s="146">
        <f t="shared" ref="W16:W78" si="17">(U16-T16)*24*60</f>
        <v>69.999999999999673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3"/>
        <v>-16.142857142847333</v>
      </c>
      <c r="AG16" s="52">
        <f t="shared" si="14"/>
        <v>0.99233118425517941</v>
      </c>
      <c r="AH16" s="403">
        <f>AG26</f>
        <v>0.97543634356888875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3275</v>
      </c>
      <c r="H17" s="78">
        <f>F17*G17</f>
        <v>165944.25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5"/>
        <v>166.66666666666666</v>
      </c>
      <c r="M17" s="148">
        <v>12</v>
      </c>
      <c r="N17" s="95">
        <f>G17/W17*60</f>
        <v>1964.9999999999834</v>
      </c>
      <c r="O17" s="96">
        <f t="shared" ref="O17:O19" si="18">N17/M17</f>
        <v>163.74999999999861</v>
      </c>
      <c r="P17" s="97">
        <f t="shared" si="10"/>
        <v>0</v>
      </c>
      <c r="Q17" s="98">
        <f t="shared" si="11"/>
        <v>-2.9166666666680499</v>
      </c>
      <c r="R17" s="99">
        <f t="shared" si="12"/>
        <v>0.98249999999999171</v>
      </c>
      <c r="S17" s="418"/>
      <c r="T17" s="19">
        <v>0.34583333333333299</v>
      </c>
      <c r="U17" s="19">
        <v>0.41527777777777802</v>
      </c>
      <c r="V17" s="30">
        <f>(T17-U16)*24*60</f>
        <v>9.9999999999994849</v>
      </c>
      <c r="W17" s="149">
        <f t="shared" si="17"/>
        <v>100.00000000000084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3"/>
        <v>-35.000000000016598</v>
      </c>
      <c r="AG17" s="72">
        <f t="shared" si="14"/>
        <v>0.98249999999999171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2944</v>
      </c>
      <c r="H18" s="78">
        <f>F18*G18</f>
        <v>148348.16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5"/>
        <v>181.81818181818181</v>
      </c>
      <c r="M18" s="148">
        <v>11</v>
      </c>
      <c r="N18" s="95">
        <f t="shared" si="16"/>
        <v>1962.6666666666665</v>
      </c>
      <c r="O18" s="96">
        <f t="shared" si="18"/>
        <v>178.42424242424241</v>
      </c>
      <c r="P18" s="97">
        <f t="shared" si="10"/>
        <v>0</v>
      </c>
      <c r="Q18" s="98">
        <f t="shared" si="11"/>
        <v>-3.3939393939394051</v>
      </c>
      <c r="R18" s="99">
        <f t="shared" si="12"/>
        <v>0.98133333333333328</v>
      </c>
      <c r="S18" s="418"/>
      <c r="T18" s="19">
        <v>0.41944444444444445</v>
      </c>
      <c r="U18" s="19">
        <v>0.48194444444444445</v>
      </c>
      <c r="V18" s="30">
        <f>(T18-U17)*24*60</f>
        <v>5.9999999999996589</v>
      </c>
      <c r="W18" s="149">
        <f t="shared" si="17"/>
        <v>90</v>
      </c>
      <c r="X18" s="22">
        <v>0.48611111111111099</v>
      </c>
      <c r="Y18" s="84">
        <v>0.52777777777777801</v>
      </c>
      <c r="Z18" s="90"/>
      <c r="AA18" s="90"/>
      <c r="AB18" s="395"/>
      <c r="AC18" s="395"/>
      <c r="AD18" s="92"/>
      <c r="AE18" s="92"/>
      <c r="AF18" s="307">
        <f t="shared" si="13"/>
        <v>-37.333333333333485</v>
      </c>
      <c r="AG18" s="72">
        <f t="shared" si="14"/>
        <v>0.98133333333333328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1543</v>
      </c>
      <c r="H19" s="78">
        <f>F19*G19</f>
        <v>77751.77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5"/>
        <v>181.81818181818181</v>
      </c>
      <c r="M19" s="148">
        <v>11</v>
      </c>
      <c r="N19" s="95">
        <f t="shared" si="16"/>
        <v>1889.3877551020414</v>
      </c>
      <c r="O19" s="96">
        <f t="shared" si="18"/>
        <v>171.76252319109469</v>
      </c>
      <c r="P19" s="97">
        <f t="shared" si="10"/>
        <v>0</v>
      </c>
      <c r="Q19" s="98">
        <f t="shared" si="11"/>
        <v>-10.055658627087126</v>
      </c>
      <c r="R19" s="99">
        <f t="shared" si="12"/>
        <v>0.94469387755102086</v>
      </c>
      <c r="S19" s="418"/>
      <c r="T19" s="19">
        <v>0.54513888888888895</v>
      </c>
      <c r="U19" s="19">
        <v>0.57916666666666672</v>
      </c>
      <c r="V19" s="30">
        <f>(T19-U18)*24*60</f>
        <v>91.000000000000071</v>
      </c>
      <c r="W19" s="149">
        <f t="shared" si="17"/>
        <v>48.999999999999986</v>
      </c>
      <c r="X19" s="22"/>
      <c r="Y19" s="84"/>
      <c r="Z19" s="90"/>
      <c r="AA19" s="90"/>
      <c r="AB19" s="407"/>
      <c r="AC19" s="407"/>
      <c r="AD19" s="149"/>
      <c r="AE19" s="149"/>
      <c r="AF19" s="307">
        <f t="shared" si="13"/>
        <v>-110.61224489795859</v>
      </c>
      <c r="AG19" s="72">
        <f t="shared" si="14"/>
        <v>0.94469387755102074</v>
      </c>
      <c r="AH19" s="405"/>
    </row>
    <row r="20" spans="1:34" ht="15" customHeight="1">
      <c r="A20" s="414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8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7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 thickBo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0">AVERAGE(J16:J25)</f>
        <v>11.5</v>
      </c>
      <c r="K26" s="155">
        <f t="shared" si="20"/>
        <v>2026.25</v>
      </c>
      <c r="L26" s="158">
        <f t="shared" si="20"/>
        <v>176.42992424242425</v>
      </c>
      <c r="M26" s="155">
        <f t="shared" si="20"/>
        <v>11.5</v>
      </c>
      <c r="N26" s="155">
        <f t="shared" si="20"/>
        <v>1976.4778911564608</v>
      </c>
      <c r="O26" s="158">
        <f t="shared" si="20"/>
        <v>172.00204854669127</v>
      </c>
      <c r="P26" s="159">
        <f t="shared" ref="P26:P30" si="21">M26-J26</f>
        <v>0</v>
      </c>
      <c r="Q26" s="160">
        <f t="shared" ref="Q26:Q30" si="22">O26-L26</f>
        <v>-4.427875695732979</v>
      </c>
      <c r="R26" s="161">
        <f>O26/L26</f>
        <v>0.97490292128874445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0</v>
      </c>
      <c r="AE26" s="323">
        <f>SUM(AE16:AE25)</f>
        <v>0</v>
      </c>
      <c r="AF26" s="309">
        <f t="shared" ref="AF26:AF31" si="23">N26-K26</f>
        <v>-49.772108843539172</v>
      </c>
      <c r="AG26" s="124">
        <f t="shared" ref="AG26:AG31" si="24">N26/K26</f>
        <v>0.97543634356888875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910</v>
      </c>
      <c r="H27" s="134">
        <f>F27*G27</f>
        <v>52143</v>
      </c>
      <c r="I27" s="135"/>
      <c r="J27" s="136">
        <v>13</v>
      </c>
      <c r="K27" s="137">
        <f>VLOOKUP(D27,產線配置圖!$A$3:$C$39,3,0)</f>
        <v>1500</v>
      </c>
      <c r="L27" s="138">
        <f t="shared" ref="L27:L30" si="25">K27/J27</f>
        <v>115.38461538461539</v>
      </c>
      <c r="M27" s="170">
        <v>12</v>
      </c>
      <c r="N27" s="140">
        <f>G27/W27*60</f>
        <v>1364.9999999999995</v>
      </c>
      <c r="O27" s="141">
        <f>N27/M27</f>
        <v>113.74999999999996</v>
      </c>
      <c r="P27" s="142">
        <f t="shared" si="21"/>
        <v>-1</v>
      </c>
      <c r="Q27" s="143">
        <f t="shared" si="22"/>
        <v>-1.6346153846154294</v>
      </c>
      <c r="R27" s="144">
        <f>O27/L27</f>
        <v>0.9858333333333329</v>
      </c>
      <c r="S27" s="417">
        <f>R37</f>
        <v>0.96821272126336477</v>
      </c>
      <c r="T27" s="171">
        <v>0.28819444444444442</v>
      </c>
      <c r="U27" s="171">
        <v>0.31597222222222221</v>
      </c>
      <c r="V27" s="135"/>
      <c r="W27" s="146">
        <f t="shared" si="17"/>
        <v>40.000000000000014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3"/>
        <v>-135.00000000000045</v>
      </c>
      <c r="AG27" s="172">
        <f t="shared" si="24"/>
        <v>0.9099999999999997</v>
      </c>
      <c r="AH27" s="403">
        <f>AG37</f>
        <v>0.86606510013429483</v>
      </c>
    </row>
    <row r="28" spans="1:34" ht="15" customHeight="1">
      <c r="A28" s="430"/>
      <c r="B28" s="75" t="s">
        <v>123</v>
      </c>
      <c r="C28" s="173"/>
      <c r="D28" s="59" t="s">
        <v>127</v>
      </c>
      <c r="E28" s="104"/>
      <c r="F28" s="75">
        <f>VLOOKUP(D28,廠價表!$C$1:$E$41,3,0)</f>
        <v>49.91</v>
      </c>
      <c r="G28" s="90">
        <v>2079</v>
      </c>
      <c r="H28" s="91">
        <f>F28*G28</f>
        <v>103762.89</v>
      </c>
      <c r="I28" s="92"/>
      <c r="J28" s="79">
        <v>14</v>
      </c>
      <c r="K28" s="80">
        <f>VLOOKUP(D28,產線配置圖!$A$3:$C$39,3,0)</f>
        <v>1565</v>
      </c>
      <c r="L28" s="93">
        <f t="shared" si="25"/>
        <v>111.78571428571429</v>
      </c>
      <c r="M28" s="94">
        <v>12</v>
      </c>
      <c r="N28" s="95">
        <f>G28/W28*60</f>
        <v>1341.2903225806313</v>
      </c>
      <c r="O28" s="96">
        <f>N28/M28</f>
        <v>111.77419354838594</v>
      </c>
      <c r="P28" s="97">
        <f t="shared" si="21"/>
        <v>-2</v>
      </c>
      <c r="Q28" s="98">
        <f t="shared" si="22"/>
        <v>-1.1520737328353903E-2</v>
      </c>
      <c r="R28" s="99">
        <f t="shared" ref="R28:R30" si="26">O28/L28</f>
        <v>0.99989693909099231</v>
      </c>
      <c r="S28" s="418"/>
      <c r="T28" s="19">
        <v>0.32083333333333303</v>
      </c>
      <c r="U28" s="19">
        <v>0.38541666666666702</v>
      </c>
      <c r="V28" s="92">
        <f>(T28-U27)*24*60</f>
        <v>6.9999999999995755</v>
      </c>
      <c r="W28" s="149">
        <f t="shared" si="17"/>
        <v>93.000000000000952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3"/>
        <v>-223.70967741936875</v>
      </c>
      <c r="AG28" s="99">
        <f t="shared" si="24"/>
        <v>0.85705451922085063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1976</v>
      </c>
      <c r="H29" s="91">
        <f>F29*G29</f>
        <v>97851.520000000004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5"/>
        <v>96</v>
      </c>
      <c r="M29" s="94">
        <v>12</v>
      </c>
      <c r="N29" s="95">
        <f>G29/W29*60</f>
        <v>1049.2035398230119</v>
      </c>
      <c r="O29" s="96">
        <f>N29/M29</f>
        <v>87.433628318584326</v>
      </c>
      <c r="P29" s="97">
        <f t="shared" si="21"/>
        <v>-3</v>
      </c>
      <c r="Q29" s="98">
        <f t="shared" si="22"/>
        <v>-8.5663716814156743</v>
      </c>
      <c r="R29" s="99">
        <f t="shared" si="26"/>
        <v>0.91076696165192006</v>
      </c>
      <c r="S29" s="418"/>
      <c r="T29" s="19">
        <v>0.39236111111111099</v>
      </c>
      <c r="U29" s="19">
        <v>0.47083333333333299</v>
      </c>
      <c r="V29" s="92">
        <f>(T29-U28)*24*60</f>
        <v>9.999999999999325</v>
      </c>
      <c r="W29" s="149">
        <f t="shared" si="17"/>
        <v>112.99999999999967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3"/>
        <v>-390.79646017698815</v>
      </c>
      <c r="AG29" s="99">
        <f t="shared" si="24"/>
        <v>0.72861356932153598</v>
      </c>
      <c r="AH29" s="432"/>
    </row>
    <row r="30" spans="1:34" ht="15" customHeight="1">
      <c r="A30" s="430"/>
      <c r="B30" s="75" t="s">
        <v>123</v>
      </c>
      <c r="C30" s="88"/>
      <c r="D30" s="59" t="s">
        <v>128</v>
      </c>
      <c r="E30" s="89"/>
      <c r="F30" s="75">
        <f>VLOOKUP(D30,廠價表!$C$1:$E$41,3,0)</f>
        <v>44.3</v>
      </c>
      <c r="G30" s="90">
        <v>2206</v>
      </c>
      <c r="H30" s="91">
        <f>F30*G30</f>
        <v>97725.799999999988</v>
      </c>
      <c r="I30" s="92"/>
      <c r="J30" s="79">
        <v>16</v>
      </c>
      <c r="K30" s="80">
        <f>VLOOKUP(D30,產線配置圖!$A$3:$C$39,3,0)</f>
        <v>1440</v>
      </c>
      <c r="L30" s="93">
        <f t="shared" si="25"/>
        <v>90</v>
      </c>
      <c r="M30" s="94">
        <v>16</v>
      </c>
      <c r="N30" s="95">
        <f>G30/W30*60</f>
        <v>1393.2631578947394</v>
      </c>
      <c r="O30" s="96">
        <f>N30/M30</f>
        <v>87.078947368421211</v>
      </c>
      <c r="P30" s="97">
        <f t="shared" si="21"/>
        <v>0</v>
      </c>
      <c r="Q30" s="98">
        <f t="shared" si="22"/>
        <v>-2.9210526315787888</v>
      </c>
      <c r="R30" s="99">
        <f t="shared" si="26"/>
        <v>0.96754385964912459</v>
      </c>
      <c r="S30" s="418"/>
      <c r="T30" s="19">
        <v>0.54513888888888895</v>
      </c>
      <c r="U30" s="19">
        <v>0.61111111111111105</v>
      </c>
      <c r="V30" s="92">
        <f>(T30-U29)*24*60</f>
        <v>107.00000000000058</v>
      </c>
      <c r="W30" s="149">
        <f t="shared" si="17"/>
        <v>94.999999999999829</v>
      </c>
      <c r="X30" s="174">
        <v>0.49652777777777801</v>
      </c>
      <c r="Y30" s="301">
        <v>0.53819444444444398</v>
      </c>
      <c r="Z30" s="335"/>
      <c r="AA30" s="335"/>
      <c r="AB30" s="395"/>
      <c r="AC30" s="395"/>
      <c r="AD30" s="92"/>
      <c r="AE30" s="92"/>
      <c r="AF30" s="312">
        <f t="shared" si="23"/>
        <v>-46.736842105260621</v>
      </c>
      <c r="AG30" s="99">
        <f t="shared" si="24"/>
        <v>0.96754385964912459</v>
      </c>
      <c r="AH30" s="433"/>
    </row>
    <row r="31" spans="1:34" ht="15" customHeight="1">
      <c r="A31" s="43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8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3"/>
        <v>0</v>
      </c>
      <c r="AG31" s="99" t="e">
        <f t="shared" si="24"/>
        <v>#DIV/0!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9"/>
      <c r="U32" s="19"/>
      <c r="V32" s="92"/>
      <c r="W32" s="149">
        <f t="shared" si="17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 thickBo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27">AVERAGE(J27:J36)</f>
        <v>14.5</v>
      </c>
      <c r="K37" s="155">
        <f t="shared" si="27"/>
        <v>1486.25</v>
      </c>
      <c r="L37" s="158">
        <f t="shared" si="27"/>
        <v>103.29258241758242</v>
      </c>
      <c r="M37" s="155">
        <f t="shared" si="27"/>
        <v>13</v>
      </c>
      <c r="N37" s="155">
        <f t="shared" si="27"/>
        <v>1287.1892550745956</v>
      </c>
      <c r="O37" s="158">
        <f t="shared" si="27"/>
        <v>100.00919230884786</v>
      </c>
      <c r="P37" s="159">
        <f>M37-J37</f>
        <v>-1.5</v>
      </c>
      <c r="Q37" s="160">
        <f>N37-K37</f>
        <v>-199.06074492540438</v>
      </c>
      <c r="R37" s="161">
        <f t="shared" ref="R37:R40" si="28">O37/L37</f>
        <v>0.96821272126336477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29">N37-K37</f>
        <v>-199.06074492540438</v>
      </c>
      <c r="AG37" s="124">
        <f t="shared" ref="AG37:AG41" si="30">N37/K37</f>
        <v>0.86606510013429483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136</v>
      </c>
      <c r="E38" s="185"/>
      <c r="F38" s="39">
        <f>VLOOKUP(D38,廠價表!$C$1:$E$41,3,0)</f>
        <v>50.67</v>
      </c>
      <c r="G38" s="186">
        <v>1825</v>
      </c>
      <c r="H38" s="134">
        <f>F38*G38</f>
        <v>92472.75</v>
      </c>
      <c r="I38" s="135"/>
      <c r="J38" s="187">
        <v>16</v>
      </c>
      <c r="K38" s="188">
        <v>1440</v>
      </c>
      <c r="L38" s="189">
        <f t="shared" ref="L38:L40" si="31">K38/J38</f>
        <v>90</v>
      </c>
      <c r="M38" s="190">
        <v>16</v>
      </c>
      <c r="N38" s="140">
        <f>G38/W38*60</f>
        <v>1368.7500000000143</v>
      </c>
      <c r="O38" s="141">
        <f>N38/M38</f>
        <v>85.546875000000895</v>
      </c>
      <c r="P38" s="142">
        <f t="shared" ref="P38:P40" si="32">M38-J38</f>
        <v>0</v>
      </c>
      <c r="Q38" s="143">
        <f t="shared" ref="Q38:Q40" si="33">O38-L38</f>
        <v>-4.4531249999991047</v>
      </c>
      <c r="R38" s="144">
        <f>O38/L38</f>
        <v>0.95052083333334325</v>
      </c>
      <c r="S38" s="437">
        <f>R48</f>
        <v>0.89013221153846489</v>
      </c>
      <c r="T38" s="191">
        <v>0.33680555555555602</v>
      </c>
      <c r="U38" s="191">
        <v>0.39236111111111099</v>
      </c>
      <c r="V38" s="192"/>
      <c r="W38" s="193">
        <f t="shared" si="17"/>
        <v>79.999999999999162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29"/>
        <v>-71.249999999985675</v>
      </c>
      <c r="AG38" s="195">
        <f t="shared" si="30"/>
        <v>0.95052083333334325</v>
      </c>
      <c r="AH38" s="443">
        <f>AG48</f>
        <v>0.86420272435897771</v>
      </c>
    </row>
    <row r="39" spans="1:34" ht="15" customHeight="1">
      <c r="A39" s="435"/>
      <c r="B39" s="75" t="s">
        <v>123</v>
      </c>
      <c r="C39" s="197"/>
      <c r="D39" s="198" t="s">
        <v>128</v>
      </c>
      <c r="E39" s="176"/>
      <c r="F39" s="75">
        <f>VLOOKUP(D39,廠價表!$C$1:$E$41,3,0)</f>
        <v>44.3</v>
      </c>
      <c r="G39" s="199">
        <v>2427</v>
      </c>
      <c r="H39" s="91">
        <f>F39*G39</f>
        <v>107516.09999999999</v>
      </c>
      <c r="I39" s="200"/>
      <c r="J39" s="148">
        <v>16</v>
      </c>
      <c r="K39" s="95">
        <f>VLOOKUP(D39,產線配置圖!$A$3:$C$39,3,0)</f>
        <v>1440</v>
      </c>
      <c r="L39" s="96">
        <f t="shared" si="31"/>
        <v>90</v>
      </c>
      <c r="M39" s="201">
        <v>15</v>
      </c>
      <c r="N39" s="202">
        <f>G39/W39*60</f>
        <v>1120.1538461538416</v>
      </c>
      <c r="O39" s="203">
        <f t="shared" ref="O39:O40" si="34">N39/M39</f>
        <v>74.676923076922776</v>
      </c>
      <c r="P39" s="97">
        <f t="shared" si="32"/>
        <v>-1</v>
      </c>
      <c r="Q39" s="98">
        <f t="shared" si="33"/>
        <v>-15.323076923077224</v>
      </c>
      <c r="R39" s="99">
        <f t="shared" si="28"/>
        <v>0.82974358974358642</v>
      </c>
      <c r="S39" s="438"/>
      <c r="T39" s="20">
        <v>0.39583333333333298</v>
      </c>
      <c r="U39" s="20">
        <v>0.4861111111111111</v>
      </c>
      <c r="V39" s="92">
        <f>(T39-U38)*24*60</f>
        <v>4.9999999999996625</v>
      </c>
      <c r="W39" s="205">
        <f t="shared" si="17"/>
        <v>130.00000000000051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29"/>
        <v>-319.84615384615836</v>
      </c>
      <c r="AG39" s="206">
        <f t="shared" si="30"/>
        <v>0.77788461538461229</v>
      </c>
      <c r="AH39" s="444"/>
    </row>
    <row r="40" spans="1:34" ht="15" customHeight="1">
      <c r="A40" s="435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425"/>
      <c r="T40" s="20"/>
      <c r="U40" s="20"/>
      <c r="V40" s="92"/>
      <c r="W40" s="205">
        <f t="shared" si="17"/>
        <v>0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29"/>
        <v>0</v>
      </c>
      <c r="AG40" s="206" t="e">
        <f t="shared" si="30"/>
        <v>#DIV/0!</v>
      </c>
      <c r="AH40" s="444"/>
    </row>
    <row r="41" spans="1:34" ht="15" customHeight="1">
      <c r="A41" s="43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5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95"/>
      <c r="AC41" s="395"/>
      <c r="AD41" s="92"/>
      <c r="AE41" s="92"/>
      <c r="AF41" s="314">
        <f t="shared" si="29"/>
        <v>0</v>
      </c>
      <c r="AG41" s="206" t="e">
        <f t="shared" si="30"/>
        <v>#DIV/0!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5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5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5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ref="H47:H58" si="36"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5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 thickBo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37">AVERAGE(J38:J47)</f>
        <v>16</v>
      </c>
      <c r="K48" s="155">
        <f t="shared" si="37"/>
        <v>1440</v>
      </c>
      <c r="L48" s="158">
        <f t="shared" si="37"/>
        <v>90</v>
      </c>
      <c r="M48" s="155">
        <f t="shared" si="37"/>
        <v>15.5</v>
      </c>
      <c r="N48" s="155">
        <f t="shared" si="37"/>
        <v>1244.4519230769279</v>
      </c>
      <c r="O48" s="158">
        <f t="shared" si="37"/>
        <v>80.111899038461843</v>
      </c>
      <c r="P48" s="221">
        <f>M48-J48</f>
        <v>-0.5</v>
      </c>
      <c r="Q48" s="222">
        <f>N48-K48</f>
        <v>-195.54807692307213</v>
      </c>
      <c r="R48" s="223">
        <f>O48/L48</f>
        <v>0.89013221153846489</v>
      </c>
      <c r="S48" s="428"/>
      <c r="T48" s="224"/>
      <c r="U48" s="224"/>
      <c r="V48" s="225"/>
      <c r="W48" s="226">
        <f t="shared" si="35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38">N48-K48</f>
        <v>-195.54807692307213</v>
      </c>
      <c r="AG48" s="162">
        <f t="shared" ref="AG48:AG53" si="39">N48/K48</f>
        <v>0.86420272435897771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VLOOKUP(D49,廠價表!$C$1:$E$41,3,0)</f>
        <v>47.71</v>
      </c>
      <c r="G49" s="228">
        <v>2092</v>
      </c>
      <c r="H49" s="134">
        <f>F49*G49</f>
        <v>99809.32</v>
      </c>
      <c r="I49" s="135"/>
      <c r="J49" s="136">
        <v>15</v>
      </c>
      <c r="K49" s="137">
        <v>1636</v>
      </c>
      <c r="L49" s="138">
        <f t="shared" ref="L49:L52" si="40">K49/J49</f>
        <v>109.06666666666666</v>
      </c>
      <c r="M49" s="170">
        <v>14</v>
      </c>
      <c r="N49" s="140">
        <f>G49/W49*60</f>
        <v>1512.2891566265055</v>
      </c>
      <c r="O49" s="141">
        <f>N49/M49</f>
        <v>108.02065404475039</v>
      </c>
      <c r="P49" s="229">
        <f>M49-J49</f>
        <v>-1</v>
      </c>
      <c r="Q49" s="230">
        <f>O49-L49</f>
        <v>-1.046012621916276</v>
      </c>
      <c r="R49" s="52">
        <f>O49/L49</f>
        <v>0.99040941972570651</v>
      </c>
      <c r="S49" s="424">
        <f>R58</f>
        <v>0.96820502318382851</v>
      </c>
      <c r="T49" s="191">
        <v>0.28819444444444442</v>
      </c>
      <c r="U49" s="191">
        <v>0.34583333333333333</v>
      </c>
      <c r="V49" s="55"/>
      <c r="W49" s="193">
        <f t="shared" si="17"/>
        <v>83.000000000000028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38"/>
        <v>-123.71084337349453</v>
      </c>
      <c r="AG49" s="52">
        <f t="shared" si="39"/>
        <v>0.92438212507732609</v>
      </c>
      <c r="AH49" s="403">
        <f>AG58</f>
        <v>0.95190985739038292</v>
      </c>
    </row>
    <row r="50" spans="1:34" ht="15" customHeight="1">
      <c r="A50" s="453"/>
      <c r="B50" s="75" t="s">
        <v>81</v>
      </c>
      <c r="C50" s="76"/>
      <c r="D50" s="59" t="s">
        <v>131</v>
      </c>
      <c r="E50" s="77"/>
      <c r="F50" s="75">
        <f>VLOOKUP(D50,廠價表!$C$1:$E$41,3,0)</f>
        <v>49.97</v>
      </c>
      <c r="G50" s="202">
        <v>3701</v>
      </c>
      <c r="H50" s="231">
        <f>F50*G50</f>
        <v>184938.97</v>
      </c>
      <c r="I50" s="232"/>
      <c r="J50" s="79">
        <v>15</v>
      </c>
      <c r="K50" s="80">
        <v>1714</v>
      </c>
      <c r="L50" s="81">
        <f t="shared" si="40"/>
        <v>114.26666666666667</v>
      </c>
      <c r="M50" s="233">
        <v>15</v>
      </c>
      <c r="N50" s="234">
        <f>G50/W50*60</f>
        <v>1708.1538461538457</v>
      </c>
      <c r="O50" s="235">
        <f>N50/M50</f>
        <v>113.87692307692305</v>
      </c>
      <c r="P50" s="74">
        <f>M50-J50</f>
        <v>0</v>
      </c>
      <c r="Q50" s="83">
        <f>O50-L50</f>
        <v>-0.38974358974361678</v>
      </c>
      <c r="R50" s="72">
        <f>O50/L50</f>
        <v>0.99658917511892986</v>
      </c>
      <c r="S50" s="425"/>
      <c r="T50" s="21">
        <v>0.35</v>
      </c>
      <c r="U50" s="21">
        <v>0.44027777777777777</v>
      </c>
      <c r="V50" s="30">
        <f t="shared" ref="V50:V52" si="41">(T50-U49)*24*60</f>
        <v>5.9999999999999787</v>
      </c>
      <c r="W50" s="236">
        <f t="shared" si="17"/>
        <v>130.00000000000003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38"/>
        <v>-5.8461538461542659</v>
      </c>
      <c r="AG50" s="72">
        <f t="shared" si="39"/>
        <v>0.99658917511892986</v>
      </c>
      <c r="AH50" s="404"/>
    </row>
    <row r="51" spans="1:34" ht="15" customHeight="1">
      <c r="A51" s="453"/>
      <c r="B51" s="75" t="s">
        <v>81</v>
      </c>
      <c r="C51" s="76"/>
      <c r="D51" s="59" t="s">
        <v>129</v>
      </c>
      <c r="E51" s="77"/>
      <c r="F51" s="75">
        <f>VLOOKUP(D51,廠價表!$C$1:$E$41,3,0)</f>
        <v>56.87</v>
      </c>
      <c r="G51" s="202">
        <v>996</v>
      </c>
      <c r="H51" s="231">
        <f>F51*G51</f>
        <v>56642.52</v>
      </c>
      <c r="I51" s="232"/>
      <c r="J51" s="79">
        <v>15</v>
      </c>
      <c r="K51" s="80">
        <f>VLOOKUP(D51,產線配置圖!$A$3:$C$39,3,0)</f>
        <v>1565</v>
      </c>
      <c r="L51" s="81">
        <f t="shared" si="40"/>
        <v>104.33333333333333</v>
      </c>
      <c r="M51" s="233">
        <v>15</v>
      </c>
      <c r="N51" s="234">
        <f>G51/W51*60</f>
        <v>1389.7674418604727</v>
      </c>
      <c r="O51" s="235">
        <f>N51/M51</f>
        <v>92.65116279069818</v>
      </c>
      <c r="P51" s="74">
        <f>M51-J51</f>
        <v>0</v>
      </c>
      <c r="Q51" s="83">
        <f>O51-L51</f>
        <v>-11.682170542635149</v>
      </c>
      <c r="R51" s="72">
        <f>O51/L51</f>
        <v>0.88803031428784207</v>
      </c>
      <c r="S51" s="425"/>
      <c r="T51" s="21">
        <v>0.44583333333333303</v>
      </c>
      <c r="U51" s="19">
        <v>0.47569444444444398</v>
      </c>
      <c r="V51" s="30">
        <f t="shared" si="41"/>
        <v>7.9999999999995719</v>
      </c>
      <c r="W51" s="236">
        <f t="shared" si="17"/>
        <v>42.999999999999766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38"/>
        <v>-175.23255813952733</v>
      </c>
      <c r="AG51" s="72">
        <f t="shared" si="39"/>
        <v>0.88803031428784196</v>
      </c>
      <c r="AH51" s="404"/>
    </row>
    <row r="52" spans="1:34" ht="15" customHeight="1">
      <c r="A52" s="453"/>
      <c r="B52" s="75" t="s">
        <v>81</v>
      </c>
      <c r="C52" s="86"/>
      <c r="D52" s="59" t="s">
        <v>131</v>
      </c>
      <c r="E52" s="87"/>
      <c r="F52" s="75">
        <f>VLOOKUP(D52,廠價表!$C$1:$E$41,3,0)</f>
        <v>49.97</v>
      </c>
      <c r="G52" s="202">
        <v>850</v>
      </c>
      <c r="H52" s="231">
        <f>F52*G52</f>
        <v>42474.5</v>
      </c>
      <c r="I52" s="232"/>
      <c r="J52" s="79">
        <v>15</v>
      </c>
      <c r="K52" s="80">
        <v>1714</v>
      </c>
      <c r="L52" s="81">
        <f t="shared" si="40"/>
        <v>114.26666666666667</v>
      </c>
      <c r="M52" s="233">
        <v>15</v>
      </c>
      <c r="N52" s="234">
        <f>G52/W52*60</f>
        <v>1700.0000000000243</v>
      </c>
      <c r="O52" s="235">
        <f>N52/M52</f>
        <v>113.33333333333495</v>
      </c>
      <c r="P52" s="74">
        <f>M52-J52</f>
        <v>0</v>
      </c>
      <c r="Q52" s="83">
        <f>O52-L52</f>
        <v>-0.93333333333171709</v>
      </c>
      <c r="R52" s="72">
        <f>O52/L52</f>
        <v>0.99183197199534667</v>
      </c>
      <c r="S52" s="425"/>
      <c r="T52" s="21">
        <v>0.54513888888888895</v>
      </c>
      <c r="U52" s="21">
        <v>0.56597222222222199</v>
      </c>
      <c r="V52" s="30">
        <f t="shared" si="41"/>
        <v>100.00000000000077</v>
      </c>
      <c r="W52" s="236">
        <f t="shared" si="17"/>
        <v>29.999999999999574</v>
      </c>
      <c r="X52" s="22">
        <v>0.47916666666666702</v>
      </c>
      <c r="Y52" s="84">
        <v>0.52083333333333304</v>
      </c>
      <c r="Z52" s="90"/>
      <c r="AA52" s="90"/>
      <c r="AB52" s="395"/>
      <c r="AC52" s="395"/>
      <c r="AD52" s="92"/>
      <c r="AE52" s="92"/>
      <c r="AF52" s="307">
        <f t="shared" si="38"/>
        <v>-13.999999999975671</v>
      </c>
      <c r="AG52" s="72">
        <f t="shared" si="39"/>
        <v>0.99183197199534678</v>
      </c>
      <c r="AH52" s="404"/>
    </row>
    <row r="53" spans="1:34" ht="15" customHeight="1">
      <c r="A53" s="453"/>
      <c r="B53" s="101" t="s">
        <v>219</v>
      </c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38"/>
        <v>0</v>
      </c>
      <c r="AG53" s="72" t="e">
        <f t="shared" si="39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 thickBo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2">AVERAGE(J49:J57)</f>
        <v>15</v>
      </c>
      <c r="K58" s="120">
        <f t="shared" si="42"/>
        <v>1657.25</v>
      </c>
      <c r="L58" s="117">
        <f t="shared" si="42"/>
        <v>110.48333333333332</v>
      </c>
      <c r="M58" s="120">
        <f t="shared" si="42"/>
        <v>14.75</v>
      </c>
      <c r="N58" s="120">
        <f t="shared" si="42"/>
        <v>1577.5526111602121</v>
      </c>
      <c r="O58" s="117">
        <f t="shared" si="42"/>
        <v>106.97051831142664</v>
      </c>
      <c r="P58" s="121">
        <f>M58-J58</f>
        <v>-0.25</v>
      </c>
      <c r="Q58" s="122">
        <f>N58-K58</f>
        <v>-79.697388839787891</v>
      </c>
      <c r="R58" s="123">
        <f t="shared" ref="R58:R60" si="43">O58/L58</f>
        <v>0.96820502318382851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44">N58-K58</f>
        <v>-79.697388839787891</v>
      </c>
      <c r="AG58" s="124">
        <f t="shared" ref="AG58:AG61" si="45">N58/K58</f>
        <v>0.95190985739038292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3129</v>
      </c>
      <c r="H59" s="243">
        <f>F59*G59</f>
        <v>84451.709999999992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46">K59/J59</f>
        <v>120.38461538461539</v>
      </c>
      <c r="M59" s="244">
        <v>11</v>
      </c>
      <c r="N59" s="137">
        <f t="shared" ref="N59:N61" si="47">G59/W59*60</f>
        <v>1294.7586206896613</v>
      </c>
      <c r="O59" s="138">
        <f t="shared" ref="O59:O61" si="48">N59/M59</f>
        <v>117.70532915360558</v>
      </c>
      <c r="P59" s="56">
        <f t="shared" ref="P59:P61" si="49">M59-J59</f>
        <v>-2</v>
      </c>
      <c r="Q59" s="230">
        <f t="shared" ref="Q59:Q61" si="50">O59-L59</f>
        <v>-2.6792862310098116</v>
      </c>
      <c r="R59" s="52">
        <f t="shared" si="43"/>
        <v>0.97774394824081312</v>
      </c>
      <c r="S59" s="424">
        <f>R69</f>
        <v>0.90851360476265164</v>
      </c>
      <c r="T59" s="245">
        <v>0.29166666666666702</v>
      </c>
      <c r="U59" s="245">
        <v>0.39236111111111099</v>
      </c>
      <c r="V59" s="55"/>
      <c r="W59" s="54">
        <f t="shared" si="17"/>
        <v>144.99999999999932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44"/>
        <v>-270.24137931033874</v>
      </c>
      <c r="AG59" s="246">
        <f t="shared" si="45"/>
        <v>0.82732180235761099</v>
      </c>
      <c r="AH59" s="403">
        <f>AG69</f>
        <v>0.81145018545040259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1336</v>
      </c>
      <c r="H60" s="78">
        <f>F60*G60</f>
        <v>37755.360000000001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6"/>
        <v>130.41666666666666</v>
      </c>
      <c r="M60" s="82">
        <v>11</v>
      </c>
      <c r="N60" s="80">
        <f t="shared" si="47"/>
        <v>1335.9999999999889</v>
      </c>
      <c r="O60" s="81">
        <f t="shared" si="48"/>
        <v>121.45454545454444</v>
      </c>
      <c r="P60" s="74">
        <f t="shared" si="49"/>
        <v>-1</v>
      </c>
      <c r="Q60" s="83">
        <f t="shared" si="50"/>
        <v>-8.9621212121222129</v>
      </c>
      <c r="R60" s="72">
        <f t="shared" si="43"/>
        <v>0.93128085971535679</v>
      </c>
      <c r="S60" s="451"/>
      <c r="T60" s="22">
        <v>0.40625</v>
      </c>
      <c r="U60" s="22">
        <v>0.44791666666666702</v>
      </c>
      <c r="V60" s="30">
        <f t="shared" ref="V60:V61" si="51">(T60-U59)*24*60</f>
        <v>20.000000000000171</v>
      </c>
      <c r="W60" s="248">
        <f t="shared" si="17"/>
        <v>60.000000000000504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44"/>
        <v>-229.00000000001114</v>
      </c>
      <c r="AG60" s="249">
        <f t="shared" si="45"/>
        <v>0.85367412140574372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1179</v>
      </c>
      <c r="H61" s="254">
        <f>F61*G61</f>
        <v>33318.54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6"/>
        <v>130.41666666666666</v>
      </c>
      <c r="M61" s="108">
        <v>11</v>
      </c>
      <c r="N61" s="107">
        <f t="shared" si="47"/>
        <v>1178.99999999999</v>
      </c>
      <c r="O61" s="238">
        <f t="shared" si="48"/>
        <v>107.18181818181728</v>
      </c>
      <c r="P61" s="111">
        <f t="shared" si="49"/>
        <v>-1</v>
      </c>
      <c r="Q61" s="255">
        <f t="shared" si="50"/>
        <v>-23.23484848484938</v>
      </c>
      <c r="R61" s="85">
        <f>O61/L61</f>
        <v>0.82184141736856708</v>
      </c>
      <c r="S61" s="425"/>
      <c r="T61" s="22">
        <v>0.45833333333333298</v>
      </c>
      <c r="U61" s="22">
        <v>0.5</v>
      </c>
      <c r="V61" s="30">
        <f t="shared" si="51"/>
        <v>14.999999999998987</v>
      </c>
      <c r="W61" s="256">
        <f t="shared" si="17"/>
        <v>60.000000000000504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44"/>
        <v>-386.00000000001</v>
      </c>
      <c r="AG61" s="247">
        <f t="shared" si="45"/>
        <v>0.75335463258785307</v>
      </c>
      <c r="AH61" s="404"/>
    </row>
    <row r="62" spans="1:34" ht="15" customHeight="1">
      <c r="A62" s="44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5"/>
      <c r="T62" s="22"/>
      <c r="U62" s="22"/>
      <c r="V62" s="30"/>
      <c r="W62" s="248">
        <f t="shared" si="17"/>
        <v>0</v>
      </c>
      <c r="X62" s="22">
        <v>0.50347222222222199</v>
      </c>
      <c r="Y62" s="84">
        <v>0.54513888888888895</v>
      </c>
      <c r="Z62" s="90"/>
      <c r="AA62" s="90"/>
      <c r="AB62" s="395"/>
      <c r="AC62" s="395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 thickBo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2">AVERAGE(J59:J68)</f>
        <v>12.333333333333334</v>
      </c>
      <c r="K69" s="240">
        <f t="shared" si="52"/>
        <v>1565</v>
      </c>
      <c r="L69" s="268">
        <f t="shared" si="52"/>
        <v>127.07264957264958</v>
      </c>
      <c r="M69" s="240">
        <f t="shared" si="52"/>
        <v>11</v>
      </c>
      <c r="N69" s="240">
        <f t="shared" si="52"/>
        <v>1269.9195402298801</v>
      </c>
      <c r="O69" s="268">
        <f t="shared" si="52"/>
        <v>115.44723092998909</v>
      </c>
      <c r="P69" s="269">
        <f>M69-J69</f>
        <v>-1.3333333333333339</v>
      </c>
      <c r="Q69" s="222">
        <f>N69-K69</f>
        <v>-295.08045977011989</v>
      </c>
      <c r="R69" s="123">
        <f>O69/L69</f>
        <v>0.90851360476265164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-295.08045977011989</v>
      </c>
      <c r="AG69" s="124">
        <f>N69/K69</f>
        <v>0.81145018545040259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694</v>
      </c>
      <c r="H70" s="243">
        <f>F70*G70</f>
        <v>35164.980000000003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8</v>
      </c>
      <c r="N70" s="137">
        <f>G70/W70*60</f>
        <v>867.50000000000023</v>
      </c>
      <c r="O70" s="138">
        <f>N70/M70</f>
        <v>108.43750000000003</v>
      </c>
      <c r="P70" s="56">
        <f>M70-J70</f>
        <v>-2</v>
      </c>
      <c r="Q70" s="230">
        <f>O70-L70</f>
        <v>-4.0624999999999716</v>
      </c>
      <c r="R70" s="52">
        <f>O70/L70</f>
        <v>0.96388888888888913</v>
      </c>
      <c r="S70" s="424">
        <f>R79</f>
        <v>0.89933152861320753</v>
      </c>
      <c r="T70" s="245">
        <v>0.38541666666666669</v>
      </c>
      <c r="U70" s="245">
        <v>0.41875000000000001</v>
      </c>
      <c r="V70" s="55"/>
      <c r="W70" s="54">
        <f t="shared" si="17"/>
        <v>47.999999999999986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-257.49999999999977</v>
      </c>
      <c r="AG70" s="246">
        <f>N70/K70</f>
        <v>0.7711111111111113</v>
      </c>
      <c r="AH70" s="403">
        <f>AG79</f>
        <v>0.56958847900710063</v>
      </c>
    </row>
    <row r="71" spans="1:36" ht="15" customHeight="1">
      <c r="A71" s="457"/>
      <c r="B71" s="75" t="s">
        <v>81</v>
      </c>
      <c r="C71" s="76"/>
      <c r="D71" s="59" t="s">
        <v>125</v>
      </c>
      <c r="E71" s="77"/>
      <c r="F71" s="250">
        <f>VLOOKUP(D71,廠價表!$C$1:$E$41,3,0)</f>
        <v>56.43</v>
      </c>
      <c r="G71" s="30">
        <v>1043</v>
      </c>
      <c r="H71" s="254">
        <f>F71*G71</f>
        <v>58856.49</v>
      </c>
      <c r="I71" s="182"/>
      <c r="J71" s="106">
        <f>VLOOKUP(D71,產線配置圖!$A$3:$C$39,2,0)</f>
        <v>16</v>
      </c>
      <c r="K71" s="107">
        <f>VLOOKUP(D71,產線配置圖!$A$3:$C$39,3,0)</f>
        <v>1406</v>
      </c>
      <c r="L71" s="238">
        <f t="shared" ref="L71" si="53">K71/J71</f>
        <v>87.875</v>
      </c>
      <c r="M71" s="82">
        <v>8</v>
      </c>
      <c r="N71" s="107">
        <f t="shared" ref="N71:N72" si="54">G71/W71*60</f>
        <v>574.12844036697152</v>
      </c>
      <c r="O71" s="238">
        <f t="shared" ref="O71:O72" si="55">N71/M71</f>
        <v>71.76605504587144</v>
      </c>
      <c r="P71" s="111">
        <f t="shared" ref="P71:P72" si="56">M71-J71</f>
        <v>-8</v>
      </c>
      <c r="Q71" s="255">
        <f t="shared" ref="Q71:Q72" si="57">O71-L71</f>
        <v>-16.10894495412856</v>
      </c>
      <c r="R71" s="85">
        <f>O71/L71</f>
        <v>0.81668341446226389</v>
      </c>
      <c r="S71" s="425"/>
      <c r="T71" s="22">
        <v>0.42361111111111099</v>
      </c>
      <c r="U71" s="22">
        <v>0.49930555555555556</v>
      </c>
      <c r="V71" s="30">
        <f t="shared" ref="V71" si="58">(T71-U70)*24*60</f>
        <v>6.9999999999998153</v>
      </c>
      <c r="W71" s="73">
        <f t="shared" si="17"/>
        <v>109.00000000000017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107"/>
      <c r="O72" s="238"/>
      <c r="P72" s="111"/>
      <c r="Q72" s="255"/>
      <c r="R72" s="85"/>
      <c r="S72" s="425"/>
      <c r="T72" s="22"/>
      <c r="U72" s="22"/>
      <c r="V72" s="30"/>
      <c r="W72" s="73">
        <f t="shared" si="17"/>
        <v>0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63"/>
      <c r="U74" s="263"/>
      <c r="V74" s="30"/>
      <c r="W74" s="73">
        <f t="shared" si="17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59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59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59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59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 thickBo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60">AVERAGE(J70:J78)</f>
        <v>13</v>
      </c>
      <c r="K79" s="240">
        <f t="shared" si="60"/>
        <v>1265.5</v>
      </c>
      <c r="L79" s="268">
        <f t="shared" si="60"/>
        <v>100.1875</v>
      </c>
      <c r="M79" s="240">
        <f t="shared" si="60"/>
        <v>8</v>
      </c>
      <c r="N79" s="240">
        <f t="shared" si="60"/>
        <v>720.81422018348587</v>
      </c>
      <c r="O79" s="268">
        <f t="shared" si="60"/>
        <v>90.101777522935734</v>
      </c>
      <c r="P79" s="269">
        <f>M79-J79</f>
        <v>-5</v>
      </c>
      <c r="Q79" s="222">
        <f>N79-K79</f>
        <v>-544.68577981651413</v>
      </c>
      <c r="R79" s="223">
        <f>O79/L79</f>
        <v>0.89933152861320753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-544.68577981651413</v>
      </c>
      <c r="AG79" s="124">
        <f>N79/K79</f>
        <v>0.56958847900710063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77:AC77"/>
    <mergeCell ref="AB78:AC7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D3:AE3"/>
    <mergeCell ref="AF3:AF4"/>
    <mergeCell ref="AG3:AG4"/>
    <mergeCell ref="AH3:AH4"/>
    <mergeCell ref="A5:A15"/>
    <mergeCell ref="S5:S15"/>
    <mergeCell ref="AB5:AC5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T1:Y2"/>
    <mergeCell ref="AB1:AC2"/>
    <mergeCell ref="AF1:AH2"/>
  </mergeCells>
  <phoneticPr fontId="32" type="noConversion"/>
  <conditionalFormatting sqref="P5:P79">
    <cfRule type="cellIs" dxfId="27" priority="1" operator="greaterThan">
      <formula>0</formula>
    </cfRule>
  </conditionalFormatting>
  <conditionalFormatting sqref="AF5:AF79 Q5:Q79">
    <cfRule type="cellIs" dxfId="26" priority="4" operator="lessThan">
      <formula>0</formula>
    </cfRule>
  </conditionalFormatting>
  <conditionalFormatting sqref="AG5:AG79 R5:R79">
    <cfRule type="cellIs" dxfId="25" priority="2" operator="greaterThan">
      <formula>1</formula>
    </cfRule>
    <cfRule type="cellIs" dxfId="24" priority="3" operator="lessThan">
      <formula>0.8</formula>
    </cfRule>
  </conditionalFormatting>
  <conditionalFormatting sqref="S5:S10 S37:S62 AH59:AH62 S69:S76 AH69:AH76">
    <cfRule type="cellIs" dxfId="23" priority="7" operator="lessThan">
      <formula>0.8</formula>
    </cfRule>
  </conditionalFormatting>
  <conditionalFormatting sqref="S19:S25 AH19:AH25">
    <cfRule type="cellIs" dxfId="22" priority="6" operator="lessThan">
      <formula>0.8</formula>
    </cfRule>
  </conditionalFormatting>
  <conditionalFormatting sqref="S79">
    <cfRule type="cellIs" dxfId="21" priority="5" operator="lessThan">
      <formula>0.8</formula>
    </cfRule>
  </conditionalFormatting>
  <conditionalFormatting sqref="AH5:AH8 S15:S16 AH15:AH16 AH49 AH79">
    <cfRule type="cellIs" dxfId="20" priority="9" operator="lessThan">
      <formula>0.8</formula>
    </cfRule>
  </conditionalFormatting>
  <conditionalFormatting sqref="AH27 S27:S28">
    <cfRule type="cellIs" dxfId="19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E8EBA9-CEA4-48AB-BF47-F06CA93A07E5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AD6F-AB37-43AA-B181-306B3B1E1DB2}">
  <dimension ref="B1:O26"/>
  <sheetViews>
    <sheetView zoomScale="70" zoomScaleNormal="70" workbookViewId="0">
      <selection activeCell="N18" sqref="N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59" width="8.85546875" style="2" customWidth="1"/>
    <col min="60" max="16384" width="8.85546875" style="2"/>
  </cols>
  <sheetData>
    <row r="1" spans="2:15" ht="27.75" customHeight="1">
      <c r="B1" s="492" t="s">
        <v>70</v>
      </c>
      <c r="C1" s="492"/>
      <c r="D1" s="492"/>
      <c r="E1" s="492"/>
      <c r="F1" s="492"/>
      <c r="G1" s="492"/>
      <c r="H1" s="492"/>
      <c r="I1" s="492"/>
      <c r="J1" s="492"/>
      <c r="K1" s="492"/>
      <c r="L1" s="1"/>
      <c r="M1" s="1"/>
    </row>
    <row r="2" spans="2:15" ht="27.75" customHeight="1">
      <c r="B2" s="492"/>
      <c r="C2" s="492"/>
      <c r="D2" s="492"/>
      <c r="E2" s="492"/>
      <c r="F2" s="492"/>
      <c r="G2" s="492"/>
      <c r="H2" s="492"/>
      <c r="I2" s="492"/>
      <c r="J2" s="492"/>
      <c r="K2" s="492"/>
      <c r="L2" s="1"/>
      <c r="M2" s="1"/>
    </row>
    <row r="3" spans="2:15" ht="46.5" customHeight="1">
      <c r="B3" s="486" t="s">
        <v>71</v>
      </c>
      <c r="C3" s="486"/>
      <c r="D3" s="493">
        <v>46081</v>
      </c>
      <c r="E3" s="493"/>
      <c r="F3" s="3" t="s">
        <v>72</v>
      </c>
      <c r="G3" s="494">
        <f>'0228'!E1</f>
        <v>47880</v>
      </c>
      <c r="H3" s="494"/>
      <c r="I3" s="3" t="s">
        <v>2</v>
      </c>
      <c r="J3" s="495">
        <f>'0228'!G1</f>
        <v>2278171.9999999995</v>
      </c>
      <c r="K3" s="495"/>
      <c r="L3" s="4"/>
    </row>
    <row r="4" spans="2:15" ht="24" customHeight="1">
      <c r="B4" s="486" t="s">
        <v>73</v>
      </c>
      <c r="C4" s="486"/>
      <c r="D4" s="487">
        <v>3</v>
      </c>
      <c r="E4" s="487"/>
      <c r="F4" s="496" t="s">
        <v>74</v>
      </c>
      <c r="G4" s="496"/>
      <c r="H4" s="496" t="s">
        <v>75</v>
      </c>
      <c r="I4" s="496"/>
      <c r="J4" s="487" t="s">
        <v>76</v>
      </c>
      <c r="K4" s="496"/>
      <c r="L4" s="463" t="s">
        <v>77</v>
      </c>
      <c r="M4" s="464"/>
      <c r="N4" s="464" t="s">
        <v>78</v>
      </c>
      <c r="O4" s="464"/>
    </row>
    <row r="5" spans="2:15" ht="24" customHeight="1">
      <c r="B5" s="486" t="s">
        <v>14</v>
      </c>
      <c r="C5" s="486"/>
      <c r="D5" s="487" t="s">
        <v>79</v>
      </c>
      <c r="E5" s="487"/>
      <c r="F5" s="487" t="s">
        <v>80</v>
      </c>
      <c r="G5" s="487"/>
      <c r="H5" s="488" t="s">
        <v>81</v>
      </c>
      <c r="I5" s="488"/>
      <c r="J5" s="489" t="s">
        <v>82</v>
      </c>
      <c r="K5" s="489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486"/>
      <c r="C6" s="486"/>
      <c r="D6" s="486" t="s">
        <v>86</v>
      </c>
      <c r="E6" s="486"/>
      <c r="F6" s="490">
        <f>AVERAGE(D13:J13)</f>
        <v>124.38216822859678</v>
      </c>
      <c r="G6" s="490"/>
      <c r="H6" s="491">
        <f>AVERAGE(D13:H13,J13)</f>
        <v>123.93375467125465</v>
      </c>
      <c r="I6" s="491"/>
      <c r="J6" s="491">
        <f>AVERAGE(I13)</f>
        <v>127.07264957264958</v>
      </c>
      <c r="K6" s="491"/>
      <c r="L6" s="497">
        <f>SUM(D18:J18)</f>
        <v>1</v>
      </c>
      <c r="M6" s="482">
        <f>SUM(D19:J19)</f>
        <v>8</v>
      </c>
      <c r="N6" s="498">
        <f>SUM(D20:J20)</f>
        <v>0</v>
      </c>
      <c r="O6" s="482">
        <f>SUM(D20:J20)</f>
        <v>0</v>
      </c>
    </row>
    <row r="7" spans="2:15" ht="39.6" customHeight="1">
      <c r="B7" s="486"/>
      <c r="C7" s="486"/>
      <c r="D7" s="484" t="s">
        <v>87</v>
      </c>
      <c r="E7" s="484"/>
      <c r="F7" s="479">
        <f>AVERAGE(D14:J14)</f>
        <v>117.83718994666201</v>
      </c>
      <c r="G7" s="479"/>
      <c r="H7" s="480">
        <f>AVERAGE(D14:H14,J14)</f>
        <v>118.14409173430903</v>
      </c>
      <c r="I7" s="480"/>
      <c r="J7" s="480">
        <f>AVERAGE(I14)</f>
        <v>115.99577922077992</v>
      </c>
      <c r="K7" s="480"/>
      <c r="L7" s="481" t="e">
        <f t="shared" ref="L7:O8" si="0">AVERAGE(K14:L14)</f>
        <v>#DIV/0!</v>
      </c>
      <c r="M7" s="482" t="e">
        <f t="shared" si="0"/>
        <v>#DIV/0!</v>
      </c>
      <c r="N7" s="483" t="e">
        <f t="shared" si="0"/>
        <v>#DIV/0!</v>
      </c>
      <c r="O7" s="482" t="e">
        <f t="shared" si="0"/>
        <v>#DIV/0!</v>
      </c>
    </row>
    <row r="8" spans="2:15" ht="39.6" customHeight="1">
      <c r="B8" s="486"/>
      <c r="C8" s="486"/>
      <c r="D8" s="484" t="s">
        <v>27</v>
      </c>
      <c r="E8" s="484"/>
      <c r="F8" s="485">
        <f>F7/F6</f>
        <v>0.94738009173544846</v>
      </c>
      <c r="G8" s="485"/>
      <c r="H8" s="485">
        <f>H7/H6</f>
        <v>0.95328421258354334</v>
      </c>
      <c r="I8" s="485"/>
      <c r="J8" s="485">
        <f>J7/J6</f>
        <v>0.91283041323902814</v>
      </c>
      <c r="K8" s="485"/>
      <c r="L8" s="481" t="e">
        <f t="shared" si="0"/>
        <v>#DIV/0!</v>
      </c>
      <c r="M8" s="482" t="e">
        <f t="shared" si="0"/>
        <v>#DIV/0!</v>
      </c>
      <c r="N8" s="483" t="e">
        <f t="shared" si="0"/>
        <v>#DIV/0!</v>
      </c>
      <c r="O8" s="482" t="e">
        <f t="shared" si="0"/>
        <v>#DIV/0!</v>
      </c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460" t="s">
        <v>89</v>
      </c>
      <c r="C10" s="461"/>
      <c r="D10" s="465" t="s">
        <v>90</v>
      </c>
      <c r="E10" s="466"/>
      <c r="F10" s="466"/>
      <c r="G10" s="466"/>
      <c r="H10" s="466"/>
      <c r="I10" s="466"/>
      <c r="J10" s="467"/>
    </row>
    <row r="11" spans="2:15" ht="17.25" customHeight="1">
      <c r="B11" s="468" t="s">
        <v>91</v>
      </c>
      <c r="C11" s="469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470"/>
      <c r="C12" s="471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472" t="s">
        <v>14</v>
      </c>
      <c r="C13" s="12" t="s">
        <v>99</v>
      </c>
      <c r="D13" s="13">
        <f>VALUE('0228'!L15)</f>
        <v>150.77724358974356</v>
      </c>
      <c r="E13" s="13">
        <f>VALUE('0228'!L26)</f>
        <v>176.42992424242425</v>
      </c>
      <c r="F13" s="13">
        <f>VALUE('0228'!L37)</f>
        <v>104.79258241758242</v>
      </c>
      <c r="G13" s="13">
        <f>VALUE('0228'!L48)</f>
        <v>94.777777777777771</v>
      </c>
      <c r="H13" s="13">
        <f>VALUE('0228'!L58)</f>
        <v>112.53333333333332</v>
      </c>
      <c r="I13" s="13">
        <f>VALUE('0228'!L69)</f>
        <v>127.07264957264958</v>
      </c>
      <c r="J13" s="13">
        <f>'0228'!L79</f>
        <v>104.29166666666667</v>
      </c>
    </row>
    <row r="14" spans="2:15" ht="39.950000000000003" customHeight="1">
      <c r="B14" s="473"/>
      <c r="C14" s="12" t="s">
        <v>100</v>
      </c>
      <c r="D14" s="13">
        <f>VALUE('0228'!O15)</f>
        <v>140.79701163085875</v>
      </c>
      <c r="E14" s="13">
        <f>VALUE('0228'!O26)</f>
        <v>172.44563462145786</v>
      </c>
      <c r="F14" s="13">
        <f>VALUE('0228'!O37)</f>
        <v>95.790864727287996</v>
      </c>
      <c r="G14" s="13">
        <f>VALUE('0228'!O48)</f>
        <v>89.464439835764054</v>
      </c>
      <c r="H14" s="13">
        <f>VALUE('0228'!O58)</f>
        <v>109.86356928745515</v>
      </c>
      <c r="I14" s="13">
        <f>VALUE('0228'!O69)</f>
        <v>115.99577922077992</v>
      </c>
      <c r="J14" s="13">
        <f>'0228'!O79</f>
        <v>100.50303030303046</v>
      </c>
    </row>
    <row r="15" spans="2:15" ht="39.950000000000003" customHeight="1">
      <c r="B15" s="474"/>
      <c r="C15" s="10" t="s">
        <v>26</v>
      </c>
      <c r="D15" s="14">
        <f>D14/D13</f>
        <v>0.93380810179790485</v>
      </c>
      <c r="E15" s="14">
        <f t="shared" ref="E15:I15" si="1">E14/E13</f>
        <v>0.97741715506553317</v>
      </c>
      <c r="F15" s="14">
        <f t="shared" si="1"/>
        <v>0.91409966733691173</v>
      </c>
      <c r="G15" s="14">
        <f t="shared" si="1"/>
        <v>0.94393899006081661</v>
      </c>
      <c r="H15" s="14">
        <f t="shared" si="1"/>
        <v>0.97627579343117743</v>
      </c>
      <c r="I15" s="14">
        <f t="shared" si="1"/>
        <v>0.91283041323902814</v>
      </c>
      <c r="J15" s="15">
        <f>'0228'!S70</f>
        <v>0.96367268368866599</v>
      </c>
    </row>
    <row r="16" spans="2:15" ht="17.25" customHeight="1">
      <c r="B16" s="475" t="s">
        <v>101</v>
      </c>
      <c r="C16" s="10" t="s">
        <v>34</v>
      </c>
      <c r="D16" s="16">
        <f>'0228'!T5</f>
        <v>0.29166666666666702</v>
      </c>
      <c r="E16" s="16">
        <f>'0228'!T16</f>
        <v>0.29097222222222202</v>
      </c>
      <c r="F16" s="16">
        <f>'0228'!T27</f>
        <v>0.28819444444444442</v>
      </c>
      <c r="G16" s="16">
        <f>'0228'!T38</f>
        <v>0.33680555555555602</v>
      </c>
      <c r="H16" s="16">
        <f>'0228'!T49</f>
        <v>0.29166666666666702</v>
      </c>
      <c r="I16" s="16">
        <f>'0228'!T59</f>
        <v>0.29166666666666702</v>
      </c>
      <c r="J16" s="16">
        <f>'0228'!T70</f>
        <v>0.33333333333333298</v>
      </c>
    </row>
    <row r="17" spans="2:10" ht="17.25" customHeight="1">
      <c r="B17" s="476"/>
      <c r="C17" s="10" t="s">
        <v>35</v>
      </c>
      <c r="D17" s="16">
        <v>0.55972222222222201</v>
      </c>
      <c r="E17" s="19">
        <v>0.58194444444444449</v>
      </c>
      <c r="F17" s="19">
        <v>0.55694444444444402</v>
      </c>
      <c r="G17" s="20">
        <v>0.60902777777777772</v>
      </c>
      <c r="H17" s="19">
        <v>0.55625000000000002</v>
      </c>
      <c r="I17" s="22">
        <v>0.51041666666666663</v>
      </c>
      <c r="J17" s="22">
        <v>0.56944444444444398</v>
      </c>
    </row>
    <row r="18" spans="2:10" ht="17.25" customHeight="1">
      <c r="B18" s="477" t="s">
        <v>102</v>
      </c>
      <c r="C18" s="330" t="s">
        <v>36</v>
      </c>
      <c r="D18" s="358">
        <f>'0228'!Z15</f>
        <v>1</v>
      </c>
      <c r="E18" s="359">
        <f>'0228'!Z26</f>
        <v>0</v>
      </c>
      <c r="F18" s="359">
        <f>'0228'!Z37</f>
        <v>0</v>
      </c>
      <c r="G18" s="360">
        <f>'0228'!Z48</f>
        <v>0</v>
      </c>
      <c r="H18" s="360">
        <f>'0228'!Z58</f>
        <v>0</v>
      </c>
      <c r="I18" s="359">
        <f>'0228'!Z69</f>
        <v>0</v>
      </c>
      <c r="J18" s="359">
        <f>'0228'!AA79</f>
        <v>0</v>
      </c>
    </row>
    <row r="19" spans="2:10" ht="17.25" customHeight="1">
      <c r="B19" s="478"/>
      <c r="C19" s="330" t="s">
        <v>37</v>
      </c>
      <c r="D19" s="358">
        <f>'0228'!AA15</f>
        <v>8</v>
      </c>
      <c r="E19" s="359">
        <f>'0228'!AA26</f>
        <v>0</v>
      </c>
      <c r="F19" s="359">
        <f>'0228'!AA37</f>
        <v>0</v>
      </c>
      <c r="G19" s="360">
        <f>'0228'!AA48</f>
        <v>0</v>
      </c>
      <c r="H19" s="360">
        <f>'0228'!AA58</f>
        <v>0</v>
      </c>
      <c r="I19" s="359">
        <f>'0228'!AA69</f>
        <v>0</v>
      </c>
      <c r="J19" s="359">
        <f>'0228'!AB79</f>
        <v>0</v>
      </c>
    </row>
    <row r="20" spans="2:10" ht="17.25" customHeight="1">
      <c r="B20" s="477" t="s">
        <v>103</v>
      </c>
      <c r="C20" s="330" t="s">
        <v>36</v>
      </c>
      <c r="D20" s="358">
        <f>'0228'!AD15</f>
        <v>0</v>
      </c>
      <c r="E20" s="359">
        <f>'0228'!AD26</f>
        <v>0</v>
      </c>
      <c r="F20" s="359">
        <f>'0228'!AD37</f>
        <v>0</v>
      </c>
      <c r="G20" s="360">
        <f>'0228'!AD48</f>
        <v>0</v>
      </c>
      <c r="H20" s="360">
        <f>'0228'!AD58</f>
        <v>0</v>
      </c>
      <c r="I20" s="359">
        <f>'0228'!AD69</f>
        <v>0</v>
      </c>
      <c r="J20" s="359">
        <f>'0228'!AD79</f>
        <v>0</v>
      </c>
    </row>
    <row r="21" spans="2:10" ht="17.25" customHeight="1">
      <c r="B21" s="478"/>
      <c r="C21" s="330" t="s">
        <v>85</v>
      </c>
      <c r="D21" s="358">
        <f>'0228'!AE15</f>
        <v>0</v>
      </c>
      <c r="E21" s="359">
        <f>'0228'!AE26</f>
        <v>0</v>
      </c>
      <c r="F21" s="359">
        <f>'0228'!AE37</f>
        <v>0</v>
      </c>
      <c r="G21" s="360">
        <f>'0228'!AE48</f>
        <v>0</v>
      </c>
      <c r="H21" s="360">
        <f>'0228'!AE58</f>
        <v>0</v>
      </c>
      <c r="I21" s="359">
        <f>'0228'!AE69</f>
        <v>0</v>
      </c>
      <c r="J21" s="359">
        <f>'0228'!AE79</f>
        <v>0</v>
      </c>
    </row>
    <row r="22" spans="2:10" ht="17.25" customHeight="1">
      <c r="B22" s="460" t="s">
        <v>104</v>
      </c>
      <c r="C22" s="461"/>
      <c r="D22" s="23">
        <f>VALUE('0228'!M15)</f>
        <v>13.25</v>
      </c>
      <c r="E22" s="23">
        <f>VALUE('0228'!M26)</f>
        <v>11.5</v>
      </c>
      <c r="F22" s="23">
        <f>VALUE('0228'!M37)</f>
        <v>13</v>
      </c>
      <c r="G22" s="23">
        <f>VALUE('0228'!M48)</f>
        <v>14.666666666666666</v>
      </c>
      <c r="H22" s="23">
        <f>VALUE('0228'!M58)</f>
        <v>14</v>
      </c>
      <c r="I22" s="23">
        <f>VALUE('0228'!M69)</f>
        <v>11</v>
      </c>
      <c r="J22" s="23">
        <f>'0228'!M79</f>
        <v>9.6666666666666661</v>
      </c>
    </row>
    <row r="23" spans="2:10" ht="17.25" customHeight="1">
      <c r="B23" s="460" t="s">
        <v>105</v>
      </c>
      <c r="C23" s="461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 t="s">
        <v>108</v>
      </c>
    </row>
    <row r="24" spans="2:10" ht="17.25" customHeight="1">
      <c r="B24" s="460" t="s">
        <v>109</v>
      </c>
      <c r="C24" s="461"/>
      <c r="D24" s="11"/>
      <c r="E24" s="11"/>
      <c r="F24" s="11"/>
      <c r="G24" s="24"/>
      <c r="H24" s="11" t="s">
        <v>110</v>
      </c>
      <c r="I24" s="11"/>
      <c r="J24" s="11" t="s">
        <v>110</v>
      </c>
    </row>
    <row r="25" spans="2:10" ht="17.25" customHeight="1">
      <c r="B25" s="460" t="s">
        <v>111</v>
      </c>
      <c r="C25" s="461"/>
      <c r="D25" s="25"/>
      <c r="E25" s="25"/>
      <c r="F25" s="25"/>
      <c r="G25" s="25"/>
      <c r="H25" s="25"/>
      <c r="I25" s="25"/>
      <c r="J25" s="25"/>
    </row>
    <row r="26" spans="2:10">
      <c r="B26" s="462"/>
      <c r="C26" s="462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F8:G8"/>
    <mergeCell ref="H8:I8"/>
    <mergeCell ref="J8:K8"/>
    <mergeCell ref="B10:C10"/>
    <mergeCell ref="D10:J10"/>
    <mergeCell ref="B11:C12"/>
    <mergeCell ref="J6:K6"/>
    <mergeCell ref="L6:L8"/>
    <mergeCell ref="M6:M8"/>
    <mergeCell ref="N6:N8"/>
    <mergeCell ref="O6:O8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32" type="noConversion"/>
  <conditionalFormatting sqref="D15:J15">
    <cfRule type="cellIs" dxfId="18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5CC7-1AF7-4885-AF73-84E112757A3D}">
  <sheetPr>
    <tabColor theme="9" tint="0.79998168889431442"/>
  </sheetPr>
  <dimension ref="A1:AJ92"/>
  <sheetViews>
    <sheetView tabSelected="1" zoomScale="69" zoomScaleNormal="69" workbookViewId="0">
      <pane xSplit="5" ySplit="4" topLeftCell="G5" activePane="bottomRight" state="frozen"/>
      <selection activeCell="U52" sqref="U52"/>
      <selection pane="topRight" activeCell="U52" sqref="U52"/>
      <selection pane="bottomLeft" activeCell="U52" sqref="U52"/>
      <selection pane="bottomRight" activeCell="U72" sqref="U7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72" width="8.7109375" style="34" customWidth="1"/>
    <col min="73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47880</v>
      </c>
      <c r="F1" s="30" t="s">
        <v>2</v>
      </c>
      <c r="G1" s="31">
        <f>SUM(H5:H79)</f>
        <v>2278171.9999999995</v>
      </c>
      <c r="H1" s="32" t="s">
        <v>3</v>
      </c>
      <c r="I1" s="33">
        <f>M15+M26+M48+M58+M69+M79+M37</f>
        <v>87.083333333333329</v>
      </c>
      <c r="J1" s="369" t="s">
        <v>4</v>
      </c>
      <c r="K1" s="369"/>
      <c r="L1" s="369"/>
      <c r="M1" s="369" t="s">
        <v>5</v>
      </c>
      <c r="N1" s="369"/>
      <c r="O1" s="369"/>
      <c r="P1" s="369" t="s">
        <v>6</v>
      </c>
      <c r="Q1" s="369"/>
      <c r="R1" s="369"/>
      <c r="S1" s="369"/>
      <c r="T1" s="369" t="s">
        <v>7</v>
      </c>
      <c r="U1" s="369"/>
      <c r="V1" s="369"/>
      <c r="W1" s="369"/>
      <c r="X1" s="369"/>
      <c r="Y1" s="369"/>
      <c r="Z1" s="294" t="s">
        <v>8</v>
      </c>
      <c r="AA1" s="294" t="s">
        <v>9</v>
      </c>
      <c r="AB1" s="369" t="s">
        <v>10</v>
      </c>
      <c r="AC1" s="369"/>
      <c r="AD1" s="294" t="s">
        <v>8</v>
      </c>
      <c r="AE1" s="294" t="s">
        <v>11</v>
      </c>
      <c r="AF1" s="369" t="s">
        <v>12</v>
      </c>
      <c r="AG1" s="371"/>
      <c r="AH1" s="371"/>
    </row>
    <row r="2" spans="1:34" ht="23.25">
      <c r="A2" s="374" t="s">
        <v>236</v>
      </c>
      <c r="B2" s="374"/>
      <c r="C2" s="28"/>
      <c r="D2" s="28" t="s">
        <v>14</v>
      </c>
      <c r="E2" s="35">
        <f>AVERAGE(O15,O26,O37,O48,O58,O69,O79)</f>
        <v>117.83718994666201</v>
      </c>
      <c r="F2" s="36" t="s">
        <v>15</v>
      </c>
      <c r="G2" s="37">
        <f>G1/E1</f>
        <v>47.580868838763564</v>
      </c>
      <c r="H2" s="32" t="s">
        <v>16</v>
      </c>
      <c r="I2" s="32">
        <f>COUNT(I5:I79)</f>
        <v>0</v>
      </c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39">
        <f>Z15+Z26+Z37+Z48+Z58+Z69+Z79</f>
        <v>1</v>
      </c>
      <c r="AA2" s="339">
        <f>AA15+AA26+AA37+AA48+AA58+AA69+AA79</f>
        <v>8</v>
      </c>
      <c r="AB2" s="370"/>
      <c r="AC2" s="370"/>
      <c r="AD2" s="340">
        <f>AD15+AD26+AD37+AD48+AD58+AD69+AD79</f>
        <v>0</v>
      </c>
      <c r="AE2" s="340">
        <f>AE15+AE26+AE37+AE48+AE58+AE69+AE79</f>
        <v>0</v>
      </c>
      <c r="AF2" s="371"/>
      <c r="AG2" s="371"/>
      <c r="AH2" s="371"/>
    </row>
    <row r="3" spans="1:34" ht="32.1" customHeight="1">
      <c r="A3" s="375" t="s">
        <v>17</v>
      </c>
      <c r="B3" s="375" t="s">
        <v>18</v>
      </c>
      <c r="C3" s="30"/>
      <c r="D3" s="375" t="s">
        <v>19</v>
      </c>
      <c r="E3" s="375"/>
      <c r="F3" s="377" t="s">
        <v>20</v>
      </c>
      <c r="G3" s="372" t="s">
        <v>21</v>
      </c>
      <c r="H3" s="377" t="s">
        <v>22</v>
      </c>
      <c r="I3" s="381" t="s">
        <v>23</v>
      </c>
      <c r="J3" s="383" t="s">
        <v>24</v>
      </c>
      <c r="K3" s="385" t="s">
        <v>25</v>
      </c>
      <c r="L3" s="387" t="s">
        <v>14</v>
      </c>
      <c r="M3" s="372" t="s">
        <v>24</v>
      </c>
      <c r="N3" s="385" t="s">
        <v>25</v>
      </c>
      <c r="O3" s="387" t="s">
        <v>14</v>
      </c>
      <c r="P3" s="383" t="s">
        <v>24</v>
      </c>
      <c r="Q3" s="387" t="s">
        <v>14</v>
      </c>
      <c r="R3" s="389" t="s">
        <v>26</v>
      </c>
      <c r="S3" s="379" t="s">
        <v>27</v>
      </c>
      <c r="T3" s="372" t="s">
        <v>28</v>
      </c>
      <c r="U3" s="372"/>
      <c r="V3" s="391" t="s">
        <v>29</v>
      </c>
      <c r="W3" s="381" t="s">
        <v>30</v>
      </c>
      <c r="X3" s="372" t="s">
        <v>31</v>
      </c>
      <c r="Y3" s="392"/>
      <c r="Z3" s="393" t="s">
        <v>32</v>
      </c>
      <c r="AA3" s="394"/>
      <c r="AB3" s="408"/>
      <c r="AC3" s="409"/>
      <c r="AD3" s="393" t="s">
        <v>33</v>
      </c>
      <c r="AE3" s="394"/>
      <c r="AF3" s="396" t="s">
        <v>25</v>
      </c>
      <c r="AG3" s="398" t="s">
        <v>26</v>
      </c>
      <c r="AH3" s="400" t="s">
        <v>27</v>
      </c>
    </row>
    <row r="4" spans="1:34" ht="16.5" thickBot="1">
      <c r="A4" s="376"/>
      <c r="B4" s="376"/>
      <c r="C4" s="38"/>
      <c r="D4" s="376"/>
      <c r="E4" s="376"/>
      <c r="F4" s="378"/>
      <c r="G4" s="373"/>
      <c r="H4" s="378"/>
      <c r="I4" s="382"/>
      <c r="J4" s="384"/>
      <c r="K4" s="386"/>
      <c r="L4" s="388"/>
      <c r="M4" s="373"/>
      <c r="N4" s="386"/>
      <c r="O4" s="388"/>
      <c r="P4" s="384"/>
      <c r="Q4" s="388"/>
      <c r="R4" s="390"/>
      <c r="S4" s="380"/>
      <c r="T4" s="342" t="s">
        <v>34</v>
      </c>
      <c r="U4" s="342" t="s">
        <v>35</v>
      </c>
      <c r="V4" s="373"/>
      <c r="W4" s="382"/>
      <c r="X4" s="341" t="s">
        <v>34</v>
      </c>
      <c r="Y4" s="343" t="s">
        <v>35</v>
      </c>
      <c r="Z4" s="344" t="s">
        <v>36</v>
      </c>
      <c r="AA4" s="344" t="s">
        <v>37</v>
      </c>
      <c r="AB4" s="410"/>
      <c r="AC4" s="410"/>
      <c r="AD4" s="344" t="s">
        <v>38</v>
      </c>
      <c r="AE4" s="344" t="s">
        <v>39</v>
      </c>
      <c r="AF4" s="397"/>
      <c r="AG4" s="399"/>
      <c r="AH4" s="401"/>
    </row>
    <row r="5" spans="1:34" ht="15" customHeight="1">
      <c r="A5" s="420" t="s">
        <v>40</v>
      </c>
      <c r="B5" s="39" t="s">
        <v>81</v>
      </c>
      <c r="C5" s="40"/>
      <c r="D5" s="168" t="s">
        <v>116</v>
      </c>
      <c r="E5" s="41"/>
      <c r="F5" s="39">
        <f>VLOOKUP(D5,廠價表!$C$1:$E$41,3,0)</f>
        <v>57.21</v>
      </c>
      <c r="G5" s="42">
        <v>1893</v>
      </c>
      <c r="H5" s="43">
        <f>F5*G5</f>
        <v>108298.53</v>
      </c>
      <c r="I5" s="44"/>
      <c r="J5" s="45">
        <f>VLOOKUP(D5,產線配置圖!$A$3:$C$39,2,0)</f>
        <v>12</v>
      </c>
      <c r="K5" s="46">
        <f>VLOOKUP(D5,產線配置圖!$A$3:$C$39,3,0)</f>
        <v>2105</v>
      </c>
      <c r="L5" s="47">
        <f t="shared" ref="L5:L8" si="0">K5/J5</f>
        <v>175.41666666666666</v>
      </c>
      <c r="M5" s="48">
        <v>12</v>
      </c>
      <c r="N5" s="46">
        <f t="shared" ref="N5:N8" si="1">G5/W5*60</f>
        <v>1861.9672131147606</v>
      </c>
      <c r="O5" s="47">
        <f t="shared" ref="O5:O8" si="2">N5/M5</f>
        <v>155.16393442623004</v>
      </c>
      <c r="P5" s="49">
        <f t="shared" ref="P5:P8" si="3">M5-J5</f>
        <v>0</v>
      </c>
      <c r="Q5" s="50">
        <f t="shared" ref="Q5:Q8" si="4">O5-L5</f>
        <v>-20.252732240436615</v>
      </c>
      <c r="R5" s="51">
        <f t="shared" ref="R5:R8" si="5">O5/L5</f>
        <v>0.88454499435380551</v>
      </c>
      <c r="S5" s="424">
        <f>R15</f>
        <v>0.93380810179790485</v>
      </c>
      <c r="T5" s="319">
        <v>0.29166666666666702</v>
      </c>
      <c r="U5" s="320">
        <v>0.33402777777777798</v>
      </c>
      <c r="V5" s="53"/>
      <c r="W5" s="54">
        <f t="shared" ref="W5:W14" si="6">(U5-T5)*24*60</f>
        <v>60.999999999999787</v>
      </c>
      <c r="X5" s="55"/>
      <c r="Y5" s="290"/>
      <c r="Z5" s="169">
        <v>1</v>
      </c>
      <c r="AA5" s="169">
        <v>8</v>
      </c>
      <c r="AB5" s="402" t="s">
        <v>232</v>
      </c>
      <c r="AC5" s="402"/>
      <c r="AD5" s="135"/>
      <c r="AE5" s="135"/>
      <c r="AF5" s="229">
        <f t="shared" ref="AF5:AF11" si="7">N5-K5</f>
        <v>-243.03278688523937</v>
      </c>
      <c r="AG5" s="52">
        <f t="shared" ref="AG5:AG11" si="8">N5/K5</f>
        <v>0.88454499435380551</v>
      </c>
      <c r="AH5" s="403">
        <f>AG15</f>
        <v>0.93583428615819764</v>
      </c>
    </row>
    <row r="6" spans="1:34" ht="15" customHeight="1">
      <c r="A6" s="421"/>
      <c r="B6" s="57" t="s">
        <v>81</v>
      </c>
      <c r="C6" s="58"/>
      <c r="D6" s="59" t="s">
        <v>114</v>
      </c>
      <c r="E6" s="60"/>
      <c r="F6" s="61">
        <f>VLOOKUP(D6,廠價表!$C$1:$E$41,3,0)</f>
        <v>56.28</v>
      </c>
      <c r="G6" s="62">
        <v>1360</v>
      </c>
      <c r="H6" s="63">
        <f>F6*G6</f>
        <v>76540.800000000003</v>
      </c>
      <c r="I6" s="64"/>
      <c r="J6" s="65">
        <f>VLOOKUP(D6,產線配置圖!$A$3:$C$39,2,0)</f>
        <v>15</v>
      </c>
      <c r="K6" s="66">
        <f>VLOOKUP(D6,產線配置圖!$A$3:$C$39,3,0)</f>
        <v>1800</v>
      </c>
      <c r="L6" s="67">
        <f t="shared" si="0"/>
        <v>120</v>
      </c>
      <c r="M6" s="68">
        <v>15</v>
      </c>
      <c r="N6" s="66">
        <f t="shared" si="1"/>
        <v>1736.1702127659578</v>
      </c>
      <c r="O6" s="67">
        <f t="shared" si="2"/>
        <v>115.74468085106385</v>
      </c>
      <c r="P6" s="69">
        <f t="shared" si="3"/>
        <v>0</v>
      </c>
      <c r="Q6" s="70">
        <f t="shared" si="4"/>
        <v>-4.2553191489361524</v>
      </c>
      <c r="R6" s="71">
        <f t="shared" si="5"/>
        <v>0.96453900709219875</v>
      </c>
      <c r="S6" s="425"/>
      <c r="T6" s="16">
        <v>0.34236111111111112</v>
      </c>
      <c r="U6" s="16">
        <v>0.375</v>
      </c>
      <c r="V6" s="30">
        <f>(T6-U5)*24*60</f>
        <v>11.999999999999718</v>
      </c>
      <c r="W6" s="73">
        <f t="shared" si="6"/>
        <v>46.999999999999993</v>
      </c>
      <c r="X6" s="22"/>
      <c r="Y6" s="84"/>
      <c r="Z6" s="90"/>
      <c r="AA6" s="90"/>
      <c r="AB6" s="407"/>
      <c r="AC6" s="407"/>
      <c r="AD6" s="149"/>
      <c r="AE6" s="149"/>
      <c r="AF6" s="307">
        <f t="shared" si="7"/>
        <v>-63.829787234042215</v>
      </c>
      <c r="AG6" s="72">
        <f t="shared" si="8"/>
        <v>0.96453900709219875</v>
      </c>
      <c r="AH6" s="404"/>
    </row>
    <row r="7" spans="1:34" ht="15" customHeight="1">
      <c r="A7" s="421"/>
      <c r="B7" s="75" t="s">
        <v>81</v>
      </c>
      <c r="C7" s="76"/>
      <c r="D7" s="59" t="s">
        <v>115</v>
      </c>
      <c r="E7" s="77"/>
      <c r="F7" s="75">
        <f>VLOOKUP(D7,廠價表!$C$1:$E$41,3,0)</f>
        <v>49.14</v>
      </c>
      <c r="G7" s="66">
        <v>4404</v>
      </c>
      <c r="H7" s="78">
        <f>F7*G7</f>
        <v>216412.56</v>
      </c>
      <c r="I7" s="73"/>
      <c r="J7" s="79">
        <f>VLOOKUP(D7,產線配置圖!$A$3:$C$39,2,0)</f>
        <v>13</v>
      </c>
      <c r="K7" s="80">
        <f>VLOOKUP(D7,產線配置圖!$A$3:$C$39,3,0)</f>
        <v>2000</v>
      </c>
      <c r="L7" s="81">
        <f t="shared" si="0"/>
        <v>153.84615384615384</v>
      </c>
      <c r="M7" s="82">
        <v>13</v>
      </c>
      <c r="N7" s="80">
        <f t="shared" si="1"/>
        <v>1971.9402985074744</v>
      </c>
      <c r="O7" s="81">
        <f t="shared" si="2"/>
        <v>151.68771526980572</v>
      </c>
      <c r="P7" s="74">
        <f t="shared" si="3"/>
        <v>0</v>
      </c>
      <c r="Q7" s="83">
        <f t="shared" si="4"/>
        <v>-2.158438576348118</v>
      </c>
      <c r="R7" s="72">
        <f t="shared" si="5"/>
        <v>0.98597014925373727</v>
      </c>
      <c r="S7" s="425"/>
      <c r="T7" s="18">
        <v>0.38402777777777802</v>
      </c>
      <c r="U7" s="18">
        <v>0.47708333333333303</v>
      </c>
      <c r="V7" s="30">
        <f>(T7-U6)*24*60</f>
        <v>13.000000000000353</v>
      </c>
      <c r="W7" s="73">
        <f t="shared" si="6"/>
        <v>133.9999999999992</v>
      </c>
      <c r="X7" s="22"/>
      <c r="Y7" s="84"/>
      <c r="Z7" s="90"/>
      <c r="AA7" s="90"/>
      <c r="AB7" s="395"/>
      <c r="AC7" s="395"/>
      <c r="AD7" s="92"/>
      <c r="AE7" s="92"/>
      <c r="AF7" s="307">
        <f t="shared" si="7"/>
        <v>-28.059701492525619</v>
      </c>
      <c r="AG7" s="72">
        <f t="shared" si="8"/>
        <v>0.98597014925373716</v>
      </c>
      <c r="AH7" s="404"/>
    </row>
    <row r="8" spans="1:34" ht="15" customHeight="1">
      <c r="A8" s="421"/>
      <c r="B8" s="75" t="s">
        <v>81</v>
      </c>
      <c r="C8" s="76"/>
      <c r="D8" s="59" t="s">
        <v>115</v>
      </c>
      <c r="E8" s="77"/>
      <c r="F8" s="75">
        <f>VLOOKUP(D8,廠價表!$C$1:$E$41,3,0)</f>
        <v>49.14</v>
      </c>
      <c r="G8" s="66">
        <v>792</v>
      </c>
      <c r="H8" s="78">
        <f>F8*G8</f>
        <v>38918.879999999997</v>
      </c>
      <c r="I8" s="73"/>
      <c r="J8" s="79">
        <f>VLOOKUP(D8,產線配置圖!$A$3:$C$39,2,0)</f>
        <v>13</v>
      </c>
      <c r="K8" s="80">
        <f>VLOOKUP(D8,產線配置圖!$A$3:$C$39,3,0)</f>
        <v>2000</v>
      </c>
      <c r="L8" s="81">
        <f t="shared" si="0"/>
        <v>153.84615384615384</v>
      </c>
      <c r="M8" s="82">
        <v>13</v>
      </c>
      <c r="N8" s="80">
        <f t="shared" si="1"/>
        <v>1827.6923076923592</v>
      </c>
      <c r="O8" s="81">
        <f t="shared" si="2"/>
        <v>140.59171597633534</v>
      </c>
      <c r="P8" s="74">
        <f t="shared" si="3"/>
        <v>0</v>
      </c>
      <c r="Q8" s="83">
        <f t="shared" si="4"/>
        <v>-13.254437869818503</v>
      </c>
      <c r="R8" s="72">
        <f t="shared" si="5"/>
        <v>0.91384615384617973</v>
      </c>
      <c r="S8" s="425"/>
      <c r="T8" s="16">
        <v>0.54166666666666696</v>
      </c>
      <c r="U8" s="16">
        <v>0.55972222222222201</v>
      </c>
      <c r="V8" s="30">
        <f>(T8-U7)*24*60</f>
        <v>93.000000000000867</v>
      </c>
      <c r="W8" s="73">
        <f t="shared" si="6"/>
        <v>25.999999999999268</v>
      </c>
      <c r="X8" s="22">
        <v>0.48611111111111099</v>
      </c>
      <c r="Y8" s="84">
        <v>0.52777777777777801</v>
      </c>
      <c r="Z8" s="90"/>
      <c r="AA8" s="90"/>
      <c r="AB8" s="407"/>
      <c r="AC8" s="407"/>
      <c r="AD8" s="149"/>
      <c r="AE8" s="149"/>
      <c r="AF8" s="307">
        <f t="shared" si="7"/>
        <v>-172.30769230764076</v>
      </c>
      <c r="AG8" s="72">
        <f t="shared" si="8"/>
        <v>0.91384615384617962</v>
      </c>
      <c r="AH8" s="404"/>
    </row>
    <row r="9" spans="1:34" ht="15" customHeight="1">
      <c r="A9" s="422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426"/>
      <c r="T9" s="16"/>
      <c r="U9" s="16"/>
      <c r="V9" s="30"/>
      <c r="W9" s="73">
        <f t="shared" si="6"/>
        <v>0</v>
      </c>
      <c r="X9" s="22"/>
      <c r="Y9" s="84"/>
      <c r="Z9" s="90"/>
      <c r="AA9" s="90"/>
      <c r="AB9" s="407"/>
      <c r="AC9" s="407"/>
      <c r="AD9" s="149"/>
      <c r="AE9" s="149"/>
      <c r="AF9" s="307">
        <f t="shared" si="7"/>
        <v>0</v>
      </c>
      <c r="AG9" s="72" t="e">
        <f t="shared" si="8"/>
        <v>#DIV/0!</v>
      </c>
      <c r="AH9" s="405"/>
    </row>
    <row r="10" spans="1:34" ht="15" customHeight="1">
      <c r="A10" s="422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426"/>
      <c r="T10" s="22"/>
      <c r="U10" s="22"/>
      <c r="V10" s="30"/>
      <c r="W10" s="73">
        <f t="shared" si="6"/>
        <v>0</v>
      </c>
      <c r="X10" s="22"/>
      <c r="Y10" s="84"/>
      <c r="Z10" s="90"/>
      <c r="AA10" s="90"/>
      <c r="AB10" s="395"/>
      <c r="AC10" s="395"/>
      <c r="AD10" s="92"/>
      <c r="AE10" s="92"/>
      <c r="AF10" s="307">
        <f t="shared" si="7"/>
        <v>0</v>
      </c>
      <c r="AG10" s="72" t="e">
        <f t="shared" si="8"/>
        <v>#DIV/0!</v>
      </c>
      <c r="AH10" s="405"/>
    </row>
    <row r="11" spans="1:34" ht="15" customHeight="1">
      <c r="A11" s="422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426"/>
      <c r="T11" s="22"/>
      <c r="U11" s="22"/>
      <c r="V11" s="30"/>
      <c r="W11" s="100">
        <f t="shared" si="6"/>
        <v>0</v>
      </c>
      <c r="X11" s="22"/>
      <c r="Y11" s="84"/>
      <c r="Z11" s="90"/>
      <c r="AA11" s="90"/>
      <c r="AB11" s="407"/>
      <c r="AC11" s="407"/>
      <c r="AD11" s="149"/>
      <c r="AE11" s="149"/>
      <c r="AF11" s="307">
        <f t="shared" si="7"/>
        <v>0</v>
      </c>
      <c r="AG11" s="72" t="e">
        <f t="shared" si="8"/>
        <v>#DIV/0!</v>
      </c>
      <c r="AH11" s="405"/>
    </row>
    <row r="12" spans="1:34" ht="15" customHeight="1">
      <c r="A12" s="422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426"/>
      <c r="T12" s="109"/>
      <c r="U12" s="109"/>
      <c r="V12" s="38"/>
      <c r="W12" s="100">
        <f t="shared" si="6"/>
        <v>0</v>
      </c>
      <c r="X12" s="110"/>
      <c r="Y12" s="289"/>
      <c r="Z12" s="90"/>
      <c r="AA12" s="90"/>
      <c r="AB12" s="407"/>
      <c r="AC12" s="407"/>
      <c r="AD12" s="149"/>
      <c r="AE12" s="149"/>
      <c r="AF12" s="308"/>
      <c r="AG12" s="85"/>
      <c r="AH12" s="405"/>
    </row>
    <row r="13" spans="1:34" ht="15" customHeight="1">
      <c r="A13" s="422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427"/>
      <c r="T13" s="113"/>
      <c r="U13" s="113"/>
      <c r="V13" s="101"/>
      <c r="W13" s="100">
        <f t="shared" si="6"/>
        <v>0</v>
      </c>
      <c r="X13" s="110"/>
      <c r="Y13" s="289"/>
      <c r="Z13" s="90"/>
      <c r="AA13" s="90"/>
      <c r="AB13" s="395"/>
      <c r="AC13" s="395"/>
      <c r="AD13" s="92"/>
      <c r="AE13" s="92"/>
      <c r="AF13" s="308"/>
      <c r="AG13" s="85"/>
      <c r="AH13" s="405"/>
    </row>
    <row r="14" spans="1:34" ht="15" customHeight="1">
      <c r="A14" s="422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426"/>
      <c r="T14" s="114"/>
      <c r="U14" s="114"/>
      <c r="V14" s="38"/>
      <c r="W14" s="100">
        <f t="shared" si="6"/>
        <v>0</v>
      </c>
      <c r="X14" s="110"/>
      <c r="Y14" s="289"/>
      <c r="Z14" s="90"/>
      <c r="AA14" s="90"/>
      <c r="AB14" s="395"/>
      <c r="AC14" s="395"/>
      <c r="AD14" s="92"/>
      <c r="AE14" s="92"/>
      <c r="AF14" s="308"/>
      <c r="AG14" s="85"/>
      <c r="AH14" s="405"/>
    </row>
    <row r="15" spans="1:34" ht="15" customHeight="1" thickBot="1">
      <c r="A15" s="423"/>
      <c r="B15" s="115"/>
      <c r="C15" s="115" t="s">
        <v>41</v>
      </c>
      <c r="D15" s="411" t="s">
        <v>42</v>
      </c>
      <c r="E15" s="411"/>
      <c r="F15" s="116"/>
      <c r="G15" s="117"/>
      <c r="H15" s="118"/>
      <c r="I15" s="119"/>
      <c r="J15" s="120">
        <f t="shared" ref="J15:O15" si="9">AVERAGE(J5:J14)</f>
        <v>13.25</v>
      </c>
      <c r="K15" s="120">
        <f t="shared" si="9"/>
        <v>1976.25</v>
      </c>
      <c r="L15" s="117">
        <f t="shared" si="9"/>
        <v>150.77724358974356</v>
      </c>
      <c r="M15" s="120">
        <f t="shared" si="9"/>
        <v>13.25</v>
      </c>
      <c r="N15" s="120">
        <f t="shared" si="9"/>
        <v>1849.4425080201381</v>
      </c>
      <c r="O15" s="117">
        <f t="shared" si="9"/>
        <v>140.79701163085875</v>
      </c>
      <c r="P15" s="121">
        <f t="shared" ref="P15:P19" si="10">M15-J15</f>
        <v>0</v>
      </c>
      <c r="Q15" s="122">
        <f t="shared" ref="Q15:Q19" si="11">O15-L15</f>
        <v>-9.980231958884815</v>
      </c>
      <c r="R15" s="123">
        <f t="shared" ref="R15:R19" si="12">O15/L15</f>
        <v>0.93380810179790485</v>
      </c>
      <c r="S15" s="428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8</v>
      </c>
      <c r="AB15" s="412"/>
      <c r="AC15" s="412"/>
      <c r="AD15" s="323">
        <f>SUM(AD5:AD14)</f>
        <v>0</v>
      </c>
      <c r="AE15" s="323">
        <f>SUM(AE5:AE14)</f>
        <v>0</v>
      </c>
      <c r="AF15" s="309">
        <f t="shared" ref="AF15:AF19" si="13">N15-K15</f>
        <v>-126.80749197986188</v>
      </c>
      <c r="AG15" s="124">
        <f t="shared" ref="AG15:AG19" si="14">N15/K15</f>
        <v>0.93583428615819764</v>
      </c>
      <c r="AH15" s="406"/>
    </row>
    <row r="16" spans="1:34" ht="15" customHeight="1">
      <c r="A16" s="413" t="s">
        <v>43</v>
      </c>
      <c r="B16" s="129" t="s">
        <v>81</v>
      </c>
      <c r="C16" s="130"/>
      <c r="D16" s="131" t="s">
        <v>116</v>
      </c>
      <c r="E16" s="132"/>
      <c r="F16" s="129">
        <f>VLOOKUP(D16,廠價表!$C$1:$E$41,3,0)</f>
        <v>57.21</v>
      </c>
      <c r="G16" s="133">
        <v>1740</v>
      </c>
      <c r="H16" s="134">
        <f>F16*G16</f>
        <v>99545.400000000009</v>
      </c>
      <c r="I16" s="135"/>
      <c r="J16" s="136">
        <f>VLOOKUP(D16,產線配置圖!$A$3:$C$39,2,0)</f>
        <v>12</v>
      </c>
      <c r="K16" s="137">
        <f>VLOOKUP(D16,產線配置圖!$A$3:$C$39,3,0)</f>
        <v>2105</v>
      </c>
      <c r="L16" s="138">
        <f t="shared" ref="L16:L19" si="15">K16/J16</f>
        <v>175.41666666666666</v>
      </c>
      <c r="M16" s="139">
        <v>12</v>
      </c>
      <c r="N16" s="140">
        <f t="shared" ref="N16:N19" si="16">G16/W16*60</f>
        <v>2047.0588235293935</v>
      </c>
      <c r="O16" s="141">
        <f>N16/M16</f>
        <v>170.58823529411612</v>
      </c>
      <c r="P16" s="142">
        <f>M16-J16</f>
        <v>0</v>
      </c>
      <c r="Q16" s="143">
        <f t="shared" si="11"/>
        <v>-4.8284313725505399</v>
      </c>
      <c r="R16" s="144">
        <f>O16/L16</f>
        <v>0.97247450048902306</v>
      </c>
      <c r="S16" s="417">
        <f>R26</f>
        <v>0.97741715506553317</v>
      </c>
      <c r="T16" s="145">
        <v>0.29097222222222202</v>
      </c>
      <c r="U16" s="145">
        <v>0.32638888888888901</v>
      </c>
      <c r="V16" s="135"/>
      <c r="W16" s="146">
        <f t="shared" ref="W16:W78" si="17">(U16-T16)*24*60</f>
        <v>51.000000000000455</v>
      </c>
      <c r="X16" s="141"/>
      <c r="Y16" s="296"/>
      <c r="Z16" s="169"/>
      <c r="AA16" s="169"/>
      <c r="AB16" s="402"/>
      <c r="AC16" s="402"/>
      <c r="AD16" s="135"/>
      <c r="AE16" s="135"/>
      <c r="AF16" s="229">
        <f t="shared" si="13"/>
        <v>-57.941176470606479</v>
      </c>
      <c r="AG16" s="52">
        <f t="shared" si="14"/>
        <v>0.97247450048902306</v>
      </c>
      <c r="AH16" s="403">
        <f>AG26</f>
        <v>0.97747271340215935</v>
      </c>
    </row>
    <row r="17" spans="1:34" ht="15" customHeight="1">
      <c r="A17" s="414"/>
      <c r="B17" s="75" t="s">
        <v>81</v>
      </c>
      <c r="C17" s="76"/>
      <c r="D17" s="59" t="s">
        <v>118</v>
      </c>
      <c r="E17" s="77"/>
      <c r="F17" s="75">
        <f>VLOOKUP(D17,廠價表!$C$1:$E$41,3,0)</f>
        <v>50.67</v>
      </c>
      <c r="G17" s="147">
        <v>3580</v>
      </c>
      <c r="H17" s="78">
        <f>F17*G17</f>
        <v>181398.6</v>
      </c>
      <c r="I17" s="30"/>
      <c r="J17" s="79">
        <f>VLOOKUP(D17,產線配置圖!$A$3:$C$39,2,0)</f>
        <v>12</v>
      </c>
      <c r="K17" s="80">
        <f>VLOOKUP(D17,產線配置圖!$A$3:$C$39,3,0)</f>
        <v>2000</v>
      </c>
      <c r="L17" s="81">
        <f t="shared" si="15"/>
        <v>166.66666666666666</v>
      </c>
      <c r="M17" s="148">
        <v>12</v>
      </c>
      <c r="N17" s="95">
        <f>G17/W17*60</f>
        <v>1970.6422018348621</v>
      </c>
      <c r="O17" s="96">
        <f t="shared" ref="O17:O19" si="18">N17/M17</f>
        <v>164.22018348623851</v>
      </c>
      <c r="P17" s="97">
        <f t="shared" si="10"/>
        <v>0</v>
      </c>
      <c r="Q17" s="98">
        <f t="shared" si="11"/>
        <v>-2.4464831804281459</v>
      </c>
      <c r="R17" s="99">
        <f t="shared" si="12"/>
        <v>0.98532110091743108</v>
      </c>
      <c r="S17" s="418"/>
      <c r="T17" s="19">
        <v>0.33263888888888887</v>
      </c>
      <c r="U17" s="19">
        <v>0.40833333333333333</v>
      </c>
      <c r="V17" s="30">
        <f>(T17-U16)*24*60</f>
        <v>8.9999999999998082</v>
      </c>
      <c r="W17" s="149">
        <f t="shared" si="17"/>
        <v>109.00000000000001</v>
      </c>
      <c r="X17" s="19"/>
      <c r="Y17" s="297"/>
      <c r="Z17" s="90"/>
      <c r="AA17" s="90"/>
      <c r="AB17" s="395"/>
      <c r="AC17" s="395"/>
      <c r="AD17" s="92"/>
      <c r="AE17" s="92"/>
      <c r="AF17" s="307">
        <f t="shared" si="13"/>
        <v>-29.357798165137865</v>
      </c>
      <c r="AG17" s="72">
        <f t="shared" si="14"/>
        <v>0.98532110091743108</v>
      </c>
      <c r="AH17" s="404"/>
    </row>
    <row r="18" spans="1:34" ht="15" customHeight="1">
      <c r="A18" s="414"/>
      <c r="B18" s="75" t="s">
        <v>81</v>
      </c>
      <c r="C18" s="76"/>
      <c r="D18" s="59" t="s">
        <v>119</v>
      </c>
      <c r="E18" s="77"/>
      <c r="F18" s="75">
        <f>VLOOKUP(D18,廠價表!$C$1:$E$41,3,0)</f>
        <v>50.39</v>
      </c>
      <c r="G18" s="147">
        <v>2781</v>
      </c>
      <c r="H18" s="78">
        <f>F18*G18</f>
        <v>140134.59</v>
      </c>
      <c r="I18" s="30"/>
      <c r="J18" s="79">
        <f>VLOOKUP(D18,產線配置圖!$A$3:$C$39,2,0)</f>
        <v>11</v>
      </c>
      <c r="K18" s="80">
        <f>VLOOKUP(D18,產線配置圖!$A$3:$C$39,3,0)</f>
        <v>2000</v>
      </c>
      <c r="L18" s="81">
        <f t="shared" si="15"/>
        <v>181.81818181818181</v>
      </c>
      <c r="M18" s="148">
        <v>11</v>
      </c>
      <c r="N18" s="95">
        <f t="shared" si="16"/>
        <v>1940.2325581395435</v>
      </c>
      <c r="O18" s="96">
        <f t="shared" si="18"/>
        <v>176.38477801268576</v>
      </c>
      <c r="P18" s="97">
        <f t="shared" si="10"/>
        <v>0</v>
      </c>
      <c r="Q18" s="98">
        <f t="shared" si="11"/>
        <v>-5.4334038054960558</v>
      </c>
      <c r="R18" s="99">
        <f t="shared" si="12"/>
        <v>0.97011627906977171</v>
      </c>
      <c r="S18" s="418"/>
      <c r="T18" s="19">
        <v>0.41527777777777802</v>
      </c>
      <c r="U18" s="19">
        <v>0.47499999999999998</v>
      </c>
      <c r="V18" s="30">
        <f>(T18-U17)*24*60</f>
        <v>10.000000000000364</v>
      </c>
      <c r="W18" s="149">
        <f t="shared" si="17"/>
        <v>85.999999999999616</v>
      </c>
      <c r="X18" s="22">
        <v>0.48611111111111099</v>
      </c>
      <c r="Y18" s="84">
        <v>0.52777777777777801</v>
      </c>
      <c r="Z18" s="90"/>
      <c r="AA18" s="90"/>
      <c r="AB18" s="395"/>
      <c r="AC18" s="395"/>
      <c r="AD18" s="92"/>
      <c r="AE18" s="92"/>
      <c r="AF18" s="307">
        <f t="shared" si="13"/>
        <v>-59.767441860456529</v>
      </c>
      <c r="AG18" s="72">
        <f t="shared" si="14"/>
        <v>0.97011627906977171</v>
      </c>
      <c r="AH18" s="404"/>
    </row>
    <row r="19" spans="1:34" ht="15" customHeight="1">
      <c r="A19" s="414"/>
      <c r="B19" s="75" t="s">
        <v>81</v>
      </c>
      <c r="C19" s="76"/>
      <c r="D19" s="59" t="s">
        <v>119</v>
      </c>
      <c r="E19" s="77"/>
      <c r="F19" s="75">
        <f>VLOOKUP(D19,廠價表!$C$1:$E$41,3,0)</f>
        <v>50.39</v>
      </c>
      <c r="G19" s="147">
        <v>1899</v>
      </c>
      <c r="H19" s="78">
        <f>F19*G19</f>
        <v>95690.61</v>
      </c>
      <c r="I19" s="30"/>
      <c r="J19" s="79">
        <f>VLOOKUP(D19,產線配置圖!$A$3:$C$39,2,0)</f>
        <v>11</v>
      </c>
      <c r="K19" s="80">
        <f>VLOOKUP(D19,產線配置圖!$A$3:$C$39,3,0)</f>
        <v>2000</v>
      </c>
      <c r="L19" s="81">
        <f t="shared" si="15"/>
        <v>181.81818181818181</v>
      </c>
      <c r="M19" s="148">
        <v>11</v>
      </c>
      <c r="N19" s="95">
        <f t="shared" si="16"/>
        <v>1964.4827586207023</v>
      </c>
      <c r="O19" s="96">
        <f t="shared" si="18"/>
        <v>178.58934169279112</v>
      </c>
      <c r="P19" s="97">
        <f t="shared" si="10"/>
        <v>0</v>
      </c>
      <c r="Q19" s="98">
        <f t="shared" si="11"/>
        <v>-3.2288401253906898</v>
      </c>
      <c r="R19" s="99">
        <f t="shared" si="12"/>
        <v>0.98224137931035116</v>
      </c>
      <c r="S19" s="418"/>
      <c r="T19" s="19">
        <v>0.54166666666666696</v>
      </c>
      <c r="U19" s="19">
        <v>0.58194444444444449</v>
      </c>
      <c r="V19" s="30">
        <f>(T19-U18)*24*60</f>
        <v>96.000000000000455</v>
      </c>
      <c r="W19" s="149">
        <f t="shared" si="17"/>
        <v>57.999999999999631</v>
      </c>
      <c r="X19" s="22"/>
      <c r="Y19" s="84"/>
      <c r="Z19" s="90"/>
      <c r="AA19" s="90"/>
      <c r="AB19" s="407"/>
      <c r="AC19" s="407"/>
      <c r="AD19" s="149"/>
      <c r="AE19" s="149"/>
      <c r="AF19" s="307">
        <f t="shared" si="13"/>
        <v>-35.51724137929773</v>
      </c>
      <c r="AG19" s="72">
        <f t="shared" si="14"/>
        <v>0.98224137931035116</v>
      </c>
      <c r="AH19" s="405"/>
    </row>
    <row r="20" spans="1:34" ht="15" customHeight="1">
      <c r="A20" s="414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418"/>
      <c r="T20" s="19"/>
      <c r="U20" s="19"/>
      <c r="V20" s="30"/>
      <c r="W20" s="149">
        <f t="shared" si="17"/>
        <v>0</v>
      </c>
      <c r="X20" s="19"/>
      <c r="Y20" s="297"/>
      <c r="Z20" s="90"/>
      <c r="AA20" s="90"/>
      <c r="AB20" s="395"/>
      <c r="AC20" s="395"/>
      <c r="AD20" s="92"/>
      <c r="AE20" s="92"/>
      <c r="AF20" s="307"/>
      <c r="AG20" s="72"/>
      <c r="AH20" s="405"/>
    </row>
    <row r="21" spans="1:34" ht="15" customHeight="1">
      <c r="A21" s="415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418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395"/>
      <c r="AC21" s="395"/>
      <c r="AD21" s="92"/>
      <c r="AE21" s="92"/>
      <c r="AF21" s="308"/>
      <c r="AG21" s="85"/>
      <c r="AH21" s="405"/>
    </row>
    <row r="22" spans="1:34" ht="15" customHeight="1">
      <c r="A22" s="415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418"/>
      <c r="T22" s="150"/>
      <c r="U22" s="150"/>
      <c r="V22" s="92"/>
      <c r="W22" s="149">
        <v>0</v>
      </c>
      <c r="X22" s="92"/>
      <c r="Y22" s="298"/>
      <c r="Z22" s="90"/>
      <c r="AA22" s="90"/>
      <c r="AB22" s="395"/>
      <c r="AC22" s="395"/>
      <c r="AD22" s="92"/>
      <c r="AE22" s="92"/>
      <c r="AF22" s="308"/>
      <c r="AG22" s="85"/>
      <c r="AH22" s="405"/>
    </row>
    <row r="23" spans="1:34" ht="15" customHeight="1">
      <c r="A23" s="415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418"/>
      <c r="T23" s="150"/>
      <c r="U23" s="150"/>
      <c r="W23" s="149">
        <f t="shared" si="17"/>
        <v>0</v>
      </c>
      <c r="X23" s="92"/>
      <c r="Y23" s="298"/>
      <c r="Z23" s="90"/>
      <c r="AA23" s="90"/>
      <c r="AB23" s="395"/>
      <c r="AC23" s="395"/>
      <c r="AD23" s="92"/>
      <c r="AE23" s="92"/>
      <c r="AF23" s="308"/>
      <c r="AG23" s="85"/>
      <c r="AH23" s="405"/>
    </row>
    <row r="24" spans="1:34" ht="15" customHeight="1">
      <c r="A24" s="415"/>
      <c r="B24" s="101"/>
      <c r="C24" s="102"/>
      <c r="D24" s="103"/>
      <c r="E24" s="104"/>
      <c r="F24" s="105"/>
      <c r="G24" s="95"/>
      <c r="H24" s="78">
        <f t="shared" ref="H24:H25" si="19"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418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395"/>
      <c r="AC24" s="395"/>
      <c r="AD24" s="92"/>
      <c r="AE24" s="92"/>
      <c r="AF24" s="308"/>
      <c r="AG24" s="85"/>
      <c r="AH24" s="405"/>
    </row>
    <row r="25" spans="1:34" ht="15" customHeight="1">
      <c r="A25" s="415"/>
      <c r="B25" s="101"/>
      <c r="C25" s="102"/>
      <c r="D25" s="103"/>
      <c r="E25" s="104"/>
      <c r="F25" s="105"/>
      <c r="G25" s="95"/>
      <c r="H25" s="91">
        <f t="shared" si="19"/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418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395"/>
      <c r="AC25" s="395"/>
      <c r="AD25" s="92"/>
      <c r="AE25" s="92"/>
      <c r="AF25" s="308"/>
      <c r="AG25" s="85"/>
      <c r="AH25" s="405"/>
    </row>
    <row r="26" spans="1:34" ht="15" customHeight="1" thickBot="1">
      <c r="A26" s="416"/>
      <c r="B26" s="152"/>
      <c r="C26" s="153" t="s">
        <v>44</v>
      </c>
      <c r="D26" s="411" t="s">
        <v>42</v>
      </c>
      <c r="E26" s="411"/>
      <c r="F26" s="154"/>
      <c r="G26" s="155"/>
      <c r="H26" s="156"/>
      <c r="I26" s="157"/>
      <c r="J26" s="155">
        <f t="shared" ref="J26:O26" si="20">AVERAGE(J16:J25)</f>
        <v>11.5</v>
      </c>
      <c r="K26" s="155">
        <f t="shared" si="20"/>
        <v>2026.25</v>
      </c>
      <c r="L26" s="158">
        <f t="shared" si="20"/>
        <v>176.42992424242425</v>
      </c>
      <c r="M26" s="155">
        <f t="shared" si="20"/>
        <v>11.5</v>
      </c>
      <c r="N26" s="155">
        <f t="shared" si="20"/>
        <v>1980.6040855311253</v>
      </c>
      <c r="O26" s="158">
        <f t="shared" si="20"/>
        <v>172.44563462145786</v>
      </c>
      <c r="P26" s="159">
        <f t="shared" ref="P26:P30" si="21">M26-J26</f>
        <v>0</v>
      </c>
      <c r="Q26" s="160">
        <f t="shared" ref="Q26:Q30" si="22">O26-L26</f>
        <v>-3.9842896209663934</v>
      </c>
      <c r="R26" s="161">
        <f>O26/L26</f>
        <v>0.97741715506553317</v>
      </c>
      <c r="S26" s="419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412"/>
      <c r="AC26" s="412"/>
      <c r="AD26" s="323">
        <f>SUM(AD16:AD25)</f>
        <v>0</v>
      </c>
      <c r="AE26" s="323">
        <f>SUM(AE16:AE25)</f>
        <v>0</v>
      </c>
      <c r="AF26" s="309">
        <f t="shared" ref="AF26:AF31" si="23">N26-K26</f>
        <v>-45.645914468874707</v>
      </c>
      <c r="AG26" s="124">
        <f t="shared" ref="AG26:AG31" si="24">N26/K26</f>
        <v>0.97747271340215935</v>
      </c>
      <c r="AH26" s="406"/>
    </row>
    <row r="27" spans="1:34" ht="15" customHeight="1">
      <c r="A27" s="429" t="s">
        <v>45</v>
      </c>
      <c r="B27" s="167" t="s">
        <v>81</v>
      </c>
      <c r="C27" s="130"/>
      <c r="D27" s="168" t="s">
        <v>121</v>
      </c>
      <c r="E27" s="132"/>
      <c r="F27" s="129">
        <f>VLOOKUP(D27,廠價表!$C$1:$E$41,3,0)</f>
        <v>57.3</v>
      </c>
      <c r="G27" s="169">
        <v>1104</v>
      </c>
      <c r="H27" s="134">
        <f>F27*G27</f>
        <v>63259.199999999997</v>
      </c>
      <c r="I27" s="135"/>
      <c r="J27" s="136">
        <v>13</v>
      </c>
      <c r="K27" s="137">
        <f>VLOOKUP(D27,產線配置圖!$A$3:$C$39,3,0)</f>
        <v>1500</v>
      </c>
      <c r="L27" s="138">
        <f t="shared" ref="L27:L30" si="25">K27/J27</f>
        <v>115.38461538461539</v>
      </c>
      <c r="M27" s="170">
        <v>13</v>
      </c>
      <c r="N27" s="140">
        <f>G27/W27*60</f>
        <v>1472</v>
      </c>
      <c r="O27" s="141">
        <f>N27/M27</f>
        <v>113.23076923076923</v>
      </c>
      <c r="P27" s="142">
        <f t="shared" si="21"/>
        <v>0</v>
      </c>
      <c r="Q27" s="143">
        <f t="shared" si="22"/>
        <v>-2.1538461538461604</v>
      </c>
      <c r="R27" s="144">
        <f>O27/L27</f>
        <v>0.98133333333333328</v>
      </c>
      <c r="S27" s="417">
        <f>R37</f>
        <v>0.91409966733691173</v>
      </c>
      <c r="T27" s="171">
        <v>0.28819444444444442</v>
      </c>
      <c r="U27" s="171">
        <v>0.31944444444444442</v>
      </c>
      <c r="V27" s="135"/>
      <c r="W27" s="146">
        <f t="shared" si="17"/>
        <v>45</v>
      </c>
      <c r="X27" s="135"/>
      <c r="Y27" s="300" t="s">
        <v>46</v>
      </c>
      <c r="Z27" s="169"/>
      <c r="AA27" s="169"/>
      <c r="AB27" s="402"/>
      <c r="AC27" s="402"/>
      <c r="AD27" s="135"/>
      <c r="AE27" s="135"/>
      <c r="AF27" s="310">
        <f t="shared" si="23"/>
        <v>-28</v>
      </c>
      <c r="AG27" s="172">
        <f t="shared" si="24"/>
        <v>0.98133333333333328</v>
      </c>
      <c r="AH27" s="403">
        <f>AG37</f>
        <v>0.83786795051622798</v>
      </c>
    </row>
    <row r="28" spans="1:34" ht="15" customHeight="1">
      <c r="A28" s="430"/>
      <c r="B28" s="75" t="s">
        <v>123</v>
      </c>
      <c r="C28" s="173"/>
      <c r="D28" s="59" t="s">
        <v>127</v>
      </c>
      <c r="E28" s="104"/>
      <c r="F28" s="75">
        <f>VLOOKUP(D28,廠價表!$C$1:$E$41,3,0)</f>
        <v>49.91</v>
      </c>
      <c r="G28" s="90">
        <v>2290</v>
      </c>
      <c r="H28" s="91">
        <f>F28*G28</f>
        <v>114293.9</v>
      </c>
      <c r="I28" s="92"/>
      <c r="J28" s="79">
        <v>14</v>
      </c>
      <c r="K28" s="80">
        <f>VLOOKUP(D28,產線配置圖!$A$3:$C$39,3,0)</f>
        <v>1565</v>
      </c>
      <c r="L28" s="93">
        <f t="shared" si="25"/>
        <v>111.78571428571429</v>
      </c>
      <c r="M28" s="94">
        <v>13</v>
      </c>
      <c r="N28" s="95">
        <f>G28/W28*60</f>
        <v>1296.2264150943413</v>
      </c>
      <c r="O28" s="96">
        <f>N28/M28</f>
        <v>99.709724238026254</v>
      </c>
      <c r="P28" s="97">
        <f t="shared" si="21"/>
        <v>-1</v>
      </c>
      <c r="Q28" s="98">
        <f t="shared" si="22"/>
        <v>-12.075990047688038</v>
      </c>
      <c r="R28" s="99">
        <f t="shared" ref="R28:R30" si="26">O28/L28</f>
        <v>0.89197197401429229</v>
      </c>
      <c r="S28" s="418"/>
      <c r="T28" s="19">
        <v>0.32500000000000001</v>
      </c>
      <c r="U28" s="19">
        <v>0.39861111111111103</v>
      </c>
      <c r="V28" s="92">
        <f>(T28-U27)*24*60</f>
        <v>8.0000000000000515</v>
      </c>
      <c r="W28" s="149">
        <f t="shared" si="17"/>
        <v>105.99999999999986</v>
      </c>
      <c r="X28" s="174"/>
      <c r="Y28" s="301"/>
      <c r="Z28" s="335"/>
      <c r="AA28" s="335"/>
      <c r="AB28" s="395"/>
      <c r="AC28" s="395"/>
      <c r="AD28" s="92"/>
      <c r="AE28" s="92"/>
      <c r="AF28" s="311">
        <f t="shared" si="23"/>
        <v>-268.77358490565871</v>
      </c>
      <c r="AG28" s="99">
        <f t="shared" si="24"/>
        <v>0.82825969015612866</v>
      </c>
      <c r="AH28" s="432"/>
    </row>
    <row r="29" spans="1:34" ht="15" customHeight="1">
      <c r="A29" s="430"/>
      <c r="B29" s="75" t="s">
        <v>123</v>
      </c>
      <c r="C29" s="173"/>
      <c r="D29" s="59" t="s">
        <v>124</v>
      </c>
      <c r="E29" s="104"/>
      <c r="F29" s="75">
        <f>VLOOKUP(D29,廠價表!$C$1:$E$41,3,0)</f>
        <v>49.52</v>
      </c>
      <c r="G29" s="90">
        <v>1732</v>
      </c>
      <c r="H29" s="91">
        <f>F29*G29</f>
        <v>85768.639999999999</v>
      </c>
      <c r="I29" s="92"/>
      <c r="J29" s="79">
        <f>VLOOKUP(D29,產線配置圖!$A$3:$C$39,2,0)</f>
        <v>15</v>
      </c>
      <c r="K29" s="80">
        <f>VLOOKUP(D29,產線配置圖!$A$3:$C$39,3,0)</f>
        <v>1440</v>
      </c>
      <c r="L29" s="93">
        <f t="shared" si="25"/>
        <v>96</v>
      </c>
      <c r="M29" s="94">
        <v>13</v>
      </c>
      <c r="N29" s="95">
        <f>G29/W29*60</f>
        <v>1129.5652173913024</v>
      </c>
      <c r="O29" s="96">
        <f>N29/M29</f>
        <v>86.88963210702326</v>
      </c>
      <c r="P29" s="97">
        <f t="shared" si="21"/>
        <v>-2</v>
      </c>
      <c r="Q29" s="98">
        <f t="shared" si="22"/>
        <v>-9.1103678929767398</v>
      </c>
      <c r="R29" s="99">
        <f t="shared" si="26"/>
        <v>0.90510033444815896</v>
      </c>
      <c r="S29" s="418"/>
      <c r="T29" s="19">
        <v>0.40416666666666701</v>
      </c>
      <c r="U29" s="19">
        <v>0.468055555555556</v>
      </c>
      <c r="V29" s="92">
        <f>(T29-U28)*24*60</f>
        <v>8.0000000000006111</v>
      </c>
      <c r="W29" s="149">
        <f t="shared" si="17"/>
        <v>92.000000000000156</v>
      </c>
      <c r="X29" s="22"/>
      <c r="Y29" s="84"/>
      <c r="Z29" s="90"/>
      <c r="AA29" s="90"/>
      <c r="AB29" s="395"/>
      <c r="AC29" s="395"/>
      <c r="AD29" s="92"/>
      <c r="AE29" s="92"/>
      <c r="AF29" s="312">
        <f t="shared" si="23"/>
        <v>-310.43478260869756</v>
      </c>
      <c r="AG29" s="99">
        <f t="shared" si="24"/>
        <v>0.78442028985507117</v>
      </c>
      <c r="AH29" s="432"/>
    </row>
    <row r="30" spans="1:34" ht="15" customHeight="1">
      <c r="A30" s="430"/>
      <c r="B30" s="75" t="s">
        <v>123</v>
      </c>
      <c r="C30" s="88"/>
      <c r="D30" s="59" t="s">
        <v>124</v>
      </c>
      <c r="E30" s="89"/>
      <c r="F30" s="75">
        <f>VLOOKUP(D30,廠價表!$C$1:$E$41,3,0)</f>
        <v>49.52</v>
      </c>
      <c r="G30" s="90">
        <v>650</v>
      </c>
      <c r="H30" s="91">
        <f>F30*G30</f>
        <v>32188.000000000004</v>
      </c>
      <c r="I30" s="92"/>
      <c r="J30" s="79">
        <f>VLOOKUP(D30,產線配置圖!$A$3:$C$39,2,0)</f>
        <v>15</v>
      </c>
      <c r="K30" s="80">
        <f>VLOOKUP(D30,產線配置圖!$A$3:$C$39,3,0)</f>
        <v>1440</v>
      </c>
      <c r="L30" s="93">
        <f t="shared" si="25"/>
        <v>96</v>
      </c>
      <c r="M30" s="94">
        <v>13</v>
      </c>
      <c r="N30" s="95">
        <f>G30/W30*60</f>
        <v>1083.3333333333326</v>
      </c>
      <c r="O30" s="96">
        <f>N30/M30</f>
        <v>83.333333333333272</v>
      </c>
      <c r="P30" s="97">
        <f t="shared" si="21"/>
        <v>-2</v>
      </c>
      <c r="Q30" s="98">
        <f t="shared" si="22"/>
        <v>-12.666666666666728</v>
      </c>
      <c r="R30" s="99">
        <f t="shared" si="26"/>
        <v>0.86805555555555491</v>
      </c>
      <c r="S30" s="418"/>
      <c r="T30" s="19">
        <v>0.531944444444444</v>
      </c>
      <c r="U30" s="19">
        <v>0.55694444444444402</v>
      </c>
      <c r="V30" s="92">
        <f>(T30-U29)*24*60</f>
        <v>91.999999999998721</v>
      </c>
      <c r="W30" s="149">
        <f t="shared" si="17"/>
        <v>36.000000000000028</v>
      </c>
      <c r="X30" s="174">
        <v>0.49652777777777801</v>
      </c>
      <c r="Y30" s="301">
        <v>0.53819444444444398</v>
      </c>
      <c r="Z30" s="335"/>
      <c r="AA30" s="335"/>
      <c r="AB30" s="395"/>
      <c r="AC30" s="395"/>
      <c r="AD30" s="92"/>
      <c r="AE30" s="92"/>
      <c r="AF30" s="312">
        <f t="shared" si="23"/>
        <v>-356.66666666666742</v>
      </c>
      <c r="AG30" s="99">
        <f t="shared" si="24"/>
        <v>0.75231481481481433</v>
      </c>
      <c r="AH30" s="433"/>
    </row>
    <row r="31" spans="1:34" ht="15" customHeight="1">
      <c r="A31" s="430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418"/>
      <c r="T31" s="19"/>
      <c r="U31" s="19"/>
      <c r="V31" s="92"/>
      <c r="W31" s="149">
        <f t="shared" si="17"/>
        <v>0</v>
      </c>
      <c r="X31" s="174"/>
      <c r="Y31" s="301"/>
      <c r="Z31" s="335"/>
      <c r="AA31" s="335"/>
      <c r="AB31" s="395"/>
      <c r="AC31" s="395"/>
      <c r="AD31" s="92"/>
      <c r="AE31" s="92"/>
      <c r="AF31" s="312">
        <f t="shared" si="23"/>
        <v>0</v>
      </c>
      <c r="AG31" s="99" t="e">
        <f t="shared" si="24"/>
        <v>#DIV/0!</v>
      </c>
      <c r="AH31" s="405"/>
    </row>
    <row r="32" spans="1:34" ht="15" customHeight="1">
      <c r="A32" s="430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418"/>
      <c r="T32" s="150"/>
      <c r="U32" s="150"/>
      <c r="V32" s="92"/>
      <c r="W32" s="149">
        <f t="shared" si="17"/>
        <v>0</v>
      </c>
      <c r="X32" s="174"/>
      <c r="Y32" s="301"/>
      <c r="Z32" s="335"/>
      <c r="AA32" s="335"/>
      <c r="AB32" s="395"/>
      <c r="AC32" s="395"/>
      <c r="AD32" s="92"/>
      <c r="AE32" s="92"/>
      <c r="AF32" s="307"/>
      <c r="AG32" s="72"/>
      <c r="AH32" s="405"/>
    </row>
    <row r="33" spans="1:34" ht="15" customHeight="1">
      <c r="A33" s="430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418"/>
      <c r="T33" s="150"/>
      <c r="U33" s="150"/>
      <c r="V33" s="92"/>
      <c r="W33" s="149">
        <f t="shared" si="17"/>
        <v>0</v>
      </c>
      <c r="X33" s="174"/>
      <c r="Y33" s="301"/>
      <c r="Z33" s="335"/>
      <c r="AA33" s="335"/>
      <c r="AB33" s="395"/>
      <c r="AC33" s="395"/>
      <c r="AD33" s="92"/>
      <c r="AE33" s="92"/>
      <c r="AF33" s="307"/>
      <c r="AG33" s="112"/>
      <c r="AH33" s="405"/>
    </row>
    <row r="34" spans="1:34" ht="15" customHeight="1">
      <c r="A34" s="430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418"/>
      <c r="T34" s="150"/>
      <c r="U34" s="150"/>
      <c r="V34" s="92"/>
      <c r="W34" s="149">
        <f t="shared" si="17"/>
        <v>0</v>
      </c>
      <c r="X34" s="174"/>
      <c r="Y34" s="301"/>
      <c r="Z34" s="335"/>
      <c r="AA34" s="335"/>
      <c r="AB34" s="395"/>
      <c r="AC34" s="395"/>
      <c r="AD34" s="92"/>
      <c r="AE34" s="92"/>
      <c r="AF34" s="307"/>
      <c r="AG34" s="112"/>
      <c r="AH34" s="405"/>
    </row>
    <row r="35" spans="1:34" ht="15" customHeight="1">
      <c r="A35" s="430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418"/>
      <c r="T35" s="150"/>
      <c r="U35" s="150"/>
      <c r="V35" s="92"/>
      <c r="W35" s="149">
        <f t="shared" si="17"/>
        <v>0</v>
      </c>
      <c r="X35" s="174"/>
      <c r="Y35" s="301"/>
      <c r="Z35" s="335"/>
      <c r="AA35" s="335"/>
      <c r="AB35" s="395"/>
      <c r="AC35" s="395"/>
      <c r="AD35" s="92"/>
      <c r="AE35" s="92"/>
      <c r="AF35" s="307"/>
      <c r="AG35" s="112"/>
      <c r="AH35" s="405"/>
    </row>
    <row r="36" spans="1:34" ht="15" customHeight="1">
      <c r="A36" s="430"/>
      <c r="B36" s="179"/>
      <c r="C36" s="102"/>
      <c r="D36" s="103"/>
      <c r="E36" s="104"/>
      <c r="F36" s="105"/>
      <c r="G36" s="90"/>
      <c r="H36" s="91">
        <f t="shared" ref="H36:H47" si="27"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418"/>
      <c r="T36" s="150"/>
      <c r="U36" s="150"/>
      <c r="V36" s="92"/>
      <c r="W36" s="149">
        <f t="shared" si="17"/>
        <v>0</v>
      </c>
      <c r="X36" s="174"/>
      <c r="Y36" s="301"/>
      <c r="Z36" s="335"/>
      <c r="AA36" s="335"/>
      <c r="AB36" s="395"/>
      <c r="AC36" s="395"/>
      <c r="AD36" s="92"/>
      <c r="AE36" s="92"/>
      <c r="AF36" s="307"/>
      <c r="AG36" s="112"/>
      <c r="AH36" s="405"/>
    </row>
    <row r="37" spans="1:34" ht="15" customHeight="1" thickBot="1">
      <c r="A37" s="431"/>
      <c r="B37" s="152"/>
      <c r="C37" s="153" t="s">
        <v>47</v>
      </c>
      <c r="D37" s="440" t="s">
        <v>42</v>
      </c>
      <c r="E37" s="441"/>
      <c r="F37" s="154"/>
      <c r="G37" s="220"/>
      <c r="H37" s="156"/>
      <c r="I37" s="157"/>
      <c r="J37" s="155">
        <f t="shared" ref="J37:O37" si="28">AVERAGE(J27:J36)</f>
        <v>14.25</v>
      </c>
      <c r="K37" s="155">
        <f t="shared" si="28"/>
        <v>1486.25</v>
      </c>
      <c r="L37" s="158">
        <f t="shared" si="28"/>
        <v>104.79258241758242</v>
      </c>
      <c r="M37" s="155">
        <f t="shared" si="28"/>
        <v>13</v>
      </c>
      <c r="N37" s="155">
        <f t="shared" si="28"/>
        <v>1245.2812414547438</v>
      </c>
      <c r="O37" s="158">
        <f t="shared" si="28"/>
        <v>95.790864727287996</v>
      </c>
      <c r="P37" s="159">
        <f>M37-J37</f>
        <v>-1.25</v>
      </c>
      <c r="Q37" s="160">
        <f>N37-K37</f>
        <v>-240.96875854525615</v>
      </c>
      <c r="R37" s="161">
        <f t="shared" ref="R37:R40" si="29">O37/L37</f>
        <v>0.91409966733691173</v>
      </c>
      <c r="S37" s="419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442"/>
      <c r="AC37" s="442"/>
      <c r="AD37" s="324">
        <f>SUM(AD27:AD36)</f>
        <v>0</v>
      </c>
      <c r="AE37" s="324">
        <f>SUM(AE27:AE36)</f>
        <v>0</v>
      </c>
      <c r="AF37" s="309">
        <f t="shared" ref="AF37:AF41" si="30">N37-K37</f>
        <v>-240.96875854525615</v>
      </c>
      <c r="AG37" s="124">
        <f t="shared" ref="AG37:AG41" si="31">N37/K37</f>
        <v>0.83786795051622798</v>
      </c>
      <c r="AH37" s="406"/>
    </row>
    <row r="38" spans="1:34" ht="15" customHeight="1">
      <c r="A38" s="434" t="s">
        <v>48</v>
      </c>
      <c r="B38" s="167" t="s">
        <v>81</v>
      </c>
      <c r="C38" s="129"/>
      <c r="D38" s="184" t="s">
        <v>129</v>
      </c>
      <c r="E38" s="185"/>
      <c r="F38" s="39">
        <f>VLOOKUP(D38,廠價表!$C$1:$E$41,3,0)</f>
        <v>56.87</v>
      </c>
      <c r="G38" s="186">
        <v>1241</v>
      </c>
      <c r="H38" s="134">
        <f>F38*G38</f>
        <v>70575.67</v>
      </c>
      <c r="I38" s="135"/>
      <c r="J38" s="187">
        <v>15</v>
      </c>
      <c r="K38" s="188">
        <f>VLOOKUP(D38,產線配置圖!$A$3:$C$39,3,0)</f>
        <v>1565</v>
      </c>
      <c r="L38" s="189">
        <f t="shared" ref="L38:L40" si="32">K38/J38</f>
        <v>104.33333333333333</v>
      </c>
      <c r="M38" s="190">
        <v>13</v>
      </c>
      <c r="N38" s="140">
        <f>G38/W38*60</f>
        <v>1241.0000000000209</v>
      </c>
      <c r="O38" s="141">
        <f>N38/M38</f>
        <v>95.461538461540073</v>
      </c>
      <c r="P38" s="142">
        <f t="shared" ref="P38:P40" si="33">M38-J38</f>
        <v>-2</v>
      </c>
      <c r="Q38" s="143">
        <f t="shared" ref="Q38:Q40" si="34">O38-L38</f>
        <v>-8.8717948717932558</v>
      </c>
      <c r="R38" s="144">
        <f>O38/L38</f>
        <v>0.91496682231508064</v>
      </c>
      <c r="S38" s="437">
        <f>R48</f>
        <v>0.94393899006081661</v>
      </c>
      <c r="T38" s="191">
        <v>0.33680555555555602</v>
      </c>
      <c r="U38" s="191">
        <v>0.37847222222222199</v>
      </c>
      <c r="V38" s="192"/>
      <c r="W38" s="193">
        <f t="shared" si="17"/>
        <v>59.999999999998991</v>
      </c>
      <c r="X38" s="194"/>
      <c r="Y38" s="302"/>
      <c r="Z38" s="336"/>
      <c r="AA38" s="336"/>
      <c r="AB38" s="439"/>
      <c r="AC38" s="439"/>
      <c r="AD38" s="192"/>
      <c r="AE38" s="192"/>
      <c r="AF38" s="313">
        <f t="shared" si="30"/>
        <v>-323.99999999997908</v>
      </c>
      <c r="AG38" s="195">
        <f t="shared" si="31"/>
        <v>0.79297124600640312</v>
      </c>
      <c r="AH38" s="443">
        <f>AG48</f>
        <v>0.88279847372020315</v>
      </c>
    </row>
    <row r="39" spans="1:34" ht="15" customHeight="1">
      <c r="A39" s="435"/>
      <c r="B39" s="75" t="s">
        <v>123</v>
      </c>
      <c r="C39" s="197"/>
      <c r="D39" s="198" t="s">
        <v>128</v>
      </c>
      <c r="E39" s="176"/>
      <c r="F39" s="75">
        <f>VLOOKUP(D39,廠價表!$C$1:$E$41,3,0)</f>
        <v>44.3</v>
      </c>
      <c r="G39" s="199">
        <v>3208</v>
      </c>
      <c r="H39" s="91">
        <f>F39*G39</f>
        <v>142114.4</v>
      </c>
      <c r="I39" s="200"/>
      <c r="J39" s="148">
        <v>16</v>
      </c>
      <c r="K39" s="95">
        <f>VLOOKUP(D39,產線配置圖!$A$3:$C$39,3,0)</f>
        <v>1440</v>
      </c>
      <c r="L39" s="96">
        <f t="shared" si="32"/>
        <v>90</v>
      </c>
      <c r="M39" s="201">
        <v>15</v>
      </c>
      <c r="N39" s="202">
        <f>G39/W39*60</f>
        <v>1258.0392156862742</v>
      </c>
      <c r="O39" s="203">
        <f t="shared" ref="O39:O40" si="35">N39/M39</f>
        <v>83.86928104575162</v>
      </c>
      <c r="P39" s="97">
        <f t="shared" si="33"/>
        <v>-1</v>
      </c>
      <c r="Q39" s="98">
        <f t="shared" si="34"/>
        <v>-6.1307189542483798</v>
      </c>
      <c r="R39" s="99">
        <f t="shared" si="29"/>
        <v>0.93188090050835137</v>
      </c>
      <c r="S39" s="438"/>
      <c r="T39" s="20">
        <v>0.39236111111111099</v>
      </c>
      <c r="U39" s="20">
        <v>0.49861111111111101</v>
      </c>
      <c r="V39" s="92">
        <f>(T39-U38)*24*60</f>
        <v>20.000000000000171</v>
      </c>
      <c r="W39" s="205">
        <f t="shared" si="17"/>
        <v>153.00000000000003</v>
      </c>
      <c r="X39" s="22"/>
      <c r="Y39" s="84"/>
      <c r="Z39" s="90"/>
      <c r="AA39" s="90"/>
      <c r="AB39" s="446"/>
      <c r="AC39" s="446"/>
      <c r="AD39" s="200"/>
      <c r="AE39" s="200"/>
      <c r="AF39" s="314">
        <f t="shared" si="30"/>
        <v>-181.96078431372575</v>
      </c>
      <c r="AG39" s="206">
        <f t="shared" si="31"/>
        <v>0.87363834422657938</v>
      </c>
      <c r="AH39" s="444"/>
    </row>
    <row r="40" spans="1:34" ht="15" customHeight="1">
      <c r="A40" s="435"/>
      <c r="B40" s="75" t="s">
        <v>123</v>
      </c>
      <c r="C40" s="207"/>
      <c r="D40" s="198" t="s">
        <v>128</v>
      </c>
      <c r="E40" s="178"/>
      <c r="F40" s="75">
        <f>VLOOKUP(D40,廠價表!$C$1:$E$41,3,0)</f>
        <v>44.3</v>
      </c>
      <c r="G40" s="199">
        <v>1710</v>
      </c>
      <c r="H40" s="91">
        <f>F40*G40</f>
        <v>75753</v>
      </c>
      <c r="I40" s="200"/>
      <c r="J40" s="148">
        <v>16</v>
      </c>
      <c r="K40" s="95">
        <f>VLOOKUP(D40,產線配置圖!$A$3:$C$39,3,0)</f>
        <v>1440</v>
      </c>
      <c r="L40" s="96">
        <f t="shared" si="32"/>
        <v>90</v>
      </c>
      <c r="M40" s="201">
        <v>16</v>
      </c>
      <c r="N40" s="202">
        <f>G40/W40*60</f>
        <v>1425.0000000000082</v>
      </c>
      <c r="O40" s="203">
        <f t="shared" si="35"/>
        <v>89.062500000000512</v>
      </c>
      <c r="P40" s="97">
        <f t="shared" si="33"/>
        <v>0</v>
      </c>
      <c r="Q40" s="98">
        <f t="shared" si="34"/>
        <v>-0.93749999999948841</v>
      </c>
      <c r="R40" s="99">
        <f t="shared" si="29"/>
        <v>0.98958333333333903</v>
      </c>
      <c r="S40" s="425"/>
      <c r="T40" s="20">
        <v>0.55902777777777801</v>
      </c>
      <c r="U40" s="20">
        <v>0.60902777777777772</v>
      </c>
      <c r="V40" s="92">
        <f>(T40-U39)*24*60</f>
        <v>87.000000000000483</v>
      </c>
      <c r="W40" s="205">
        <f t="shared" si="17"/>
        <v>71.999999999999588</v>
      </c>
      <c r="X40" s="208"/>
      <c r="Y40" s="209"/>
      <c r="Z40" s="337"/>
      <c r="AA40" s="337"/>
      <c r="AB40" s="395"/>
      <c r="AC40" s="395"/>
      <c r="AD40" s="92"/>
      <c r="AE40" s="92"/>
      <c r="AF40" s="314">
        <f t="shared" si="30"/>
        <v>-14.999999999991815</v>
      </c>
      <c r="AG40" s="206">
        <f t="shared" si="31"/>
        <v>0.98958333333333903</v>
      </c>
      <c r="AH40" s="444"/>
    </row>
    <row r="41" spans="1:34" ht="15" customHeight="1">
      <c r="A41" s="43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425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395"/>
      <c r="AC41" s="395"/>
      <c r="AD41" s="92"/>
      <c r="AE41" s="92"/>
      <c r="AF41" s="314">
        <f t="shared" si="30"/>
        <v>0</v>
      </c>
      <c r="AG41" s="206" t="e">
        <f t="shared" si="31"/>
        <v>#DIV/0!</v>
      </c>
      <c r="AH41" s="444"/>
    </row>
    <row r="42" spans="1:34" ht="15" customHeight="1">
      <c r="A42" s="43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425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395"/>
      <c r="AC42" s="395"/>
      <c r="AD42" s="92"/>
      <c r="AE42" s="92"/>
      <c r="AF42" s="314"/>
      <c r="AG42" s="206"/>
      <c r="AH42" s="444"/>
    </row>
    <row r="43" spans="1:34" ht="15" customHeight="1">
      <c r="A43" s="43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425"/>
      <c r="T43" s="210"/>
      <c r="U43" s="210"/>
      <c r="V43" s="92"/>
      <c r="W43" s="205">
        <f>(U43-T43)*24*60</f>
        <v>0</v>
      </c>
      <c r="X43" s="208"/>
      <c r="Y43" s="212"/>
      <c r="Z43" s="338"/>
      <c r="AA43" s="338"/>
      <c r="AB43" s="395"/>
      <c r="AC43" s="395"/>
      <c r="AD43" s="92"/>
      <c r="AE43" s="92"/>
      <c r="AF43" s="213"/>
      <c r="AG43" s="206"/>
      <c r="AH43" s="444"/>
    </row>
    <row r="44" spans="1:34" ht="15" customHeight="1">
      <c r="A44" s="43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425"/>
      <c r="T44" s="210"/>
      <c r="U44" s="210"/>
      <c r="V44" s="92"/>
      <c r="W44" s="205">
        <f t="shared" ref="W44:W48" si="36">(U44-T44)*24*60</f>
        <v>0</v>
      </c>
      <c r="X44" s="208"/>
      <c r="Y44" s="212"/>
      <c r="Z44" s="338"/>
      <c r="AA44" s="338"/>
      <c r="AB44" s="395"/>
      <c r="AC44" s="395"/>
      <c r="AD44" s="92"/>
      <c r="AE44" s="92"/>
      <c r="AF44" s="213"/>
      <c r="AG44" s="206"/>
      <c r="AH44" s="444"/>
    </row>
    <row r="45" spans="1:34" ht="15" customHeight="1">
      <c r="A45" s="43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425"/>
      <c r="T45" s="210"/>
      <c r="U45" s="210"/>
      <c r="V45" s="200"/>
      <c r="W45" s="205">
        <f t="shared" si="36"/>
        <v>0</v>
      </c>
      <c r="X45" s="208"/>
      <c r="Y45" s="212"/>
      <c r="Z45" s="338"/>
      <c r="AA45" s="338"/>
      <c r="AB45" s="395"/>
      <c r="AC45" s="395"/>
      <c r="AD45" s="92"/>
      <c r="AE45" s="92"/>
      <c r="AF45" s="213"/>
      <c r="AG45" s="206"/>
      <c r="AH45" s="444"/>
    </row>
    <row r="46" spans="1:34" ht="15" customHeight="1">
      <c r="A46" s="43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425"/>
      <c r="T46" s="216"/>
      <c r="U46" s="216"/>
      <c r="V46" s="200"/>
      <c r="W46" s="205">
        <f t="shared" si="36"/>
        <v>0</v>
      </c>
      <c r="X46" s="208"/>
      <c r="Y46" s="212"/>
      <c r="Z46" s="338"/>
      <c r="AA46" s="338"/>
      <c r="AB46" s="395"/>
      <c r="AC46" s="395"/>
      <c r="AD46" s="92"/>
      <c r="AE46" s="92"/>
      <c r="AF46" s="213"/>
      <c r="AG46" s="206"/>
      <c r="AH46" s="444"/>
    </row>
    <row r="47" spans="1:34" ht="15" customHeight="1">
      <c r="A47" s="435"/>
      <c r="B47" s="217"/>
      <c r="C47" s="102"/>
      <c r="D47" s="103"/>
      <c r="E47" s="104"/>
      <c r="F47" s="105"/>
      <c r="G47" s="202"/>
      <c r="H47" s="215">
        <f t="shared" si="27"/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425"/>
      <c r="T47" s="218"/>
      <c r="U47" s="218"/>
      <c r="V47" s="200"/>
      <c r="W47" s="205">
        <f t="shared" si="36"/>
        <v>0</v>
      </c>
      <c r="X47" s="208"/>
      <c r="Y47" s="212"/>
      <c r="Z47" s="338"/>
      <c r="AA47" s="338"/>
      <c r="AB47" s="395"/>
      <c r="AC47" s="395"/>
      <c r="AD47" s="92"/>
      <c r="AE47" s="92"/>
      <c r="AF47" s="213"/>
      <c r="AG47" s="206"/>
      <c r="AH47" s="444"/>
    </row>
    <row r="48" spans="1:34" ht="15" customHeight="1" thickBot="1">
      <c r="A48" s="436"/>
      <c r="B48" s="219"/>
      <c r="C48" s="153" t="s">
        <v>49</v>
      </c>
      <c r="D48" s="411" t="s">
        <v>42</v>
      </c>
      <c r="E48" s="411"/>
      <c r="F48" s="154"/>
      <c r="G48" s="220"/>
      <c r="H48" s="156"/>
      <c r="I48" s="157"/>
      <c r="J48" s="155">
        <f t="shared" ref="J48:O48" si="37">AVERAGE(J38:J47)</f>
        <v>15.666666666666666</v>
      </c>
      <c r="K48" s="155">
        <f t="shared" si="37"/>
        <v>1481.6666666666667</v>
      </c>
      <c r="L48" s="158">
        <f t="shared" si="37"/>
        <v>94.777777777777771</v>
      </c>
      <c r="M48" s="155">
        <f t="shared" si="37"/>
        <v>14.666666666666666</v>
      </c>
      <c r="N48" s="155">
        <f t="shared" si="37"/>
        <v>1308.0130718954345</v>
      </c>
      <c r="O48" s="158">
        <f t="shared" si="37"/>
        <v>89.464439835764054</v>
      </c>
      <c r="P48" s="221">
        <f>M48-J48</f>
        <v>-1</v>
      </c>
      <c r="Q48" s="222">
        <f>N48-K48</f>
        <v>-173.65359477123229</v>
      </c>
      <c r="R48" s="223">
        <f>O48/L48</f>
        <v>0.94393899006081661</v>
      </c>
      <c r="S48" s="428"/>
      <c r="T48" s="224"/>
      <c r="U48" s="224"/>
      <c r="V48" s="225"/>
      <c r="W48" s="226">
        <f t="shared" si="36"/>
        <v>0</v>
      </c>
      <c r="X48" s="227"/>
      <c r="Y48" s="303"/>
      <c r="Z48" s="334">
        <f>SUM(Z38:Z47)</f>
        <v>0</v>
      </c>
      <c r="AA48" s="334">
        <f>SUM(AA38:AA47)</f>
        <v>0</v>
      </c>
      <c r="AB48" s="412"/>
      <c r="AC48" s="412"/>
      <c r="AD48" s="323">
        <f>SUM(AD38:AD47)</f>
        <v>0</v>
      </c>
      <c r="AE48" s="323">
        <f>SUM(AE38:AE47)</f>
        <v>0</v>
      </c>
      <c r="AF48" s="315">
        <f t="shared" ref="AF48:AF53" si="38">N48-K48</f>
        <v>-173.65359477123229</v>
      </c>
      <c r="AG48" s="162">
        <f t="shared" ref="AG48:AG53" si="39">N48/K48</f>
        <v>0.88279847372020315</v>
      </c>
      <c r="AH48" s="445"/>
    </row>
    <row r="49" spans="1:34" ht="15" customHeight="1">
      <c r="A49" s="452" t="s">
        <v>50</v>
      </c>
      <c r="B49" s="129" t="s">
        <v>81</v>
      </c>
      <c r="C49" s="130"/>
      <c r="D49" s="131" t="s">
        <v>130</v>
      </c>
      <c r="E49" s="132"/>
      <c r="F49" s="129">
        <f>VLOOKUP(D49,廠價表!$C$1:$E$41,3,0)</f>
        <v>47.71</v>
      </c>
      <c r="G49" s="228">
        <v>2214</v>
      </c>
      <c r="H49" s="134">
        <f>F49*G49</f>
        <v>105629.94</v>
      </c>
      <c r="I49" s="135"/>
      <c r="J49" s="136">
        <v>15</v>
      </c>
      <c r="K49" s="137">
        <v>1636</v>
      </c>
      <c r="L49" s="138">
        <f t="shared" ref="L49:L51" si="40">K49/J49</f>
        <v>109.06666666666666</v>
      </c>
      <c r="M49" s="170">
        <v>14</v>
      </c>
      <c r="N49" s="140">
        <f>G49/W49*60</f>
        <v>1526.8965517241461</v>
      </c>
      <c r="O49" s="141">
        <f>N49/M49</f>
        <v>109.06403940886757</v>
      </c>
      <c r="P49" s="229">
        <f>M49-J49</f>
        <v>-1</v>
      </c>
      <c r="Q49" s="230">
        <f>O49-L49</f>
        <v>-2.6272577990908985E-3</v>
      </c>
      <c r="R49" s="52">
        <f>O49/L49</f>
        <v>0.99997591145049736</v>
      </c>
      <c r="S49" s="424">
        <f>R58</f>
        <v>0.97627579343117743</v>
      </c>
      <c r="T49" s="191">
        <v>0.29166666666666702</v>
      </c>
      <c r="U49" s="191">
        <v>0.35208333333333336</v>
      </c>
      <c r="V49" s="55"/>
      <c r="W49" s="193">
        <f t="shared" si="17"/>
        <v>86.999999999999531</v>
      </c>
      <c r="X49" s="55"/>
      <c r="Y49" s="290"/>
      <c r="Z49" s="169"/>
      <c r="AA49" s="169"/>
      <c r="AB49" s="402"/>
      <c r="AC49" s="402"/>
      <c r="AD49" s="135"/>
      <c r="AE49" s="135"/>
      <c r="AF49" s="229">
        <f t="shared" si="38"/>
        <v>-109.10344827585391</v>
      </c>
      <c r="AG49" s="52">
        <f t="shared" si="39"/>
        <v>0.93331085068713082</v>
      </c>
      <c r="AH49" s="403">
        <f>AG58</f>
        <v>0.91119074053576532</v>
      </c>
    </row>
    <row r="50" spans="1:34" ht="15" customHeight="1">
      <c r="A50" s="453"/>
      <c r="B50" s="75" t="s">
        <v>81</v>
      </c>
      <c r="C50" s="76"/>
      <c r="D50" s="59" t="s">
        <v>131</v>
      </c>
      <c r="E50" s="77"/>
      <c r="F50" s="75">
        <f>VLOOKUP(D50,廠價表!$C$1:$E$41,3,0)</f>
        <v>49.97</v>
      </c>
      <c r="G50" s="202">
        <v>3994</v>
      </c>
      <c r="H50" s="231">
        <f>F50*G50</f>
        <v>199580.18</v>
      </c>
      <c r="I50" s="232"/>
      <c r="J50" s="79">
        <v>15</v>
      </c>
      <c r="K50" s="80">
        <v>1714</v>
      </c>
      <c r="L50" s="81">
        <f t="shared" si="40"/>
        <v>114.26666666666667</v>
      </c>
      <c r="M50" s="233">
        <v>14</v>
      </c>
      <c r="N50" s="234">
        <f>G50/W50*60</f>
        <v>1536.1538461538366</v>
      </c>
      <c r="O50" s="235">
        <f>N50/M50</f>
        <v>109.72527472527405</v>
      </c>
      <c r="P50" s="74">
        <f>M50-J50</f>
        <v>-1</v>
      </c>
      <c r="Q50" s="83">
        <f>O50-L50</f>
        <v>-4.541391941392618</v>
      </c>
      <c r="R50" s="72">
        <f>O50/L50</f>
        <v>0.96025619654557215</v>
      </c>
      <c r="S50" s="425"/>
      <c r="T50" s="21">
        <v>0.35694444444444401</v>
      </c>
      <c r="U50" s="21">
        <v>0.46527777777777801</v>
      </c>
      <c r="V50" s="30">
        <f t="shared" ref="V50:V52" si="41">(T50-U49)*24*60</f>
        <v>6.9999999999993356</v>
      </c>
      <c r="W50" s="236">
        <f t="shared" si="17"/>
        <v>156.00000000000097</v>
      </c>
      <c r="X50" s="22"/>
      <c r="Y50" s="84"/>
      <c r="Z50" s="90"/>
      <c r="AA50" s="90"/>
      <c r="AB50" s="395"/>
      <c r="AC50" s="395"/>
      <c r="AD50" s="92"/>
      <c r="AE50" s="92"/>
      <c r="AF50" s="307">
        <f t="shared" si="38"/>
        <v>-177.84615384616336</v>
      </c>
      <c r="AG50" s="72">
        <f t="shared" si="39"/>
        <v>0.89623911677586732</v>
      </c>
      <c r="AH50" s="404"/>
    </row>
    <row r="51" spans="1:34" ht="15" customHeight="1">
      <c r="A51" s="453"/>
      <c r="B51" s="75" t="s">
        <v>81</v>
      </c>
      <c r="C51" s="76"/>
      <c r="D51" s="59" t="s">
        <v>131</v>
      </c>
      <c r="E51" s="77"/>
      <c r="F51" s="75">
        <f>VLOOKUP(D51,廠價表!$C$1:$E$41,3,0)</f>
        <v>49.97</v>
      </c>
      <c r="G51" s="202">
        <v>1060</v>
      </c>
      <c r="H51" s="231">
        <f>F51*G51</f>
        <v>52968.2</v>
      </c>
      <c r="I51" s="232"/>
      <c r="J51" s="79">
        <v>15</v>
      </c>
      <c r="K51" s="80">
        <v>1714</v>
      </c>
      <c r="L51" s="81">
        <f t="shared" si="40"/>
        <v>114.26666666666667</v>
      </c>
      <c r="M51" s="233">
        <v>14</v>
      </c>
      <c r="N51" s="234">
        <f>G51/W51*60</f>
        <v>1551.2195121951336</v>
      </c>
      <c r="O51" s="235">
        <f>N51/M51</f>
        <v>110.80139372822383</v>
      </c>
      <c r="P51" s="74">
        <f>M51-J51</f>
        <v>-1</v>
      </c>
      <c r="Q51" s="83">
        <f>O51-L51</f>
        <v>-3.4652729384428369</v>
      </c>
      <c r="R51" s="72">
        <f>O51/L51</f>
        <v>0.96967380742319575</v>
      </c>
      <c r="S51" s="425"/>
      <c r="T51" s="21">
        <v>0.52777777777777801</v>
      </c>
      <c r="U51" s="19">
        <v>0.55625000000000002</v>
      </c>
      <c r="V51" s="30">
        <f t="shared" si="41"/>
        <v>90</v>
      </c>
      <c r="W51" s="236">
        <f t="shared" si="17"/>
        <v>40.999999999999694</v>
      </c>
      <c r="X51" s="22"/>
      <c r="Y51" s="84"/>
      <c r="Z51" s="90"/>
      <c r="AA51" s="90"/>
      <c r="AB51" s="395"/>
      <c r="AC51" s="395"/>
      <c r="AD51" s="92"/>
      <c r="AE51" s="92"/>
      <c r="AF51" s="307">
        <f t="shared" si="38"/>
        <v>-162.78048780486642</v>
      </c>
      <c r="AG51" s="72">
        <f t="shared" si="39"/>
        <v>0.90502888692831596</v>
      </c>
      <c r="AH51" s="404"/>
    </row>
    <row r="52" spans="1:34" ht="15" customHeight="1">
      <c r="A52" s="453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425"/>
      <c r="T52" s="21"/>
      <c r="U52" s="21"/>
      <c r="V52" s="30"/>
      <c r="W52" s="236">
        <f t="shared" si="17"/>
        <v>0</v>
      </c>
      <c r="X52" s="22">
        <v>0.47916666666666702</v>
      </c>
      <c r="Y52" s="84">
        <v>0.52083333333333304</v>
      </c>
      <c r="Z52" s="90"/>
      <c r="AA52" s="90"/>
      <c r="AB52" s="395"/>
      <c r="AC52" s="395"/>
      <c r="AD52" s="92"/>
      <c r="AE52" s="92"/>
      <c r="AF52" s="307">
        <f t="shared" si="38"/>
        <v>0</v>
      </c>
      <c r="AG52" s="72" t="e">
        <f t="shared" si="39"/>
        <v>#DIV/0!</v>
      </c>
      <c r="AH52" s="404"/>
    </row>
    <row r="53" spans="1:34" ht="15" customHeight="1">
      <c r="A53" s="453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425"/>
      <c r="T53" s="21"/>
      <c r="U53" s="21"/>
      <c r="V53" s="30"/>
      <c r="W53" s="236">
        <f t="shared" si="17"/>
        <v>0</v>
      </c>
      <c r="X53" s="30"/>
      <c r="Y53" s="151"/>
      <c r="Z53" s="90"/>
      <c r="AA53" s="90"/>
      <c r="AB53" s="395"/>
      <c r="AC53" s="395"/>
      <c r="AD53" s="92"/>
      <c r="AE53" s="92"/>
      <c r="AF53" s="307">
        <f t="shared" si="38"/>
        <v>0</v>
      </c>
      <c r="AG53" s="72" t="e">
        <f t="shared" si="39"/>
        <v>#DIV/0!</v>
      </c>
      <c r="AH53" s="404"/>
    </row>
    <row r="54" spans="1:34" ht="15" customHeight="1">
      <c r="A54" s="453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425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395"/>
      <c r="AC54" s="395"/>
      <c r="AD54" s="92"/>
      <c r="AE54" s="92"/>
      <c r="AF54" s="307"/>
      <c r="AG54" s="72"/>
      <c r="AH54" s="404"/>
    </row>
    <row r="55" spans="1:34" ht="15" customHeight="1">
      <c r="A55" s="453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425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395"/>
      <c r="AC55" s="395"/>
      <c r="AD55" s="92"/>
      <c r="AE55" s="92"/>
      <c r="AF55" s="307"/>
      <c r="AG55" s="72"/>
      <c r="AH55" s="404"/>
    </row>
    <row r="56" spans="1:34" ht="15" customHeight="1">
      <c r="A56" s="453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425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395"/>
      <c r="AC56" s="395"/>
      <c r="AD56" s="92"/>
      <c r="AE56" s="92"/>
      <c r="AF56" s="307"/>
      <c r="AG56" s="72"/>
      <c r="AH56" s="404"/>
    </row>
    <row r="57" spans="1:34" ht="15" customHeight="1">
      <c r="A57" s="453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425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395"/>
      <c r="AC57" s="395"/>
      <c r="AD57" s="92"/>
      <c r="AE57" s="92"/>
      <c r="AF57" s="307"/>
      <c r="AG57" s="72"/>
      <c r="AH57" s="404"/>
    </row>
    <row r="58" spans="1:34" ht="15" customHeight="1" thickBot="1">
      <c r="A58" s="454"/>
      <c r="B58" s="239"/>
      <c r="C58" s="153" t="s">
        <v>51</v>
      </c>
      <c r="D58" s="411" t="s">
        <v>42</v>
      </c>
      <c r="E58" s="411"/>
      <c r="F58" s="116"/>
      <c r="G58" s="240"/>
      <c r="H58" s="118"/>
      <c r="I58" s="117"/>
      <c r="J58" s="120">
        <f t="shared" ref="J58:O58" si="42">AVERAGE(J49:J57)</f>
        <v>15</v>
      </c>
      <c r="K58" s="120">
        <f t="shared" si="42"/>
        <v>1688</v>
      </c>
      <c r="L58" s="117">
        <f t="shared" si="42"/>
        <v>112.53333333333332</v>
      </c>
      <c r="M58" s="120">
        <f t="shared" si="42"/>
        <v>14</v>
      </c>
      <c r="N58" s="120">
        <f t="shared" si="42"/>
        <v>1538.089970024372</v>
      </c>
      <c r="O58" s="117">
        <f t="shared" si="42"/>
        <v>109.86356928745515</v>
      </c>
      <c r="P58" s="121">
        <f>M58-J58</f>
        <v>-1</v>
      </c>
      <c r="Q58" s="122">
        <f>N58-K58</f>
        <v>-149.91002997562805</v>
      </c>
      <c r="R58" s="123">
        <f t="shared" ref="R58:R60" si="43">O58/L58</f>
        <v>0.97627579343117743</v>
      </c>
      <c r="S58" s="428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412"/>
      <c r="AC58" s="412"/>
      <c r="AD58" s="323">
        <f>SUM(AD49:AD57)</f>
        <v>0</v>
      </c>
      <c r="AE58" s="323">
        <f>SUM(AE49:AE57)</f>
        <v>0</v>
      </c>
      <c r="AF58" s="309">
        <f t="shared" ref="AF58:AF61" si="44">N58-K58</f>
        <v>-149.91002997562805</v>
      </c>
      <c r="AG58" s="124">
        <f t="shared" ref="AG58:AG61" si="45">N58/K58</f>
        <v>0.91119074053576532</v>
      </c>
      <c r="AH58" s="406"/>
    </row>
    <row r="59" spans="1:34" ht="15" customHeight="1">
      <c r="A59" s="447" t="s">
        <v>52</v>
      </c>
      <c r="B59" s="129" t="s">
        <v>132</v>
      </c>
      <c r="C59" s="130"/>
      <c r="D59" s="131" t="s">
        <v>133</v>
      </c>
      <c r="E59" s="132"/>
      <c r="F59" s="129">
        <f>VLOOKUP(D59,廠價表!$C$1:$E$41,3,0)</f>
        <v>26.99</v>
      </c>
      <c r="G59" s="55">
        <v>3292</v>
      </c>
      <c r="H59" s="243">
        <f>F59*G59</f>
        <v>88851.08</v>
      </c>
      <c r="I59" s="55"/>
      <c r="J59" s="136">
        <f>VLOOKUP(D59,產線配置圖!$A$3:$C$39,2,0)</f>
        <v>13</v>
      </c>
      <c r="K59" s="137">
        <f>VLOOKUP(D59,產線配置圖!$A$3:$C$39,3,0)</f>
        <v>1565</v>
      </c>
      <c r="L59" s="138">
        <f t="shared" ref="L59:L61" si="46">K59/J59</f>
        <v>120.38461538461539</v>
      </c>
      <c r="M59" s="244">
        <v>12</v>
      </c>
      <c r="N59" s="137">
        <f t="shared" ref="N59:N61" si="47">G59/W59*60</f>
        <v>1410.8571428571463</v>
      </c>
      <c r="O59" s="138">
        <f t="shared" ref="O59:O61" si="48">N59/M59</f>
        <v>117.57142857142885</v>
      </c>
      <c r="P59" s="56">
        <f t="shared" ref="P59:P61" si="49">M59-J59</f>
        <v>-1</v>
      </c>
      <c r="Q59" s="230">
        <f t="shared" ref="Q59:Q61" si="50">O59-L59</f>
        <v>-2.8131868131865332</v>
      </c>
      <c r="R59" s="52">
        <f t="shared" si="43"/>
        <v>0.97663167503423332</v>
      </c>
      <c r="S59" s="424">
        <f>R69</f>
        <v>0.91283041323902814</v>
      </c>
      <c r="T59" s="245">
        <v>0.29166666666666702</v>
      </c>
      <c r="U59" s="245">
        <v>0.38888888888888901</v>
      </c>
      <c r="V59" s="55"/>
      <c r="W59" s="54">
        <f t="shared" si="17"/>
        <v>139.99999999999966</v>
      </c>
      <c r="X59" s="55"/>
      <c r="Y59" s="290"/>
      <c r="Z59" s="169"/>
      <c r="AA59" s="169"/>
      <c r="AB59" s="402"/>
      <c r="AC59" s="402"/>
      <c r="AD59" s="135"/>
      <c r="AE59" s="135"/>
      <c r="AF59" s="310">
        <f t="shared" si="44"/>
        <v>-154.1428571428537</v>
      </c>
      <c r="AG59" s="246">
        <f t="shared" si="45"/>
        <v>0.90150616157006158</v>
      </c>
      <c r="AH59" s="403">
        <f>AG69</f>
        <v>0.81397383234444409</v>
      </c>
    </row>
    <row r="60" spans="1:34" ht="15" customHeight="1">
      <c r="A60" s="448"/>
      <c r="B60" s="75" t="s">
        <v>132</v>
      </c>
      <c r="C60" s="86"/>
      <c r="D60" s="175" t="s">
        <v>134</v>
      </c>
      <c r="E60" s="87"/>
      <c r="F60" s="75">
        <f>VLOOKUP(D60,廠價表!$C$1:$E$41,3,0)</f>
        <v>28.26</v>
      </c>
      <c r="G60" s="30">
        <v>1651</v>
      </c>
      <c r="H60" s="78">
        <f>F60*G60</f>
        <v>46657.26</v>
      </c>
      <c r="I60" s="30"/>
      <c r="J60" s="79">
        <f>VLOOKUP(D60,產線配置圖!$A$3:$C$39,2,0)</f>
        <v>12</v>
      </c>
      <c r="K60" s="80">
        <f>VLOOKUP(D60,產線配置圖!$A$3:$C$39,3,0)</f>
        <v>1565</v>
      </c>
      <c r="L60" s="81">
        <f t="shared" si="46"/>
        <v>130.41666666666666</v>
      </c>
      <c r="M60" s="82">
        <v>10</v>
      </c>
      <c r="N60" s="80">
        <f t="shared" si="47"/>
        <v>1238.2500000000107</v>
      </c>
      <c r="O60" s="81">
        <f t="shared" si="48"/>
        <v>123.82500000000107</v>
      </c>
      <c r="P60" s="74">
        <f t="shared" si="49"/>
        <v>-2</v>
      </c>
      <c r="Q60" s="83">
        <f t="shared" si="50"/>
        <v>-6.5916666666655885</v>
      </c>
      <c r="R60" s="72">
        <f t="shared" si="43"/>
        <v>0.94945686900959292</v>
      </c>
      <c r="S60" s="451"/>
      <c r="T60" s="22">
        <v>0.39930555555555602</v>
      </c>
      <c r="U60" s="22">
        <v>0.4548611111111111</v>
      </c>
      <c r="V60" s="30">
        <f t="shared" ref="V60:V61" si="51">(T60-U59)*24*60</f>
        <v>15.000000000000506</v>
      </c>
      <c r="W60" s="248">
        <f t="shared" si="17"/>
        <v>79.999999999999318</v>
      </c>
      <c r="X60" s="232"/>
      <c r="Y60" s="177"/>
      <c r="Z60" s="90"/>
      <c r="AA60" s="90"/>
      <c r="AB60" s="395"/>
      <c r="AC60" s="395"/>
      <c r="AD60" s="92"/>
      <c r="AE60" s="92"/>
      <c r="AF60" s="316">
        <f t="shared" si="44"/>
        <v>-326.74999999998931</v>
      </c>
      <c r="AG60" s="249">
        <f t="shared" si="45"/>
        <v>0.79121405750799401</v>
      </c>
      <c r="AH60" s="455"/>
    </row>
    <row r="61" spans="1:34" ht="15" customHeight="1">
      <c r="A61" s="449"/>
      <c r="B61" s="250" t="s">
        <v>132</v>
      </c>
      <c r="C61" s="251"/>
      <c r="D61" s="252" t="s">
        <v>135</v>
      </c>
      <c r="E61" s="253"/>
      <c r="F61" s="250">
        <f>VLOOKUP(D61,廠價表!$C$1:$E$41,3,0)</f>
        <v>28.26</v>
      </c>
      <c r="G61" s="38">
        <v>1407</v>
      </c>
      <c r="H61" s="254">
        <f>F61*G61</f>
        <v>39761.82</v>
      </c>
      <c r="I61" s="182"/>
      <c r="J61" s="106">
        <f>VLOOKUP(D61,產線配置圖!$A$3:$C$39,2,0)</f>
        <v>12</v>
      </c>
      <c r="K61" s="107">
        <f>VLOOKUP(D61,產線配置圖!$A$3:$C$39,3,0)</f>
        <v>1565</v>
      </c>
      <c r="L61" s="238">
        <f t="shared" si="46"/>
        <v>130.41666666666666</v>
      </c>
      <c r="M61" s="108">
        <v>11</v>
      </c>
      <c r="N61" s="107">
        <f t="shared" si="47"/>
        <v>1172.5000000000082</v>
      </c>
      <c r="O61" s="238">
        <f t="shared" si="48"/>
        <v>106.59090909090983</v>
      </c>
      <c r="P61" s="111">
        <f t="shared" si="49"/>
        <v>-1</v>
      </c>
      <c r="Q61" s="255">
        <f t="shared" si="50"/>
        <v>-23.825757575756825</v>
      </c>
      <c r="R61" s="85">
        <f>O61/L61</f>
        <v>0.81731048504212023</v>
      </c>
      <c r="S61" s="425"/>
      <c r="T61" s="22">
        <v>0.46041666666666697</v>
      </c>
      <c r="U61" s="22">
        <v>0.51041666666666663</v>
      </c>
      <c r="V61" s="30">
        <f t="shared" si="51"/>
        <v>8.0000000000004512</v>
      </c>
      <c r="W61" s="256">
        <f t="shared" si="17"/>
        <v>71.999999999999503</v>
      </c>
      <c r="X61" s="22"/>
      <c r="Y61" s="84"/>
      <c r="Z61" s="90"/>
      <c r="AA61" s="90"/>
      <c r="AB61" s="395"/>
      <c r="AC61" s="395"/>
      <c r="AD61" s="92"/>
      <c r="AE61" s="92"/>
      <c r="AF61" s="317">
        <f t="shared" si="44"/>
        <v>-392.49999999999181</v>
      </c>
      <c r="AG61" s="247">
        <f t="shared" si="45"/>
        <v>0.7492012779552768</v>
      </c>
      <c r="AH61" s="404"/>
    </row>
    <row r="62" spans="1:34" ht="15" customHeight="1">
      <c r="A62" s="449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425"/>
      <c r="T62" s="22"/>
      <c r="U62" s="22"/>
      <c r="V62" s="30"/>
      <c r="W62" s="248">
        <f t="shared" si="17"/>
        <v>0</v>
      </c>
      <c r="X62" s="22">
        <v>0.50347222222222199</v>
      </c>
      <c r="Y62" s="84">
        <v>0.54513888888888895</v>
      </c>
      <c r="Z62" s="90"/>
      <c r="AA62" s="90"/>
      <c r="AB62" s="395"/>
      <c r="AC62" s="395"/>
      <c r="AD62" s="92"/>
      <c r="AE62" s="92"/>
      <c r="AF62" s="317">
        <f>N62-K62</f>
        <v>0</v>
      </c>
      <c r="AG62" s="247" t="e">
        <f>N62/K62</f>
        <v>#DIV/0!</v>
      </c>
      <c r="AH62" s="404"/>
    </row>
    <row r="63" spans="1:34" ht="15" customHeight="1">
      <c r="A63" s="449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425"/>
      <c r="T63" s="22"/>
      <c r="U63" s="22"/>
      <c r="V63" s="30"/>
      <c r="W63" s="248">
        <f t="shared" si="17"/>
        <v>0</v>
      </c>
      <c r="X63" s="261"/>
      <c r="Y63" s="291"/>
      <c r="Z63" s="335"/>
      <c r="AA63" s="335"/>
      <c r="AB63" s="395"/>
      <c r="AC63" s="395"/>
      <c r="AD63" s="92"/>
      <c r="AE63" s="92"/>
      <c r="AF63" s="317"/>
      <c r="AG63" s="247"/>
      <c r="AH63" s="404"/>
    </row>
    <row r="64" spans="1:34" ht="15" customHeight="1">
      <c r="A64" s="449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425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395"/>
      <c r="AC64" s="395"/>
      <c r="AD64" s="92"/>
      <c r="AE64" s="92"/>
      <c r="AF64" s="307"/>
      <c r="AG64" s="262"/>
      <c r="AH64" s="404"/>
    </row>
    <row r="65" spans="1:36" ht="15" customHeight="1">
      <c r="A65" s="449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425"/>
      <c r="T65" s="263"/>
      <c r="U65" s="263"/>
      <c r="V65" s="30"/>
      <c r="W65" s="73">
        <f t="shared" si="17"/>
        <v>0</v>
      </c>
      <c r="X65" s="261"/>
      <c r="Y65" s="291"/>
      <c r="Z65" s="335"/>
      <c r="AA65" s="335"/>
      <c r="AB65" s="395"/>
      <c r="AC65" s="395"/>
      <c r="AD65" s="92"/>
      <c r="AE65" s="92"/>
      <c r="AF65" s="307"/>
      <c r="AG65" s="262"/>
      <c r="AH65" s="404"/>
    </row>
    <row r="66" spans="1:36" ht="15" customHeight="1">
      <c r="A66" s="449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425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395"/>
      <c r="AC66" s="395"/>
      <c r="AD66" s="92"/>
      <c r="AE66" s="92"/>
      <c r="AF66" s="307"/>
      <c r="AG66" s="262"/>
      <c r="AH66" s="404"/>
    </row>
    <row r="67" spans="1:36" ht="15" customHeight="1">
      <c r="A67" s="449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425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395"/>
      <c r="AC67" s="395"/>
      <c r="AD67" s="92"/>
      <c r="AE67" s="92"/>
      <c r="AF67" s="307"/>
      <c r="AG67" s="262"/>
      <c r="AH67" s="404"/>
    </row>
    <row r="68" spans="1:36" ht="15" customHeight="1">
      <c r="A68" s="449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425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395" t="s">
        <v>53</v>
      </c>
      <c r="AC68" s="395"/>
      <c r="AD68" s="92"/>
      <c r="AE68" s="92"/>
      <c r="AF68" s="307"/>
      <c r="AG68" s="262"/>
      <c r="AH68" s="404"/>
    </row>
    <row r="69" spans="1:36" ht="15" customHeight="1" thickBot="1">
      <c r="A69" s="450"/>
      <c r="B69" s="239"/>
      <c r="C69" s="153" t="s">
        <v>54</v>
      </c>
      <c r="D69" s="411" t="s">
        <v>42</v>
      </c>
      <c r="E69" s="411"/>
      <c r="F69" s="116"/>
      <c r="G69" s="117"/>
      <c r="H69" s="118"/>
      <c r="I69" s="267"/>
      <c r="J69" s="240">
        <f t="shared" ref="J69:O69" si="52">AVERAGE(J59:J68)</f>
        <v>12.333333333333334</v>
      </c>
      <c r="K69" s="240">
        <f t="shared" si="52"/>
        <v>1565</v>
      </c>
      <c r="L69" s="268">
        <f t="shared" si="52"/>
        <v>127.07264957264958</v>
      </c>
      <c r="M69" s="240">
        <f t="shared" si="52"/>
        <v>11</v>
      </c>
      <c r="N69" s="240">
        <f t="shared" si="52"/>
        <v>1273.869047619055</v>
      </c>
      <c r="O69" s="268">
        <f t="shared" si="52"/>
        <v>115.99577922077992</v>
      </c>
      <c r="P69" s="269">
        <f>M69-J69</f>
        <v>-1.3333333333333339</v>
      </c>
      <c r="Q69" s="222">
        <f>N69-K69</f>
        <v>-291.13095238094502</v>
      </c>
      <c r="R69" s="123">
        <f>O69/L69</f>
        <v>0.91283041323902814</v>
      </c>
      <c r="S69" s="428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412"/>
      <c r="AC69" s="412"/>
      <c r="AD69" s="323">
        <f>SUM(AD59:AD68)</f>
        <v>0</v>
      </c>
      <c r="AE69" s="323">
        <f>SUM(AE59:AE68)</f>
        <v>0</v>
      </c>
      <c r="AF69" s="309">
        <f>N69-K69</f>
        <v>-291.13095238094502</v>
      </c>
      <c r="AG69" s="124">
        <f>N69/K69</f>
        <v>0.81397383234444409</v>
      </c>
      <c r="AH69" s="406"/>
    </row>
    <row r="70" spans="1:36" ht="15" customHeight="1">
      <c r="A70" s="456" t="s">
        <v>55</v>
      </c>
      <c r="B70" s="129" t="s">
        <v>81</v>
      </c>
      <c r="C70" s="129"/>
      <c r="D70" s="131" t="s">
        <v>136</v>
      </c>
      <c r="E70" s="132"/>
      <c r="F70" s="129">
        <f>VLOOKUP(D70,廠價表!$C$1:$E$41,3,0)</f>
        <v>50.67</v>
      </c>
      <c r="G70" s="55">
        <v>1592</v>
      </c>
      <c r="H70" s="243">
        <f>F70*G70</f>
        <v>80666.64</v>
      </c>
      <c r="I70" s="55"/>
      <c r="J70" s="136">
        <f>VLOOKUP(D70,產線配置圖!$A$3:$C$39,2,0)</f>
        <v>10</v>
      </c>
      <c r="K70" s="137">
        <f>VLOOKUP(D70,產線配置圖!$A$3:$C$39,3,0)</f>
        <v>1125</v>
      </c>
      <c r="L70" s="138">
        <f>K70/J70</f>
        <v>112.5</v>
      </c>
      <c r="M70" s="244">
        <v>9</v>
      </c>
      <c r="N70" s="137">
        <f>G70/W70*60</f>
        <v>955.19999999999197</v>
      </c>
      <c r="O70" s="138">
        <f>N70/M70</f>
        <v>106.13333333333244</v>
      </c>
      <c r="P70" s="56">
        <f>M70-J70</f>
        <v>-1</v>
      </c>
      <c r="Q70" s="230">
        <f>O70-L70</f>
        <v>-6.3666666666675553</v>
      </c>
      <c r="R70" s="52">
        <f>O70/L70</f>
        <v>0.94340740740739948</v>
      </c>
      <c r="S70" s="424">
        <f>R79</f>
        <v>0.96367268368866599</v>
      </c>
      <c r="T70" s="245">
        <v>0.33333333333333298</v>
      </c>
      <c r="U70" s="245">
        <v>0.40277777777777801</v>
      </c>
      <c r="V70" s="55"/>
      <c r="W70" s="54">
        <f t="shared" si="17"/>
        <v>100.00000000000084</v>
      </c>
      <c r="X70" s="270"/>
      <c r="Y70" s="292"/>
      <c r="Z70" s="169"/>
      <c r="AA70" s="169"/>
      <c r="AB70" s="402"/>
      <c r="AC70" s="402"/>
      <c r="AD70" s="135"/>
      <c r="AE70" s="135"/>
      <c r="AF70" s="310">
        <f>N70-K70</f>
        <v>-169.80000000000803</v>
      </c>
      <c r="AG70" s="246">
        <f>N70/K70</f>
        <v>0.84906666666665953</v>
      </c>
      <c r="AH70" s="403">
        <f>AG79</f>
        <v>0.79566673297526835</v>
      </c>
    </row>
    <row r="71" spans="1:36" ht="15" customHeight="1">
      <c r="A71" s="457"/>
      <c r="B71" s="75" t="s">
        <v>81</v>
      </c>
      <c r="C71" s="76"/>
      <c r="D71" s="59" t="s">
        <v>125</v>
      </c>
      <c r="E71" s="77"/>
      <c r="F71" s="75">
        <f>VLOOKUP(D71,廠價表!$C$1:$E$41,3,0)</f>
        <v>56.43</v>
      </c>
      <c r="G71" s="30">
        <v>1273</v>
      </c>
      <c r="H71" s="78">
        <f>F71*G71</f>
        <v>71835.39</v>
      </c>
      <c r="I71" s="232"/>
      <c r="J71" s="79">
        <f>VLOOKUP(D71,產線配置圖!$A$3:$C$39,2,0)</f>
        <v>16</v>
      </c>
      <c r="K71" s="80">
        <f>VLOOKUP(D71,產線配置圖!$A$3:$C$39,3,0)</f>
        <v>1406</v>
      </c>
      <c r="L71" s="81">
        <f t="shared" ref="L71:L72" si="53">K71/J71</f>
        <v>87.875</v>
      </c>
      <c r="M71" s="82">
        <v>10</v>
      </c>
      <c r="N71" s="80">
        <f t="shared" ref="N71:N72" si="54">G71/W71*60</f>
        <v>848.66666666666663</v>
      </c>
      <c r="O71" s="81">
        <f t="shared" ref="O71:O72" si="55">N71/M71</f>
        <v>84.86666666666666</v>
      </c>
      <c r="P71" s="74">
        <f t="shared" ref="P71:P72" si="56">M71-J71</f>
        <v>-6</v>
      </c>
      <c r="Q71" s="83">
        <f t="shared" ref="Q71:Q72" si="57">O71-L71</f>
        <v>-3.00833333333334</v>
      </c>
      <c r="R71" s="72">
        <f t="shared" ref="R71:R72" si="58">O71/L71</f>
        <v>0.96576576576576567</v>
      </c>
      <c r="S71" s="425"/>
      <c r="T71" s="22">
        <v>0.40972222222222199</v>
      </c>
      <c r="U71" s="22">
        <v>0.47222222222222199</v>
      </c>
      <c r="V71" s="30">
        <f t="shared" ref="V71:V72" si="59">(T71-U70)*24*60</f>
        <v>9.999999999999325</v>
      </c>
      <c r="W71" s="73">
        <f t="shared" si="17"/>
        <v>90</v>
      </c>
      <c r="X71" s="271"/>
      <c r="Y71" s="293"/>
      <c r="Z71" s="90"/>
      <c r="AA71" s="90"/>
      <c r="AB71" s="446"/>
      <c r="AC71" s="446"/>
      <c r="AD71" s="200"/>
      <c r="AE71" s="200"/>
      <c r="AF71" s="311">
        <v>-300.31249999999704</v>
      </c>
      <c r="AG71" s="99">
        <v>0.80810702875399554</v>
      </c>
      <c r="AH71" s="432"/>
    </row>
    <row r="72" spans="1:36" ht="15" customHeight="1">
      <c r="A72" s="457"/>
      <c r="B72" s="75" t="s">
        <v>81</v>
      </c>
      <c r="C72" s="76"/>
      <c r="D72" s="59" t="s">
        <v>136</v>
      </c>
      <c r="E72" s="77"/>
      <c r="F72" s="250">
        <f>VLOOKUP(D72,廠價表!$C$1:$E$41,3,0)</f>
        <v>50.67</v>
      </c>
      <c r="G72" s="202">
        <v>1013</v>
      </c>
      <c r="H72" s="361">
        <f>F72*G72</f>
        <v>51328.71</v>
      </c>
      <c r="I72" s="232"/>
      <c r="J72" s="106">
        <f>VLOOKUP(D72,產線配置圖!$A$3:$C$39,2,0)</f>
        <v>10</v>
      </c>
      <c r="K72" s="107">
        <f>VLOOKUP(D72,產線配置圖!$A$3:$C$39,3,0)</f>
        <v>1125</v>
      </c>
      <c r="L72" s="238">
        <f t="shared" si="53"/>
        <v>112.5</v>
      </c>
      <c r="M72" s="82">
        <v>10</v>
      </c>
      <c r="N72" s="107">
        <f t="shared" si="54"/>
        <v>1105.0909090909227</v>
      </c>
      <c r="O72" s="238">
        <f t="shared" si="55"/>
        <v>110.50909090909227</v>
      </c>
      <c r="P72" s="111">
        <f t="shared" si="56"/>
        <v>0</v>
      </c>
      <c r="Q72" s="255">
        <f t="shared" si="57"/>
        <v>-1.9909090909077349</v>
      </c>
      <c r="R72" s="85">
        <f>O72/L72</f>
        <v>0.98230303030304233</v>
      </c>
      <c r="S72" s="425"/>
      <c r="T72" s="22">
        <v>0.53125</v>
      </c>
      <c r="U72" s="22">
        <v>0.56944444444444398</v>
      </c>
      <c r="V72" s="30">
        <f t="shared" si="59"/>
        <v>85.000000000000341</v>
      </c>
      <c r="W72" s="73">
        <f t="shared" si="17"/>
        <v>54.999999999999325</v>
      </c>
      <c r="X72" s="272"/>
      <c r="Y72" s="288"/>
      <c r="Z72" s="90"/>
      <c r="AA72" s="90"/>
      <c r="AB72" s="395"/>
      <c r="AC72" s="395"/>
      <c r="AD72" s="92"/>
      <c r="AE72" s="92"/>
      <c r="AF72" s="311">
        <v>-130.33333333333326</v>
      </c>
      <c r="AG72" s="99">
        <v>0.91671991480298198</v>
      </c>
      <c r="AH72" s="432"/>
    </row>
    <row r="73" spans="1:36" ht="15" customHeight="1">
      <c r="A73" s="457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425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395"/>
      <c r="AC73" s="395"/>
      <c r="AD73" s="92"/>
      <c r="AE73" s="92"/>
      <c r="AF73" s="311"/>
      <c r="AG73" s="99"/>
      <c r="AH73" s="432"/>
    </row>
    <row r="74" spans="1:36" ht="15" customHeight="1">
      <c r="A74" s="457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425"/>
      <c r="T74" s="22"/>
      <c r="U74" s="22"/>
      <c r="V74" s="30"/>
      <c r="W74" s="73">
        <f t="shared" si="17"/>
        <v>0</v>
      </c>
      <c r="X74" s="22"/>
      <c r="Y74" s="84"/>
      <c r="Z74" s="90"/>
      <c r="AA74" s="90"/>
      <c r="AB74" s="395"/>
      <c r="AC74" s="395"/>
      <c r="AD74" s="92"/>
      <c r="AE74" s="92"/>
      <c r="AF74" s="311"/>
      <c r="AG74" s="99"/>
      <c r="AH74" s="432"/>
    </row>
    <row r="75" spans="1:36" ht="15" customHeight="1">
      <c r="A75" s="457"/>
      <c r="B75" s="30"/>
      <c r="C75" s="151"/>
      <c r="D75" s="59"/>
      <c r="E75" s="87"/>
      <c r="F75" s="105"/>
      <c r="G75" s="30"/>
      <c r="H75" s="78">
        <f t="shared" ref="H75:H78" si="60"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425"/>
      <c r="T75" s="263"/>
      <c r="U75" s="263"/>
      <c r="V75" s="30"/>
      <c r="W75" s="256">
        <f t="shared" si="17"/>
        <v>0</v>
      </c>
      <c r="X75" s="279"/>
      <c r="Y75" s="304"/>
      <c r="Z75" s="90"/>
      <c r="AA75" s="90"/>
      <c r="AB75" s="395"/>
      <c r="AC75" s="395"/>
      <c r="AD75" s="92"/>
      <c r="AE75" s="92"/>
      <c r="AF75" s="318"/>
      <c r="AG75" s="280"/>
      <c r="AH75" s="404"/>
    </row>
    <row r="76" spans="1:36" ht="15" customHeight="1">
      <c r="A76" s="457"/>
      <c r="B76" s="101"/>
      <c r="C76" s="102"/>
      <c r="D76" s="103"/>
      <c r="E76" s="104"/>
      <c r="F76" s="105"/>
      <c r="G76" s="30"/>
      <c r="H76" s="78">
        <f t="shared" si="60"/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426"/>
      <c r="T76" s="263"/>
      <c r="U76" s="263"/>
      <c r="V76" s="30"/>
      <c r="W76" s="248">
        <f t="shared" si="17"/>
        <v>0</v>
      </c>
      <c r="X76" s="235"/>
      <c r="Y76" s="305"/>
      <c r="Z76" s="90"/>
      <c r="AA76" s="90"/>
      <c r="AB76" s="395"/>
      <c r="AC76" s="395"/>
      <c r="AD76" s="92"/>
      <c r="AE76" s="92"/>
      <c r="AF76" s="317"/>
      <c r="AG76" s="247"/>
      <c r="AH76" s="405"/>
    </row>
    <row r="77" spans="1:36" ht="15" customHeight="1">
      <c r="A77" s="457"/>
      <c r="B77" s="101"/>
      <c r="C77" s="102"/>
      <c r="D77" s="103"/>
      <c r="E77" s="104"/>
      <c r="F77" s="105"/>
      <c r="G77" s="30"/>
      <c r="H77" s="78">
        <f t="shared" si="60"/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426"/>
      <c r="T77" s="263"/>
      <c r="U77" s="263"/>
      <c r="V77" s="30"/>
      <c r="W77" s="73">
        <f t="shared" si="17"/>
        <v>0</v>
      </c>
      <c r="X77" s="261"/>
      <c r="Y77" s="291"/>
      <c r="Z77" s="335"/>
      <c r="AA77" s="335"/>
      <c r="AB77" s="395"/>
      <c r="AC77" s="395"/>
      <c r="AD77" s="92"/>
      <c r="AE77" s="92"/>
      <c r="AF77" s="307"/>
      <c r="AG77" s="262"/>
      <c r="AH77" s="405"/>
    </row>
    <row r="78" spans="1:36" ht="15" customHeight="1">
      <c r="A78" s="457"/>
      <c r="B78" s="101"/>
      <c r="C78" s="102"/>
      <c r="D78" s="103"/>
      <c r="E78" s="104"/>
      <c r="F78" s="105"/>
      <c r="G78" s="30"/>
      <c r="H78" s="78">
        <f t="shared" si="60"/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459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395"/>
      <c r="AC78" s="395"/>
      <c r="AD78" s="92"/>
      <c r="AE78" s="92"/>
      <c r="AF78" s="308"/>
      <c r="AG78" s="112"/>
      <c r="AH78" s="405"/>
    </row>
    <row r="79" spans="1:36" ht="15" customHeight="1" thickBot="1">
      <c r="A79" s="458"/>
      <c r="B79" s="239"/>
      <c r="C79" s="153" t="s">
        <v>56</v>
      </c>
      <c r="D79" s="411" t="s">
        <v>42</v>
      </c>
      <c r="E79" s="411"/>
      <c r="F79" s="116"/>
      <c r="G79" s="117"/>
      <c r="H79" s="282"/>
      <c r="I79" s="268"/>
      <c r="J79" s="240">
        <f t="shared" ref="J79:O79" si="61">AVERAGE(J70:J78)</f>
        <v>12</v>
      </c>
      <c r="K79" s="240">
        <f t="shared" si="61"/>
        <v>1218.6666666666667</v>
      </c>
      <c r="L79" s="268">
        <f t="shared" si="61"/>
        <v>104.29166666666667</v>
      </c>
      <c r="M79" s="240">
        <f t="shared" si="61"/>
        <v>9.6666666666666661</v>
      </c>
      <c r="N79" s="240">
        <f t="shared" si="61"/>
        <v>969.65252525252708</v>
      </c>
      <c r="O79" s="268">
        <f t="shared" si="61"/>
        <v>100.50303030303046</v>
      </c>
      <c r="P79" s="269">
        <f>M79-J79</f>
        <v>-2.3333333333333339</v>
      </c>
      <c r="Q79" s="222">
        <f>N79-K79</f>
        <v>-249.01414141413966</v>
      </c>
      <c r="R79" s="223">
        <f>O79/L79</f>
        <v>0.96367268368866599</v>
      </c>
      <c r="S79" s="428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412"/>
      <c r="AC79" s="412"/>
      <c r="AD79" s="323">
        <f>SUM(AD70:AD78)</f>
        <v>0</v>
      </c>
      <c r="AE79" s="323">
        <f>SUM(AE70:AE78)</f>
        <v>0</v>
      </c>
      <c r="AF79" s="309">
        <f>N79-K79</f>
        <v>-249.01414141413966</v>
      </c>
      <c r="AG79" s="124">
        <f>N79/K79</f>
        <v>0.79566673297526835</v>
      </c>
      <c r="AH79" s="406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B77:AC77"/>
    <mergeCell ref="AB78:AC78"/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14:AC14"/>
    <mergeCell ref="D15:E15"/>
    <mergeCell ref="AB15:AC15"/>
    <mergeCell ref="A16:A26"/>
    <mergeCell ref="S16:S26"/>
    <mergeCell ref="AB16:AC16"/>
    <mergeCell ref="D26:E26"/>
    <mergeCell ref="AB26:AC26"/>
    <mergeCell ref="AB8:AC8"/>
    <mergeCell ref="AB9:AC9"/>
    <mergeCell ref="AB10:AC10"/>
    <mergeCell ref="AB11:AC11"/>
    <mergeCell ref="AB12:AC12"/>
    <mergeCell ref="AB13:AC13"/>
    <mergeCell ref="AD3:AE3"/>
    <mergeCell ref="AF3:AF4"/>
    <mergeCell ref="AG3:AG4"/>
    <mergeCell ref="AH3:AH4"/>
    <mergeCell ref="A5:A15"/>
    <mergeCell ref="S5:S15"/>
    <mergeCell ref="AB5:AC5"/>
    <mergeCell ref="AH5:AH15"/>
    <mergeCell ref="AB6:AC6"/>
    <mergeCell ref="AB7:AC7"/>
    <mergeCell ref="T3:U3"/>
    <mergeCell ref="V3:V4"/>
    <mergeCell ref="W3:W4"/>
    <mergeCell ref="X3:Y3"/>
    <mergeCell ref="Z3:AA3"/>
    <mergeCell ref="AB3:AC4"/>
    <mergeCell ref="N3:N4"/>
    <mergeCell ref="O3:O4"/>
    <mergeCell ref="P3:P4"/>
    <mergeCell ref="Q3:Q4"/>
    <mergeCell ref="R3:R4"/>
    <mergeCell ref="S3:S4"/>
    <mergeCell ref="H3:H4"/>
    <mergeCell ref="I3:I4"/>
    <mergeCell ref="J3:J4"/>
    <mergeCell ref="K3:K4"/>
    <mergeCell ref="L3:L4"/>
    <mergeCell ref="M3:M4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T1:Y2"/>
    <mergeCell ref="AB1:AC2"/>
    <mergeCell ref="AF1:AH2"/>
  </mergeCells>
  <phoneticPr fontId="32" type="noConversion"/>
  <conditionalFormatting sqref="P5:P79">
    <cfRule type="cellIs" dxfId="8" priority="1" operator="greaterThan">
      <formula>0</formula>
    </cfRule>
  </conditionalFormatting>
  <conditionalFormatting sqref="AF5:AF79 Q5:Q79">
    <cfRule type="cellIs" dxfId="7" priority="4" operator="lessThan">
      <formula>0</formula>
    </cfRule>
  </conditionalFormatting>
  <conditionalFormatting sqref="AG5:AG79 R5:R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H59:AH62 S69:S76 AH69:AH76">
    <cfRule type="cellIs" dxfId="4" priority="7" operator="lessThan">
      <formula>0.8</formula>
    </cfRule>
  </conditionalFormatting>
  <conditionalFormatting sqref="S19:S25 AH19:AH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H5:AH8 S15:S16 AH15:AH16 AH49 AH79">
    <cfRule type="cellIs" dxfId="1" priority="9" operator="lessThan">
      <formula>0.8</formula>
    </cfRule>
  </conditionalFormatting>
  <conditionalFormatting sqref="AH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FC6430-EC9B-41DA-A256-11A9BA8433B7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5EC81B-1E55-43D4-BE75-39083CF1D451}"/>
</file>

<file path=customXml/itemProps2.xml><?xml version="1.0" encoding="utf-8"?>
<ds:datastoreItem xmlns:ds="http://schemas.openxmlformats.org/officeDocument/2006/customXml" ds:itemID="{AEFA680E-D68C-4FF9-9AA8-66826046871B}"/>
</file>

<file path=customXml/itemProps3.xml><?xml version="1.0" encoding="utf-8"?>
<ds:datastoreItem xmlns:ds="http://schemas.openxmlformats.org/officeDocument/2006/customXml" ds:itemID="{D6EE89E0-B49B-4ED8-97C0-C93EC22DF1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60</vt:i4>
      </vt:variant>
      <vt:variant>
        <vt:lpstr>具名範圍</vt:lpstr>
      </vt:variant>
      <vt:variant>
        <vt:i4>85</vt:i4>
      </vt:variant>
    </vt:vector>
  </HeadingPairs>
  <TitlesOfParts>
    <vt:vector size="145" baseType="lpstr">
      <vt:lpstr>廠價表</vt:lpstr>
      <vt:lpstr>產線配置圖</vt:lpstr>
      <vt:lpstr>範本總</vt:lpstr>
      <vt:lpstr>範本</vt:lpstr>
      <vt:lpstr>0201總</vt:lpstr>
      <vt:lpstr>0201</vt:lpstr>
      <vt:lpstr>0202總</vt:lpstr>
      <vt:lpstr>0202</vt:lpstr>
      <vt:lpstr>0203總</vt:lpstr>
      <vt:lpstr>0203</vt:lpstr>
      <vt:lpstr>0204總</vt:lpstr>
      <vt:lpstr>0204</vt:lpstr>
      <vt:lpstr>0205總</vt:lpstr>
      <vt:lpstr>0205</vt:lpstr>
      <vt:lpstr>0206總</vt:lpstr>
      <vt:lpstr>0206</vt:lpstr>
      <vt:lpstr>0207總 </vt:lpstr>
      <vt:lpstr>0207</vt:lpstr>
      <vt:lpstr>0208總</vt:lpstr>
      <vt:lpstr>0208</vt:lpstr>
      <vt:lpstr>0209總</vt:lpstr>
      <vt:lpstr>0209</vt:lpstr>
      <vt:lpstr>0210總</vt:lpstr>
      <vt:lpstr>0210</vt:lpstr>
      <vt:lpstr>0211總</vt:lpstr>
      <vt:lpstr>0211</vt:lpstr>
      <vt:lpstr>0212總</vt:lpstr>
      <vt:lpstr>0212</vt:lpstr>
      <vt:lpstr>0213總</vt:lpstr>
      <vt:lpstr>0213</vt:lpstr>
      <vt:lpstr>0214總</vt:lpstr>
      <vt:lpstr>0214</vt:lpstr>
      <vt:lpstr>0215總</vt:lpstr>
      <vt:lpstr>0215</vt:lpstr>
      <vt:lpstr>0216總</vt:lpstr>
      <vt:lpstr>0216</vt:lpstr>
      <vt:lpstr>0217總</vt:lpstr>
      <vt:lpstr>0217</vt:lpstr>
      <vt:lpstr>0218總</vt:lpstr>
      <vt:lpstr>0218</vt:lpstr>
      <vt:lpstr>0219總 </vt:lpstr>
      <vt:lpstr>0219</vt:lpstr>
      <vt:lpstr>0220總</vt:lpstr>
      <vt:lpstr>0220</vt:lpstr>
      <vt:lpstr>0221總</vt:lpstr>
      <vt:lpstr>0221</vt:lpstr>
      <vt:lpstr>0222總</vt:lpstr>
      <vt:lpstr>0222</vt:lpstr>
      <vt:lpstr>0223總</vt:lpstr>
      <vt:lpstr>0223</vt:lpstr>
      <vt:lpstr>0224總</vt:lpstr>
      <vt:lpstr>0224</vt:lpstr>
      <vt:lpstr>0225總</vt:lpstr>
      <vt:lpstr>0225</vt:lpstr>
      <vt:lpstr>0226總</vt:lpstr>
      <vt:lpstr>0226</vt:lpstr>
      <vt:lpstr>0227總</vt:lpstr>
      <vt:lpstr>0227</vt:lpstr>
      <vt:lpstr>0228總</vt:lpstr>
      <vt:lpstr>0228</vt:lpstr>
      <vt:lpstr>'0201'!_FilterDatabase</vt:lpstr>
      <vt:lpstr>'0201總'!_FilterDatabase</vt:lpstr>
      <vt:lpstr>'0202'!_FilterDatabase</vt:lpstr>
      <vt:lpstr>'0202總'!_FilterDatabase</vt:lpstr>
      <vt:lpstr>'0203'!_FilterDatabase</vt:lpstr>
      <vt:lpstr>'0203總'!_FilterDatabase</vt:lpstr>
      <vt:lpstr>'0204'!_FilterDatabase</vt:lpstr>
      <vt:lpstr>'0204總'!_FilterDatabase</vt:lpstr>
      <vt:lpstr>'0205'!_FilterDatabase</vt:lpstr>
      <vt:lpstr>'0205總'!_FilterDatabase</vt:lpstr>
      <vt:lpstr>'0206'!_FilterDatabase</vt:lpstr>
      <vt:lpstr>'0206總'!_FilterDatabase</vt:lpstr>
      <vt:lpstr>'0207'!_FilterDatabase</vt:lpstr>
      <vt:lpstr>'0207總 '!_FilterDatabase</vt:lpstr>
      <vt:lpstr>'0208'!_FilterDatabase</vt:lpstr>
      <vt:lpstr>'0208總'!_FilterDatabase</vt:lpstr>
      <vt:lpstr>'0209'!_FilterDatabase</vt:lpstr>
      <vt:lpstr>'0209總'!_FilterDatabase</vt:lpstr>
      <vt:lpstr>'0210'!_FilterDatabase</vt:lpstr>
      <vt:lpstr>'0210總'!_FilterDatabase</vt:lpstr>
      <vt:lpstr>'0211'!_FilterDatabase</vt:lpstr>
      <vt:lpstr>'0211總'!_FilterDatabase</vt:lpstr>
      <vt:lpstr>'0212'!_FilterDatabase</vt:lpstr>
      <vt:lpstr>'0212總'!_FilterDatabase</vt:lpstr>
      <vt:lpstr>'0213'!_FilterDatabase</vt:lpstr>
      <vt:lpstr>'0213總'!_FilterDatabase</vt:lpstr>
      <vt:lpstr>'0214'!_FilterDatabase</vt:lpstr>
      <vt:lpstr>'0214總'!_FilterDatabase</vt:lpstr>
      <vt:lpstr>'0215'!_FilterDatabase</vt:lpstr>
      <vt:lpstr>'0215總'!_FilterDatabase</vt:lpstr>
      <vt:lpstr>'0216'!_FilterDatabase</vt:lpstr>
      <vt:lpstr>'0216總'!_FilterDatabase</vt:lpstr>
      <vt:lpstr>'0217'!_FilterDatabase</vt:lpstr>
      <vt:lpstr>'0217總'!_FilterDatabase</vt:lpstr>
      <vt:lpstr>'0218'!_FilterDatabase</vt:lpstr>
      <vt:lpstr>'0218總'!_FilterDatabase</vt:lpstr>
      <vt:lpstr>'0219'!_FilterDatabase</vt:lpstr>
      <vt:lpstr>'0219總 '!_FilterDatabase</vt:lpstr>
      <vt:lpstr>'0220'!_FilterDatabase</vt:lpstr>
      <vt:lpstr>'0220總'!_FilterDatabase</vt:lpstr>
      <vt:lpstr>'0221'!_FilterDatabase</vt:lpstr>
      <vt:lpstr>'0221總'!_FilterDatabase</vt:lpstr>
      <vt:lpstr>'0222'!_FilterDatabase</vt:lpstr>
      <vt:lpstr>'0222總'!_FilterDatabase</vt:lpstr>
      <vt:lpstr>'0223'!_FilterDatabase</vt:lpstr>
      <vt:lpstr>'0223總'!_FilterDatabase</vt:lpstr>
      <vt:lpstr>'0224'!_FilterDatabase</vt:lpstr>
      <vt:lpstr>'0224總'!_FilterDatabase</vt:lpstr>
      <vt:lpstr>'0225'!_FilterDatabase</vt:lpstr>
      <vt:lpstr>'0225總'!_FilterDatabase</vt:lpstr>
      <vt:lpstr>'0226'!_FilterDatabase</vt:lpstr>
      <vt:lpstr>'0226總'!_FilterDatabase</vt:lpstr>
      <vt:lpstr>'0227'!_FilterDatabase</vt:lpstr>
      <vt:lpstr>'0227總'!_FilterDatabase</vt:lpstr>
      <vt:lpstr>'0228'!_FilterDatabase</vt:lpstr>
      <vt:lpstr>'0228總'!_FilterDatabase</vt:lpstr>
      <vt:lpstr>'0201'!Print_Area</vt:lpstr>
      <vt:lpstr>'0202'!Print_Area</vt:lpstr>
      <vt:lpstr>'0203'!Print_Area</vt:lpstr>
      <vt:lpstr>'0204'!Print_Area</vt:lpstr>
      <vt:lpstr>'0205'!Print_Area</vt:lpstr>
      <vt:lpstr>'0206'!Print_Area</vt:lpstr>
      <vt:lpstr>'0207'!Print_Area</vt:lpstr>
      <vt:lpstr>'0208'!Print_Area</vt:lpstr>
      <vt:lpstr>'0209'!Print_Area</vt:lpstr>
      <vt:lpstr>'0210'!Print_Area</vt:lpstr>
      <vt:lpstr>'0211'!Print_Area</vt:lpstr>
      <vt:lpstr>'0212'!Print_Area</vt:lpstr>
      <vt:lpstr>'0213'!Print_Area</vt:lpstr>
      <vt:lpstr>'0214'!Print_Area</vt:lpstr>
      <vt:lpstr>'0215'!Print_Area</vt:lpstr>
      <vt:lpstr>'0216'!Print_Area</vt:lpstr>
      <vt:lpstr>'0217'!Print_Area</vt:lpstr>
      <vt:lpstr>'0218'!Print_Area</vt:lpstr>
      <vt:lpstr>'0219'!Print_Area</vt:lpstr>
      <vt:lpstr>'0220'!Print_Area</vt:lpstr>
      <vt:lpstr>'0221'!Print_Area</vt:lpstr>
      <vt:lpstr>'0222'!Print_Area</vt:lpstr>
      <vt:lpstr>'0223'!Print_Area</vt:lpstr>
      <vt:lpstr>'0224'!Print_Area</vt:lpstr>
      <vt:lpstr>'0225'!Print_Area</vt:lpstr>
      <vt:lpstr>'0226'!Print_Area</vt:lpstr>
      <vt:lpstr>'0227'!Print_Area</vt:lpstr>
      <vt:lpstr>'0228'!Print_Area</vt:lpstr>
      <vt:lpstr>範本!Print_Area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2026-03-01T07:50:07Z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